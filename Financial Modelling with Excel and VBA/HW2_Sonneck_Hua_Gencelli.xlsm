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ualesan/Downloads/'WORK2026/ADIDAS/"/>
    </mc:Choice>
  </mc:AlternateContent>
  <xr:revisionPtr revIDLastSave="0" documentId="8_{FE83995B-3BDB-FF46-8E22-EE86E376E87C}" xr6:coauthVersionLast="47" xr6:coauthVersionMax="47" xr10:uidLastSave="{00000000-0000-0000-0000-000000000000}"/>
  <bookViews>
    <workbookView xWindow="4440" yWindow="760" windowWidth="24960" windowHeight="17140" activeTab="5" xr2:uid="{CE6097AE-1F7B-4A4D-81DD-12D128F00DE8}"/>
  </bookViews>
  <sheets>
    <sheet name="Cover Sheet" sheetId="6" r:id="rId1"/>
    <sheet name="Exercise1" sheetId="3" r:id="rId2"/>
    <sheet name="Exercise2" sheetId="4" r:id="rId3"/>
    <sheet name="Exercise3" sheetId="5" r:id="rId4"/>
    <sheet name="Exercise4" sheetId="1" r:id="rId5"/>
    <sheet name="Exercise5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6" i="4" l="1" a="1"/>
  <c r="D16" i="4" s="1"/>
  <c r="G63" i="1" a="1"/>
  <c r="G40" i="1" a="1"/>
  <c r="G6" i="1" a="1"/>
  <c r="G21" i="1" a="1"/>
  <c r="C8" i="5" a="1"/>
  <c r="C9" i="5" a="1"/>
  <c r="C10" i="5" a="1"/>
  <c r="C11" i="5" a="1"/>
  <c r="C7" i="5" a="1"/>
  <c r="E16" i="4" a="1"/>
  <c r="D12" i="4" a="1"/>
  <c r="E7" i="4" a="1"/>
  <c r="B7" i="4" a="1"/>
  <c r="C11" i="5" l="1"/>
  <c r="C10" i="5"/>
  <c r="C9" i="5"/>
  <c r="C8" i="5"/>
  <c r="C7" i="5"/>
  <c r="E16" i="4"/>
  <c r="D12" i="4"/>
  <c r="E7" i="4"/>
  <c r="B7" i="4"/>
  <c r="G63" i="1"/>
  <c r="G40" i="1"/>
  <c r="G6" i="1"/>
  <c r="G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<sst xmlns="http://schemas.openxmlformats.org/spreadsheetml/2006/main" count="133" uniqueCount="106">
  <si>
    <t>Y</t>
  </si>
  <si>
    <t>X1</t>
  </si>
  <si>
    <t>X2</t>
  </si>
  <si>
    <t>Coefficient</t>
  </si>
  <si>
    <t>Std. Error</t>
  </si>
  <si>
    <t>t-Value</t>
  </si>
  <si>
    <t>p-Value</t>
  </si>
  <si>
    <t>Significance</t>
  </si>
  <si>
    <t>Intercept</t>
  </si>
  <si>
    <t>Sales</t>
  </si>
  <si>
    <t>Ad_Spend</t>
  </si>
  <si>
    <t>Price</t>
  </si>
  <si>
    <t>Size_m2</t>
  </si>
  <si>
    <t>Rooms</t>
  </si>
  <si>
    <t>Age_Years</t>
  </si>
  <si>
    <t>Stock_Return</t>
  </si>
  <si>
    <t>Market_Return</t>
  </si>
  <si>
    <t>Alpha (Intercept)</t>
  </si>
  <si>
    <t>Beta (Market_Return)</t>
  </si>
  <si>
    <t>Symbol</t>
  </si>
  <si>
    <t>Significance Level</t>
  </si>
  <si>
    <t>Meaning</t>
  </si>
  <si>
    <t>***</t>
  </si>
  <si>
    <t>p ≤ 1%</t>
  </si>
  <si>
    <t>Highly significant</t>
  </si>
  <si>
    <t>**</t>
  </si>
  <si>
    <t>p ≤ 5%</t>
  </si>
  <si>
    <t>Significant</t>
  </si>
  <si>
    <t>*</t>
  </si>
  <si>
    <t>p ≤ 10%</t>
  </si>
  <si>
    <t>Weakly significant</t>
  </si>
  <si>
    <t>(empty)</t>
  </si>
  <si>
    <t>p &gt; 10%</t>
  </si>
  <si>
    <t>Not significant</t>
  </si>
  <si>
    <t>Example 1: Theoretical Test</t>
  </si>
  <si>
    <t>No real-world context — pure functionality check</t>
  </si>
  <si>
    <t>Verifies correct (m+1) × 5 output format</t>
  </si>
  <si>
    <t>High correlation between X1 and X2 may cause multicollinearity, reducing individual significance</t>
  </si>
  <si>
    <t>Interpretation:</t>
  </si>
  <si>
    <t>Example 2: Advertising Spend → Sales</t>
  </si>
  <si>
    <t>Simple regression: effect of ad spending on sales</t>
  </si>
  <si>
    <r>
      <t xml:space="preserve">Coefficient on </t>
    </r>
    <r>
      <rPr>
        <sz val="10"/>
        <color theme="1"/>
        <rFont val="Arial Unicode MS"/>
      </rPr>
      <t>Ad_Spend</t>
    </r>
    <r>
      <rPr>
        <sz val="11"/>
        <color theme="1"/>
        <rFont val="Aptos Narrow"/>
        <family val="2"/>
        <scheme val="minor"/>
      </rPr>
      <t xml:space="preserve"> = expected sales increase per unit spent</t>
    </r>
  </si>
  <si>
    <t>Significant coefficient supports investment in advertising</t>
  </si>
  <si>
    <t>Intercept = baseline sales without advertising</t>
  </si>
  <si>
    <t>Example 3: House Prices vs. Size, Rooms, Age</t>
  </si>
  <si>
    <t>Multiple regression for real estate valuation</t>
  </si>
  <si>
    <r>
      <t>Size_m2</t>
    </r>
    <r>
      <rPr>
        <sz val="11"/>
        <color theme="1"/>
        <rFont val="Aptos Narrow"/>
        <family val="2"/>
        <scheme val="minor"/>
      </rPr>
      <t>: price impact per m²</t>
    </r>
  </si>
  <si>
    <r>
      <t>Rooms</t>
    </r>
    <r>
      <rPr>
        <sz val="11"/>
        <color theme="1"/>
        <rFont val="Aptos Narrow"/>
        <family val="2"/>
        <scheme val="minor"/>
      </rPr>
      <t>: added value per room</t>
    </r>
  </si>
  <si>
    <r>
      <t>Age_Years</t>
    </r>
    <r>
      <rPr>
        <sz val="11"/>
        <color theme="1"/>
        <rFont val="Aptos Narrow"/>
        <family val="2"/>
        <scheme val="minor"/>
      </rPr>
      <t>: expected negative (depreciation)</t>
    </r>
  </si>
  <si>
    <t>Stars show which factors are reliable price drivers</t>
  </si>
  <si>
    <t>Example 4: CAPM – Stock vs. Market Return</t>
  </si>
  <si>
    <r>
      <t xml:space="preserve">Estimates the </t>
    </r>
    <r>
      <rPr>
        <b/>
        <sz val="11"/>
        <color theme="1"/>
        <rFont val="Aptos Narrow"/>
        <family val="2"/>
        <scheme val="minor"/>
      </rPr>
      <t>Capital Asset Pricing Model</t>
    </r>
  </si>
  <si>
    <r>
      <t xml:space="preserve">Slope = </t>
    </r>
    <r>
      <rPr>
        <b/>
        <sz val="11"/>
        <color theme="1"/>
        <rFont val="Aptos Narrow"/>
        <family val="2"/>
        <scheme val="minor"/>
      </rPr>
      <t>Beta</t>
    </r>
    <r>
      <rPr>
        <sz val="11"/>
        <color theme="1"/>
        <rFont val="Aptos Narrow"/>
        <family val="2"/>
        <scheme val="minor"/>
      </rPr>
      <t xml:space="preserve"> (sensitivity to market movements)</t>
    </r>
  </si>
  <si>
    <t>β &gt; 1: more volatile than market</t>
  </si>
  <si>
    <t>β &lt; 1: less volatile than market</t>
  </si>
  <si>
    <r>
      <t xml:space="preserve">Intercept = </t>
    </r>
    <r>
      <rPr>
        <b/>
        <sz val="11"/>
        <color theme="1"/>
        <rFont val="Aptos Narrow"/>
        <family val="2"/>
        <scheme val="minor"/>
      </rPr>
      <t>Alpha</t>
    </r>
    <r>
      <rPr>
        <sz val="11"/>
        <color theme="1"/>
        <rFont val="Aptos Narrow"/>
        <family val="2"/>
        <scheme val="minor"/>
      </rPr>
      <t xml:space="preserve"> (excess return unexplained by market risk)</t>
    </r>
  </si>
  <si>
    <t>Demonstrates practical use in financial modeling</t>
  </si>
  <si>
    <t>Exercise 1</t>
  </si>
  <si>
    <t>Exercise 4</t>
  </si>
  <si>
    <t>Exercise 5</t>
  </si>
  <si>
    <t>Start Date:</t>
  </si>
  <si>
    <t>Graduation Date (leave empty if ongoing):</t>
  </si>
  <si>
    <t>Expected Graduation Date:</t>
  </si>
  <si>
    <t>Study Breaks (filled via the 'Input Breaks' button – cells are locked)</t>
  </si>
  <si>
    <t>Break 1 – Start Date:</t>
  </si>
  <si>
    <t>Break 1 – End Date:</t>
  </si>
  <si>
    <t>Break 2 – Start Date:</t>
  </si>
  <si>
    <t>Break 2 – End Date:</t>
  </si>
  <si>
    <t>Break 3 – Start Date:</t>
  </si>
  <si>
    <t>Break 3 – End Date:</t>
  </si>
  <si>
    <t>Break 4 – Start Date:</t>
  </si>
  <si>
    <t>Break 4 – End Date:</t>
  </si>
  <si>
    <t>Break 5 – Start Date:</t>
  </si>
  <si>
    <t>Break 5 – End Date:</t>
  </si>
  <si>
    <t>Exercise 3</t>
  </si>
  <si>
    <t>Exercise 2</t>
  </si>
  <si>
    <t>f(x) = x³ + ½x² – 7x + 1</t>
  </si>
  <si>
    <t>x value</t>
  </si>
  <si>
    <t>f(x)</t>
  </si>
  <si>
    <t>Example 1</t>
  </si>
  <si>
    <t>Example 2</t>
  </si>
  <si>
    <t>Single cell input:</t>
  </si>
  <si>
    <t>Horizontal vector:</t>
  </si>
  <si>
    <t>Function values from -5 to 5 in steps of 0.5:</t>
  </si>
  <si>
    <t>Theoretical test</t>
  </si>
  <si>
    <t>Example 3</t>
  </si>
  <si>
    <t>Function: Reverse(string, uppercase)</t>
  </si>
  <si>
    <t>Returns: [Reversed string, Length, Number of vowels]</t>
  </si>
  <si>
    <t>Input string</t>
  </si>
  <si>
    <t>Uppercase?</t>
  </si>
  <si>
    <t>Reversed</t>
  </si>
  <si>
    <t>Length</t>
  </si>
  <si>
    <t>Vowels</t>
  </si>
  <si>
    <t>school</t>
  </si>
  <si>
    <t>Hello World</t>
  </si>
  <si>
    <t>racecar</t>
  </si>
  <si>
    <t>Was it a car or a cat i saw</t>
  </si>
  <si>
    <t>Group Members</t>
  </si>
  <si>
    <t>1.</t>
  </si>
  <si>
    <t>Andreas Sonneck</t>
  </si>
  <si>
    <t>2.</t>
  </si>
  <si>
    <t>Le San Hua</t>
  </si>
  <si>
    <t>3.</t>
  </si>
  <si>
    <t>Muzaffer Efe Gencelli</t>
  </si>
  <si>
    <t>Financial Modeling Using MS Excel - Homework 2</t>
  </si>
  <si>
    <t>Use button or Alt + F8 to run ShowSimulation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</si>
</sst>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b/>
      <sz val="18"/>
      <color theme="1"/>
      <name val="Aptos Narrow"/>
      <family val="2"/>
      <scheme val="minor"/>
    </font>
    <font>
      <b/>
      <sz val="20"/>
      <color rgb="FF1F4E79"/>
      <name val="Arial"/>
      <family val="2"/>
    </font>
    <font>
      <b/>
      <sz val="14"/>
      <color rgb="FF2E75B6"/>
      <name val="Arial"/>
      <family val="2"/>
    </font>
    <font>
      <sz val="14"/>
      <color rgb="FF000000"/>
      <name val="Arial"/>
      <family val="2"/>
    </font>
    <font>
      <b/>
      <sz val="14"/>
      <color rgb="FF1F4E79"/>
      <name val="Arial"/>
      <family val="2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6E4F0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1" xfId="0" applyBorder="1"/>
    <xf numFmtId="0" fontId="3" fillId="0" borderId="0" xfId="0" applyFont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14" fontId="0" fillId="2" borderId="0" xfId="0" applyNumberFormat="1" applyFill="1" applyProtection="1">
      <protection locked="0"/>
    </xf>
    <xf numFmtId="0" fontId="3" fillId="2" borderId="0" xfId="0" applyFont="1" applyFill="1" applyProtection="1">
      <protection locked="0"/>
    </xf>
    <xf numFmtId="0" fontId="3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7" fillId="0" borderId="0" xfId="0" applyFont="1" applyAlignment="1">
      <alignment horizontal="right"/>
    </xf>
    <xf numFmtId="0" fontId="8" fillId="0" borderId="0" xfId="0" applyFont="1"/>
    <xf numFmtId="0" fontId="5" fillId="0" borderId="0" xfId="0" applyFont="1"/>
    <xf numFmtId="0" fontId="0" fillId="5" borderId="1" xfId="0" applyFill="1" applyBorder="1"/>
    <xf numFmtId="0" fontId="6" fillId="4" borderId="0" xfId="0" applyFont="1" applyFill="1" applyAlignment="1">
      <alignment horizontal="center"/>
    </xf>
    <xf numFmtId="0" fontId="0" fillId="0" borderId="0" xfId="0"/>
    <xf numFmtId="14" fontId="0" fillId="3" borderId="0" xfId="0" applyNumberFormat="1" applyFill="1" applyProtection="1"/>
    <xf numFmtId="14" fontId="0" fillId="0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3</xdr:row>
          <xdr:rowOff>165100</xdr:rowOff>
        </xdr:from>
        <xdr:to>
          <xdr:col>5</xdr:col>
          <xdr:colOff>63500</xdr:colOff>
          <xdr:row>9</xdr:row>
          <xdr:rowOff>0</xdr:rowOff>
        </xdr:to>
        <xdr:sp macro="" textlink="">
          <xdr:nvSpPr>
            <xdr:cNvPr id="3073" name="Button 1" descr="Calcula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10</xdr:row>
          <xdr:rowOff>0</xdr:rowOff>
        </xdr:from>
        <xdr:to>
          <xdr:col>5</xdr:col>
          <xdr:colOff>63500</xdr:colOff>
          <xdr:row>15</xdr:row>
          <xdr:rowOff>25400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Input Breaks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5</xdr:row>
          <xdr:rowOff>25400</xdr:rowOff>
        </xdr:from>
        <xdr:to>
          <xdr:col>2</xdr:col>
          <xdr:colOff>469900</xdr:colOff>
          <xdr:row>9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Open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45583-5716-4278-AD3A-BED2951DFE32}">
  <sheetPr codeName="Sheet6"/>
  <dimension ref="B2:C10"/>
  <sheetViews>
    <sheetView workbookViewId="0">
      <selection activeCell="B13" sqref="B13"/>
    </sheetView>
  </sheetViews>
  <sheetFormatPr baseColWidth="10" defaultColWidth="8.83203125" defaultRowHeight="15" x14ac:dyDescent="0.2"/>
  <cols>
    <col min="1" max="1" width="5" customWidth="1"/>
    <col min="2" max="2" width="45" customWidth="1"/>
    <col min="3" max="3" width="35" customWidth="1"/>
    <col min="4" max="4" width="5" customWidth="1"/>
  </cols>
  <sheetData>
    <row r="2" spans="2:3" ht="25" x14ac:dyDescent="0.25">
      <c r="B2" s="16" t="s">
        <v>104</v>
      </c>
      <c r="C2" s="16"/>
    </row>
    <row r="4" spans="2:3" ht="18" x14ac:dyDescent="0.2">
      <c r="B4" s="18" t="s">
        <v>97</v>
      </c>
      <c r="C4" s="19"/>
    </row>
    <row r="6" spans="2:3" ht="18" x14ac:dyDescent="0.2">
      <c r="B6" s="14" t="s">
        <v>98</v>
      </c>
      <c r="C6" s="15" t="s">
        <v>99</v>
      </c>
    </row>
    <row r="8" spans="2:3" ht="18" x14ac:dyDescent="0.2">
      <c r="B8" s="14" t="s">
        <v>100</v>
      </c>
      <c r="C8" s="15" t="s">
        <v>101</v>
      </c>
    </row>
    <row r="9" spans="2:3" ht="18" x14ac:dyDescent="0.2">
      <c r="B9" s="14"/>
      <c r="C9" s="15"/>
    </row>
    <row r="10" spans="2:3" ht="18" x14ac:dyDescent="0.2">
      <c r="B10" s="14" t="s">
        <v>102</v>
      </c>
      <c r="C10" s="15" t="s">
        <v>103</v>
      </c>
    </row>
  </sheetData>
  <mergeCells count="1">
    <mergeCell ref="B4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8CCB-3801-4D65-8204-CCDC170E9ECC}">
  <sheetPr codeName="Sheet3"/>
  <dimension ref="A1:B17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58.5" style="7" bestFit="1" customWidth="1"/>
    <col min="2" max="2" width="10.1640625" style="7" bestFit="1" customWidth="1"/>
    <col min="3" max="16384" width="8.83203125" style="7"/>
  </cols>
  <sheetData>
    <row r="1" spans="1:2" ht="24" x14ac:dyDescent="0.3">
      <c r="A1" s="6" t="s">
        <v>57</v>
      </c>
    </row>
    <row r="3" spans="1:2" x14ac:dyDescent="0.2">
      <c r="A3" s="9" t="s">
        <v>60</v>
      </c>
      <c r="B3" s="10"/>
    </row>
    <row r="4" spans="1:2" x14ac:dyDescent="0.2">
      <c r="A4" s="9" t="s">
        <v>61</v>
      </c>
      <c r="B4" s="10"/>
    </row>
    <row r="5" spans="1:2" ht="16" x14ac:dyDescent="0.25">
      <c r="A5" s="11" t="s">
        <v>62</v>
      </c>
      <c r="B5" s="21"/>
    </row>
    <row r="6" spans="1:2" x14ac:dyDescent="0.2">
      <c r="A6" s="9" t="s">
        <v>63</v>
      </c>
      <c r="B6" s="10"/>
    </row>
    <row r="7" spans="1:2" x14ac:dyDescent="0.2">
      <c r="B7" s="8"/>
    </row>
    <row r="8" spans="1:2" ht="16" x14ac:dyDescent="0.25">
      <c r="A8" s="12" t="s">
        <v>64</v>
      </c>
      <c r="B8" s="20">
        <v>44392</v>
      </c>
    </row>
    <row r="9" spans="1:2" x14ac:dyDescent="0.2">
      <c r="A9" s="13" t="s">
        <v>65</v>
      </c>
      <c r="B9" s="20">
        <v>44454</v>
      </c>
    </row>
    <row r="10" spans="1:2" x14ac:dyDescent="0.2">
      <c r="A10" s="13" t="s">
        <v>66</v>
      </c>
      <c r="B10" s="20">
        <v>44896</v>
      </c>
    </row>
    <row r="11" spans="1:2" ht="16" x14ac:dyDescent="0.25">
      <c r="A11" s="12" t="s">
        <v>67</v>
      </c>
      <c r="B11" s="20">
        <v>44985</v>
      </c>
    </row>
    <row r="12" spans="1:2" ht="16" x14ac:dyDescent="0.25">
      <c r="A12" s="12" t="s">
        <v>68</v>
      </c>
      <c r="B12" s="20"/>
    </row>
    <row r="13" spans="1:2" x14ac:dyDescent="0.2">
      <c r="A13" s="13" t="s">
        <v>69</v>
      </c>
      <c r="B13" s="20"/>
    </row>
    <row r="14" spans="1:2" ht="16" x14ac:dyDescent="0.25">
      <c r="A14" s="12" t="s">
        <v>70</v>
      </c>
      <c r="B14" s="20"/>
    </row>
    <row r="15" spans="1:2" x14ac:dyDescent="0.2">
      <c r="A15" s="13" t="s">
        <v>71</v>
      </c>
      <c r="B15" s="20"/>
    </row>
    <row r="16" spans="1:2" ht="16" x14ac:dyDescent="0.25">
      <c r="A16" s="12" t="s">
        <v>72</v>
      </c>
      <c r="B16" s="20"/>
    </row>
    <row r="17" spans="1:2" x14ac:dyDescent="0.2">
      <c r="A17" s="13" t="s">
        <v>73</v>
      </c>
      <c r="B17" s="20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udyDuration" altText="Calculate">
                <anchor moveWithCells="1" sizeWithCells="1">
                  <from>
                    <xdr:col>2</xdr:col>
                    <xdr:colOff>596900</xdr:colOff>
                    <xdr:row>3</xdr:row>
                    <xdr:rowOff>165100</xdr:rowOff>
                  </from>
                  <to>
                    <xdr:col>5</xdr:col>
                    <xdr:colOff>63500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BreaksForm">
                <anchor moveWithCells="1" sizeWithCells="1">
                  <from>
                    <xdr:col>2</xdr:col>
                    <xdr:colOff>596900</xdr:colOff>
                    <xdr:row>10</xdr:row>
                    <xdr:rowOff>0</xdr:rowOff>
                  </from>
                  <to>
                    <xdr:col>5</xdr:col>
                    <xdr:colOff>63500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AA3C-F8A5-4816-AE85-4637C4750627}">
  <sheetPr codeName="Sheet4"/>
  <dimension ref="A1:H36"/>
  <sheetViews>
    <sheetView workbookViewId="0">
      <selection activeCell="G29" sqref="G29"/>
    </sheetView>
  </sheetViews>
  <sheetFormatPr baseColWidth="10" defaultColWidth="8.83203125" defaultRowHeight="15" x14ac:dyDescent="0.2"/>
  <sheetData>
    <row r="1" spans="1:8" ht="24" x14ac:dyDescent="0.3">
      <c r="A1" s="5" t="s">
        <v>75</v>
      </c>
    </row>
    <row r="3" spans="1:8" ht="16" x14ac:dyDescent="0.25">
      <c r="A3" s="4" t="s">
        <v>76</v>
      </c>
    </row>
    <row r="5" spans="1:8" x14ac:dyDescent="0.2">
      <c r="A5" t="s">
        <v>84</v>
      </c>
      <c r="D5" t="s">
        <v>79</v>
      </c>
    </row>
    <row r="6" spans="1:8" ht="16" x14ac:dyDescent="0.25">
      <c r="A6" s="4" t="s">
        <v>77</v>
      </c>
      <c r="B6" s="4" t="s">
        <v>78</v>
      </c>
      <c r="D6" t="s">
        <v>81</v>
      </c>
    </row>
    <row r="7" spans="1:8" ht="16" x14ac:dyDescent="0.25">
      <c r="A7" s="4">
        <v>-3</v>
      </c>
      <c r="B7" cm="1">
        <f t="array" ref="B7:B16">FunctionValues(A7:A16)</f>
        <v>-0.5</v>
      </c>
      <c r="D7">
        <v>7</v>
      </c>
      <c r="E7" cm="1">
        <f t="array" ref="E7">FunctionValues(D7)</f>
        <v>319.5</v>
      </c>
    </row>
    <row r="8" spans="1:8" x14ac:dyDescent="0.2">
      <c r="A8">
        <v>-2</v>
      </c>
      <c r="B8">
        <v>9</v>
      </c>
    </row>
    <row r="9" spans="1:8" x14ac:dyDescent="0.2">
      <c r="A9">
        <v>-1</v>
      </c>
      <c r="B9">
        <v>7.5</v>
      </c>
      <c r="D9" t="s">
        <v>80</v>
      </c>
    </row>
    <row r="10" spans="1:8" x14ac:dyDescent="0.2">
      <c r="A10">
        <v>0</v>
      </c>
      <c r="B10">
        <v>1</v>
      </c>
      <c r="D10" t="s">
        <v>82</v>
      </c>
    </row>
    <row r="11" spans="1:8" x14ac:dyDescent="0.2">
      <c r="A11">
        <v>1</v>
      </c>
      <c r="B11">
        <v>-4.5</v>
      </c>
      <c r="D11">
        <v>-5</v>
      </c>
      <c r="E11">
        <v>-2</v>
      </c>
      <c r="F11">
        <v>0</v>
      </c>
      <c r="G11">
        <v>2</v>
      </c>
      <c r="H11">
        <v>5</v>
      </c>
    </row>
    <row r="12" spans="1:8" x14ac:dyDescent="0.2">
      <c r="A12">
        <v>2</v>
      </c>
      <c r="B12">
        <v>-3</v>
      </c>
      <c r="D12" cm="1">
        <f t="array" ref="D12:H12">FunctionValues(D11:H11)</f>
        <v>-76.5</v>
      </c>
      <c r="E12">
        <v>9</v>
      </c>
      <c r="F12">
        <v>1</v>
      </c>
      <c r="G12">
        <v>-3</v>
      </c>
      <c r="H12">
        <v>103.5</v>
      </c>
    </row>
    <row r="13" spans="1:8" x14ac:dyDescent="0.2">
      <c r="A13">
        <v>3</v>
      </c>
      <c r="B13">
        <v>11.5</v>
      </c>
    </row>
    <row r="14" spans="1:8" x14ac:dyDescent="0.2">
      <c r="A14">
        <v>4</v>
      </c>
      <c r="B14">
        <v>45</v>
      </c>
      <c r="D14" t="s">
        <v>85</v>
      </c>
    </row>
    <row r="15" spans="1:8" x14ac:dyDescent="0.2">
      <c r="A15">
        <v>5</v>
      </c>
      <c r="B15">
        <v>103.5</v>
      </c>
      <c r="D15" t="s">
        <v>83</v>
      </c>
    </row>
    <row r="16" spans="1:8" x14ac:dyDescent="0.2">
      <c r="A16">
        <v>10</v>
      </c>
      <c r="B16">
        <v>981</v>
      </c>
      <c r="D16" cm="1">
        <f t="array" ref="D16:D36">_xlfn.SEQUENCE(21,1,-5,0.5)</f>
        <v>-5</v>
      </c>
      <c r="E16" cm="1">
        <f t="array" ref="E16:E36">FunctionValues(_xlfn.ANCHORARRAY(D16))</f>
        <v>-76.5</v>
      </c>
    </row>
    <row r="17" spans="4:5" x14ac:dyDescent="0.2">
      <c r="D17">
        <v>-4.5</v>
      </c>
      <c r="E17">
        <v>-48.5</v>
      </c>
    </row>
    <row r="18" spans="4:5" x14ac:dyDescent="0.2">
      <c r="D18">
        <v>-4</v>
      </c>
      <c r="E18">
        <v>-27</v>
      </c>
    </row>
    <row r="19" spans="4:5" x14ac:dyDescent="0.2">
      <c r="D19">
        <v>-3.5</v>
      </c>
      <c r="E19">
        <v>-11.25</v>
      </c>
    </row>
    <row r="20" spans="4:5" x14ac:dyDescent="0.2">
      <c r="D20">
        <v>-3</v>
      </c>
      <c r="E20">
        <v>-0.5</v>
      </c>
    </row>
    <row r="21" spans="4:5" x14ac:dyDescent="0.2">
      <c r="D21">
        <v>-2.5</v>
      </c>
      <c r="E21">
        <v>6</v>
      </c>
    </row>
    <row r="22" spans="4:5" x14ac:dyDescent="0.2">
      <c r="D22">
        <v>-2</v>
      </c>
      <c r="E22">
        <v>9</v>
      </c>
    </row>
    <row r="23" spans="4:5" x14ac:dyDescent="0.2">
      <c r="D23">
        <v>-1.5</v>
      </c>
      <c r="E23">
        <v>9.25</v>
      </c>
    </row>
    <row r="24" spans="4:5" x14ac:dyDescent="0.2">
      <c r="D24">
        <v>-1</v>
      </c>
      <c r="E24">
        <v>7.5</v>
      </c>
    </row>
    <row r="25" spans="4:5" x14ac:dyDescent="0.2">
      <c r="D25">
        <v>-0.5</v>
      </c>
      <c r="E25">
        <v>4.5</v>
      </c>
    </row>
    <row r="26" spans="4:5" x14ac:dyDescent="0.2">
      <c r="D26">
        <v>0</v>
      </c>
      <c r="E26">
        <v>1</v>
      </c>
    </row>
    <row r="27" spans="4:5" x14ac:dyDescent="0.2">
      <c r="D27">
        <v>0.5</v>
      </c>
      <c r="E27">
        <v>-2.25</v>
      </c>
    </row>
    <row r="28" spans="4:5" x14ac:dyDescent="0.2">
      <c r="D28">
        <v>1</v>
      </c>
      <c r="E28">
        <v>-4.5</v>
      </c>
    </row>
    <row r="29" spans="4:5" x14ac:dyDescent="0.2">
      <c r="D29">
        <v>1.5</v>
      </c>
      <c r="E29">
        <v>-5</v>
      </c>
    </row>
    <row r="30" spans="4:5" x14ac:dyDescent="0.2">
      <c r="D30">
        <v>2</v>
      </c>
      <c r="E30">
        <v>-3</v>
      </c>
    </row>
    <row r="31" spans="4:5" x14ac:dyDescent="0.2">
      <c r="D31">
        <v>2.5</v>
      </c>
      <c r="E31">
        <v>2.25</v>
      </c>
    </row>
    <row r="32" spans="4:5" x14ac:dyDescent="0.2">
      <c r="D32">
        <v>3</v>
      </c>
      <c r="E32">
        <v>11.5</v>
      </c>
    </row>
    <row r="33" spans="4:5" x14ac:dyDescent="0.2">
      <c r="D33">
        <v>3.5</v>
      </c>
      <c r="E33">
        <v>25.5</v>
      </c>
    </row>
    <row r="34" spans="4:5" x14ac:dyDescent="0.2">
      <c r="D34">
        <v>4</v>
      </c>
      <c r="E34">
        <v>45</v>
      </c>
    </row>
    <row r="35" spans="4:5" x14ac:dyDescent="0.2">
      <c r="D35">
        <v>4.5</v>
      </c>
      <c r="E35">
        <v>70.75</v>
      </c>
    </row>
    <row r="36" spans="4:5" x14ac:dyDescent="0.2">
      <c r="D36">
        <v>5</v>
      </c>
      <c r="E36">
        <v>103.5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DB18B-B231-4223-A262-9F29F641EDD3}">
  <sheetPr codeName="Sheet5"/>
  <dimension ref="A1:E11"/>
  <sheetViews>
    <sheetView workbookViewId="0">
      <selection activeCell="A23" sqref="A23"/>
    </sheetView>
  </sheetViews>
  <sheetFormatPr baseColWidth="10" defaultColWidth="8.83203125" defaultRowHeight="15" x14ac:dyDescent="0.2"/>
  <cols>
    <col min="1" max="1" width="46.5" bestFit="1" customWidth="1"/>
    <col min="2" max="2" width="10.83203125" bestFit="1" customWidth="1"/>
    <col min="3" max="3" width="23" bestFit="1" customWidth="1"/>
    <col min="4" max="4" width="6.5" bestFit="1" customWidth="1"/>
    <col min="5" max="5" width="6.83203125" bestFit="1" customWidth="1"/>
  </cols>
  <sheetData>
    <row r="1" spans="1:5" ht="24" x14ac:dyDescent="0.3">
      <c r="A1" s="5" t="s">
        <v>74</v>
      </c>
    </row>
    <row r="3" spans="1:5" ht="16" x14ac:dyDescent="0.25">
      <c r="A3" s="4" t="s">
        <v>86</v>
      </c>
    </row>
    <row r="4" spans="1:5" x14ac:dyDescent="0.2">
      <c r="A4" t="s">
        <v>87</v>
      </c>
    </row>
    <row r="6" spans="1:5" ht="16" x14ac:dyDescent="0.25">
      <c r="A6" s="4" t="s">
        <v>88</v>
      </c>
      <c r="B6" s="4" t="s">
        <v>89</v>
      </c>
      <c r="C6" s="4" t="s">
        <v>90</v>
      </c>
      <c r="D6" s="4" t="s">
        <v>91</v>
      </c>
      <c r="E6" s="4" t="s">
        <v>92</v>
      </c>
    </row>
    <row r="7" spans="1:5" ht="16" x14ac:dyDescent="0.25">
      <c r="A7" s="4" t="s">
        <v>93</v>
      </c>
      <c r="B7" s="4" t="b">
        <v>0</v>
      </c>
      <c r="C7" t="str" cm="1">
        <f t="array" ref="C7:E7">Reverse(A7,B7)</f>
        <v>loohcs</v>
      </c>
      <c r="D7">
        <v>6</v>
      </c>
      <c r="E7">
        <v>2</v>
      </c>
    </row>
    <row r="8" spans="1:5" ht="16" x14ac:dyDescent="0.25">
      <c r="A8" s="4" t="s">
        <v>93</v>
      </c>
      <c r="B8" t="b">
        <v>1</v>
      </c>
      <c r="C8" t="str" cm="1">
        <f t="array" ref="C8:E8">Reverse(A8,B8)</f>
        <v>LOOHCS</v>
      </c>
      <c r="D8">
        <v>6</v>
      </c>
      <c r="E8">
        <v>2</v>
      </c>
    </row>
    <row r="9" spans="1:5" ht="16" x14ac:dyDescent="0.25">
      <c r="A9" t="s">
        <v>94</v>
      </c>
      <c r="B9" s="4" t="b">
        <v>0</v>
      </c>
      <c r="C9" t="str" cm="1">
        <f t="array" ref="C9:E9">Reverse(A9,B9)</f>
        <v>dlroW olleH</v>
      </c>
      <c r="D9">
        <v>11</v>
      </c>
      <c r="E9">
        <v>3</v>
      </c>
    </row>
    <row r="10" spans="1:5" ht="16" x14ac:dyDescent="0.25">
      <c r="A10" t="s">
        <v>95</v>
      </c>
      <c r="B10" s="4" t="b">
        <v>1</v>
      </c>
      <c r="C10" t="str" cm="1">
        <f t="array" ref="C10:E10">Reverse(A10,B10)</f>
        <v>RACECAR</v>
      </c>
      <c r="D10">
        <v>7</v>
      </c>
      <c r="E10">
        <v>3</v>
      </c>
    </row>
    <row r="11" spans="1:5" ht="16" x14ac:dyDescent="0.25">
      <c r="A11" s="4" t="s">
        <v>96</v>
      </c>
      <c r="B11" t="b">
        <v>0</v>
      </c>
      <c r="C11" t="str" cm="1">
        <f t="array" ref="C11:E11">Reverse(A11,B11)</f>
        <v>was i tac a ro rac a ti saW</v>
      </c>
      <c r="D11">
        <v>27</v>
      </c>
      <c r="E1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711F-9D7B-45F8-971F-1691E263DA7C}">
  <sheetPr codeName="Sheet1"/>
  <dimension ref="A1:O85"/>
  <sheetViews>
    <sheetView topLeftCell="A56" workbookViewId="0">
      <selection activeCell="J13" sqref="J13"/>
    </sheetView>
  </sheetViews>
  <sheetFormatPr baseColWidth="10" defaultColWidth="8.83203125" defaultRowHeight="15" x14ac:dyDescent="0.2"/>
  <cols>
    <col min="1" max="1" width="13.5" customWidth="1"/>
    <col min="2" max="3" width="9.5" customWidth="1"/>
    <col min="4" max="4" width="9.5" bestFit="1" customWidth="1"/>
    <col min="5" max="5" width="10" bestFit="1" customWidth="1"/>
    <col min="6" max="6" width="19" bestFit="1" customWidth="1"/>
    <col min="7" max="7" width="12.6640625" bestFit="1" customWidth="1"/>
    <col min="8" max="10" width="12" bestFit="1" customWidth="1"/>
    <col min="11" max="11" width="4" bestFit="1" customWidth="1"/>
    <col min="13" max="13" width="7.5" bestFit="1" customWidth="1"/>
    <col min="14" max="14" width="16.1640625" bestFit="1" customWidth="1"/>
    <col min="15" max="15" width="16.83203125" bestFit="1" customWidth="1"/>
  </cols>
  <sheetData>
    <row r="1" spans="1:15" ht="24" x14ac:dyDescent="0.3">
      <c r="A1" s="5" t="s">
        <v>58</v>
      </c>
    </row>
    <row r="3" spans="1:15" ht="19" x14ac:dyDescent="0.2">
      <c r="A3" s="1" t="s">
        <v>34</v>
      </c>
    </row>
    <row r="4" spans="1:15" x14ac:dyDescent="0.2">
      <c r="A4" s="3" t="s">
        <v>0</v>
      </c>
      <c r="B4" s="3" t="s">
        <v>1</v>
      </c>
      <c r="C4" s="3" t="s">
        <v>2</v>
      </c>
    </row>
    <row r="5" spans="1:15" x14ac:dyDescent="0.2">
      <c r="A5" s="3">
        <v>12</v>
      </c>
      <c r="B5" s="3">
        <v>2</v>
      </c>
      <c r="C5" s="3">
        <v>5</v>
      </c>
      <c r="F5" s="3" t="s">
        <v>3</v>
      </c>
      <c r="G5" s="3" t="s">
        <v>4</v>
      </c>
      <c r="H5" s="3" t="s">
        <v>5</v>
      </c>
      <c r="I5" s="3" t="s">
        <v>6</v>
      </c>
      <c r="J5" s="3" t="s">
        <v>7</v>
      </c>
      <c r="K5" s="3"/>
      <c r="M5" s="17" t="s">
        <v>19</v>
      </c>
      <c r="N5" s="17" t="s">
        <v>20</v>
      </c>
      <c r="O5" s="17" t="s">
        <v>21</v>
      </c>
    </row>
    <row r="6" spans="1:15" x14ac:dyDescent="0.2">
      <c r="A6" s="3">
        <v>18</v>
      </c>
      <c r="B6" s="3">
        <v>4</v>
      </c>
      <c r="C6" s="3">
        <v>7</v>
      </c>
      <c r="F6" s="3" t="s">
        <v>8</v>
      </c>
      <c r="G6" s="3" cm="1">
        <f t="array" ref="G6:K8">MyOLS(A5:A12, B5:C12)</f>
        <v>1.8643216080345155</v>
      </c>
      <c r="H6" s="3">
        <v>2.3064987243099182</v>
      </c>
      <c r="I6" s="3">
        <v>0.80829076053025017</v>
      </c>
      <c r="J6" s="3">
        <v>0.45564392473019494</v>
      </c>
      <c r="K6" s="3" t="str">
        <v/>
      </c>
      <c r="M6" s="17" t="s">
        <v>22</v>
      </c>
      <c r="N6" s="17" t="s">
        <v>23</v>
      </c>
      <c r="O6" s="17" t="s">
        <v>24</v>
      </c>
    </row>
    <row r="7" spans="1:15" x14ac:dyDescent="0.2">
      <c r="A7" s="3">
        <v>22</v>
      </c>
      <c r="B7" s="3">
        <v>5</v>
      </c>
      <c r="C7" s="3">
        <v>8</v>
      </c>
      <c r="F7" s="3" t="s">
        <v>1</v>
      </c>
      <c r="G7" s="3">
        <v>2.6281407035176017</v>
      </c>
      <c r="H7" s="3">
        <v>0.76643297789718201</v>
      </c>
      <c r="I7" s="3">
        <v>3.4290548284186309</v>
      </c>
      <c r="J7" s="3">
        <v>1.8654597903695912E-2</v>
      </c>
      <c r="K7" s="3" t="str">
        <v>**</v>
      </c>
      <c r="M7" s="17" t="s">
        <v>25</v>
      </c>
      <c r="N7" s="17" t="s">
        <v>26</v>
      </c>
      <c r="O7" s="17" t="s">
        <v>27</v>
      </c>
    </row>
    <row r="8" spans="1:15" x14ac:dyDescent="0.2">
      <c r="A8" s="3">
        <v>28</v>
      </c>
      <c r="B8" s="3">
        <v>7</v>
      </c>
      <c r="C8" s="3">
        <v>10</v>
      </c>
      <c r="F8" s="3" t="s">
        <v>2</v>
      </c>
      <c r="G8" s="3">
        <v>0.84673366834158514</v>
      </c>
      <c r="H8" s="3">
        <v>0.75042726649282954</v>
      </c>
      <c r="I8" s="3">
        <v>1.1283354245626627</v>
      </c>
      <c r="J8" s="3">
        <v>0.31039038814744763</v>
      </c>
      <c r="K8" s="3" t="str">
        <v/>
      </c>
      <c r="M8" s="17" t="s">
        <v>28</v>
      </c>
      <c r="N8" s="17" t="s">
        <v>29</v>
      </c>
      <c r="O8" s="17" t="s">
        <v>30</v>
      </c>
    </row>
    <row r="9" spans="1:15" x14ac:dyDescent="0.2">
      <c r="A9" s="3">
        <v>35</v>
      </c>
      <c r="B9" s="3">
        <v>9</v>
      </c>
      <c r="C9" s="3">
        <v>12</v>
      </c>
      <c r="M9" s="17" t="s">
        <v>31</v>
      </c>
      <c r="N9" s="17" t="s">
        <v>32</v>
      </c>
      <c r="O9" s="17" t="s">
        <v>33</v>
      </c>
    </row>
    <row r="10" spans="1:15" x14ac:dyDescent="0.2">
      <c r="A10" s="3">
        <v>40</v>
      </c>
      <c r="B10" s="3">
        <v>10</v>
      </c>
      <c r="C10" s="3">
        <v>14</v>
      </c>
    </row>
    <row r="11" spans="1:15" x14ac:dyDescent="0.2">
      <c r="A11" s="3">
        <v>47</v>
      </c>
      <c r="B11" s="3">
        <v>12</v>
      </c>
      <c r="C11" s="3">
        <v>15</v>
      </c>
    </row>
    <row r="12" spans="1:15" x14ac:dyDescent="0.2">
      <c r="A12" s="3">
        <v>53</v>
      </c>
      <c r="B12" s="3">
        <v>14</v>
      </c>
      <c r="C12" s="3">
        <v>17</v>
      </c>
    </row>
    <row r="14" spans="1:15" x14ac:dyDescent="0.2">
      <c r="A14" t="s">
        <v>38</v>
      </c>
      <c r="B14" t="s">
        <v>35</v>
      </c>
    </row>
    <row r="15" spans="1:15" x14ac:dyDescent="0.2">
      <c r="B15" t="s">
        <v>36</v>
      </c>
    </row>
    <row r="16" spans="1:15" x14ac:dyDescent="0.2">
      <c r="B16" t="s">
        <v>37</v>
      </c>
    </row>
    <row r="19" spans="1:11" ht="19" x14ac:dyDescent="0.2">
      <c r="A19" s="1" t="s">
        <v>39</v>
      </c>
    </row>
    <row r="20" spans="1:11" x14ac:dyDescent="0.2">
      <c r="A20" s="3" t="s">
        <v>9</v>
      </c>
      <c r="B20" s="3" t="s">
        <v>10</v>
      </c>
      <c r="F20" s="3" t="s">
        <v>3</v>
      </c>
      <c r="G20" s="3" t="s">
        <v>4</v>
      </c>
      <c r="H20" s="3" t="s">
        <v>5</v>
      </c>
      <c r="I20" s="3" t="s">
        <v>6</v>
      </c>
      <c r="J20" s="3" t="s">
        <v>7</v>
      </c>
      <c r="K20" s="3"/>
    </row>
    <row r="21" spans="1:11" x14ac:dyDescent="0.2">
      <c r="A21" s="3">
        <v>105</v>
      </c>
      <c r="B21" s="3">
        <v>10</v>
      </c>
      <c r="F21" s="3" t="s">
        <v>8</v>
      </c>
      <c r="G21" s="3" cm="1">
        <f t="array" ref="G21:K22">MyOLS(A21:A30, B21:B30)</f>
        <v>74.266666666666538</v>
      </c>
      <c r="H21" s="3">
        <v>1.7955050497947371</v>
      </c>
      <c r="I21" s="3">
        <v>41.36254959302773</v>
      </c>
      <c r="J21" s="3">
        <v>1.2854808668144199E-10</v>
      </c>
      <c r="K21" s="3" t="str">
        <v>***</v>
      </c>
    </row>
    <row r="22" spans="1:11" x14ac:dyDescent="0.2">
      <c r="A22" s="3">
        <v>118</v>
      </c>
      <c r="B22" s="3">
        <v>15</v>
      </c>
      <c r="F22" s="3" t="s">
        <v>10</v>
      </c>
      <c r="G22" s="3">
        <v>2.8933333333333344</v>
      </c>
      <c r="H22" s="3">
        <v>5.0532517783456701E-2</v>
      </c>
      <c r="I22" s="3">
        <v>57.25686073533727</v>
      </c>
      <c r="J22" s="3">
        <v>9.6114097052664804E-12</v>
      </c>
      <c r="K22" s="3" t="str">
        <v>***</v>
      </c>
    </row>
    <row r="23" spans="1:11" x14ac:dyDescent="0.2">
      <c r="A23" s="3">
        <v>135</v>
      </c>
      <c r="B23" s="3">
        <v>20</v>
      </c>
    </row>
    <row r="24" spans="1:11" x14ac:dyDescent="0.2">
      <c r="A24" s="3">
        <v>142</v>
      </c>
      <c r="B24" s="3">
        <v>25</v>
      </c>
    </row>
    <row r="25" spans="1:11" x14ac:dyDescent="0.2">
      <c r="A25" s="3">
        <v>160</v>
      </c>
      <c r="B25" s="3">
        <v>30</v>
      </c>
    </row>
    <row r="26" spans="1:11" x14ac:dyDescent="0.2">
      <c r="A26" s="3">
        <v>175</v>
      </c>
      <c r="B26" s="3">
        <v>35</v>
      </c>
    </row>
    <row r="27" spans="1:11" x14ac:dyDescent="0.2">
      <c r="A27" s="3">
        <v>188</v>
      </c>
      <c r="B27" s="3">
        <v>40</v>
      </c>
    </row>
    <row r="28" spans="1:11" x14ac:dyDescent="0.2">
      <c r="A28" s="3">
        <v>205</v>
      </c>
      <c r="B28" s="3">
        <v>45</v>
      </c>
    </row>
    <row r="29" spans="1:11" x14ac:dyDescent="0.2">
      <c r="A29" s="3">
        <v>220</v>
      </c>
      <c r="B29" s="3">
        <v>50</v>
      </c>
    </row>
    <row r="30" spans="1:11" x14ac:dyDescent="0.2">
      <c r="A30" s="3">
        <v>235</v>
      </c>
      <c r="B30" s="3">
        <v>55</v>
      </c>
    </row>
    <row r="32" spans="1:11" x14ac:dyDescent="0.2">
      <c r="A32" t="s">
        <v>38</v>
      </c>
      <c r="B32" t="s">
        <v>40</v>
      </c>
    </row>
    <row r="33" spans="1:11" ht="16" x14ac:dyDescent="0.25">
      <c r="B33" t="s">
        <v>41</v>
      </c>
    </row>
    <row r="34" spans="1:11" x14ac:dyDescent="0.2">
      <c r="B34" t="s">
        <v>42</v>
      </c>
    </row>
    <row r="35" spans="1:11" x14ac:dyDescent="0.2">
      <c r="B35" t="s">
        <v>43</v>
      </c>
    </row>
    <row r="38" spans="1:11" ht="19" x14ac:dyDescent="0.2">
      <c r="A38" s="1" t="s">
        <v>44</v>
      </c>
    </row>
    <row r="39" spans="1:11" x14ac:dyDescent="0.2">
      <c r="A39" s="3" t="s">
        <v>11</v>
      </c>
      <c r="B39" s="3" t="s">
        <v>12</v>
      </c>
      <c r="C39" s="3" t="s">
        <v>13</v>
      </c>
      <c r="D39" s="3" t="s">
        <v>14</v>
      </c>
      <c r="F39" s="3" t="s">
        <v>3</v>
      </c>
      <c r="G39" s="3" t="s">
        <v>4</v>
      </c>
      <c r="H39" s="3" t="s">
        <v>5</v>
      </c>
      <c r="I39" s="3" t="s">
        <v>6</v>
      </c>
      <c r="J39" s="3" t="s">
        <v>7</v>
      </c>
      <c r="K39" s="3"/>
    </row>
    <row r="40" spans="1:11" x14ac:dyDescent="0.2">
      <c r="A40" s="3">
        <v>250</v>
      </c>
      <c r="B40" s="3">
        <v>80</v>
      </c>
      <c r="C40" s="3">
        <v>3</v>
      </c>
      <c r="D40" s="3">
        <v>15</v>
      </c>
      <c r="F40" s="3" t="s">
        <v>8</v>
      </c>
      <c r="G40" s="3" cm="1">
        <f t="array" ref="G40:K43">MyOLS(A40:A51, B40:D51)</f>
        <v>58.236950264566985</v>
      </c>
      <c r="H40" s="3">
        <v>37.467145963397734</v>
      </c>
      <c r="I40" s="3">
        <v>1.5543471157760351</v>
      </c>
      <c r="J40" s="3">
        <v>0.15870870818034774</v>
      </c>
      <c r="K40" s="3" t="str">
        <v/>
      </c>
    </row>
    <row r="41" spans="1:11" x14ac:dyDescent="0.2">
      <c r="A41" s="3">
        <v>320</v>
      </c>
      <c r="B41" s="3">
        <v>100</v>
      </c>
      <c r="C41" s="3">
        <v>4</v>
      </c>
      <c r="D41" s="3">
        <v>10</v>
      </c>
      <c r="F41" s="3" t="s">
        <v>12</v>
      </c>
      <c r="G41" s="3">
        <v>2.6100476364051133</v>
      </c>
      <c r="H41" s="3">
        <v>0.46672353616901069</v>
      </c>
      <c r="I41" s="3">
        <v>5.5922777279009104</v>
      </c>
      <c r="J41" s="3">
        <v>5.1486390197548471E-4</v>
      </c>
      <c r="K41" s="3" t="str">
        <v>***</v>
      </c>
    </row>
    <row r="42" spans="1:11" x14ac:dyDescent="0.2">
      <c r="A42" s="3">
        <v>180</v>
      </c>
      <c r="B42" s="3">
        <v>60</v>
      </c>
      <c r="C42" s="3">
        <v>2</v>
      </c>
      <c r="D42" s="3">
        <v>25</v>
      </c>
      <c r="F42" s="3" t="s">
        <v>13</v>
      </c>
      <c r="G42" s="3">
        <v>4.5092444790720947</v>
      </c>
      <c r="H42" s="3">
        <v>7.9464647469035077</v>
      </c>
      <c r="I42" s="3">
        <v>0.56745290172327367</v>
      </c>
      <c r="J42" s="3">
        <v>0.58597364952304787</v>
      </c>
      <c r="K42" s="3" t="str">
        <v/>
      </c>
    </row>
    <row r="43" spans="1:11" x14ac:dyDescent="0.2">
      <c r="A43" s="3">
        <v>410</v>
      </c>
      <c r="B43" s="3">
        <v>130</v>
      </c>
      <c r="C43" s="3">
        <v>5</v>
      </c>
      <c r="D43" s="3">
        <v>5</v>
      </c>
      <c r="F43" s="3" t="s">
        <v>14</v>
      </c>
      <c r="G43" s="3">
        <v>-1.9424089692186044</v>
      </c>
      <c r="H43" s="3">
        <v>0.95740477746285269</v>
      </c>
      <c r="I43" s="3">
        <v>-2.028827320421398</v>
      </c>
      <c r="J43" s="3">
        <v>7.6997182144196818E-2</v>
      </c>
      <c r="K43" s="3" t="str">
        <v>*</v>
      </c>
    </row>
    <row r="44" spans="1:11" x14ac:dyDescent="0.2">
      <c r="A44" s="3">
        <v>290</v>
      </c>
      <c r="B44" s="3">
        <v>95</v>
      </c>
      <c r="C44" s="3">
        <v>3</v>
      </c>
      <c r="D44" s="3">
        <v>12</v>
      </c>
    </row>
    <row r="45" spans="1:11" x14ac:dyDescent="0.2">
      <c r="A45" s="3">
        <v>350</v>
      </c>
      <c r="B45" s="3">
        <v>110</v>
      </c>
      <c r="C45" s="3">
        <v>4</v>
      </c>
      <c r="D45" s="3">
        <v>8</v>
      </c>
    </row>
    <row r="46" spans="1:11" x14ac:dyDescent="0.2">
      <c r="A46" s="3">
        <v>220</v>
      </c>
      <c r="B46" s="3">
        <v>75</v>
      </c>
      <c r="C46" s="3">
        <v>3</v>
      </c>
      <c r="D46" s="3">
        <v>20</v>
      </c>
    </row>
    <row r="47" spans="1:11" x14ac:dyDescent="0.2">
      <c r="A47" s="3">
        <v>470</v>
      </c>
      <c r="B47" s="3">
        <v>150</v>
      </c>
      <c r="C47" s="3">
        <v>6</v>
      </c>
      <c r="D47" s="3">
        <v>3</v>
      </c>
    </row>
    <row r="48" spans="1:11" x14ac:dyDescent="0.2">
      <c r="A48" s="3">
        <v>310</v>
      </c>
      <c r="B48" s="3">
        <v>100</v>
      </c>
      <c r="C48" s="3">
        <v>4</v>
      </c>
      <c r="D48" s="3">
        <v>14</v>
      </c>
    </row>
    <row r="49" spans="1:11" x14ac:dyDescent="0.2">
      <c r="A49" s="3">
        <v>260</v>
      </c>
      <c r="B49" s="3">
        <v>85</v>
      </c>
      <c r="C49" s="3">
        <v>3</v>
      </c>
      <c r="D49" s="3">
        <v>18</v>
      </c>
    </row>
    <row r="50" spans="1:11" x14ac:dyDescent="0.2">
      <c r="A50" s="3">
        <v>390</v>
      </c>
      <c r="B50" s="3">
        <v>125</v>
      </c>
      <c r="C50" s="3">
        <v>5</v>
      </c>
      <c r="D50" s="3">
        <v>7</v>
      </c>
    </row>
    <row r="51" spans="1:11" x14ac:dyDescent="0.2">
      <c r="A51" s="3">
        <v>340</v>
      </c>
      <c r="B51" s="3">
        <v>105</v>
      </c>
      <c r="C51" s="3">
        <v>4</v>
      </c>
      <c r="D51" s="3">
        <v>11</v>
      </c>
    </row>
    <row r="53" spans="1:11" x14ac:dyDescent="0.2">
      <c r="A53" t="s">
        <v>38</v>
      </c>
      <c r="B53" t="s">
        <v>45</v>
      </c>
    </row>
    <row r="54" spans="1:11" ht="16" x14ac:dyDescent="0.25">
      <c r="B54" s="4" t="s">
        <v>46</v>
      </c>
    </row>
    <row r="55" spans="1:11" ht="16" x14ac:dyDescent="0.25">
      <c r="B55" s="4" t="s">
        <v>47</v>
      </c>
    </row>
    <row r="56" spans="1:11" ht="16" x14ac:dyDescent="0.25">
      <c r="B56" s="4" t="s">
        <v>48</v>
      </c>
    </row>
    <row r="57" spans="1:11" x14ac:dyDescent="0.2">
      <c r="B57" t="s">
        <v>49</v>
      </c>
    </row>
    <row r="60" spans="1:11" ht="19" x14ac:dyDescent="0.2">
      <c r="A60" s="1" t="s">
        <v>50</v>
      </c>
    </row>
    <row r="61" spans="1:11" x14ac:dyDescent="0.2">
      <c r="A61" s="3" t="s">
        <v>15</v>
      </c>
      <c r="B61" s="3" t="s">
        <v>16</v>
      </c>
    </row>
    <row r="62" spans="1:11" x14ac:dyDescent="0.2">
      <c r="A62" s="3">
        <v>2.5000000000000001E-2</v>
      </c>
      <c r="B62" s="3">
        <v>1.4999999999999999E-2</v>
      </c>
      <c r="F62" s="3" t="s">
        <v>3</v>
      </c>
      <c r="G62" s="3" t="s">
        <v>4</v>
      </c>
      <c r="H62" s="3" t="s">
        <v>5</v>
      </c>
      <c r="I62" s="3" t="s">
        <v>6</v>
      </c>
      <c r="J62" s="3" t="s">
        <v>7</v>
      </c>
      <c r="K62" s="3"/>
    </row>
    <row r="63" spans="1:11" x14ac:dyDescent="0.2">
      <c r="A63" s="3">
        <v>-1.2E-2</v>
      </c>
      <c r="B63" s="3">
        <v>-8.0000000000000002E-3</v>
      </c>
      <c r="F63" s="3" t="s">
        <v>17</v>
      </c>
      <c r="G63" s="3" cm="1">
        <f t="array" ref="G63:K64">MyOLS(A62:A76, B62:B76)</f>
        <v>5.3385546162770456E-4</v>
      </c>
      <c r="H63" s="3">
        <v>3.1687344105422609E-4</v>
      </c>
      <c r="I63" s="3">
        <v>1.6847592523109145</v>
      </c>
      <c r="J63" s="3">
        <v>0.11587581812875523</v>
      </c>
      <c r="K63" s="3" t="str">
        <v/>
      </c>
    </row>
    <row r="64" spans="1:11" x14ac:dyDescent="0.2">
      <c r="A64" s="3">
        <v>3.4000000000000002E-2</v>
      </c>
      <c r="B64" s="3">
        <v>2.1999999999999999E-2</v>
      </c>
      <c r="F64" s="3" t="s">
        <v>18</v>
      </c>
      <c r="G64" s="3">
        <v>1.4999378418697169</v>
      </c>
      <c r="H64" s="3">
        <v>1.8767767787804399E-2</v>
      </c>
      <c r="I64" s="3">
        <v>79.920950580196376</v>
      </c>
      <c r="J64" s="3">
        <v>6.8756102080915485E-19</v>
      </c>
      <c r="K64" s="3" t="str">
        <v>***</v>
      </c>
    </row>
    <row r="65" spans="1:2" x14ac:dyDescent="0.2">
      <c r="A65" s="3">
        <v>1.7999999999999999E-2</v>
      </c>
      <c r="B65" s="3">
        <v>1.2E-2</v>
      </c>
    </row>
    <row r="66" spans="1:2" x14ac:dyDescent="0.2">
      <c r="A66" s="3">
        <v>-2.5000000000000001E-2</v>
      </c>
      <c r="B66" s="3">
        <v>-1.7999999999999999E-2</v>
      </c>
    </row>
    <row r="67" spans="1:2" x14ac:dyDescent="0.2">
      <c r="A67" s="3">
        <v>4.1000000000000002E-2</v>
      </c>
      <c r="B67" s="3">
        <v>2.8000000000000001E-2</v>
      </c>
    </row>
    <row r="68" spans="1:2" x14ac:dyDescent="0.2">
      <c r="A68" s="3">
        <v>8.0000000000000002E-3</v>
      </c>
      <c r="B68" s="3">
        <v>5.0000000000000001E-3</v>
      </c>
    </row>
    <row r="69" spans="1:2" x14ac:dyDescent="0.2">
      <c r="A69" s="3">
        <v>-1.4999999999999999E-2</v>
      </c>
      <c r="B69" s="3">
        <v>-0.01</v>
      </c>
    </row>
    <row r="70" spans="1:2" x14ac:dyDescent="0.2">
      <c r="A70" s="3">
        <v>2.9000000000000001E-2</v>
      </c>
      <c r="B70" s="3">
        <v>1.9E-2</v>
      </c>
    </row>
    <row r="71" spans="1:2" x14ac:dyDescent="0.2">
      <c r="A71" s="3">
        <v>3.7999999999999999E-2</v>
      </c>
      <c r="B71" s="3">
        <v>2.5000000000000001E-2</v>
      </c>
    </row>
    <row r="72" spans="1:2" x14ac:dyDescent="0.2">
      <c r="A72" s="3">
        <v>-7.0000000000000001E-3</v>
      </c>
      <c r="B72" s="3">
        <v>-4.0000000000000001E-3</v>
      </c>
    </row>
    <row r="73" spans="1:2" x14ac:dyDescent="0.2">
      <c r="A73" s="3">
        <v>2.1999999999999999E-2</v>
      </c>
      <c r="B73" s="3">
        <v>1.4999999999999999E-2</v>
      </c>
    </row>
    <row r="74" spans="1:2" x14ac:dyDescent="0.2">
      <c r="A74" s="3">
        <v>3.3000000000000002E-2</v>
      </c>
      <c r="B74" s="3">
        <v>2.1000000000000001E-2</v>
      </c>
    </row>
    <row r="75" spans="1:2" x14ac:dyDescent="0.2">
      <c r="A75" s="3">
        <v>-1.9E-2</v>
      </c>
      <c r="B75" s="3">
        <v>-1.2999999999999999E-2</v>
      </c>
    </row>
    <row r="76" spans="1:2" x14ac:dyDescent="0.2">
      <c r="A76" s="3">
        <v>2.7E-2</v>
      </c>
      <c r="B76" s="3">
        <v>1.7000000000000001E-2</v>
      </c>
    </row>
    <row r="78" spans="1:2" x14ac:dyDescent="0.2">
      <c r="A78" t="s">
        <v>38</v>
      </c>
      <c r="B78" t="s">
        <v>51</v>
      </c>
    </row>
    <row r="79" spans="1:2" x14ac:dyDescent="0.2">
      <c r="B79" t="s">
        <v>52</v>
      </c>
    </row>
    <row r="80" spans="1:2" x14ac:dyDescent="0.2">
      <c r="B80" s="2"/>
    </row>
    <row r="81" spans="2:2" x14ac:dyDescent="0.2">
      <c r="B81" s="2" t="s">
        <v>53</v>
      </c>
    </row>
    <row r="82" spans="2:2" x14ac:dyDescent="0.2">
      <c r="B82" s="2" t="s">
        <v>54</v>
      </c>
    </row>
    <row r="84" spans="2:2" x14ac:dyDescent="0.2">
      <c r="B84" t="s">
        <v>55</v>
      </c>
    </row>
    <row r="85" spans="2:2" x14ac:dyDescent="0.2">
      <c r="B85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CFE8D-7863-449B-9CEF-A37CFBF55242}">
  <sheetPr codeName="Sheet2"/>
  <dimension ref="A1:A3"/>
  <sheetViews>
    <sheetView tabSelected="1" workbookViewId="0">
      <selection activeCell="G7" sqref="G7"/>
    </sheetView>
  </sheetViews>
  <sheetFormatPr baseColWidth="10" defaultColWidth="8.83203125" defaultRowHeight="15" x14ac:dyDescent="0.2"/>
  <sheetData>
    <row r="1" spans="1:1" ht="24" x14ac:dyDescent="0.3">
      <c r="A1" s="5" t="s">
        <v>59</v>
      </c>
    </row>
    <row r="3" spans="1:1" x14ac:dyDescent="0.2">
      <c r="A3" t="s"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owSimulation">
                <anchor moveWithCells="1" sizeWithCells="1">
                  <from>
                    <xdr:col>0</xdr:col>
                    <xdr:colOff>584200</xdr:colOff>
                    <xdr:row>5</xdr:row>
                    <xdr:rowOff>25400</xdr:rowOff>
                  </from>
                  <to>
                    <xdr:col>2</xdr:col>
                    <xdr:colOff>469900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 Sheet</vt:lpstr>
      <vt:lpstr>Exercise1</vt:lpstr>
      <vt:lpstr>Exercise2</vt:lpstr>
      <vt:lpstr>Exercise3</vt:lpstr>
      <vt:lpstr>Exercise4</vt:lpstr>
      <vt:lpstr>Exercise5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Sonneck</dc:creator>
  <cp:lastModifiedBy>Le San Hua</cp:lastModifiedBy>
  <dcterms:created xsi:type="dcterms:W3CDTF">2026-04-30T11:01:26Z</dcterms:created>
  <dcterms:modified xsi:type="dcterms:W3CDTF">2026-10-17T19:24:17Z</dcterms:modified>
</cp:coreProperties>
</file>