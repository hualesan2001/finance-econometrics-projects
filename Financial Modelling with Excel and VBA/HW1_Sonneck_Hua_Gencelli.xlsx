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hualesan/Downloads/'WORK2026/ADIDAS/"/>
    </mc:Choice>
  </mc:AlternateContent>
  <xr:revisionPtr revIDLastSave="0" documentId="8_{BAC969A3-EF55-E34B-962D-5097EFD44D8C}" xr6:coauthVersionLast="47" xr6:coauthVersionMax="47" xr10:uidLastSave="{00000000-0000-0000-0000-000000000000}"/>
  <bookViews>
    <workbookView xWindow="4440" yWindow="760" windowWidth="23260" windowHeight="12460" activeTab="4" xr2:uid="{00000000-000D-0000-FFFF-FFFF00000000}"/>
  </bookViews>
  <sheets>
    <sheet name="Cover Sheet" sheetId="1" r:id="rId1"/>
    <sheet name="Exercise 1" sheetId="2" r:id="rId2"/>
    <sheet name="Exercise 2" sheetId="3" r:id="rId3"/>
    <sheet name="Exercise 3" sheetId="4" r:id="rId4"/>
    <sheet name="Exercise 4" sheetId="5" r:id="rId5"/>
    <sheet name="Exercise 5" sheetId="6" r:id="rId6"/>
    <sheet name="Exercise 6" sheetId="7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7" l="1"/>
  <c r="B38" i="7"/>
  <c r="B12" i="7"/>
  <c r="B10" i="7"/>
  <c r="B7" i="7"/>
  <c r="B25" i="7" s="1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6" i="6"/>
  <c r="G3560" i="5"/>
  <c r="F3560" i="5"/>
  <c r="G3559" i="5"/>
  <c r="F3559" i="5"/>
  <c r="G3558" i="5"/>
  <c r="F3558" i="5"/>
  <c r="G3557" i="5"/>
  <c r="F3557" i="5"/>
  <c r="G3556" i="5"/>
  <c r="F3556" i="5"/>
  <c r="G3555" i="5"/>
  <c r="F3555" i="5"/>
  <c r="G3554" i="5"/>
  <c r="F3554" i="5"/>
  <c r="G3553" i="5"/>
  <c r="F3553" i="5"/>
  <c r="G3552" i="5"/>
  <c r="F3552" i="5"/>
  <c r="G3551" i="5"/>
  <c r="F3551" i="5"/>
  <c r="G3550" i="5"/>
  <c r="F3550" i="5"/>
  <c r="G3549" i="5"/>
  <c r="F3549" i="5"/>
  <c r="G3548" i="5"/>
  <c r="F3548" i="5"/>
  <c r="G3547" i="5"/>
  <c r="F3547" i="5"/>
  <c r="G3546" i="5"/>
  <c r="F3546" i="5"/>
  <c r="G3545" i="5"/>
  <c r="F3545" i="5"/>
  <c r="G3544" i="5"/>
  <c r="F3544" i="5"/>
  <c r="G3543" i="5"/>
  <c r="F3543" i="5"/>
  <c r="G3542" i="5"/>
  <c r="F3542" i="5"/>
  <c r="G3541" i="5"/>
  <c r="F3541" i="5"/>
  <c r="G3540" i="5"/>
  <c r="F3540" i="5"/>
  <c r="G3539" i="5"/>
  <c r="F3539" i="5"/>
  <c r="G3538" i="5"/>
  <c r="F3538" i="5"/>
  <c r="G3537" i="5"/>
  <c r="F3537" i="5"/>
  <c r="G3536" i="5"/>
  <c r="F3536" i="5"/>
  <c r="G3535" i="5"/>
  <c r="F3535" i="5"/>
  <c r="G3534" i="5"/>
  <c r="F3534" i="5"/>
  <c r="G3533" i="5"/>
  <c r="F3533" i="5"/>
  <c r="G3532" i="5"/>
  <c r="F3532" i="5"/>
  <c r="G3531" i="5"/>
  <c r="F3531" i="5"/>
  <c r="G3530" i="5"/>
  <c r="F3530" i="5"/>
  <c r="G3529" i="5"/>
  <c r="F3529" i="5"/>
  <c r="G3528" i="5"/>
  <c r="F3528" i="5"/>
  <c r="G3527" i="5"/>
  <c r="F3527" i="5"/>
  <c r="G3526" i="5"/>
  <c r="F3526" i="5"/>
  <c r="G3525" i="5"/>
  <c r="F3525" i="5"/>
  <c r="G3524" i="5"/>
  <c r="F3524" i="5"/>
  <c r="G3523" i="5"/>
  <c r="F3523" i="5"/>
  <c r="G3522" i="5"/>
  <c r="F3522" i="5"/>
  <c r="G3521" i="5"/>
  <c r="F3521" i="5"/>
  <c r="G3520" i="5"/>
  <c r="F3520" i="5"/>
  <c r="G3519" i="5"/>
  <c r="F3519" i="5"/>
  <c r="G3518" i="5"/>
  <c r="F3518" i="5"/>
  <c r="G3517" i="5"/>
  <c r="F3517" i="5"/>
  <c r="G3516" i="5"/>
  <c r="F3516" i="5"/>
  <c r="G3515" i="5"/>
  <c r="F3515" i="5"/>
  <c r="G3514" i="5"/>
  <c r="F3514" i="5"/>
  <c r="G3513" i="5"/>
  <c r="F3513" i="5"/>
  <c r="G3512" i="5"/>
  <c r="F3512" i="5"/>
  <c r="G3511" i="5"/>
  <c r="F3511" i="5"/>
  <c r="G3510" i="5"/>
  <c r="F3510" i="5"/>
  <c r="G3509" i="5"/>
  <c r="F3509" i="5"/>
  <c r="G3508" i="5"/>
  <c r="F3508" i="5"/>
  <c r="G3507" i="5"/>
  <c r="F3507" i="5"/>
  <c r="G3506" i="5"/>
  <c r="F3506" i="5"/>
  <c r="G3505" i="5"/>
  <c r="F3505" i="5"/>
  <c r="G3504" i="5"/>
  <c r="F3504" i="5"/>
  <c r="G3503" i="5"/>
  <c r="F3503" i="5"/>
  <c r="G3502" i="5"/>
  <c r="F3502" i="5"/>
  <c r="G3501" i="5"/>
  <c r="F3501" i="5"/>
  <c r="G3500" i="5"/>
  <c r="F3500" i="5"/>
  <c r="G3499" i="5"/>
  <c r="F3499" i="5"/>
  <c r="G3498" i="5"/>
  <c r="F3498" i="5"/>
  <c r="G3497" i="5"/>
  <c r="F3497" i="5"/>
  <c r="G3496" i="5"/>
  <c r="F3496" i="5"/>
  <c r="G3495" i="5"/>
  <c r="F3495" i="5"/>
  <c r="G3494" i="5"/>
  <c r="F3494" i="5"/>
  <c r="G3493" i="5"/>
  <c r="F3493" i="5"/>
  <c r="G3492" i="5"/>
  <c r="F3492" i="5"/>
  <c r="G3491" i="5"/>
  <c r="F3491" i="5"/>
  <c r="G3490" i="5"/>
  <c r="F3490" i="5"/>
  <c r="G3489" i="5"/>
  <c r="F3489" i="5"/>
  <c r="G3488" i="5"/>
  <c r="F3488" i="5"/>
  <c r="G3487" i="5"/>
  <c r="F3487" i="5"/>
  <c r="G3486" i="5"/>
  <c r="F3486" i="5"/>
  <c r="G3485" i="5"/>
  <c r="F3485" i="5"/>
  <c r="G3484" i="5"/>
  <c r="F3484" i="5"/>
  <c r="G3483" i="5"/>
  <c r="F3483" i="5"/>
  <c r="G3482" i="5"/>
  <c r="F3482" i="5"/>
  <c r="G3481" i="5"/>
  <c r="F3481" i="5"/>
  <c r="G3480" i="5"/>
  <c r="F3480" i="5"/>
  <c r="G3479" i="5"/>
  <c r="F3479" i="5"/>
  <c r="G3478" i="5"/>
  <c r="F3478" i="5"/>
  <c r="G3477" i="5"/>
  <c r="F3477" i="5"/>
  <c r="G3476" i="5"/>
  <c r="F3476" i="5"/>
  <c r="G3475" i="5"/>
  <c r="F3475" i="5"/>
  <c r="G3474" i="5"/>
  <c r="F3474" i="5"/>
  <c r="G3473" i="5"/>
  <c r="F3473" i="5"/>
  <c r="G3472" i="5"/>
  <c r="F3472" i="5"/>
  <c r="G3471" i="5"/>
  <c r="F3471" i="5"/>
  <c r="G3470" i="5"/>
  <c r="F3470" i="5"/>
  <c r="G3469" i="5"/>
  <c r="F3469" i="5"/>
  <c r="G3468" i="5"/>
  <c r="F3468" i="5"/>
  <c r="G3467" i="5"/>
  <c r="F3467" i="5"/>
  <c r="G3466" i="5"/>
  <c r="F3466" i="5"/>
  <c r="G3465" i="5"/>
  <c r="F3465" i="5"/>
  <c r="G3464" i="5"/>
  <c r="F3464" i="5"/>
  <c r="G3463" i="5"/>
  <c r="F3463" i="5"/>
  <c r="G3462" i="5"/>
  <c r="F3462" i="5"/>
  <c r="G3461" i="5"/>
  <c r="F3461" i="5"/>
  <c r="G3460" i="5"/>
  <c r="F3460" i="5"/>
  <c r="G3459" i="5"/>
  <c r="F3459" i="5"/>
  <c r="G3458" i="5"/>
  <c r="F3458" i="5"/>
  <c r="G3457" i="5"/>
  <c r="F3457" i="5"/>
  <c r="G3456" i="5"/>
  <c r="F3456" i="5"/>
  <c r="G3455" i="5"/>
  <c r="F3455" i="5"/>
  <c r="G3454" i="5"/>
  <c r="F3454" i="5"/>
  <c r="G3453" i="5"/>
  <c r="F3453" i="5"/>
  <c r="G3452" i="5"/>
  <c r="F3452" i="5"/>
  <c r="G3451" i="5"/>
  <c r="F3451" i="5"/>
  <c r="G3450" i="5"/>
  <c r="F3450" i="5"/>
  <c r="G3449" i="5"/>
  <c r="F3449" i="5"/>
  <c r="G3448" i="5"/>
  <c r="F3448" i="5"/>
  <c r="G3447" i="5"/>
  <c r="F3447" i="5"/>
  <c r="G3446" i="5"/>
  <c r="F3446" i="5"/>
  <c r="G3445" i="5"/>
  <c r="F3445" i="5"/>
  <c r="G3444" i="5"/>
  <c r="F3444" i="5"/>
  <c r="G3443" i="5"/>
  <c r="F3443" i="5"/>
  <c r="G3442" i="5"/>
  <c r="F3442" i="5"/>
  <c r="G3441" i="5"/>
  <c r="F3441" i="5"/>
  <c r="G3440" i="5"/>
  <c r="F3440" i="5"/>
  <c r="G3439" i="5"/>
  <c r="F3439" i="5"/>
  <c r="G3438" i="5"/>
  <c r="F3438" i="5"/>
  <c r="G3437" i="5"/>
  <c r="F3437" i="5"/>
  <c r="G3436" i="5"/>
  <c r="F3436" i="5"/>
  <c r="G3435" i="5"/>
  <c r="F3435" i="5"/>
  <c r="G3434" i="5"/>
  <c r="F3434" i="5"/>
  <c r="G3433" i="5"/>
  <c r="F3433" i="5"/>
  <c r="G3432" i="5"/>
  <c r="F3432" i="5"/>
  <c r="G3431" i="5"/>
  <c r="F3431" i="5"/>
  <c r="G3430" i="5"/>
  <c r="F3430" i="5"/>
  <c r="G3429" i="5"/>
  <c r="F3429" i="5"/>
  <c r="G3428" i="5"/>
  <c r="F3428" i="5"/>
  <c r="G3427" i="5"/>
  <c r="F3427" i="5"/>
  <c r="G3426" i="5"/>
  <c r="F3426" i="5"/>
  <c r="G3425" i="5"/>
  <c r="F3425" i="5"/>
  <c r="G3424" i="5"/>
  <c r="F3424" i="5"/>
  <c r="G3423" i="5"/>
  <c r="F3423" i="5"/>
  <c r="G3422" i="5"/>
  <c r="F3422" i="5"/>
  <c r="G3421" i="5"/>
  <c r="F3421" i="5"/>
  <c r="G3420" i="5"/>
  <c r="F3420" i="5"/>
  <c r="G3419" i="5"/>
  <c r="F3419" i="5"/>
  <c r="G3418" i="5"/>
  <c r="F3418" i="5"/>
  <c r="G3417" i="5"/>
  <c r="F3417" i="5"/>
  <c r="G3416" i="5"/>
  <c r="F3416" i="5"/>
  <c r="G3415" i="5"/>
  <c r="F3415" i="5"/>
  <c r="G3414" i="5"/>
  <c r="F3414" i="5"/>
  <c r="G3413" i="5"/>
  <c r="F3413" i="5"/>
  <c r="G3412" i="5"/>
  <c r="F3412" i="5"/>
  <c r="G3411" i="5"/>
  <c r="F3411" i="5"/>
  <c r="G3410" i="5"/>
  <c r="F3410" i="5"/>
  <c r="G3409" i="5"/>
  <c r="F3409" i="5"/>
  <c r="G3408" i="5"/>
  <c r="F3408" i="5"/>
  <c r="G3407" i="5"/>
  <c r="F3407" i="5"/>
  <c r="G3406" i="5"/>
  <c r="F3406" i="5"/>
  <c r="G3405" i="5"/>
  <c r="F3405" i="5"/>
  <c r="G3404" i="5"/>
  <c r="F3404" i="5"/>
  <c r="G3403" i="5"/>
  <c r="F3403" i="5"/>
  <c r="G3402" i="5"/>
  <c r="F3402" i="5"/>
  <c r="G3401" i="5"/>
  <c r="F3401" i="5"/>
  <c r="G3400" i="5"/>
  <c r="F3400" i="5"/>
  <c r="G3399" i="5"/>
  <c r="F3399" i="5"/>
  <c r="G3398" i="5"/>
  <c r="F3398" i="5"/>
  <c r="G3397" i="5"/>
  <c r="F3397" i="5"/>
  <c r="G3396" i="5"/>
  <c r="F3396" i="5"/>
  <c r="G3395" i="5"/>
  <c r="F3395" i="5"/>
  <c r="G3394" i="5"/>
  <c r="F3394" i="5"/>
  <c r="G3393" i="5"/>
  <c r="F3393" i="5"/>
  <c r="G3392" i="5"/>
  <c r="F3392" i="5"/>
  <c r="G3391" i="5"/>
  <c r="F3391" i="5"/>
  <c r="G3390" i="5"/>
  <c r="F3390" i="5"/>
  <c r="G3389" i="5"/>
  <c r="F3389" i="5"/>
  <c r="G3388" i="5"/>
  <c r="F3388" i="5"/>
  <c r="G3387" i="5"/>
  <c r="F3387" i="5"/>
  <c r="G3386" i="5"/>
  <c r="F3386" i="5"/>
  <c r="G3385" i="5"/>
  <c r="F3385" i="5"/>
  <c r="G3384" i="5"/>
  <c r="F3384" i="5"/>
  <c r="G3383" i="5"/>
  <c r="F3383" i="5"/>
  <c r="G3382" i="5"/>
  <c r="F3382" i="5"/>
  <c r="G3381" i="5"/>
  <c r="F3381" i="5"/>
  <c r="G3380" i="5"/>
  <c r="F3380" i="5"/>
  <c r="G3379" i="5"/>
  <c r="F3379" i="5"/>
  <c r="G3378" i="5"/>
  <c r="F3378" i="5"/>
  <c r="G3377" i="5"/>
  <c r="F3377" i="5"/>
  <c r="G3376" i="5"/>
  <c r="F3376" i="5"/>
  <c r="G3375" i="5"/>
  <c r="F3375" i="5"/>
  <c r="G3374" i="5"/>
  <c r="F3374" i="5"/>
  <c r="G3373" i="5"/>
  <c r="F3373" i="5"/>
  <c r="G3372" i="5"/>
  <c r="F3372" i="5"/>
  <c r="G3371" i="5"/>
  <c r="F3371" i="5"/>
  <c r="G3370" i="5"/>
  <c r="F3370" i="5"/>
  <c r="G3369" i="5"/>
  <c r="F3369" i="5"/>
  <c r="G3368" i="5"/>
  <c r="F3368" i="5"/>
  <c r="G3367" i="5"/>
  <c r="F3367" i="5"/>
  <c r="G3366" i="5"/>
  <c r="F3366" i="5"/>
  <c r="G3365" i="5"/>
  <c r="F3365" i="5"/>
  <c r="G3364" i="5"/>
  <c r="F3364" i="5"/>
  <c r="G3363" i="5"/>
  <c r="F3363" i="5"/>
  <c r="G3362" i="5"/>
  <c r="F3362" i="5"/>
  <c r="G3361" i="5"/>
  <c r="F3361" i="5"/>
  <c r="G3360" i="5"/>
  <c r="F3360" i="5"/>
  <c r="G3359" i="5"/>
  <c r="F3359" i="5"/>
  <c r="G3358" i="5"/>
  <c r="F3358" i="5"/>
  <c r="G3357" i="5"/>
  <c r="F3357" i="5"/>
  <c r="G3356" i="5"/>
  <c r="F3356" i="5"/>
  <c r="G3355" i="5"/>
  <c r="F3355" i="5"/>
  <c r="G3354" i="5"/>
  <c r="F3354" i="5"/>
  <c r="G3353" i="5"/>
  <c r="F3353" i="5"/>
  <c r="G3352" i="5"/>
  <c r="F3352" i="5"/>
  <c r="G3351" i="5"/>
  <c r="F3351" i="5"/>
  <c r="G3350" i="5"/>
  <c r="F3350" i="5"/>
  <c r="G3349" i="5"/>
  <c r="F3349" i="5"/>
  <c r="G3348" i="5"/>
  <c r="F3348" i="5"/>
  <c r="G3347" i="5"/>
  <c r="F3347" i="5"/>
  <c r="G3346" i="5"/>
  <c r="F3346" i="5"/>
  <c r="G3345" i="5"/>
  <c r="F3345" i="5"/>
  <c r="G3344" i="5"/>
  <c r="F3344" i="5"/>
  <c r="G3343" i="5"/>
  <c r="F3343" i="5"/>
  <c r="G3342" i="5"/>
  <c r="F3342" i="5"/>
  <c r="G3341" i="5"/>
  <c r="F3341" i="5"/>
  <c r="G3340" i="5"/>
  <c r="F3340" i="5"/>
  <c r="G3339" i="5"/>
  <c r="F3339" i="5"/>
  <c r="G3338" i="5"/>
  <c r="F3338" i="5"/>
  <c r="G3337" i="5"/>
  <c r="F3337" i="5"/>
  <c r="G3336" i="5"/>
  <c r="F3336" i="5"/>
  <c r="G3335" i="5"/>
  <c r="F3335" i="5"/>
  <c r="G3334" i="5"/>
  <c r="F3334" i="5"/>
  <c r="G3333" i="5"/>
  <c r="F3333" i="5"/>
  <c r="G3332" i="5"/>
  <c r="F3332" i="5"/>
  <c r="G3331" i="5"/>
  <c r="F3331" i="5"/>
  <c r="G3330" i="5"/>
  <c r="F3330" i="5"/>
  <c r="G3329" i="5"/>
  <c r="F3329" i="5"/>
  <c r="G3328" i="5"/>
  <c r="F3328" i="5"/>
  <c r="G3327" i="5"/>
  <c r="F3327" i="5"/>
  <c r="G3326" i="5"/>
  <c r="F3326" i="5"/>
  <c r="G3325" i="5"/>
  <c r="F3325" i="5"/>
  <c r="G3324" i="5"/>
  <c r="F3324" i="5"/>
  <c r="G3323" i="5"/>
  <c r="F3323" i="5"/>
  <c r="G3322" i="5"/>
  <c r="F3322" i="5"/>
  <c r="G3321" i="5"/>
  <c r="F3321" i="5"/>
  <c r="G3320" i="5"/>
  <c r="F3320" i="5"/>
  <c r="G3319" i="5"/>
  <c r="F3319" i="5"/>
  <c r="G3318" i="5"/>
  <c r="F3318" i="5"/>
  <c r="G3317" i="5"/>
  <c r="F3317" i="5"/>
  <c r="G3316" i="5"/>
  <c r="F3316" i="5"/>
  <c r="G3315" i="5"/>
  <c r="F3315" i="5"/>
  <c r="G3314" i="5"/>
  <c r="F3314" i="5"/>
  <c r="G3313" i="5"/>
  <c r="F3313" i="5"/>
  <c r="G3312" i="5"/>
  <c r="F3312" i="5"/>
  <c r="G3311" i="5"/>
  <c r="F3311" i="5"/>
  <c r="G3310" i="5"/>
  <c r="F3310" i="5"/>
  <c r="G3309" i="5"/>
  <c r="F3309" i="5"/>
  <c r="G3308" i="5"/>
  <c r="F3308" i="5"/>
  <c r="G3307" i="5"/>
  <c r="F3307" i="5"/>
  <c r="G3306" i="5"/>
  <c r="F3306" i="5"/>
  <c r="G3305" i="5"/>
  <c r="F3305" i="5"/>
  <c r="G3304" i="5"/>
  <c r="F3304" i="5"/>
  <c r="G3303" i="5"/>
  <c r="F3303" i="5"/>
  <c r="G3302" i="5"/>
  <c r="F3302" i="5"/>
  <c r="G3301" i="5"/>
  <c r="F3301" i="5"/>
  <c r="G3300" i="5"/>
  <c r="F3300" i="5"/>
  <c r="G3299" i="5"/>
  <c r="F3299" i="5"/>
  <c r="G3298" i="5"/>
  <c r="F3298" i="5"/>
  <c r="G3297" i="5"/>
  <c r="F3297" i="5"/>
  <c r="G3296" i="5"/>
  <c r="F3296" i="5"/>
  <c r="G3295" i="5"/>
  <c r="F3295" i="5"/>
  <c r="G3294" i="5"/>
  <c r="F3294" i="5"/>
  <c r="G3293" i="5"/>
  <c r="F3293" i="5"/>
  <c r="G3292" i="5"/>
  <c r="F3292" i="5"/>
  <c r="G3291" i="5"/>
  <c r="F3291" i="5"/>
  <c r="G3290" i="5"/>
  <c r="F3290" i="5"/>
  <c r="G3289" i="5"/>
  <c r="F3289" i="5"/>
  <c r="G3288" i="5"/>
  <c r="F3288" i="5"/>
  <c r="G3287" i="5"/>
  <c r="F3287" i="5"/>
  <c r="G3286" i="5"/>
  <c r="F3286" i="5"/>
  <c r="G3285" i="5"/>
  <c r="F3285" i="5"/>
  <c r="G3284" i="5"/>
  <c r="F3284" i="5"/>
  <c r="G3283" i="5"/>
  <c r="F3283" i="5"/>
  <c r="G3282" i="5"/>
  <c r="F3282" i="5"/>
  <c r="G3281" i="5"/>
  <c r="F3281" i="5"/>
  <c r="G3280" i="5"/>
  <c r="F3280" i="5"/>
  <c r="G3279" i="5"/>
  <c r="F3279" i="5"/>
  <c r="G3278" i="5"/>
  <c r="F3278" i="5"/>
  <c r="G3277" i="5"/>
  <c r="F3277" i="5"/>
  <c r="G3276" i="5"/>
  <c r="F3276" i="5"/>
  <c r="G3275" i="5"/>
  <c r="F3275" i="5"/>
  <c r="G3274" i="5"/>
  <c r="F3274" i="5"/>
  <c r="G3273" i="5"/>
  <c r="F3273" i="5"/>
  <c r="G3272" i="5"/>
  <c r="F3272" i="5"/>
  <c r="G3271" i="5"/>
  <c r="F3271" i="5"/>
  <c r="G3270" i="5"/>
  <c r="F3270" i="5"/>
  <c r="G3269" i="5"/>
  <c r="F3269" i="5"/>
  <c r="G3268" i="5"/>
  <c r="F3268" i="5"/>
  <c r="G3267" i="5"/>
  <c r="F3267" i="5"/>
  <c r="G3266" i="5"/>
  <c r="F3266" i="5"/>
  <c r="G3265" i="5"/>
  <c r="F3265" i="5"/>
  <c r="G3264" i="5"/>
  <c r="F3264" i="5"/>
  <c r="G3263" i="5"/>
  <c r="F3263" i="5"/>
  <c r="G3262" i="5"/>
  <c r="F3262" i="5"/>
  <c r="G3261" i="5"/>
  <c r="F3261" i="5"/>
  <c r="G3260" i="5"/>
  <c r="F3260" i="5"/>
  <c r="G3259" i="5"/>
  <c r="F3259" i="5"/>
  <c r="G3258" i="5"/>
  <c r="F3258" i="5"/>
  <c r="G3257" i="5"/>
  <c r="F3257" i="5"/>
  <c r="G3256" i="5"/>
  <c r="F3256" i="5"/>
  <c r="G3255" i="5"/>
  <c r="F3255" i="5"/>
  <c r="G3254" i="5"/>
  <c r="F3254" i="5"/>
  <c r="G3253" i="5"/>
  <c r="F3253" i="5"/>
  <c r="G3252" i="5"/>
  <c r="F3252" i="5"/>
  <c r="G3251" i="5"/>
  <c r="F3251" i="5"/>
  <c r="G3250" i="5"/>
  <c r="F3250" i="5"/>
  <c r="G3249" i="5"/>
  <c r="F3249" i="5"/>
  <c r="G3248" i="5"/>
  <c r="F3248" i="5"/>
  <c r="G3247" i="5"/>
  <c r="F3247" i="5"/>
  <c r="G3246" i="5"/>
  <c r="F3246" i="5"/>
  <c r="G3245" i="5"/>
  <c r="F3245" i="5"/>
  <c r="G3244" i="5"/>
  <c r="F3244" i="5"/>
  <c r="G3243" i="5"/>
  <c r="F3243" i="5"/>
  <c r="G3242" i="5"/>
  <c r="F3242" i="5"/>
  <c r="G3241" i="5"/>
  <c r="F3241" i="5"/>
  <c r="G3240" i="5"/>
  <c r="F3240" i="5"/>
  <c r="G3239" i="5"/>
  <c r="F3239" i="5"/>
  <c r="G3238" i="5"/>
  <c r="F3238" i="5"/>
  <c r="G3237" i="5"/>
  <c r="F3237" i="5"/>
  <c r="G3236" i="5"/>
  <c r="F3236" i="5"/>
  <c r="G3235" i="5"/>
  <c r="F3235" i="5"/>
  <c r="G3234" i="5"/>
  <c r="F3234" i="5"/>
  <c r="G3233" i="5"/>
  <c r="F3233" i="5"/>
  <c r="G3232" i="5"/>
  <c r="F3232" i="5"/>
  <c r="G3231" i="5"/>
  <c r="F3231" i="5"/>
  <c r="G3230" i="5"/>
  <c r="F3230" i="5"/>
  <c r="G3229" i="5"/>
  <c r="F3229" i="5"/>
  <c r="G3228" i="5"/>
  <c r="F3228" i="5"/>
  <c r="G3227" i="5"/>
  <c r="F3227" i="5"/>
  <c r="G3226" i="5"/>
  <c r="F3226" i="5"/>
  <c r="G3225" i="5"/>
  <c r="F3225" i="5"/>
  <c r="G3224" i="5"/>
  <c r="F3224" i="5"/>
  <c r="G3223" i="5"/>
  <c r="F3223" i="5"/>
  <c r="G3222" i="5"/>
  <c r="F3222" i="5"/>
  <c r="G3221" i="5"/>
  <c r="F3221" i="5"/>
  <c r="G3220" i="5"/>
  <c r="F3220" i="5"/>
  <c r="G3219" i="5"/>
  <c r="F3219" i="5"/>
  <c r="G3218" i="5"/>
  <c r="F3218" i="5"/>
  <c r="G3217" i="5"/>
  <c r="F3217" i="5"/>
  <c r="G3216" i="5"/>
  <c r="F3216" i="5"/>
  <c r="G3215" i="5"/>
  <c r="F3215" i="5"/>
  <c r="G3214" i="5"/>
  <c r="F3214" i="5"/>
  <c r="G3213" i="5"/>
  <c r="F3213" i="5"/>
  <c r="G3212" i="5"/>
  <c r="F3212" i="5"/>
  <c r="G3211" i="5"/>
  <c r="F3211" i="5"/>
  <c r="G3210" i="5"/>
  <c r="F3210" i="5"/>
  <c r="G3209" i="5"/>
  <c r="F3209" i="5"/>
  <c r="G3208" i="5"/>
  <c r="F3208" i="5"/>
  <c r="G3207" i="5"/>
  <c r="F3207" i="5"/>
  <c r="G3206" i="5"/>
  <c r="F3206" i="5"/>
  <c r="G3205" i="5"/>
  <c r="F3205" i="5"/>
  <c r="G3204" i="5"/>
  <c r="F3204" i="5"/>
  <c r="G3203" i="5"/>
  <c r="F3203" i="5"/>
  <c r="G3202" i="5"/>
  <c r="F3202" i="5"/>
  <c r="G3201" i="5"/>
  <c r="F3201" i="5"/>
  <c r="G3200" i="5"/>
  <c r="F3200" i="5"/>
  <c r="G3199" i="5"/>
  <c r="F3199" i="5"/>
  <c r="G3198" i="5"/>
  <c r="F3198" i="5"/>
  <c r="G3197" i="5"/>
  <c r="F3197" i="5"/>
  <c r="G3196" i="5"/>
  <c r="F3196" i="5"/>
  <c r="G3195" i="5"/>
  <c r="F3195" i="5"/>
  <c r="G3194" i="5"/>
  <c r="F3194" i="5"/>
  <c r="G3193" i="5"/>
  <c r="F3193" i="5"/>
  <c r="G3192" i="5"/>
  <c r="F3192" i="5"/>
  <c r="G3191" i="5"/>
  <c r="F3191" i="5"/>
  <c r="G3190" i="5"/>
  <c r="F3190" i="5"/>
  <c r="G3189" i="5"/>
  <c r="F3189" i="5"/>
  <c r="G3188" i="5"/>
  <c r="F3188" i="5"/>
  <c r="G3187" i="5"/>
  <c r="F3187" i="5"/>
  <c r="G3186" i="5"/>
  <c r="F3186" i="5"/>
  <c r="G3185" i="5"/>
  <c r="F3185" i="5"/>
  <c r="G3184" i="5"/>
  <c r="F3184" i="5"/>
  <c r="G3183" i="5"/>
  <c r="F3183" i="5"/>
  <c r="G3182" i="5"/>
  <c r="F3182" i="5"/>
  <c r="G3181" i="5"/>
  <c r="F3181" i="5"/>
  <c r="G3180" i="5"/>
  <c r="F3180" i="5"/>
  <c r="G3179" i="5"/>
  <c r="F3179" i="5"/>
  <c r="G3178" i="5"/>
  <c r="F3178" i="5"/>
  <c r="G3177" i="5"/>
  <c r="F3177" i="5"/>
  <c r="G3176" i="5"/>
  <c r="F3176" i="5"/>
  <c r="G3175" i="5"/>
  <c r="F3175" i="5"/>
  <c r="G3174" i="5"/>
  <c r="F3174" i="5"/>
  <c r="G3173" i="5"/>
  <c r="F3173" i="5"/>
  <c r="G3172" i="5"/>
  <c r="F3172" i="5"/>
  <c r="G3171" i="5"/>
  <c r="F3171" i="5"/>
  <c r="G3170" i="5"/>
  <c r="F3170" i="5"/>
  <c r="G3169" i="5"/>
  <c r="F3169" i="5"/>
  <c r="G3168" i="5"/>
  <c r="F3168" i="5"/>
  <c r="G3167" i="5"/>
  <c r="F3167" i="5"/>
  <c r="G3166" i="5"/>
  <c r="F3166" i="5"/>
  <c r="G3165" i="5"/>
  <c r="F3165" i="5"/>
  <c r="G3164" i="5"/>
  <c r="F3164" i="5"/>
  <c r="G3163" i="5"/>
  <c r="F3163" i="5"/>
  <c r="G3162" i="5"/>
  <c r="F3162" i="5"/>
  <c r="G3161" i="5"/>
  <c r="F3161" i="5"/>
  <c r="G3160" i="5"/>
  <c r="F3160" i="5"/>
  <c r="G3159" i="5"/>
  <c r="F3159" i="5"/>
  <c r="G3158" i="5"/>
  <c r="F3158" i="5"/>
  <c r="G3157" i="5"/>
  <c r="F3157" i="5"/>
  <c r="G3156" i="5"/>
  <c r="F3156" i="5"/>
  <c r="G3155" i="5"/>
  <c r="F3155" i="5"/>
  <c r="G3154" i="5"/>
  <c r="F3154" i="5"/>
  <c r="G3153" i="5"/>
  <c r="F3153" i="5"/>
  <c r="G3152" i="5"/>
  <c r="F3152" i="5"/>
  <c r="G3151" i="5"/>
  <c r="F3151" i="5"/>
  <c r="G3150" i="5"/>
  <c r="F3150" i="5"/>
  <c r="G3149" i="5"/>
  <c r="F3149" i="5"/>
  <c r="G3148" i="5"/>
  <c r="F3148" i="5"/>
  <c r="G3147" i="5"/>
  <c r="F3147" i="5"/>
  <c r="G3146" i="5"/>
  <c r="F3146" i="5"/>
  <c r="G3145" i="5"/>
  <c r="F3145" i="5"/>
  <c r="G3144" i="5"/>
  <c r="F3144" i="5"/>
  <c r="G3143" i="5"/>
  <c r="F3143" i="5"/>
  <c r="G3142" i="5"/>
  <c r="F3142" i="5"/>
  <c r="G3141" i="5"/>
  <c r="F3141" i="5"/>
  <c r="G3140" i="5"/>
  <c r="F3140" i="5"/>
  <c r="G3139" i="5"/>
  <c r="F3139" i="5"/>
  <c r="G3138" i="5"/>
  <c r="F3138" i="5"/>
  <c r="G3137" i="5"/>
  <c r="F3137" i="5"/>
  <c r="G3136" i="5"/>
  <c r="F3136" i="5"/>
  <c r="G3135" i="5"/>
  <c r="F3135" i="5"/>
  <c r="G3134" i="5"/>
  <c r="F3134" i="5"/>
  <c r="G3133" i="5"/>
  <c r="F3133" i="5"/>
  <c r="G3132" i="5"/>
  <c r="F3132" i="5"/>
  <c r="G3131" i="5"/>
  <c r="F3131" i="5"/>
  <c r="G3130" i="5"/>
  <c r="F3130" i="5"/>
  <c r="G3129" i="5"/>
  <c r="F3129" i="5"/>
  <c r="G3128" i="5"/>
  <c r="F3128" i="5"/>
  <c r="G3127" i="5"/>
  <c r="F3127" i="5"/>
  <c r="G3126" i="5"/>
  <c r="F3126" i="5"/>
  <c r="G3125" i="5"/>
  <c r="F3125" i="5"/>
  <c r="G3124" i="5"/>
  <c r="F3124" i="5"/>
  <c r="G3123" i="5"/>
  <c r="F3123" i="5"/>
  <c r="G3122" i="5"/>
  <c r="F3122" i="5"/>
  <c r="G3121" i="5"/>
  <c r="F3121" i="5"/>
  <c r="G3120" i="5"/>
  <c r="F3120" i="5"/>
  <c r="G3119" i="5"/>
  <c r="F3119" i="5"/>
  <c r="G3118" i="5"/>
  <c r="F3118" i="5"/>
  <c r="G3117" i="5"/>
  <c r="F3117" i="5"/>
  <c r="G3116" i="5"/>
  <c r="F3116" i="5"/>
  <c r="G3115" i="5"/>
  <c r="F3115" i="5"/>
  <c r="G3114" i="5"/>
  <c r="F3114" i="5"/>
  <c r="G3113" i="5"/>
  <c r="F3113" i="5"/>
  <c r="G3112" i="5"/>
  <c r="F3112" i="5"/>
  <c r="G3111" i="5"/>
  <c r="F3111" i="5"/>
  <c r="G3110" i="5"/>
  <c r="F3110" i="5"/>
  <c r="G3109" i="5"/>
  <c r="F3109" i="5"/>
  <c r="G3108" i="5"/>
  <c r="F3108" i="5"/>
  <c r="G3107" i="5"/>
  <c r="F3107" i="5"/>
  <c r="G3106" i="5"/>
  <c r="F3106" i="5"/>
  <c r="G3105" i="5"/>
  <c r="F3105" i="5"/>
  <c r="G3104" i="5"/>
  <c r="F3104" i="5"/>
  <c r="G3103" i="5"/>
  <c r="F3103" i="5"/>
  <c r="G3102" i="5"/>
  <c r="F3102" i="5"/>
  <c r="G3101" i="5"/>
  <c r="F3101" i="5"/>
  <c r="G3100" i="5"/>
  <c r="F3100" i="5"/>
  <c r="G3099" i="5"/>
  <c r="F3099" i="5"/>
  <c r="G3098" i="5"/>
  <c r="F3098" i="5"/>
  <c r="G3097" i="5"/>
  <c r="F3097" i="5"/>
  <c r="G3096" i="5"/>
  <c r="F3096" i="5"/>
  <c r="G3095" i="5"/>
  <c r="F3095" i="5"/>
  <c r="G3094" i="5"/>
  <c r="F3094" i="5"/>
  <c r="G3093" i="5"/>
  <c r="F3093" i="5"/>
  <c r="G3092" i="5"/>
  <c r="F3092" i="5"/>
  <c r="G3091" i="5"/>
  <c r="F3091" i="5"/>
  <c r="G3090" i="5"/>
  <c r="F3090" i="5"/>
  <c r="G3089" i="5"/>
  <c r="F3089" i="5"/>
  <c r="G3088" i="5"/>
  <c r="F3088" i="5"/>
  <c r="G3087" i="5"/>
  <c r="F3087" i="5"/>
  <c r="G3086" i="5"/>
  <c r="F3086" i="5"/>
  <c r="G3085" i="5"/>
  <c r="F3085" i="5"/>
  <c r="G3084" i="5"/>
  <c r="F3084" i="5"/>
  <c r="G3083" i="5"/>
  <c r="F3083" i="5"/>
  <c r="G3082" i="5"/>
  <c r="F3082" i="5"/>
  <c r="G3081" i="5"/>
  <c r="F3081" i="5"/>
  <c r="G3080" i="5"/>
  <c r="F3080" i="5"/>
  <c r="G3079" i="5"/>
  <c r="F3079" i="5"/>
  <c r="G3078" i="5"/>
  <c r="F3078" i="5"/>
  <c r="G3077" i="5"/>
  <c r="F3077" i="5"/>
  <c r="G3076" i="5"/>
  <c r="F3076" i="5"/>
  <c r="G3075" i="5"/>
  <c r="F3075" i="5"/>
  <c r="G3074" i="5"/>
  <c r="F3074" i="5"/>
  <c r="G3073" i="5"/>
  <c r="F3073" i="5"/>
  <c r="G3072" i="5"/>
  <c r="F3072" i="5"/>
  <c r="G3071" i="5"/>
  <c r="F3071" i="5"/>
  <c r="G3070" i="5"/>
  <c r="F3070" i="5"/>
  <c r="G3069" i="5"/>
  <c r="F3069" i="5"/>
  <c r="G3068" i="5"/>
  <c r="F3068" i="5"/>
  <c r="G3067" i="5"/>
  <c r="F3067" i="5"/>
  <c r="G3066" i="5"/>
  <c r="F3066" i="5"/>
  <c r="G3065" i="5"/>
  <c r="F3065" i="5"/>
  <c r="G3064" i="5"/>
  <c r="F3064" i="5"/>
  <c r="G3063" i="5"/>
  <c r="F3063" i="5"/>
  <c r="G3062" i="5"/>
  <c r="F3062" i="5"/>
  <c r="G3061" i="5"/>
  <c r="F3061" i="5"/>
  <c r="G3060" i="5"/>
  <c r="F3060" i="5"/>
  <c r="G3059" i="5"/>
  <c r="F3059" i="5"/>
  <c r="G3058" i="5"/>
  <c r="F3058" i="5"/>
  <c r="G3057" i="5"/>
  <c r="F3057" i="5"/>
  <c r="G3056" i="5"/>
  <c r="F3056" i="5"/>
  <c r="G3055" i="5"/>
  <c r="F3055" i="5"/>
  <c r="G3054" i="5"/>
  <c r="F3054" i="5"/>
  <c r="G3053" i="5"/>
  <c r="F3053" i="5"/>
  <c r="G3052" i="5"/>
  <c r="F3052" i="5"/>
  <c r="G3051" i="5"/>
  <c r="F3051" i="5"/>
  <c r="G3050" i="5"/>
  <c r="F3050" i="5"/>
  <c r="G3049" i="5"/>
  <c r="F3049" i="5"/>
  <c r="G3048" i="5"/>
  <c r="F3048" i="5"/>
  <c r="G3047" i="5"/>
  <c r="F3047" i="5"/>
  <c r="G3046" i="5"/>
  <c r="F3046" i="5"/>
  <c r="G3045" i="5"/>
  <c r="F3045" i="5"/>
  <c r="G3044" i="5"/>
  <c r="F3044" i="5"/>
  <c r="G3043" i="5"/>
  <c r="F3043" i="5"/>
  <c r="G3042" i="5"/>
  <c r="F3042" i="5"/>
  <c r="G3041" i="5"/>
  <c r="F3041" i="5"/>
  <c r="G3040" i="5"/>
  <c r="F3040" i="5"/>
  <c r="G3039" i="5"/>
  <c r="F3039" i="5"/>
  <c r="G3038" i="5"/>
  <c r="F3038" i="5"/>
  <c r="G3037" i="5"/>
  <c r="F3037" i="5"/>
  <c r="G3036" i="5"/>
  <c r="F3036" i="5"/>
  <c r="G3035" i="5"/>
  <c r="F3035" i="5"/>
  <c r="G3034" i="5"/>
  <c r="F3034" i="5"/>
  <c r="G3033" i="5"/>
  <c r="F3033" i="5"/>
  <c r="G3032" i="5"/>
  <c r="F3032" i="5"/>
  <c r="G3031" i="5"/>
  <c r="F3031" i="5"/>
  <c r="G3030" i="5"/>
  <c r="F3030" i="5"/>
  <c r="G3029" i="5"/>
  <c r="F3029" i="5"/>
  <c r="G3028" i="5"/>
  <c r="F3028" i="5"/>
  <c r="G3027" i="5"/>
  <c r="F3027" i="5"/>
  <c r="G3026" i="5"/>
  <c r="F3026" i="5"/>
  <c r="G3025" i="5"/>
  <c r="F3025" i="5"/>
  <c r="G3024" i="5"/>
  <c r="F3024" i="5"/>
  <c r="G3023" i="5"/>
  <c r="F3023" i="5"/>
  <c r="G3022" i="5"/>
  <c r="F3022" i="5"/>
  <c r="G3021" i="5"/>
  <c r="F3021" i="5"/>
  <c r="G3020" i="5"/>
  <c r="F3020" i="5"/>
  <c r="G3019" i="5"/>
  <c r="F3019" i="5"/>
  <c r="G3018" i="5"/>
  <c r="F3018" i="5"/>
  <c r="G3017" i="5"/>
  <c r="F3017" i="5"/>
  <c r="G3016" i="5"/>
  <c r="F3016" i="5"/>
  <c r="G3015" i="5"/>
  <c r="F3015" i="5"/>
  <c r="G3014" i="5"/>
  <c r="F3014" i="5"/>
  <c r="G3013" i="5"/>
  <c r="F3013" i="5"/>
  <c r="G3012" i="5"/>
  <c r="F3012" i="5"/>
  <c r="G3011" i="5"/>
  <c r="F3011" i="5"/>
  <c r="G3010" i="5"/>
  <c r="F3010" i="5"/>
  <c r="G3009" i="5"/>
  <c r="F3009" i="5"/>
  <c r="G3008" i="5"/>
  <c r="F3008" i="5"/>
  <c r="G3007" i="5"/>
  <c r="F3007" i="5"/>
  <c r="G3006" i="5"/>
  <c r="F3006" i="5"/>
  <c r="G3005" i="5"/>
  <c r="F3005" i="5"/>
  <c r="G3004" i="5"/>
  <c r="F3004" i="5"/>
  <c r="G3003" i="5"/>
  <c r="F3003" i="5"/>
  <c r="G3002" i="5"/>
  <c r="F3002" i="5"/>
  <c r="G3001" i="5"/>
  <c r="F3001" i="5"/>
  <c r="G3000" i="5"/>
  <c r="F3000" i="5"/>
  <c r="G2999" i="5"/>
  <c r="F2999" i="5"/>
  <c r="G2998" i="5"/>
  <c r="F2998" i="5"/>
  <c r="G2997" i="5"/>
  <c r="F2997" i="5"/>
  <c r="G2996" i="5"/>
  <c r="F2996" i="5"/>
  <c r="G2995" i="5"/>
  <c r="F2995" i="5"/>
  <c r="G2994" i="5"/>
  <c r="F2994" i="5"/>
  <c r="G2993" i="5"/>
  <c r="F2993" i="5"/>
  <c r="G2992" i="5"/>
  <c r="F2992" i="5"/>
  <c r="G2991" i="5"/>
  <c r="F2991" i="5"/>
  <c r="G2990" i="5"/>
  <c r="F2990" i="5"/>
  <c r="G2989" i="5"/>
  <c r="F2989" i="5"/>
  <c r="G2988" i="5"/>
  <c r="F2988" i="5"/>
  <c r="G2987" i="5"/>
  <c r="F2987" i="5"/>
  <c r="G2986" i="5"/>
  <c r="F2986" i="5"/>
  <c r="G2985" i="5"/>
  <c r="F2985" i="5"/>
  <c r="G2984" i="5"/>
  <c r="F2984" i="5"/>
  <c r="G2983" i="5"/>
  <c r="F2983" i="5"/>
  <c r="G2982" i="5"/>
  <c r="F2982" i="5"/>
  <c r="G2981" i="5"/>
  <c r="F2981" i="5"/>
  <c r="G2980" i="5"/>
  <c r="F2980" i="5"/>
  <c r="G2979" i="5"/>
  <c r="F2979" i="5"/>
  <c r="G2978" i="5"/>
  <c r="F2978" i="5"/>
  <c r="G2977" i="5"/>
  <c r="F2977" i="5"/>
  <c r="G2976" i="5"/>
  <c r="F2976" i="5"/>
  <c r="G2975" i="5"/>
  <c r="F2975" i="5"/>
  <c r="G2974" i="5"/>
  <c r="F2974" i="5"/>
  <c r="G2973" i="5"/>
  <c r="F2973" i="5"/>
  <c r="G2972" i="5"/>
  <c r="F2972" i="5"/>
  <c r="G2971" i="5"/>
  <c r="F2971" i="5"/>
  <c r="G2970" i="5"/>
  <c r="F2970" i="5"/>
  <c r="G2969" i="5"/>
  <c r="F2969" i="5"/>
  <c r="G2968" i="5"/>
  <c r="F2968" i="5"/>
  <c r="G2967" i="5"/>
  <c r="F2967" i="5"/>
  <c r="G2966" i="5"/>
  <c r="F2966" i="5"/>
  <c r="G2965" i="5"/>
  <c r="F2965" i="5"/>
  <c r="G2964" i="5"/>
  <c r="F2964" i="5"/>
  <c r="G2963" i="5"/>
  <c r="F2963" i="5"/>
  <c r="G2962" i="5"/>
  <c r="F2962" i="5"/>
  <c r="G2961" i="5"/>
  <c r="F2961" i="5"/>
  <c r="G2960" i="5"/>
  <c r="F2960" i="5"/>
  <c r="G2959" i="5"/>
  <c r="F2959" i="5"/>
  <c r="G2958" i="5"/>
  <c r="F2958" i="5"/>
  <c r="G2957" i="5"/>
  <c r="F2957" i="5"/>
  <c r="G2956" i="5"/>
  <c r="F2956" i="5"/>
  <c r="G2955" i="5"/>
  <c r="F2955" i="5"/>
  <c r="G2954" i="5"/>
  <c r="F2954" i="5"/>
  <c r="G2953" i="5"/>
  <c r="F2953" i="5"/>
  <c r="G2952" i="5"/>
  <c r="F2952" i="5"/>
  <c r="G2951" i="5"/>
  <c r="F2951" i="5"/>
  <c r="G2950" i="5"/>
  <c r="F2950" i="5"/>
  <c r="G2949" i="5"/>
  <c r="F2949" i="5"/>
  <c r="G2948" i="5"/>
  <c r="F2948" i="5"/>
  <c r="G2947" i="5"/>
  <c r="F2947" i="5"/>
  <c r="G2946" i="5"/>
  <c r="F2946" i="5"/>
  <c r="G2945" i="5"/>
  <c r="F2945" i="5"/>
  <c r="G2944" i="5"/>
  <c r="F2944" i="5"/>
  <c r="G2943" i="5"/>
  <c r="F2943" i="5"/>
  <c r="G2942" i="5"/>
  <c r="F2942" i="5"/>
  <c r="G2941" i="5"/>
  <c r="F2941" i="5"/>
  <c r="G2940" i="5"/>
  <c r="F2940" i="5"/>
  <c r="G2939" i="5"/>
  <c r="F2939" i="5"/>
  <c r="G2938" i="5"/>
  <c r="F2938" i="5"/>
  <c r="G2937" i="5"/>
  <c r="F2937" i="5"/>
  <c r="G2936" i="5"/>
  <c r="F2936" i="5"/>
  <c r="G2935" i="5"/>
  <c r="F2935" i="5"/>
  <c r="G2934" i="5"/>
  <c r="F2934" i="5"/>
  <c r="G2933" i="5"/>
  <c r="F2933" i="5"/>
  <c r="G2932" i="5"/>
  <c r="F2932" i="5"/>
  <c r="G2931" i="5"/>
  <c r="F2931" i="5"/>
  <c r="G2930" i="5"/>
  <c r="F2930" i="5"/>
  <c r="G2929" i="5"/>
  <c r="F2929" i="5"/>
  <c r="G2928" i="5"/>
  <c r="F2928" i="5"/>
  <c r="G2927" i="5"/>
  <c r="F2927" i="5"/>
  <c r="G2926" i="5"/>
  <c r="F2926" i="5"/>
  <c r="G2925" i="5"/>
  <c r="F2925" i="5"/>
  <c r="G2924" i="5"/>
  <c r="F2924" i="5"/>
  <c r="G2923" i="5"/>
  <c r="F2923" i="5"/>
  <c r="G2922" i="5"/>
  <c r="F2922" i="5"/>
  <c r="G2921" i="5"/>
  <c r="F2921" i="5"/>
  <c r="G2920" i="5"/>
  <c r="F2920" i="5"/>
  <c r="G2919" i="5"/>
  <c r="F2919" i="5"/>
  <c r="G2918" i="5"/>
  <c r="F2918" i="5"/>
  <c r="G2917" i="5"/>
  <c r="F2917" i="5"/>
  <c r="G2916" i="5"/>
  <c r="F2916" i="5"/>
  <c r="G2915" i="5"/>
  <c r="F2915" i="5"/>
  <c r="G2914" i="5"/>
  <c r="F2914" i="5"/>
  <c r="G2913" i="5"/>
  <c r="F2913" i="5"/>
  <c r="G2912" i="5"/>
  <c r="F2912" i="5"/>
  <c r="G2911" i="5"/>
  <c r="F2911" i="5"/>
  <c r="G2910" i="5"/>
  <c r="F2910" i="5"/>
  <c r="G2909" i="5"/>
  <c r="F2909" i="5"/>
  <c r="G2908" i="5"/>
  <c r="F2908" i="5"/>
  <c r="G2907" i="5"/>
  <c r="F2907" i="5"/>
  <c r="G2906" i="5"/>
  <c r="F2906" i="5"/>
  <c r="G2905" i="5"/>
  <c r="F2905" i="5"/>
  <c r="G2904" i="5"/>
  <c r="F2904" i="5"/>
  <c r="G2903" i="5"/>
  <c r="F2903" i="5"/>
  <c r="G2902" i="5"/>
  <c r="F2902" i="5"/>
  <c r="G2901" i="5"/>
  <c r="F2901" i="5"/>
  <c r="G2900" i="5"/>
  <c r="F2900" i="5"/>
  <c r="G2899" i="5"/>
  <c r="F2899" i="5"/>
  <c r="G2898" i="5"/>
  <c r="F2898" i="5"/>
  <c r="G2897" i="5"/>
  <c r="F2897" i="5"/>
  <c r="G2896" i="5"/>
  <c r="F2896" i="5"/>
  <c r="G2895" i="5"/>
  <c r="F2895" i="5"/>
  <c r="G2894" i="5"/>
  <c r="F2894" i="5"/>
  <c r="G2893" i="5"/>
  <c r="F2893" i="5"/>
  <c r="G2892" i="5"/>
  <c r="F2892" i="5"/>
  <c r="G2891" i="5"/>
  <c r="F2891" i="5"/>
  <c r="G2890" i="5"/>
  <c r="F2890" i="5"/>
  <c r="G2889" i="5"/>
  <c r="F2889" i="5"/>
  <c r="G2888" i="5"/>
  <c r="F2888" i="5"/>
  <c r="G2887" i="5"/>
  <c r="F2887" i="5"/>
  <c r="G2886" i="5"/>
  <c r="F2886" i="5"/>
  <c r="G2885" i="5"/>
  <c r="F2885" i="5"/>
  <c r="G2884" i="5"/>
  <c r="F2884" i="5"/>
  <c r="G2883" i="5"/>
  <c r="F2883" i="5"/>
  <c r="G2882" i="5"/>
  <c r="F2882" i="5"/>
  <c r="G2881" i="5"/>
  <c r="F2881" i="5"/>
  <c r="G2880" i="5"/>
  <c r="F2880" i="5"/>
  <c r="G2879" i="5"/>
  <c r="F2879" i="5"/>
  <c r="G2878" i="5"/>
  <c r="F2878" i="5"/>
  <c r="G2877" i="5"/>
  <c r="F2877" i="5"/>
  <c r="G2876" i="5"/>
  <c r="F2876" i="5"/>
  <c r="G2875" i="5"/>
  <c r="F2875" i="5"/>
  <c r="G2874" i="5"/>
  <c r="F2874" i="5"/>
  <c r="G2873" i="5"/>
  <c r="F2873" i="5"/>
  <c r="G2872" i="5"/>
  <c r="F2872" i="5"/>
  <c r="G2871" i="5"/>
  <c r="F2871" i="5"/>
  <c r="G2870" i="5"/>
  <c r="F2870" i="5"/>
  <c r="G2869" i="5"/>
  <c r="F2869" i="5"/>
  <c r="G2868" i="5"/>
  <c r="F2868" i="5"/>
  <c r="G2867" i="5"/>
  <c r="F2867" i="5"/>
  <c r="G2866" i="5"/>
  <c r="F2866" i="5"/>
  <c r="G2865" i="5"/>
  <c r="F2865" i="5"/>
  <c r="G2864" i="5"/>
  <c r="F2864" i="5"/>
  <c r="G2863" i="5"/>
  <c r="F2863" i="5"/>
  <c r="G2862" i="5"/>
  <c r="F2862" i="5"/>
  <c r="G2861" i="5"/>
  <c r="F2861" i="5"/>
  <c r="G2860" i="5"/>
  <c r="F2860" i="5"/>
  <c r="G2859" i="5"/>
  <c r="F2859" i="5"/>
  <c r="G2858" i="5"/>
  <c r="F2858" i="5"/>
  <c r="G2857" i="5"/>
  <c r="F2857" i="5"/>
  <c r="G2856" i="5"/>
  <c r="F2856" i="5"/>
  <c r="G2855" i="5"/>
  <c r="F2855" i="5"/>
  <c r="G2854" i="5"/>
  <c r="F2854" i="5"/>
  <c r="G2853" i="5"/>
  <c r="F2853" i="5"/>
  <c r="G2852" i="5"/>
  <c r="F2852" i="5"/>
  <c r="G2851" i="5"/>
  <c r="F2851" i="5"/>
  <c r="G2850" i="5"/>
  <c r="F2850" i="5"/>
  <c r="G2849" i="5"/>
  <c r="F2849" i="5"/>
  <c r="G2848" i="5"/>
  <c r="F2848" i="5"/>
  <c r="G2847" i="5"/>
  <c r="F2847" i="5"/>
  <c r="G2846" i="5"/>
  <c r="F2846" i="5"/>
  <c r="G2845" i="5"/>
  <c r="F2845" i="5"/>
  <c r="G2844" i="5"/>
  <c r="F2844" i="5"/>
  <c r="G2843" i="5"/>
  <c r="F2843" i="5"/>
  <c r="G2842" i="5"/>
  <c r="F2842" i="5"/>
  <c r="G2841" i="5"/>
  <c r="F2841" i="5"/>
  <c r="G2840" i="5"/>
  <c r="F2840" i="5"/>
  <c r="G2839" i="5"/>
  <c r="F2839" i="5"/>
  <c r="G2838" i="5"/>
  <c r="F2838" i="5"/>
  <c r="G2837" i="5"/>
  <c r="F2837" i="5"/>
  <c r="G2836" i="5"/>
  <c r="F2836" i="5"/>
  <c r="G2835" i="5"/>
  <c r="F2835" i="5"/>
  <c r="G2834" i="5"/>
  <c r="F2834" i="5"/>
  <c r="G2833" i="5"/>
  <c r="F2833" i="5"/>
  <c r="G2832" i="5"/>
  <c r="F2832" i="5"/>
  <c r="G2831" i="5"/>
  <c r="F2831" i="5"/>
  <c r="G2830" i="5"/>
  <c r="F2830" i="5"/>
  <c r="G2829" i="5"/>
  <c r="F2829" i="5"/>
  <c r="G2828" i="5"/>
  <c r="F2828" i="5"/>
  <c r="G2827" i="5"/>
  <c r="F2827" i="5"/>
  <c r="G2826" i="5"/>
  <c r="F2826" i="5"/>
  <c r="G2825" i="5"/>
  <c r="F2825" i="5"/>
  <c r="G2824" i="5"/>
  <c r="F2824" i="5"/>
  <c r="G2823" i="5"/>
  <c r="F2823" i="5"/>
  <c r="G2822" i="5"/>
  <c r="F2822" i="5"/>
  <c r="G2821" i="5"/>
  <c r="F2821" i="5"/>
  <c r="G2820" i="5"/>
  <c r="F2820" i="5"/>
  <c r="G2819" i="5"/>
  <c r="F2819" i="5"/>
  <c r="G2818" i="5"/>
  <c r="F2818" i="5"/>
  <c r="G2817" i="5"/>
  <c r="F2817" i="5"/>
  <c r="G2816" i="5"/>
  <c r="F2816" i="5"/>
  <c r="G2815" i="5"/>
  <c r="F2815" i="5"/>
  <c r="G2814" i="5"/>
  <c r="F2814" i="5"/>
  <c r="G2813" i="5"/>
  <c r="F2813" i="5"/>
  <c r="G2812" i="5"/>
  <c r="F2812" i="5"/>
  <c r="G2811" i="5"/>
  <c r="F2811" i="5"/>
  <c r="G2810" i="5"/>
  <c r="F2810" i="5"/>
  <c r="G2809" i="5"/>
  <c r="F2809" i="5"/>
  <c r="G2808" i="5"/>
  <c r="F2808" i="5"/>
  <c r="G2807" i="5"/>
  <c r="F2807" i="5"/>
  <c r="G2806" i="5"/>
  <c r="F2806" i="5"/>
  <c r="G2805" i="5"/>
  <c r="F2805" i="5"/>
  <c r="G2804" i="5"/>
  <c r="F2804" i="5"/>
  <c r="G2803" i="5"/>
  <c r="F2803" i="5"/>
  <c r="G2802" i="5"/>
  <c r="F2802" i="5"/>
  <c r="G2801" i="5"/>
  <c r="F2801" i="5"/>
  <c r="G2800" i="5"/>
  <c r="F2800" i="5"/>
  <c r="G2799" i="5"/>
  <c r="F2799" i="5"/>
  <c r="G2798" i="5"/>
  <c r="F2798" i="5"/>
  <c r="G2797" i="5"/>
  <c r="F2797" i="5"/>
  <c r="G2796" i="5"/>
  <c r="F2796" i="5"/>
  <c r="G2795" i="5"/>
  <c r="F2795" i="5"/>
  <c r="G2794" i="5"/>
  <c r="F2794" i="5"/>
  <c r="G2793" i="5"/>
  <c r="F2793" i="5"/>
  <c r="G2792" i="5"/>
  <c r="F2792" i="5"/>
  <c r="G2791" i="5"/>
  <c r="F2791" i="5"/>
  <c r="G2790" i="5"/>
  <c r="F2790" i="5"/>
  <c r="G2789" i="5"/>
  <c r="F2789" i="5"/>
  <c r="G2788" i="5"/>
  <c r="F2788" i="5"/>
  <c r="G2787" i="5"/>
  <c r="F2787" i="5"/>
  <c r="G2786" i="5"/>
  <c r="F2786" i="5"/>
  <c r="G2785" i="5"/>
  <c r="F2785" i="5"/>
  <c r="G2784" i="5"/>
  <c r="F2784" i="5"/>
  <c r="G2783" i="5"/>
  <c r="F2783" i="5"/>
  <c r="G2782" i="5"/>
  <c r="F2782" i="5"/>
  <c r="G2781" i="5"/>
  <c r="F2781" i="5"/>
  <c r="G2780" i="5"/>
  <c r="F2780" i="5"/>
  <c r="G2779" i="5"/>
  <c r="F2779" i="5"/>
  <c r="G2778" i="5"/>
  <c r="F2778" i="5"/>
  <c r="G2777" i="5"/>
  <c r="F2777" i="5"/>
  <c r="G2776" i="5"/>
  <c r="F2776" i="5"/>
  <c r="G2775" i="5"/>
  <c r="F2775" i="5"/>
  <c r="G2774" i="5"/>
  <c r="F2774" i="5"/>
  <c r="G2773" i="5"/>
  <c r="F2773" i="5"/>
  <c r="G2772" i="5"/>
  <c r="F2772" i="5"/>
  <c r="G2771" i="5"/>
  <c r="F2771" i="5"/>
  <c r="G2770" i="5"/>
  <c r="F2770" i="5"/>
  <c r="G2769" i="5"/>
  <c r="F2769" i="5"/>
  <c r="G2768" i="5"/>
  <c r="F2768" i="5"/>
  <c r="G2767" i="5"/>
  <c r="F2767" i="5"/>
  <c r="G2766" i="5"/>
  <c r="F2766" i="5"/>
  <c r="G2765" i="5"/>
  <c r="F2765" i="5"/>
  <c r="G2764" i="5"/>
  <c r="F2764" i="5"/>
  <c r="G2763" i="5"/>
  <c r="F2763" i="5"/>
  <c r="G2762" i="5"/>
  <c r="F2762" i="5"/>
  <c r="G2761" i="5"/>
  <c r="F2761" i="5"/>
  <c r="G2760" i="5"/>
  <c r="F2760" i="5"/>
  <c r="G2759" i="5"/>
  <c r="F2759" i="5"/>
  <c r="G2758" i="5"/>
  <c r="F2758" i="5"/>
  <c r="G2757" i="5"/>
  <c r="F2757" i="5"/>
  <c r="G2756" i="5"/>
  <c r="F2756" i="5"/>
  <c r="G2755" i="5"/>
  <c r="F2755" i="5"/>
  <c r="G2754" i="5"/>
  <c r="F2754" i="5"/>
  <c r="G2753" i="5"/>
  <c r="F2753" i="5"/>
  <c r="G2752" i="5"/>
  <c r="F2752" i="5"/>
  <c r="G2751" i="5"/>
  <c r="F2751" i="5"/>
  <c r="G2750" i="5"/>
  <c r="F2750" i="5"/>
  <c r="G2749" i="5"/>
  <c r="F2749" i="5"/>
  <c r="G2748" i="5"/>
  <c r="F2748" i="5"/>
  <c r="G2747" i="5"/>
  <c r="F2747" i="5"/>
  <c r="G2746" i="5"/>
  <c r="F2746" i="5"/>
  <c r="G2745" i="5"/>
  <c r="F2745" i="5"/>
  <c r="G2744" i="5"/>
  <c r="F2744" i="5"/>
  <c r="G2743" i="5"/>
  <c r="F2743" i="5"/>
  <c r="G2742" i="5"/>
  <c r="F2742" i="5"/>
  <c r="G2741" i="5"/>
  <c r="F2741" i="5"/>
  <c r="G2740" i="5"/>
  <c r="F2740" i="5"/>
  <c r="G2739" i="5"/>
  <c r="F2739" i="5"/>
  <c r="G2738" i="5"/>
  <c r="F2738" i="5"/>
  <c r="G2737" i="5"/>
  <c r="F2737" i="5"/>
  <c r="G2736" i="5"/>
  <c r="F2736" i="5"/>
  <c r="G2735" i="5"/>
  <c r="F2735" i="5"/>
  <c r="G2734" i="5"/>
  <c r="F2734" i="5"/>
  <c r="G2733" i="5"/>
  <c r="F2733" i="5"/>
  <c r="G2732" i="5"/>
  <c r="F2732" i="5"/>
  <c r="G2731" i="5"/>
  <c r="F2731" i="5"/>
  <c r="G2730" i="5"/>
  <c r="F2730" i="5"/>
  <c r="G2729" i="5"/>
  <c r="F2729" i="5"/>
  <c r="G2728" i="5"/>
  <c r="F2728" i="5"/>
  <c r="G2727" i="5"/>
  <c r="F2727" i="5"/>
  <c r="G2726" i="5"/>
  <c r="F2726" i="5"/>
  <c r="G2725" i="5"/>
  <c r="F2725" i="5"/>
  <c r="G2724" i="5"/>
  <c r="F2724" i="5"/>
  <c r="G2723" i="5"/>
  <c r="F2723" i="5"/>
  <c r="G2722" i="5"/>
  <c r="F2722" i="5"/>
  <c r="G2721" i="5"/>
  <c r="F2721" i="5"/>
  <c r="G2720" i="5"/>
  <c r="F2720" i="5"/>
  <c r="G2719" i="5"/>
  <c r="F2719" i="5"/>
  <c r="G2718" i="5"/>
  <c r="F2718" i="5"/>
  <c r="G2717" i="5"/>
  <c r="F2717" i="5"/>
  <c r="G2716" i="5"/>
  <c r="F2716" i="5"/>
  <c r="G2715" i="5"/>
  <c r="F2715" i="5"/>
  <c r="G2714" i="5"/>
  <c r="F2714" i="5"/>
  <c r="G2713" i="5"/>
  <c r="F2713" i="5"/>
  <c r="G2712" i="5"/>
  <c r="F2712" i="5"/>
  <c r="G2711" i="5"/>
  <c r="F2711" i="5"/>
  <c r="G2710" i="5"/>
  <c r="F2710" i="5"/>
  <c r="G2709" i="5"/>
  <c r="F2709" i="5"/>
  <c r="G2708" i="5"/>
  <c r="F2708" i="5"/>
  <c r="G2707" i="5"/>
  <c r="F2707" i="5"/>
  <c r="G2706" i="5"/>
  <c r="F2706" i="5"/>
  <c r="G2705" i="5"/>
  <c r="F2705" i="5"/>
  <c r="G2704" i="5"/>
  <c r="F2704" i="5"/>
  <c r="G2703" i="5"/>
  <c r="F2703" i="5"/>
  <c r="G2702" i="5"/>
  <c r="F2702" i="5"/>
  <c r="G2701" i="5"/>
  <c r="F2701" i="5"/>
  <c r="G2700" i="5"/>
  <c r="F2700" i="5"/>
  <c r="G2699" i="5"/>
  <c r="F2699" i="5"/>
  <c r="G2698" i="5"/>
  <c r="F2698" i="5"/>
  <c r="G2697" i="5"/>
  <c r="F2697" i="5"/>
  <c r="G2696" i="5"/>
  <c r="F2696" i="5"/>
  <c r="G2695" i="5"/>
  <c r="F2695" i="5"/>
  <c r="G2694" i="5"/>
  <c r="F2694" i="5"/>
  <c r="G2693" i="5"/>
  <c r="F2693" i="5"/>
  <c r="G2692" i="5"/>
  <c r="F2692" i="5"/>
  <c r="G2691" i="5"/>
  <c r="F2691" i="5"/>
  <c r="G2690" i="5"/>
  <c r="F2690" i="5"/>
  <c r="G2689" i="5"/>
  <c r="F2689" i="5"/>
  <c r="G2688" i="5"/>
  <c r="F2688" i="5"/>
  <c r="G2687" i="5"/>
  <c r="F2687" i="5"/>
  <c r="G2686" i="5"/>
  <c r="F2686" i="5"/>
  <c r="G2685" i="5"/>
  <c r="F2685" i="5"/>
  <c r="G2684" i="5"/>
  <c r="F2684" i="5"/>
  <c r="G2683" i="5"/>
  <c r="F2683" i="5"/>
  <c r="G2682" i="5"/>
  <c r="F2682" i="5"/>
  <c r="G2681" i="5"/>
  <c r="F2681" i="5"/>
  <c r="G2680" i="5"/>
  <c r="F2680" i="5"/>
  <c r="G2679" i="5"/>
  <c r="F2679" i="5"/>
  <c r="G2678" i="5"/>
  <c r="F2678" i="5"/>
  <c r="G2677" i="5"/>
  <c r="F2677" i="5"/>
  <c r="G2676" i="5"/>
  <c r="F2676" i="5"/>
  <c r="G2675" i="5"/>
  <c r="F2675" i="5"/>
  <c r="G2674" i="5"/>
  <c r="F2674" i="5"/>
  <c r="G2673" i="5"/>
  <c r="F2673" i="5"/>
  <c r="G2672" i="5"/>
  <c r="F2672" i="5"/>
  <c r="G2671" i="5"/>
  <c r="F2671" i="5"/>
  <c r="G2670" i="5"/>
  <c r="F2670" i="5"/>
  <c r="G2669" i="5"/>
  <c r="F2669" i="5"/>
  <c r="G2668" i="5"/>
  <c r="F2668" i="5"/>
  <c r="G2667" i="5"/>
  <c r="F2667" i="5"/>
  <c r="G2666" i="5"/>
  <c r="F2666" i="5"/>
  <c r="G2665" i="5"/>
  <c r="F2665" i="5"/>
  <c r="G2664" i="5"/>
  <c r="F2664" i="5"/>
  <c r="G2663" i="5"/>
  <c r="F2663" i="5"/>
  <c r="G2662" i="5"/>
  <c r="F2662" i="5"/>
  <c r="G2661" i="5"/>
  <c r="F2661" i="5"/>
  <c r="G2660" i="5"/>
  <c r="F2660" i="5"/>
  <c r="G2659" i="5"/>
  <c r="F2659" i="5"/>
  <c r="G2658" i="5"/>
  <c r="F2658" i="5"/>
  <c r="G2657" i="5"/>
  <c r="F2657" i="5"/>
  <c r="G2656" i="5"/>
  <c r="F2656" i="5"/>
  <c r="G2655" i="5"/>
  <c r="F2655" i="5"/>
  <c r="G2654" i="5"/>
  <c r="F2654" i="5"/>
  <c r="G2653" i="5"/>
  <c r="F2653" i="5"/>
  <c r="G2652" i="5"/>
  <c r="F2652" i="5"/>
  <c r="G2651" i="5"/>
  <c r="F2651" i="5"/>
  <c r="G2650" i="5"/>
  <c r="F2650" i="5"/>
  <c r="G2649" i="5"/>
  <c r="F2649" i="5"/>
  <c r="G2648" i="5"/>
  <c r="F2648" i="5"/>
  <c r="G2647" i="5"/>
  <c r="F2647" i="5"/>
  <c r="G2646" i="5"/>
  <c r="F2646" i="5"/>
  <c r="G2645" i="5"/>
  <c r="F2645" i="5"/>
  <c r="G2644" i="5"/>
  <c r="F2644" i="5"/>
  <c r="G2643" i="5"/>
  <c r="F2643" i="5"/>
  <c r="G2642" i="5"/>
  <c r="F2642" i="5"/>
  <c r="G2641" i="5"/>
  <c r="F2641" i="5"/>
  <c r="G2640" i="5"/>
  <c r="F2640" i="5"/>
  <c r="G2639" i="5"/>
  <c r="F2639" i="5"/>
  <c r="G2638" i="5"/>
  <c r="F2638" i="5"/>
  <c r="G2637" i="5"/>
  <c r="F2637" i="5"/>
  <c r="G2636" i="5"/>
  <c r="F2636" i="5"/>
  <c r="G2635" i="5"/>
  <c r="F2635" i="5"/>
  <c r="G2634" i="5"/>
  <c r="F2634" i="5"/>
  <c r="G2633" i="5"/>
  <c r="F2633" i="5"/>
  <c r="G2632" i="5"/>
  <c r="F2632" i="5"/>
  <c r="G2631" i="5"/>
  <c r="F2631" i="5"/>
  <c r="G2630" i="5"/>
  <c r="F2630" i="5"/>
  <c r="G2629" i="5"/>
  <c r="F2629" i="5"/>
  <c r="G2628" i="5"/>
  <c r="F2628" i="5"/>
  <c r="G2627" i="5"/>
  <c r="F2627" i="5"/>
  <c r="G2626" i="5"/>
  <c r="F2626" i="5"/>
  <c r="G2625" i="5"/>
  <c r="F2625" i="5"/>
  <c r="G2624" i="5"/>
  <c r="F2624" i="5"/>
  <c r="G2623" i="5"/>
  <c r="F2623" i="5"/>
  <c r="G2622" i="5"/>
  <c r="F2622" i="5"/>
  <c r="G2621" i="5"/>
  <c r="F2621" i="5"/>
  <c r="G2620" i="5"/>
  <c r="F2620" i="5"/>
  <c r="G2619" i="5"/>
  <c r="F2619" i="5"/>
  <c r="G2618" i="5"/>
  <c r="F2618" i="5"/>
  <c r="G2617" i="5"/>
  <c r="F2617" i="5"/>
  <c r="G2616" i="5"/>
  <c r="F2616" i="5"/>
  <c r="G2615" i="5"/>
  <c r="F2615" i="5"/>
  <c r="G2614" i="5"/>
  <c r="F2614" i="5"/>
  <c r="G2613" i="5"/>
  <c r="F2613" i="5"/>
  <c r="G2612" i="5"/>
  <c r="F2612" i="5"/>
  <c r="G2611" i="5"/>
  <c r="F2611" i="5"/>
  <c r="G2610" i="5"/>
  <c r="F2610" i="5"/>
  <c r="G2609" i="5"/>
  <c r="F2609" i="5"/>
  <c r="G2608" i="5"/>
  <c r="F2608" i="5"/>
  <c r="G2607" i="5"/>
  <c r="F2607" i="5"/>
  <c r="G2606" i="5"/>
  <c r="F2606" i="5"/>
  <c r="G2605" i="5"/>
  <c r="F2605" i="5"/>
  <c r="G2604" i="5"/>
  <c r="F2604" i="5"/>
  <c r="G2603" i="5"/>
  <c r="F2603" i="5"/>
  <c r="G2602" i="5"/>
  <c r="F2602" i="5"/>
  <c r="G2601" i="5"/>
  <c r="F2601" i="5"/>
  <c r="G2600" i="5"/>
  <c r="F2600" i="5"/>
  <c r="G2599" i="5"/>
  <c r="F2599" i="5"/>
  <c r="G2598" i="5"/>
  <c r="F2598" i="5"/>
  <c r="G2597" i="5"/>
  <c r="F2597" i="5"/>
  <c r="G2596" i="5"/>
  <c r="F2596" i="5"/>
  <c r="G2595" i="5"/>
  <c r="F2595" i="5"/>
  <c r="G2594" i="5"/>
  <c r="F2594" i="5"/>
  <c r="G2593" i="5"/>
  <c r="F2593" i="5"/>
  <c r="G2592" i="5"/>
  <c r="F2592" i="5"/>
  <c r="G2591" i="5"/>
  <c r="F2591" i="5"/>
  <c r="G2590" i="5"/>
  <c r="F2590" i="5"/>
  <c r="G2589" i="5"/>
  <c r="F2589" i="5"/>
  <c r="G2588" i="5"/>
  <c r="F2588" i="5"/>
  <c r="G2587" i="5"/>
  <c r="F2587" i="5"/>
  <c r="G2586" i="5"/>
  <c r="F2586" i="5"/>
  <c r="G2585" i="5"/>
  <c r="F2585" i="5"/>
  <c r="G2584" i="5"/>
  <c r="F2584" i="5"/>
  <c r="G2583" i="5"/>
  <c r="F2583" i="5"/>
  <c r="G2582" i="5"/>
  <c r="F2582" i="5"/>
  <c r="G2581" i="5"/>
  <c r="F2581" i="5"/>
  <c r="G2580" i="5"/>
  <c r="F2580" i="5"/>
  <c r="G2579" i="5"/>
  <c r="F2579" i="5"/>
  <c r="G2578" i="5"/>
  <c r="F2578" i="5"/>
  <c r="G2577" i="5"/>
  <c r="F2577" i="5"/>
  <c r="G2576" i="5"/>
  <c r="F2576" i="5"/>
  <c r="G2575" i="5"/>
  <c r="F2575" i="5"/>
  <c r="G2574" i="5"/>
  <c r="F2574" i="5"/>
  <c r="G2573" i="5"/>
  <c r="F2573" i="5"/>
  <c r="G2572" i="5"/>
  <c r="F2572" i="5"/>
  <c r="G2571" i="5"/>
  <c r="F2571" i="5"/>
  <c r="G2570" i="5"/>
  <c r="F2570" i="5"/>
  <c r="G2569" i="5"/>
  <c r="F2569" i="5"/>
  <c r="G2568" i="5"/>
  <c r="F2568" i="5"/>
  <c r="G2567" i="5"/>
  <c r="F2567" i="5"/>
  <c r="G2566" i="5"/>
  <c r="F2566" i="5"/>
  <c r="G2565" i="5"/>
  <c r="F2565" i="5"/>
  <c r="G2564" i="5"/>
  <c r="F2564" i="5"/>
  <c r="G2563" i="5"/>
  <c r="F2563" i="5"/>
  <c r="G2562" i="5"/>
  <c r="F2562" i="5"/>
  <c r="G2561" i="5"/>
  <c r="F2561" i="5"/>
  <c r="G2560" i="5"/>
  <c r="F2560" i="5"/>
  <c r="G2559" i="5"/>
  <c r="F2559" i="5"/>
  <c r="G2558" i="5"/>
  <c r="F2558" i="5"/>
  <c r="G2557" i="5"/>
  <c r="F2557" i="5"/>
  <c r="G2556" i="5"/>
  <c r="F2556" i="5"/>
  <c r="G2555" i="5"/>
  <c r="F2555" i="5"/>
  <c r="G2554" i="5"/>
  <c r="F2554" i="5"/>
  <c r="G2553" i="5"/>
  <c r="F2553" i="5"/>
  <c r="G2552" i="5"/>
  <c r="F2552" i="5"/>
  <c r="G2551" i="5"/>
  <c r="F2551" i="5"/>
  <c r="G2550" i="5"/>
  <c r="F2550" i="5"/>
  <c r="G2549" i="5"/>
  <c r="F2549" i="5"/>
  <c r="G2548" i="5"/>
  <c r="F2548" i="5"/>
  <c r="G2547" i="5"/>
  <c r="F2547" i="5"/>
  <c r="G2546" i="5"/>
  <c r="F2546" i="5"/>
  <c r="G2545" i="5"/>
  <c r="F2545" i="5"/>
  <c r="G2544" i="5"/>
  <c r="F2544" i="5"/>
  <c r="G2543" i="5"/>
  <c r="F2543" i="5"/>
  <c r="G2542" i="5"/>
  <c r="F2542" i="5"/>
  <c r="G2541" i="5"/>
  <c r="F2541" i="5"/>
  <c r="G2540" i="5"/>
  <c r="F2540" i="5"/>
  <c r="G2539" i="5"/>
  <c r="F2539" i="5"/>
  <c r="G2538" i="5"/>
  <c r="F2538" i="5"/>
  <c r="G2537" i="5"/>
  <c r="F2537" i="5"/>
  <c r="G2536" i="5"/>
  <c r="F2536" i="5"/>
  <c r="G2535" i="5"/>
  <c r="F2535" i="5"/>
  <c r="G2534" i="5"/>
  <c r="F2534" i="5"/>
  <c r="G2533" i="5"/>
  <c r="F2533" i="5"/>
  <c r="G2532" i="5"/>
  <c r="F2532" i="5"/>
  <c r="G2531" i="5"/>
  <c r="F2531" i="5"/>
  <c r="G2530" i="5"/>
  <c r="F2530" i="5"/>
  <c r="G2529" i="5"/>
  <c r="F2529" i="5"/>
  <c r="G2528" i="5"/>
  <c r="F2528" i="5"/>
  <c r="G2527" i="5"/>
  <c r="F2527" i="5"/>
  <c r="G2526" i="5"/>
  <c r="F2526" i="5"/>
  <c r="G2525" i="5"/>
  <c r="F2525" i="5"/>
  <c r="G2524" i="5"/>
  <c r="F2524" i="5"/>
  <c r="G2523" i="5"/>
  <c r="F2523" i="5"/>
  <c r="G2522" i="5"/>
  <c r="F2522" i="5"/>
  <c r="G2521" i="5"/>
  <c r="F2521" i="5"/>
  <c r="G2520" i="5"/>
  <c r="F2520" i="5"/>
  <c r="G2519" i="5"/>
  <c r="F2519" i="5"/>
  <c r="G2518" i="5"/>
  <c r="F2518" i="5"/>
  <c r="G2517" i="5"/>
  <c r="F2517" i="5"/>
  <c r="G2516" i="5"/>
  <c r="F2516" i="5"/>
  <c r="G2515" i="5"/>
  <c r="F2515" i="5"/>
  <c r="G2514" i="5"/>
  <c r="F2514" i="5"/>
  <c r="G2513" i="5"/>
  <c r="F2513" i="5"/>
  <c r="G2512" i="5"/>
  <c r="F2512" i="5"/>
  <c r="G2511" i="5"/>
  <c r="F2511" i="5"/>
  <c r="G2510" i="5"/>
  <c r="F2510" i="5"/>
  <c r="G2509" i="5"/>
  <c r="F2509" i="5"/>
  <c r="G2508" i="5"/>
  <c r="F2508" i="5"/>
  <c r="G2507" i="5"/>
  <c r="F2507" i="5"/>
  <c r="G2506" i="5"/>
  <c r="F2506" i="5"/>
  <c r="G2505" i="5"/>
  <c r="F2505" i="5"/>
  <c r="G2504" i="5"/>
  <c r="F2504" i="5"/>
  <c r="G2503" i="5"/>
  <c r="F2503" i="5"/>
  <c r="G2502" i="5"/>
  <c r="F2502" i="5"/>
  <c r="G2501" i="5"/>
  <c r="F2501" i="5"/>
  <c r="G2500" i="5"/>
  <c r="F2500" i="5"/>
  <c r="G2499" i="5"/>
  <c r="F2499" i="5"/>
  <c r="G2498" i="5"/>
  <c r="F2498" i="5"/>
  <c r="G2497" i="5"/>
  <c r="F2497" i="5"/>
  <c r="G2496" i="5"/>
  <c r="F2496" i="5"/>
  <c r="G2495" i="5"/>
  <c r="F2495" i="5"/>
  <c r="G2494" i="5"/>
  <c r="F2494" i="5"/>
  <c r="G2493" i="5"/>
  <c r="F2493" i="5"/>
  <c r="G2492" i="5"/>
  <c r="F2492" i="5"/>
  <c r="G2491" i="5"/>
  <c r="F2491" i="5"/>
  <c r="G2490" i="5"/>
  <c r="F2490" i="5"/>
  <c r="G2489" i="5"/>
  <c r="F2489" i="5"/>
  <c r="G2488" i="5"/>
  <c r="F2488" i="5"/>
  <c r="G2487" i="5"/>
  <c r="F2487" i="5"/>
  <c r="G2486" i="5"/>
  <c r="F2486" i="5"/>
  <c r="G2485" i="5"/>
  <c r="F2485" i="5"/>
  <c r="G2484" i="5"/>
  <c r="F2484" i="5"/>
  <c r="G2483" i="5"/>
  <c r="F2483" i="5"/>
  <c r="G2482" i="5"/>
  <c r="F2482" i="5"/>
  <c r="G2481" i="5"/>
  <c r="F2481" i="5"/>
  <c r="G2480" i="5"/>
  <c r="F2480" i="5"/>
  <c r="G2479" i="5"/>
  <c r="F2479" i="5"/>
  <c r="G2478" i="5"/>
  <c r="F2478" i="5"/>
  <c r="G2477" i="5"/>
  <c r="F2477" i="5"/>
  <c r="G2476" i="5"/>
  <c r="F2476" i="5"/>
  <c r="G2475" i="5"/>
  <c r="F2475" i="5"/>
  <c r="G2474" i="5"/>
  <c r="F2474" i="5"/>
  <c r="G2473" i="5"/>
  <c r="F2473" i="5"/>
  <c r="G2472" i="5"/>
  <c r="F2472" i="5"/>
  <c r="G2471" i="5"/>
  <c r="F2471" i="5"/>
  <c r="G2470" i="5"/>
  <c r="F2470" i="5"/>
  <c r="G2469" i="5"/>
  <c r="F2469" i="5"/>
  <c r="G2468" i="5"/>
  <c r="F2468" i="5"/>
  <c r="G2467" i="5"/>
  <c r="F2467" i="5"/>
  <c r="G2466" i="5"/>
  <c r="F2466" i="5"/>
  <c r="G2465" i="5"/>
  <c r="F2465" i="5"/>
  <c r="G2464" i="5"/>
  <c r="F2464" i="5"/>
  <c r="G2463" i="5"/>
  <c r="F2463" i="5"/>
  <c r="G2462" i="5"/>
  <c r="F2462" i="5"/>
  <c r="G2461" i="5"/>
  <c r="F2461" i="5"/>
  <c r="G2460" i="5"/>
  <c r="F2460" i="5"/>
  <c r="G2459" i="5"/>
  <c r="F2459" i="5"/>
  <c r="G2458" i="5"/>
  <c r="F2458" i="5"/>
  <c r="G2457" i="5"/>
  <c r="F2457" i="5"/>
  <c r="G2456" i="5"/>
  <c r="F2456" i="5"/>
  <c r="G2455" i="5"/>
  <c r="F2455" i="5"/>
  <c r="G2454" i="5"/>
  <c r="F2454" i="5"/>
  <c r="G2453" i="5"/>
  <c r="F2453" i="5"/>
  <c r="G2452" i="5"/>
  <c r="F2452" i="5"/>
  <c r="G2451" i="5"/>
  <c r="F2451" i="5"/>
  <c r="G2450" i="5"/>
  <c r="F2450" i="5"/>
  <c r="G2449" i="5"/>
  <c r="F2449" i="5"/>
  <c r="G2448" i="5"/>
  <c r="F2448" i="5"/>
  <c r="G2447" i="5"/>
  <c r="F2447" i="5"/>
  <c r="G2446" i="5"/>
  <c r="F2446" i="5"/>
  <c r="G2445" i="5"/>
  <c r="F2445" i="5"/>
  <c r="G2444" i="5"/>
  <c r="F2444" i="5"/>
  <c r="G2443" i="5"/>
  <c r="F2443" i="5"/>
  <c r="G2442" i="5"/>
  <c r="F2442" i="5"/>
  <c r="G2441" i="5"/>
  <c r="F2441" i="5"/>
  <c r="G2440" i="5"/>
  <c r="F2440" i="5"/>
  <c r="G2439" i="5"/>
  <c r="F2439" i="5"/>
  <c r="G2438" i="5"/>
  <c r="F2438" i="5"/>
  <c r="G2437" i="5"/>
  <c r="F2437" i="5"/>
  <c r="G2436" i="5"/>
  <c r="F2436" i="5"/>
  <c r="G2435" i="5"/>
  <c r="F2435" i="5"/>
  <c r="G2434" i="5"/>
  <c r="F2434" i="5"/>
  <c r="G2433" i="5"/>
  <c r="F2433" i="5"/>
  <c r="G2432" i="5"/>
  <c r="F2432" i="5"/>
  <c r="G2431" i="5"/>
  <c r="F2431" i="5"/>
  <c r="G2430" i="5"/>
  <c r="F2430" i="5"/>
  <c r="G2429" i="5"/>
  <c r="F2429" i="5"/>
  <c r="G2428" i="5"/>
  <c r="F2428" i="5"/>
  <c r="G2427" i="5"/>
  <c r="F2427" i="5"/>
  <c r="G2426" i="5"/>
  <c r="F2426" i="5"/>
  <c r="G2425" i="5"/>
  <c r="F2425" i="5"/>
  <c r="G2424" i="5"/>
  <c r="F2424" i="5"/>
  <c r="G2423" i="5"/>
  <c r="F2423" i="5"/>
  <c r="G2422" i="5"/>
  <c r="F2422" i="5"/>
  <c r="G2421" i="5"/>
  <c r="F2421" i="5"/>
  <c r="G2420" i="5"/>
  <c r="F2420" i="5"/>
  <c r="G2419" i="5"/>
  <c r="F2419" i="5"/>
  <c r="G2418" i="5"/>
  <c r="F2418" i="5"/>
  <c r="G2417" i="5"/>
  <c r="F2417" i="5"/>
  <c r="G2416" i="5"/>
  <c r="F2416" i="5"/>
  <c r="G2415" i="5"/>
  <c r="F2415" i="5"/>
  <c r="G2414" i="5"/>
  <c r="F2414" i="5"/>
  <c r="G2413" i="5"/>
  <c r="F2413" i="5"/>
  <c r="G2412" i="5"/>
  <c r="F2412" i="5"/>
  <c r="G2411" i="5"/>
  <c r="F2411" i="5"/>
  <c r="G2410" i="5"/>
  <c r="F2410" i="5"/>
  <c r="G2409" i="5"/>
  <c r="F2409" i="5"/>
  <c r="G2408" i="5"/>
  <c r="F2408" i="5"/>
  <c r="G2407" i="5"/>
  <c r="F2407" i="5"/>
  <c r="G2406" i="5"/>
  <c r="F2406" i="5"/>
  <c r="G2405" i="5"/>
  <c r="F2405" i="5"/>
  <c r="G2404" i="5"/>
  <c r="F2404" i="5"/>
  <c r="G2403" i="5"/>
  <c r="F2403" i="5"/>
  <c r="G2402" i="5"/>
  <c r="F2402" i="5"/>
  <c r="G2401" i="5"/>
  <c r="F2401" i="5"/>
  <c r="G2400" i="5"/>
  <c r="F2400" i="5"/>
  <c r="G2399" i="5"/>
  <c r="F2399" i="5"/>
  <c r="G2398" i="5"/>
  <c r="F2398" i="5"/>
  <c r="G2397" i="5"/>
  <c r="F2397" i="5"/>
  <c r="G2396" i="5"/>
  <c r="F2396" i="5"/>
  <c r="G2395" i="5"/>
  <c r="F2395" i="5"/>
  <c r="G2394" i="5"/>
  <c r="F2394" i="5"/>
  <c r="G2393" i="5"/>
  <c r="F2393" i="5"/>
  <c r="G2392" i="5"/>
  <c r="F2392" i="5"/>
  <c r="G2391" i="5"/>
  <c r="F2391" i="5"/>
  <c r="G2390" i="5"/>
  <c r="F2390" i="5"/>
  <c r="G2389" i="5"/>
  <c r="F2389" i="5"/>
  <c r="G2388" i="5"/>
  <c r="F2388" i="5"/>
  <c r="G2387" i="5"/>
  <c r="F2387" i="5"/>
  <c r="G2386" i="5"/>
  <c r="F2386" i="5"/>
  <c r="G2385" i="5"/>
  <c r="F2385" i="5"/>
  <c r="G2384" i="5"/>
  <c r="F2384" i="5"/>
  <c r="G2383" i="5"/>
  <c r="F2383" i="5"/>
  <c r="G2382" i="5"/>
  <c r="F2382" i="5"/>
  <c r="G2381" i="5"/>
  <c r="F2381" i="5"/>
  <c r="G2380" i="5"/>
  <c r="F2380" i="5"/>
  <c r="G2379" i="5"/>
  <c r="F2379" i="5"/>
  <c r="G2378" i="5"/>
  <c r="F2378" i="5"/>
  <c r="G2377" i="5"/>
  <c r="F2377" i="5"/>
  <c r="G2376" i="5"/>
  <c r="F2376" i="5"/>
  <c r="G2375" i="5"/>
  <c r="F2375" i="5"/>
  <c r="G2374" i="5"/>
  <c r="F2374" i="5"/>
  <c r="G2373" i="5"/>
  <c r="F2373" i="5"/>
  <c r="G2372" i="5"/>
  <c r="F2372" i="5"/>
  <c r="G2371" i="5"/>
  <c r="F2371" i="5"/>
  <c r="G2370" i="5"/>
  <c r="F2370" i="5"/>
  <c r="G2369" i="5"/>
  <c r="F2369" i="5"/>
  <c r="G2368" i="5"/>
  <c r="F2368" i="5"/>
  <c r="G2367" i="5"/>
  <c r="F2367" i="5"/>
  <c r="G2366" i="5"/>
  <c r="F2366" i="5"/>
  <c r="G2365" i="5"/>
  <c r="F2365" i="5"/>
  <c r="G2364" i="5"/>
  <c r="F2364" i="5"/>
  <c r="G2363" i="5"/>
  <c r="F2363" i="5"/>
  <c r="G2362" i="5"/>
  <c r="F2362" i="5"/>
  <c r="G2361" i="5"/>
  <c r="F2361" i="5"/>
  <c r="G2360" i="5"/>
  <c r="F2360" i="5"/>
  <c r="G2359" i="5"/>
  <c r="F2359" i="5"/>
  <c r="G2358" i="5"/>
  <c r="F2358" i="5"/>
  <c r="G2357" i="5"/>
  <c r="F2357" i="5"/>
  <c r="G2356" i="5"/>
  <c r="F2356" i="5"/>
  <c r="G2355" i="5"/>
  <c r="F2355" i="5"/>
  <c r="G2354" i="5"/>
  <c r="F2354" i="5"/>
  <c r="G2353" i="5"/>
  <c r="F2353" i="5"/>
  <c r="G2352" i="5"/>
  <c r="F2352" i="5"/>
  <c r="G2351" i="5"/>
  <c r="F2351" i="5"/>
  <c r="G2350" i="5"/>
  <c r="F2350" i="5"/>
  <c r="G2349" i="5"/>
  <c r="F2349" i="5"/>
  <c r="G2348" i="5"/>
  <c r="F2348" i="5"/>
  <c r="G2347" i="5"/>
  <c r="F2347" i="5"/>
  <c r="G2346" i="5"/>
  <c r="F2346" i="5"/>
  <c r="G2345" i="5"/>
  <c r="F2345" i="5"/>
  <c r="G2344" i="5"/>
  <c r="F2344" i="5"/>
  <c r="G2343" i="5"/>
  <c r="F2343" i="5"/>
  <c r="G2342" i="5"/>
  <c r="F2342" i="5"/>
  <c r="G2341" i="5"/>
  <c r="F2341" i="5"/>
  <c r="G2340" i="5"/>
  <c r="F2340" i="5"/>
  <c r="G2339" i="5"/>
  <c r="F2339" i="5"/>
  <c r="G2338" i="5"/>
  <c r="F2338" i="5"/>
  <c r="G2337" i="5"/>
  <c r="F2337" i="5"/>
  <c r="G2336" i="5"/>
  <c r="F2336" i="5"/>
  <c r="G2335" i="5"/>
  <c r="F2335" i="5"/>
  <c r="G2334" i="5"/>
  <c r="F2334" i="5"/>
  <c r="G2333" i="5"/>
  <c r="F2333" i="5"/>
  <c r="G2332" i="5"/>
  <c r="F2332" i="5"/>
  <c r="G2331" i="5"/>
  <c r="F2331" i="5"/>
  <c r="G2330" i="5"/>
  <c r="F2330" i="5"/>
  <c r="G2329" i="5"/>
  <c r="F2329" i="5"/>
  <c r="G2328" i="5"/>
  <c r="F2328" i="5"/>
  <c r="G2327" i="5"/>
  <c r="F2327" i="5"/>
  <c r="G2326" i="5"/>
  <c r="F2326" i="5"/>
  <c r="G2325" i="5"/>
  <c r="F2325" i="5"/>
  <c r="G2324" i="5"/>
  <c r="F2324" i="5"/>
  <c r="G2323" i="5"/>
  <c r="F2323" i="5"/>
  <c r="G2322" i="5"/>
  <c r="F2322" i="5"/>
  <c r="G2321" i="5"/>
  <c r="F2321" i="5"/>
  <c r="G2320" i="5"/>
  <c r="F2320" i="5"/>
  <c r="G2319" i="5"/>
  <c r="F2319" i="5"/>
  <c r="G2318" i="5"/>
  <c r="F2318" i="5"/>
  <c r="G2317" i="5"/>
  <c r="F2317" i="5"/>
  <c r="G2316" i="5"/>
  <c r="F2316" i="5"/>
  <c r="G2315" i="5"/>
  <c r="F2315" i="5"/>
  <c r="G2314" i="5"/>
  <c r="F2314" i="5"/>
  <c r="G2313" i="5"/>
  <c r="F2313" i="5"/>
  <c r="G2312" i="5"/>
  <c r="F2312" i="5"/>
  <c r="G2311" i="5"/>
  <c r="F2311" i="5"/>
  <c r="G2310" i="5"/>
  <c r="F2310" i="5"/>
  <c r="G2309" i="5"/>
  <c r="F2309" i="5"/>
  <c r="G2308" i="5"/>
  <c r="F2308" i="5"/>
  <c r="G2307" i="5"/>
  <c r="F2307" i="5"/>
  <c r="G2306" i="5"/>
  <c r="F2306" i="5"/>
  <c r="G2305" i="5"/>
  <c r="F2305" i="5"/>
  <c r="G2304" i="5"/>
  <c r="F2304" i="5"/>
  <c r="G2303" i="5"/>
  <c r="F2303" i="5"/>
  <c r="G2302" i="5"/>
  <c r="F2302" i="5"/>
  <c r="G2301" i="5"/>
  <c r="F2301" i="5"/>
  <c r="G2300" i="5"/>
  <c r="F2300" i="5"/>
  <c r="G2299" i="5"/>
  <c r="F2299" i="5"/>
  <c r="G2298" i="5"/>
  <c r="F2298" i="5"/>
  <c r="G2297" i="5"/>
  <c r="F2297" i="5"/>
  <c r="G2296" i="5"/>
  <c r="F2296" i="5"/>
  <c r="G2295" i="5"/>
  <c r="F2295" i="5"/>
  <c r="G2294" i="5"/>
  <c r="F2294" i="5"/>
  <c r="G2293" i="5"/>
  <c r="F2293" i="5"/>
  <c r="G2292" i="5"/>
  <c r="F2292" i="5"/>
  <c r="G2291" i="5"/>
  <c r="F2291" i="5"/>
  <c r="G2290" i="5"/>
  <c r="F2290" i="5"/>
  <c r="G2289" i="5"/>
  <c r="F2289" i="5"/>
  <c r="G2288" i="5"/>
  <c r="F2288" i="5"/>
  <c r="G2287" i="5"/>
  <c r="F2287" i="5"/>
  <c r="G2286" i="5"/>
  <c r="F2286" i="5"/>
  <c r="G2285" i="5"/>
  <c r="F2285" i="5"/>
  <c r="G2284" i="5"/>
  <c r="F2284" i="5"/>
  <c r="G2283" i="5"/>
  <c r="F2283" i="5"/>
  <c r="G2282" i="5"/>
  <c r="F2282" i="5"/>
  <c r="G2281" i="5"/>
  <c r="F2281" i="5"/>
  <c r="G2280" i="5"/>
  <c r="F2280" i="5"/>
  <c r="G2279" i="5"/>
  <c r="F2279" i="5"/>
  <c r="G2278" i="5"/>
  <c r="F2278" i="5"/>
  <c r="G2277" i="5"/>
  <c r="F2277" i="5"/>
  <c r="G2276" i="5"/>
  <c r="F2276" i="5"/>
  <c r="G2275" i="5"/>
  <c r="F2275" i="5"/>
  <c r="G2274" i="5"/>
  <c r="F2274" i="5"/>
  <c r="G2273" i="5"/>
  <c r="F2273" i="5"/>
  <c r="G2272" i="5"/>
  <c r="F2272" i="5"/>
  <c r="G2271" i="5"/>
  <c r="F2271" i="5"/>
  <c r="G2270" i="5"/>
  <c r="F2270" i="5"/>
  <c r="G2269" i="5"/>
  <c r="F2269" i="5"/>
  <c r="G2268" i="5"/>
  <c r="F2268" i="5"/>
  <c r="G2267" i="5"/>
  <c r="F2267" i="5"/>
  <c r="G2266" i="5"/>
  <c r="F2266" i="5"/>
  <c r="G2265" i="5"/>
  <c r="F2265" i="5"/>
  <c r="G2264" i="5"/>
  <c r="F2264" i="5"/>
  <c r="G2263" i="5"/>
  <c r="F2263" i="5"/>
  <c r="G2262" i="5"/>
  <c r="F2262" i="5"/>
  <c r="G2261" i="5"/>
  <c r="F2261" i="5"/>
  <c r="G2260" i="5"/>
  <c r="F2260" i="5"/>
  <c r="G2259" i="5"/>
  <c r="F2259" i="5"/>
  <c r="G2258" i="5"/>
  <c r="F2258" i="5"/>
  <c r="G2257" i="5"/>
  <c r="F2257" i="5"/>
  <c r="G2256" i="5"/>
  <c r="F2256" i="5"/>
  <c r="G2255" i="5"/>
  <c r="F2255" i="5"/>
  <c r="G2254" i="5"/>
  <c r="F2254" i="5"/>
  <c r="G2253" i="5"/>
  <c r="F2253" i="5"/>
  <c r="G2252" i="5"/>
  <c r="F2252" i="5"/>
  <c r="G2251" i="5"/>
  <c r="F2251" i="5"/>
  <c r="G2250" i="5"/>
  <c r="F2250" i="5"/>
  <c r="G2249" i="5"/>
  <c r="F2249" i="5"/>
  <c r="G2248" i="5"/>
  <c r="F2248" i="5"/>
  <c r="G2247" i="5"/>
  <c r="F2247" i="5"/>
  <c r="G2246" i="5"/>
  <c r="F2246" i="5"/>
  <c r="G2245" i="5"/>
  <c r="F2245" i="5"/>
  <c r="G2244" i="5"/>
  <c r="F2244" i="5"/>
  <c r="G2243" i="5"/>
  <c r="F2243" i="5"/>
  <c r="G2242" i="5"/>
  <c r="F2242" i="5"/>
  <c r="G2241" i="5"/>
  <c r="F2241" i="5"/>
  <c r="G2240" i="5"/>
  <c r="F2240" i="5"/>
  <c r="G2239" i="5"/>
  <c r="F2239" i="5"/>
  <c r="G2238" i="5"/>
  <c r="F2238" i="5"/>
  <c r="G2237" i="5"/>
  <c r="F2237" i="5"/>
  <c r="G2236" i="5"/>
  <c r="F2236" i="5"/>
  <c r="G2235" i="5"/>
  <c r="F2235" i="5"/>
  <c r="G2234" i="5"/>
  <c r="F2234" i="5"/>
  <c r="G2233" i="5"/>
  <c r="F2233" i="5"/>
  <c r="G2232" i="5"/>
  <c r="F2232" i="5"/>
  <c r="G2231" i="5"/>
  <c r="F2231" i="5"/>
  <c r="G2230" i="5"/>
  <c r="F2230" i="5"/>
  <c r="G2229" i="5"/>
  <c r="F2229" i="5"/>
  <c r="G2228" i="5"/>
  <c r="F2228" i="5"/>
  <c r="G2227" i="5"/>
  <c r="F2227" i="5"/>
  <c r="G2226" i="5"/>
  <c r="F2226" i="5"/>
  <c r="G2225" i="5"/>
  <c r="F2225" i="5"/>
  <c r="G2224" i="5"/>
  <c r="F2224" i="5"/>
  <c r="G2223" i="5"/>
  <c r="F2223" i="5"/>
  <c r="G2222" i="5"/>
  <c r="F2222" i="5"/>
  <c r="G2221" i="5"/>
  <c r="F2221" i="5"/>
  <c r="G2220" i="5"/>
  <c r="F2220" i="5"/>
  <c r="G2219" i="5"/>
  <c r="F2219" i="5"/>
  <c r="G2218" i="5"/>
  <c r="F2218" i="5"/>
  <c r="G2217" i="5"/>
  <c r="F2217" i="5"/>
  <c r="G2216" i="5"/>
  <c r="F2216" i="5"/>
  <c r="G2215" i="5"/>
  <c r="F2215" i="5"/>
  <c r="G2214" i="5"/>
  <c r="F2214" i="5"/>
  <c r="G2213" i="5"/>
  <c r="F2213" i="5"/>
  <c r="G2212" i="5"/>
  <c r="F2212" i="5"/>
  <c r="G2211" i="5"/>
  <c r="F2211" i="5"/>
  <c r="G2210" i="5"/>
  <c r="F2210" i="5"/>
  <c r="G2209" i="5"/>
  <c r="F2209" i="5"/>
  <c r="G2208" i="5"/>
  <c r="F2208" i="5"/>
  <c r="G2207" i="5"/>
  <c r="F2207" i="5"/>
  <c r="G2206" i="5"/>
  <c r="F2206" i="5"/>
  <c r="G2205" i="5"/>
  <c r="F2205" i="5"/>
  <c r="G2204" i="5"/>
  <c r="F2204" i="5"/>
  <c r="G2203" i="5"/>
  <c r="F2203" i="5"/>
  <c r="G2202" i="5"/>
  <c r="F2202" i="5"/>
  <c r="G2201" i="5"/>
  <c r="F2201" i="5"/>
  <c r="G2200" i="5"/>
  <c r="F2200" i="5"/>
  <c r="G2199" i="5"/>
  <c r="F2199" i="5"/>
  <c r="G2198" i="5"/>
  <c r="F2198" i="5"/>
  <c r="G2197" i="5"/>
  <c r="F2197" i="5"/>
  <c r="G2196" i="5"/>
  <c r="F2196" i="5"/>
  <c r="G2195" i="5"/>
  <c r="F2195" i="5"/>
  <c r="G2194" i="5"/>
  <c r="F2194" i="5"/>
  <c r="G2193" i="5"/>
  <c r="F2193" i="5"/>
  <c r="G2192" i="5"/>
  <c r="F2192" i="5"/>
  <c r="G2191" i="5"/>
  <c r="F2191" i="5"/>
  <c r="G2190" i="5"/>
  <c r="F2190" i="5"/>
  <c r="G2189" i="5"/>
  <c r="F2189" i="5"/>
  <c r="G2188" i="5"/>
  <c r="F2188" i="5"/>
  <c r="G2187" i="5"/>
  <c r="F2187" i="5"/>
  <c r="G2186" i="5"/>
  <c r="F2186" i="5"/>
  <c r="G2185" i="5"/>
  <c r="F2185" i="5"/>
  <c r="G2184" i="5"/>
  <c r="F2184" i="5"/>
  <c r="G2183" i="5"/>
  <c r="F2183" i="5"/>
  <c r="G2182" i="5"/>
  <c r="F2182" i="5"/>
  <c r="G2181" i="5"/>
  <c r="F2181" i="5"/>
  <c r="G2180" i="5"/>
  <c r="F2180" i="5"/>
  <c r="G2179" i="5"/>
  <c r="F2179" i="5"/>
  <c r="G2178" i="5"/>
  <c r="F2178" i="5"/>
  <c r="G2177" i="5"/>
  <c r="F2177" i="5"/>
  <c r="G2176" i="5"/>
  <c r="F2176" i="5"/>
  <c r="G2175" i="5"/>
  <c r="F2175" i="5"/>
  <c r="G2174" i="5"/>
  <c r="F2174" i="5"/>
  <c r="G2173" i="5"/>
  <c r="F2173" i="5"/>
  <c r="G2172" i="5"/>
  <c r="F2172" i="5"/>
  <c r="G2171" i="5"/>
  <c r="F2171" i="5"/>
  <c r="G2170" i="5"/>
  <c r="F2170" i="5"/>
  <c r="G2169" i="5"/>
  <c r="F2169" i="5"/>
  <c r="G2168" i="5"/>
  <c r="F2168" i="5"/>
  <c r="G2167" i="5"/>
  <c r="F2167" i="5"/>
  <c r="G2166" i="5"/>
  <c r="F2166" i="5"/>
  <c r="G2165" i="5"/>
  <c r="F2165" i="5"/>
  <c r="G2164" i="5"/>
  <c r="F2164" i="5"/>
  <c r="G2163" i="5"/>
  <c r="F2163" i="5"/>
  <c r="G2162" i="5"/>
  <c r="F2162" i="5"/>
  <c r="G2161" i="5"/>
  <c r="F2161" i="5"/>
  <c r="G2160" i="5"/>
  <c r="F2160" i="5"/>
  <c r="G2159" i="5"/>
  <c r="F2159" i="5"/>
  <c r="G2158" i="5"/>
  <c r="F2158" i="5"/>
  <c r="G2157" i="5"/>
  <c r="F2157" i="5"/>
  <c r="G2156" i="5"/>
  <c r="F2156" i="5"/>
  <c r="G2155" i="5"/>
  <c r="F2155" i="5"/>
  <c r="G2154" i="5"/>
  <c r="F2154" i="5"/>
  <c r="G2153" i="5"/>
  <c r="F2153" i="5"/>
  <c r="G2152" i="5"/>
  <c r="F2152" i="5"/>
  <c r="G2151" i="5"/>
  <c r="F2151" i="5"/>
  <c r="G2150" i="5"/>
  <c r="F2150" i="5"/>
  <c r="G2149" i="5"/>
  <c r="F2149" i="5"/>
  <c r="G2148" i="5"/>
  <c r="F2148" i="5"/>
  <c r="G2147" i="5"/>
  <c r="F2147" i="5"/>
  <c r="G2146" i="5"/>
  <c r="F2146" i="5"/>
  <c r="G2145" i="5"/>
  <c r="F2145" i="5"/>
  <c r="G2144" i="5"/>
  <c r="F2144" i="5"/>
  <c r="G2143" i="5"/>
  <c r="F2143" i="5"/>
  <c r="G2142" i="5"/>
  <c r="F2142" i="5"/>
  <c r="G2141" i="5"/>
  <c r="F2141" i="5"/>
  <c r="G2140" i="5"/>
  <c r="F2140" i="5"/>
  <c r="G2139" i="5"/>
  <c r="F2139" i="5"/>
  <c r="G2138" i="5"/>
  <c r="F2138" i="5"/>
  <c r="G2137" i="5"/>
  <c r="F2137" i="5"/>
  <c r="G2136" i="5"/>
  <c r="F2136" i="5"/>
  <c r="G2135" i="5"/>
  <c r="F2135" i="5"/>
  <c r="G2134" i="5"/>
  <c r="F2134" i="5"/>
  <c r="G2133" i="5"/>
  <c r="F2133" i="5"/>
  <c r="G2132" i="5"/>
  <c r="F2132" i="5"/>
  <c r="G2131" i="5"/>
  <c r="F2131" i="5"/>
  <c r="G2130" i="5"/>
  <c r="F2130" i="5"/>
  <c r="G2129" i="5"/>
  <c r="F2129" i="5"/>
  <c r="G2128" i="5"/>
  <c r="F2128" i="5"/>
  <c r="G2127" i="5"/>
  <c r="F2127" i="5"/>
  <c r="G2126" i="5"/>
  <c r="F2126" i="5"/>
  <c r="G2125" i="5"/>
  <c r="F2125" i="5"/>
  <c r="G2124" i="5"/>
  <c r="F2124" i="5"/>
  <c r="G2123" i="5"/>
  <c r="F2123" i="5"/>
  <c r="G2122" i="5"/>
  <c r="F2122" i="5"/>
  <c r="G2121" i="5"/>
  <c r="F2121" i="5"/>
  <c r="G2120" i="5"/>
  <c r="F2120" i="5"/>
  <c r="G2119" i="5"/>
  <c r="F2119" i="5"/>
  <c r="G2118" i="5"/>
  <c r="F2118" i="5"/>
  <c r="G2117" i="5"/>
  <c r="F2117" i="5"/>
  <c r="G2116" i="5"/>
  <c r="F2116" i="5"/>
  <c r="G2115" i="5"/>
  <c r="F2115" i="5"/>
  <c r="G2114" i="5"/>
  <c r="F2114" i="5"/>
  <c r="G2113" i="5"/>
  <c r="F2113" i="5"/>
  <c r="G2112" i="5"/>
  <c r="F2112" i="5"/>
  <c r="G2111" i="5"/>
  <c r="F2111" i="5"/>
  <c r="G2110" i="5"/>
  <c r="F2110" i="5"/>
  <c r="G2109" i="5"/>
  <c r="F2109" i="5"/>
  <c r="G2108" i="5"/>
  <c r="F2108" i="5"/>
  <c r="G2107" i="5"/>
  <c r="F2107" i="5"/>
  <c r="G2106" i="5"/>
  <c r="F2106" i="5"/>
  <c r="G2105" i="5"/>
  <c r="F2105" i="5"/>
  <c r="G2104" i="5"/>
  <c r="F2104" i="5"/>
  <c r="G2103" i="5"/>
  <c r="F2103" i="5"/>
  <c r="G2102" i="5"/>
  <c r="F2102" i="5"/>
  <c r="G2101" i="5"/>
  <c r="F2101" i="5"/>
  <c r="G2100" i="5"/>
  <c r="F2100" i="5"/>
  <c r="G2099" i="5"/>
  <c r="F2099" i="5"/>
  <c r="G2098" i="5"/>
  <c r="F2098" i="5"/>
  <c r="G2097" i="5"/>
  <c r="F2097" i="5"/>
  <c r="G2096" i="5"/>
  <c r="F2096" i="5"/>
  <c r="G2095" i="5"/>
  <c r="F2095" i="5"/>
  <c r="G2094" i="5"/>
  <c r="F2094" i="5"/>
  <c r="G2093" i="5"/>
  <c r="F2093" i="5"/>
  <c r="G2092" i="5"/>
  <c r="F2092" i="5"/>
  <c r="G2091" i="5"/>
  <c r="F2091" i="5"/>
  <c r="G2090" i="5"/>
  <c r="F2090" i="5"/>
  <c r="G2089" i="5"/>
  <c r="F2089" i="5"/>
  <c r="G2088" i="5"/>
  <c r="F2088" i="5"/>
  <c r="G2087" i="5"/>
  <c r="F2087" i="5"/>
  <c r="G2086" i="5"/>
  <c r="F2086" i="5"/>
  <c r="G2085" i="5"/>
  <c r="F2085" i="5"/>
  <c r="G2084" i="5"/>
  <c r="F2084" i="5"/>
  <c r="G2083" i="5"/>
  <c r="F2083" i="5"/>
  <c r="G2082" i="5"/>
  <c r="F2082" i="5"/>
  <c r="G2081" i="5"/>
  <c r="F2081" i="5"/>
  <c r="G2080" i="5"/>
  <c r="F2080" i="5"/>
  <c r="G2079" i="5"/>
  <c r="F2079" i="5"/>
  <c r="G2078" i="5"/>
  <c r="F2078" i="5"/>
  <c r="G2077" i="5"/>
  <c r="F2077" i="5"/>
  <c r="G2076" i="5"/>
  <c r="F2076" i="5"/>
  <c r="G2075" i="5"/>
  <c r="F2075" i="5"/>
  <c r="G2074" i="5"/>
  <c r="F2074" i="5"/>
  <c r="G2073" i="5"/>
  <c r="F2073" i="5"/>
  <c r="G2072" i="5"/>
  <c r="F2072" i="5"/>
  <c r="G2071" i="5"/>
  <c r="F2071" i="5"/>
  <c r="G2070" i="5"/>
  <c r="F2070" i="5"/>
  <c r="G2069" i="5"/>
  <c r="F2069" i="5"/>
  <c r="G2068" i="5"/>
  <c r="F2068" i="5"/>
  <c r="G2067" i="5"/>
  <c r="F2067" i="5"/>
  <c r="G2066" i="5"/>
  <c r="F2066" i="5"/>
  <c r="G2065" i="5"/>
  <c r="F2065" i="5"/>
  <c r="G2064" i="5"/>
  <c r="F2064" i="5"/>
  <c r="G2063" i="5"/>
  <c r="F2063" i="5"/>
  <c r="G2062" i="5"/>
  <c r="F2062" i="5"/>
  <c r="G2061" i="5"/>
  <c r="F2061" i="5"/>
  <c r="G2060" i="5"/>
  <c r="F2060" i="5"/>
  <c r="G2059" i="5"/>
  <c r="F2059" i="5"/>
  <c r="G2058" i="5"/>
  <c r="F2058" i="5"/>
  <c r="G2057" i="5"/>
  <c r="F2057" i="5"/>
  <c r="G2056" i="5"/>
  <c r="F2056" i="5"/>
  <c r="G2055" i="5"/>
  <c r="F2055" i="5"/>
  <c r="G2054" i="5"/>
  <c r="F2054" i="5"/>
  <c r="G2053" i="5"/>
  <c r="F2053" i="5"/>
  <c r="G2052" i="5"/>
  <c r="F2052" i="5"/>
  <c r="G2051" i="5"/>
  <c r="F2051" i="5"/>
  <c r="G2050" i="5"/>
  <c r="F2050" i="5"/>
  <c r="G2049" i="5"/>
  <c r="F2049" i="5"/>
  <c r="G2048" i="5"/>
  <c r="F2048" i="5"/>
  <c r="G2047" i="5"/>
  <c r="F2047" i="5"/>
  <c r="G2046" i="5"/>
  <c r="F2046" i="5"/>
  <c r="G2045" i="5"/>
  <c r="F2045" i="5"/>
  <c r="G2044" i="5"/>
  <c r="F2044" i="5"/>
  <c r="G2043" i="5"/>
  <c r="F2043" i="5"/>
  <c r="G2042" i="5"/>
  <c r="F2042" i="5"/>
  <c r="G2041" i="5"/>
  <c r="F2041" i="5"/>
  <c r="G2040" i="5"/>
  <c r="F2040" i="5"/>
  <c r="G2039" i="5"/>
  <c r="F2039" i="5"/>
  <c r="G2038" i="5"/>
  <c r="F2038" i="5"/>
  <c r="G2037" i="5"/>
  <c r="F2037" i="5"/>
  <c r="G2036" i="5"/>
  <c r="F2036" i="5"/>
  <c r="G2035" i="5"/>
  <c r="F2035" i="5"/>
  <c r="G2034" i="5"/>
  <c r="F2034" i="5"/>
  <c r="G2033" i="5"/>
  <c r="F2033" i="5"/>
  <c r="G2032" i="5"/>
  <c r="F2032" i="5"/>
  <c r="G2031" i="5"/>
  <c r="F2031" i="5"/>
  <c r="G2030" i="5"/>
  <c r="F2030" i="5"/>
  <c r="G2029" i="5"/>
  <c r="F2029" i="5"/>
  <c r="G2028" i="5"/>
  <c r="F2028" i="5"/>
  <c r="G2027" i="5"/>
  <c r="F2027" i="5"/>
  <c r="G2026" i="5"/>
  <c r="F2026" i="5"/>
  <c r="G2025" i="5"/>
  <c r="F2025" i="5"/>
  <c r="G2024" i="5"/>
  <c r="F2024" i="5"/>
  <c r="G2023" i="5"/>
  <c r="F2023" i="5"/>
  <c r="G2022" i="5"/>
  <c r="F2022" i="5"/>
  <c r="G2021" i="5"/>
  <c r="F2021" i="5"/>
  <c r="G2020" i="5"/>
  <c r="F2020" i="5"/>
  <c r="G2019" i="5"/>
  <c r="F2019" i="5"/>
  <c r="G2018" i="5"/>
  <c r="F2018" i="5"/>
  <c r="G2017" i="5"/>
  <c r="F2017" i="5"/>
  <c r="G2016" i="5"/>
  <c r="F2016" i="5"/>
  <c r="G2015" i="5"/>
  <c r="F2015" i="5"/>
  <c r="G2014" i="5"/>
  <c r="F2014" i="5"/>
  <c r="G2013" i="5"/>
  <c r="F2013" i="5"/>
  <c r="G2012" i="5"/>
  <c r="F2012" i="5"/>
  <c r="G2011" i="5"/>
  <c r="F2011" i="5"/>
  <c r="G2010" i="5"/>
  <c r="F2010" i="5"/>
  <c r="G2009" i="5"/>
  <c r="F2009" i="5"/>
  <c r="G2008" i="5"/>
  <c r="F2008" i="5"/>
  <c r="G2007" i="5"/>
  <c r="F2007" i="5"/>
  <c r="G2006" i="5"/>
  <c r="F2006" i="5"/>
  <c r="G2005" i="5"/>
  <c r="F2005" i="5"/>
  <c r="G2004" i="5"/>
  <c r="F2004" i="5"/>
  <c r="G2003" i="5"/>
  <c r="F2003" i="5"/>
  <c r="G2002" i="5"/>
  <c r="F2002" i="5"/>
  <c r="G2001" i="5"/>
  <c r="F2001" i="5"/>
  <c r="G2000" i="5"/>
  <c r="F2000" i="5"/>
  <c r="G1999" i="5"/>
  <c r="F1999" i="5"/>
  <c r="G1998" i="5"/>
  <c r="F1998" i="5"/>
  <c r="G1997" i="5"/>
  <c r="F1997" i="5"/>
  <c r="G1996" i="5"/>
  <c r="F1996" i="5"/>
  <c r="G1995" i="5"/>
  <c r="F1995" i="5"/>
  <c r="G1994" i="5"/>
  <c r="F1994" i="5"/>
  <c r="G1993" i="5"/>
  <c r="F1993" i="5"/>
  <c r="G1992" i="5"/>
  <c r="F1992" i="5"/>
  <c r="G1991" i="5"/>
  <c r="F1991" i="5"/>
  <c r="G1990" i="5"/>
  <c r="F1990" i="5"/>
  <c r="G1989" i="5"/>
  <c r="F1989" i="5"/>
  <c r="G1988" i="5"/>
  <c r="F1988" i="5"/>
  <c r="G1987" i="5"/>
  <c r="F1987" i="5"/>
  <c r="G1986" i="5"/>
  <c r="F1986" i="5"/>
  <c r="G1985" i="5"/>
  <c r="F1985" i="5"/>
  <c r="G1984" i="5"/>
  <c r="F1984" i="5"/>
  <c r="G1983" i="5"/>
  <c r="F1983" i="5"/>
  <c r="G1982" i="5"/>
  <c r="F1982" i="5"/>
  <c r="G1981" i="5"/>
  <c r="F1981" i="5"/>
  <c r="G1980" i="5"/>
  <c r="F1980" i="5"/>
  <c r="G1979" i="5"/>
  <c r="F1979" i="5"/>
  <c r="G1978" i="5"/>
  <c r="F1978" i="5"/>
  <c r="G1977" i="5"/>
  <c r="F1977" i="5"/>
  <c r="G1976" i="5"/>
  <c r="F1976" i="5"/>
  <c r="G1975" i="5"/>
  <c r="F1975" i="5"/>
  <c r="G1974" i="5"/>
  <c r="F1974" i="5"/>
  <c r="G1973" i="5"/>
  <c r="F1973" i="5"/>
  <c r="G1972" i="5"/>
  <c r="F1972" i="5"/>
  <c r="G1971" i="5"/>
  <c r="F1971" i="5"/>
  <c r="G1970" i="5"/>
  <c r="F1970" i="5"/>
  <c r="G1969" i="5"/>
  <c r="F1969" i="5"/>
  <c r="G1968" i="5"/>
  <c r="F1968" i="5"/>
  <c r="G1967" i="5"/>
  <c r="F1967" i="5"/>
  <c r="G1966" i="5"/>
  <c r="F1966" i="5"/>
  <c r="G1965" i="5"/>
  <c r="F1965" i="5"/>
  <c r="G1964" i="5"/>
  <c r="F1964" i="5"/>
  <c r="G1963" i="5"/>
  <c r="F1963" i="5"/>
  <c r="G1962" i="5"/>
  <c r="F1962" i="5"/>
  <c r="G1961" i="5"/>
  <c r="F1961" i="5"/>
  <c r="G1960" i="5"/>
  <c r="F1960" i="5"/>
  <c r="G1959" i="5"/>
  <c r="F1959" i="5"/>
  <c r="G1958" i="5"/>
  <c r="F1958" i="5"/>
  <c r="G1957" i="5"/>
  <c r="F1957" i="5"/>
  <c r="G1956" i="5"/>
  <c r="F1956" i="5"/>
  <c r="G1955" i="5"/>
  <c r="F1955" i="5"/>
  <c r="G1954" i="5"/>
  <c r="F1954" i="5"/>
  <c r="G1953" i="5"/>
  <c r="F1953" i="5"/>
  <c r="G1952" i="5"/>
  <c r="F1952" i="5"/>
  <c r="G1951" i="5"/>
  <c r="F1951" i="5"/>
  <c r="G1950" i="5"/>
  <c r="F1950" i="5"/>
  <c r="G1949" i="5"/>
  <c r="F1949" i="5"/>
  <c r="G1948" i="5"/>
  <c r="F1948" i="5"/>
  <c r="G1947" i="5"/>
  <c r="F1947" i="5"/>
  <c r="G1946" i="5"/>
  <c r="F1946" i="5"/>
  <c r="G1945" i="5"/>
  <c r="F1945" i="5"/>
  <c r="G1944" i="5"/>
  <c r="F1944" i="5"/>
  <c r="G1943" i="5"/>
  <c r="F1943" i="5"/>
  <c r="G1942" i="5"/>
  <c r="F1942" i="5"/>
  <c r="G1941" i="5"/>
  <c r="F1941" i="5"/>
  <c r="G1940" i="5"/>
  <c r="F1940" i="5"/>
  <c r="G1939" i="5"/>
  <c r="F1939" i="5"/>
  <c r="G1938" i="5"/>
  <c r="F1938" i="5"/>
  <c r="G1937" i="5"/>
  <c r="F1937" i="5"/>
  <c r="G1936" i="5"/>
  <c r="F1936" i="5"/>
  <c r="G1935" i="5"/>
  <c r="F1935" i="5"/>
  <c r="G1934" i="5"/>
  <c r="F1934" i="5"/>
  <c r="G1933" i="5"/>
  <c r="F1933" i="5"/>
  <c r="G1932" i="5"/>
  <c r="F1932" i="5"/>
  <c r="G1931" i="5"/>
  <c r="F1931" i="5"/>
  <c r="G1930" i="5"/>
  <c r="F1930" i="5"/>
  <c r="G1929" i="5"/>
  <c r="F1929" i="5"/>
  <c r="G1928" i="5"/>
  <c r="F1928" i="5"/>
  <c r="G1927" i="5"/>
  <c r="F1927" i="5"/>
  <c r="G1926" i="5"/>
  <c r="F1926" i="5"/>
  <c r="G1925" i="5"/>
  <c r="F1925" i="5"/>
  <c r="G1924" i="5"/>
  <c r="F1924" i="5"/>
  <c r="G1923" i="5"/>
  <c r="F1923" i="5"/>
  <c r="G1922" i="5"/>
  <c r="F1922" i="5"/>
  <c r="G1921" i="5"/>
  <c r="F1921" i="5"/>
  <c r="G1920" i="5"/>
  <c r="F1920" i="5"/>
  <c r="G1919" i="5"/>
  <c r="F1919" i="5"/>
  <c r="G1918" i="5"/>
  <c r="F1918" i="5"/>
  <c r="G1917" i="5"/>
  <c r="F1917" i="5"/>
  <c r="G1916" i="5"/>
  <c r="F1916" i="5"/>
  <c r="G1915" i="5"/>
  <c r="F1915" i="5"/>
  <c r="G1914" i="5"/>
  <c r="F1914" i="5"/>
  <c r="G1913" i="5"/>
  <c r="F1913" i="5"/>
  <c r="G1912" i="5"/>
  <c r="F1912" i="5"/>
  <c r="G1911" i="5"/>
  <c r="F1911" i="5"/>
  <c r="G1910" i="5"/>
  <c r="F1910" i="5"/>
  <c r="G1909" i="5"/>
  <c r="F1909" i="5"/>
  <c r="G1908" i="5"/>
  <c r="F1908" i="5"/>
  <c r="G1907" i="5"/>
  <c r="F1907" i="5"/>
  <c r="G1906" i="5"/>
  <c r="F1906" i="5"/>
  <c r="G1905" i="5"/>
  <c r="F1905" i="5"/>
  <c r="G1904" i="5"/>
  <c r="F1904" i="5"/>
  <c r="G1903" i="5"/>
  <c r="F1903" i="5"/>
  <c r="G1902" i="5"/>
  <c r="F1902" i="5"/>
  <c r="G1901" i="5"/>
  <c r="F1901" i="5"/>
  <c r="G1900" i="5"/>
  <c r="F1900" i="5"/>
  <c r="G1899" i="5"/>
  <c r="F1899" i="5"/>
  <c r="G1898" i="5"/>
  <c r="F1898" i="5"/>
  <c r="G1897" i="5"/>
  <c r="F1897" i="5"/>
  <c r="G1896" i="5"/>
  <c r="F1896" i="5"/>
  <c r="G1895" i="5"/>
  <c r="F1895" i="5"/>
  <c r="G1894" i="5"/>
  <c r="F1894" i="5"/>
  <c r="G1893" i="5"/>
  <c r="F1893" i="5"/>
  <c r="G1892" i="5"/>
  <c r="F1892" i="5"/>
  <c r="G1891" i="5"/>
  <c r="F1891" i="5"/>
  <c r="G1890" i="5"/>
  <c r="F1890" i="5"/>
  <c r="G1889" i="5"/>
  <c r="F1889" i="5"/>
  <c r="G1888" i="5"/>
  <c r="F1888" i="5"/>
  <c r="G1887" i="5"/>
  <c r="F1887" i="5"/>
  <c r="G1886" i="5"/>
  <c r="F1886" i="5"/>
  <c r="G1885" i="5"/>
  <c r="F1885" i="5"/>
  <c r="G1884" i="5"/>
  <c r="F1884" i="5"/>
  <c r="G1883" i="5"/>
  <c r="F1883" i="5"/>
  <c r="G1882" i="5"/>
  <c r="F1882" i="5"/>
  <c r="G1881" i="5"/>
  <c r="F1881" i="5"/>
  <c r="G1880" i="5"/>
  <c r="F1880" i="5"/>
  <c r="G1879" i="5"/>
  <c r="F1879" i="5"/>
  <c r="G1878" i="5"/>
  <c r="F1878" i="5"/>
  <c r="G1877" i="5"/>
  <c r="F1877" i="5"/>
  <c r="G1876" i="5"/>
  <c r="F1876" i="5"/>
  <c r="G1875" i="5"/>
  <c r="F1875" i="5"/>
  <c r="G1874" i="5"/>
  <c r="F1874" i="5"/>
  <c r="G1873" i="5"/>
  <c r="F1873" i="5"/>
  <c r="G1872" i="5"/>
  <c r="F1872" i="5"/>
  <c r="G1871" i="5"/>
  <c r="F1871" i="5"/>
  <c r="G1870" i="5"/>
  <c r="F1870" i="5"/>
  <c r="G1869" i="5"/>
  <c r="F1869" i="5"/>
  <c r="G1868" i="5"/>
  <c r="F1868" i="5"/>
  <c r="G1867" i="5"/>
  <c r="F1867" i="5"/>
  <c r="G1866" i="5"/>
  <c r="F1866" i="5"/>
  <c r="G1865" i="5"/>
  <c r="F1865" i="5"/>
  <c r="G1864" i="5"/>
  <c r="F1864" i="5"/>
  <c r="G1863" i="5"/>
  <c r="F1863" i="5"/>
  <c r="G1862" i="5"/>
  <c r="F1862" i="5"/>
  <c r="G1861" i="5"/>
  <c r="F1861" i="5"/>
  <c r="G1860" i="5"/>
  <c r="F1860" i="5"/>
  <c r="G1859" i="5"/>
  <c r="F1859" i="5"/>
  <c r="G1858" i="5"/>
  <c r="F1858" i="5"/>
  <c r="G1857" i="5"/>
  <c r="F1857" i="5"/>
  <c r="G1856" i="5"/>
  <c r="F1856" i="5"/>
  <c r="G1855" i="5"/>
  <c r="F1855" i="5"/>
  <c r="G1854" i="5"/>
  <c r="F1854" i="5"/>
  <c r="G1853" i="5"/>
  <c r="F1853" i="5"/>
  <c r="G1852" i="5"/>
  <c r="F1852" i="5"/>
  <c r="G1851" i="5"/>
  <c r="F1851" i="5"/>
  <c r="G1850" i="5"/>
  <c r="F1850" i="5"/>
  <c r="G1849" i="5"/>
  <c r="F1849" i="5"/>
  <c r="G1848" i="5"/>
  <c r="F1848" i="5"/>
  <c r="G1847" i="5"/>
  <c r="F1847" i="5"/>
  <c r="G1846" i="5"/>
  <c r="F1846" i="5"/>
  <c r="G1845" i="5"/>
  <c r="F1845" i="5"/>
  <c r="G1844" i="5"/>
  <c r="F1844" i="5"/>
  <c r="G1843" i="5"/>
  <c r="F1843" i="5"/>
  <c r="G1842" i="5"/>
  <c r="F1842" i="5"/>
  <c r="G1841" i="5"/>
  <c r="F1841" i="5"/>
  <c r="G1840" i="5"/>
  <c r="F1840" i="5"/>
  <c r="G1839" i="5"/>
  <c r="F1839" i="5"/>
  <c r="G1838" i="5"/>
  <c r="F1838" i="5"/>
  <c r="G1837" i="5"/>
  <c r="F1837" i="5"/>
  <c r="G1836" i="5"/>
  <c r="F1836" i="5"/>
  <c r="G1835" i="5"/>
  <c r="F1835" i="5"/>
  <c r="G1834" i="5"/>
  <c r="F1834" i="5"/>
  <c r="G1833" i="5"/>
  <c r="F1833" i="5"/>
  <c r="G1832" i="5"/>
  <c r="F1832" i="5"/>
  <c r="G1831" i="5"/>
  <c r="F1831" i="5"/>
  <c r="G1830" i="5"/>
  <c r="F1830" i="5"/>
  <c r="G1829" i="5"/>
  <c r="F1829" i="5"/>
  <c r="G1828" i="5"/>
  <c r="F1828" i="5"/>
  <c r="G1827" i="5"/>
  <c r="F1827" i="5"/>
  <c r="G1826" i="5"/>
  <c r="F1826" i="5"/>
  <c r="G1825" i="5"/>
  <c r="F1825" i="5"/>
  <c r="G1824" i="5"/>
  <c r="F1824" i="5"/>
  <c r="G1823" i="5"/>
  <c r="F1823" i="5"/>
  <c r="G1822" i="5"/>
  <c r="F1822" i="5"/>
  <c r="G1821" i="5"/>
  <c r="F1821" i="5"/>
  <c r="G1820" i="5"/>
  <c r="F1820" i="5"/>
  <c r="G1819" i="5"/>
  <c r="F1819" i="5"/>
  <c r="G1818" i="5"/>
  <c r="F1818" i="5"/>
  <c r="G1817" i="5"/>
  <c r="F1817" i="5"/>
  <c r="G1816" i="5"/>
  <c r="F1816" i="5"/>
  <c r="G1815" i="5"/>
  <c r="F1815" i="5"/>
  <c r="G1814" i="5"/>
  <c r="F1814" i="5"/>
  <c r="G1813" i="5"/>
  <c r="F1813" i="5"/>
  <c r="G1812" i="5"/>
  <c r="F1812" i="5"/>
  <c r="G1811" i="5"/>
  <c r="F1811" i="5"/>
  <c r="G1810" i="5"/>
  <c r="F1810" i="5"/>
  <c r="G1809" i="5"/>
  <c r="F1809" i="5"/>
  <c r="G1808" i="5"/>
  <c r="F1808" i="5"/>
  <c r="G1807" i="5"/>
  <c r="F1807" i="5"/>
  <c r="G1806" i="5"/>
  <c r="F1806" i="5"/>
  <c r="G1805" i="5"/>
  <c r="F1805" i="5"/>
  <c r="G1804" i="5"/>
  <c r="F1804" i="5"/>
  <c r="G1803" i="5"/>
  <c r="F1803" i="5"/>
  <c r="G1802" i="5"/>
  <c r="F1802" i="5"/>
  <c r="G1801" i="5"/>
  <c r="F1801" i="5"/>
  <c r="G1800" i="5"/>
  <c r="F1800" i="5"/>
  <c r="G1799" i="5"/>
  <c r="F1799" i="5"/>
  <c r="G1798" i="5"/>
  <c r="F1798" i="5"/>
  <c r="G1797" i="5"/>
  <c r="F1797" i="5"/>
  <c r="G1796" i="5"/>
  <c r="F1796" i="5"/>
  <c r="G1795" i="5"/>
  <c r="F1795" i="5"/>
  <c r="G1794" i="5"/>
  <c r="F1794" i="5"/>
  <c r="G1793" i="5"/>
  <c r="F1793" i="5"/>
  <c r="G1792" i="5"/>
  <c r="F1792" i="5"/>
  <c r="G1791" i="5"/>
  <c r="F1791" i="5"/>
  <c r="G1790" i="5"/>
  <c r="F1790" i="5"/>
  <c r="G1789" i="5"/>
  <c r="F1789" i="5"/>
  <c r="G1788" i="5"/>
  <c r="F1788" i="5"/>
  <c r="G1787" i="5"/>
  <c r="F1787" i="5"/>
  <c r="G1786" i="5"/>
  <c r="F1786" i="5"/>
  <c r="G1785" i="5"/>
  <c r="F1785" i="5"/>
  <c r="G1784" i="5"/>
  <c r="F1784" i="5"/>
  <c r="G1783" i="5"/>
  <c r="F1783" i="5"/>
  <c r="G1782" i="5"/>
  <c r="F1782" i="5"/>
  <c r="G1781" i="5"/>
  <c r="F1781" i="5"/>
  <c r="G1780" i="5"/>
  <c r="F1780" i="5"/>
  <c r="G1779" i="5"/>
  <c r="F1779" i="5"/>
  <c r="G1778" i="5"/>
  <c r="F1778" i="5"/>
  <c r="G1777" i="5"/>
  <c r="F1777" i="5"/>
  <c r="G1776" i="5"/>
  <c r="F1776" i="5"/>
  <c r="G1775" i="5"/>
  <c r="F1775" i="5"/>
  <c r="G1774" i="5"/>
  <c r="F1774" i="5"/>
  <c r="G1773" i="5"/>
  <c r="F1773" i="5"/>
  <c r="G1772" i="5"/>
  <c r="F1772" i="5"/>
  <c r="G1771" i="5"/>
  <c r="F1771" i="5"/>
  <c r="G1770" i="5"/>
  <c r="F1770" i="5"/>
  <c r="G1769" i="5"/>
  <c r="F1769" i="5"/>
  <c r="G1768" i="5"/>
  <c r="F1768" i="5"/>
  <c r="G1767" i="5"/>
  <c r="F1767" i="5"/>
  <c r="G1766" i="5"/>
  <c r="F1766" i="5"/>
  <c r="G1765" i="5"/>
  <c r="F1765" i="5"/>
  <c r="G1764" i="5"/>
  <c r="F1764" i="5"/>
  <c r="G1763" i="5"/>
  <c r="F1763" i="5"/>
  <c r="G1762" i="5"/>
  <c r="F1762" i="5"/>
  <c r="G1761" i="5"/>
  <c r="F1761" i="5"/>
  <c r="G1760" i="5"/>
  <c r="F1760" i="5"/>
  <c r="G1759" i="5"/>
  <c r="F1759" i="5"/>
  <c r="G1758" i="5"/>
  <c r="F1758" i="5"/>
  <c r="G1757" i="5"/>
  <c r="F1757" i="5"/>
  <c r="G1756" i="5"/>
  <c r="F1756" i="5"/>
  <c r="G1755" i="5"/>
  <c r="F1755" i="5"/>
  <c r="G1754" i="5"/>
  <c r="F1754" i="5"/>
  <c r="G1753" i="5"/>
  <c r="F1753" i="5"/>
  <c r="G1752" i="5"/>
  <c r="F1752" i="5"/>
  <c r="G1751" i="5"/>
  <c r="F1751" i="5"/>
  <c r="G1750" i="5"/>
  <c r="F1750" i="5"/>
  <c r="G1749" i="5"/>
  <c r="F1749" i="5"/>
  <c r="G1748" i="5"/>
  <c r="F1748" i="5"/>
  <c r="G1747" i="5"/>
  <c r="F1747" i="5"/>
  <c r="G1746" i="5"/>
  <c r="F1746" i="5"/>
  <c r="G1745" i="5"/>
  <c r="F1745" i="5"/>
  <c r="G1744" i="5"/>
  <c r="F1744" i="5"/>
  <c r="G1743" i="5"/>
  <c r="F1743" i="5"/>
  <c r="G1742" i="5"/>
  <c r="F1742" i="5"/>
  <c r="G1741" i="5"/>
  <c r="F1741" i="5"/>
  <c r="G1740" i="5"/>
  <c r="F1740" i="5"/>
  <c r="G1739" i="5"/>
  <c r="F1739" i="5"/>
  <c r="G1738" i="5"/>
  <c r="F1738" i="5"/>
  <c r="G1737" i="5"/>
  <c r="F1737" i="5"/>
  <c r="G1736" i="5"/>
  <c r="F1736" i="5"/>
  <c r="G1735" i="5"/>
  <c r="F1735" i="5"/>
  <c r="G1734" i="5"/>
  <c r="F1734" i="5"/>
  <c r="G1733" i="5"/>
  <c r="F1733" i="5"/>
  <c r="G1732" i="5"/>
  <c r="F1732" i="5"/>
  <c r="G1731" i="5"/>
  <c r="F1731" i="5"/>
  <c r="G1730" i="5"/>
  <c r="F1730" i="5"/>
  <c r="G1729" i="5"/>
  <c r="F1729" i="5"/>
  <c r="G1728" i="5"/>
  <c r="F1728" i="5"/>
  <c r="G1727" i="5"/>
  <c r="F1727" i="5"/>
  <c r="G1726" i="5"/>
  <c r="F1726" i="5"/>
  <c r="G1725" i="5"/>
  <c r="F1725" i="5"/>
  <c r="G1724" i="5"/>
  <c r="F1724" i="5"/>
  <c r="G1723" i="5"/>
  <c r="F1723" i="5"/>
  <c r="G1722" i="5"/>
  <c r="F1722" i="5"/>
  <c r="G1721" i="5"/>
  <c r="F1721" i="5"/>
  <c r="G1720" i="5"/>
  <c r="F1720" i="5"/>
  <c r="G1719" i="5"/>
  <c r="F1719" i="5"/>
  <c r="G1718" i="5"/>
  <c r="F1718" i="5"/>
  <c r="G1717" i="5"/>
  <c r="F1717" i="5"/>
  <c r="G1716" i="5"/>
  <c r="F1716" i="5"/>
  <c r="G1715" i="5"/>
  <c r="F1715" i="5"/>
  <c r="G1714" i="5"/>
  <c r="F1714" i="5"/>
  <c r="G1713" i="5"/>
  <c r="F1713" i="5"/>
  <c r="G1712" i="5"/>
  <c r="F1712" i="5"/>
  <c r="G1711" i="5"/>
  <c r="F1711" i="5"/>
  <c r="G1710" i="5"/>
  <c r="F1710" i="5"/>
  <c r="G1709" i="5"/>
  <c r="F1709" i="5"/>
  <c r="G1708" i="5"/>
  <c r="F1708" i="5"/>
  <c r="G1707" i="5"/>
  <c r="F1707" i="5"/>
  <c r="G1706" i="5"/>
  <c r="F1706" i="5"/>
  <c r="G1705" i="5"/>
  <c r="F1705" i="5"/>
  <c r="G1704" i="5"/>
  <c r="F1704" i="5"/>
  <c r="G1703" i="5"/>
  <c r="F1703" i="5"/>
  <c r="G1702" i="5"/>
  <c r="F1702" i="5"/>
  <c r="G1701" i="5"/>
  <c r="F1701" i="5"/>
  <c r="G1700" i="5"/>
  <c r="F1700" i="5"/>
  <c r="G1699" i="5"/>
  <c r="F1699" i="5"/>
  <c r="G1698" i="5"/>
  <c r="F1698" i="5"/>
  <c r="G1697" i="5"/>
  <c r="F1697" i="5"/>
  <c r="G1696" i="5"/>
  <c r="F1696" i="5"/>
  <c r="G1695" i="5"/>
  <c r="F1695" i="5"/>
  <c r="G1694" i="5"/>
  <c r="F1694" i="5"/>
  <c r="G1693" i="5"/>
  <c r="F1693" i="5"/>
  <c r="G1692" i="5"/>
  <c r="F1692" i="5"/>
  <c r="G1691" i="5"/>
  <c r="F1691" i="5"/>
  <c r="G1690" i="5"/>
  <c r="F1690" i="5"/>
  <c r="G1689" i="5"/>
  <c r="F1689" i="5"/>
  <c r="G1688" i="5"/>
  <c r="F1688" i="5"/>
  <c r="G1687" i="5"/>
  <c r="F1687" i="5"/>
  <c r="G1686" i="5"/>
  <c r="F1686" i="5"/>
  <c r="G1685" i="5"/>
  <c r="F1685" i="5"/>
  <c r="G1684" i="5"/>
  <c r="F1684" i="5"/>
  <c r="G1683" i="5"/>
  <c r="F1683" i="5"/>
  <c r="G1682" i="5"/>
  <c r="F1682" i="5"/>
  <c r="G1681" i="5"/>
  <c r="F1681" i="5"/>
  <c r="G1680" i="5"/>
  <c r="F1680" i="5"/>
  <c r="G1679" i="5"/>
  <c r="F1679" i="5"/>
  <c r="G1678" i="5"/>
  <c r="F1678" i="5"/>
  <c r="G1677" i="5"/>
  <c r="F1677" i="5"/>
  <c r="G1676" i="5"/>
  <c r="F1676" i="5"/>
  <c r="G1675" i="5"/>
  <c r="F1675" i="5"/>
  <c r="G1674" i="5"/>
  <c r="F1674" i="5"/>
  <c r="G1673" i="5"/>
  <c r="F1673" i="5"/>
  <c r="G1672" i="5"/>
  <c r="F1672" i="5"/>
  <c r="G1671" i="5"/>
  <c r="F1671" i="5"/>
  <c r="G1670" i="5"/>
  <c r="F1670" i="5"/>
  <c r="G1669" i="5"/>
  <c r="F1669" i="5"/>
  <c r="G1668" i="5"/>
  <c r="F1668" i="5"/>
  <c r="G1667" i="5"/>
  <c r="F1667" i="5"/>
  <c r="G1666" i="5"/>
  <c r="F1666" i="5"/>
  <c r="G1665" i="5"/>
  <c r="F1665" i="5"/>
  <c r="G1664" i="5"/>
  <c r="F1664" i="5"/>
  <c r="G1663" i="5"/>
  <c r="F1663" i="5"/>
  <c r="G1662" i="5"/>
  <c r="F1662" i="5"/>
  <c r="G1661" i="5"/>
  <c r="F1661" i="5"/>
  <c r="G1660" i="5"/>
  <c r="F1660" i="5"/>
  <c r="G1659" i="5"/>
  <c r="F1659" i="5"/>
  <c r="G1658" i="5"/>
  <c r="F1658" i="5"/>
  <c r="G1657" i="5"/>
  <c r="F1657" i="5"/>
  <c r="G1656" i="5"/>
  <c r="F1656" i="5"/>
  <c r="G1655" i="5"/>
  <c r="F1655" i="5"/>
  <c r="G1654" i="5"/>
  <c r="F1654" i="5"/>
  <c r="G1653" i="5"/>
  <c r="F1653" i="5"/>
  <c r="G1652" i="5"/>
  <c r="F1652" i="5"/>
  <c r="G1651" i="5"/>
  <c r="F1651" i="5"/>
  <c r="G1650" i="5"/>
  <c r="F1650" i="5"/>
  <c r="G1649" i="5"/>
  <c r="F1649" i="5"/>
  <c r="G1648" i="5"/>
  <c r="F1648" i="5"/>
  <c r="G1647" i="5"/>
  <c r="F1647" i="5"/>
  <c r="G1646" i="5"/>
  <c r="F1646" i="5"/>
  <c r="G1645" i="5"/>
  <c r="F1645" i="5"/>
  <c r="G1644" i="5"/>
  <c r="F1644" i="5"/>
  <c r="G1643" i="5"/>
  <c r="F1643" i="5"/>
  <c r="G1642" i="5"/>
  <c r="F1642" i="5"/>
  <c r="G1641" i="5"/>
  <c r="F1641" i="5"/>
  <c r="G1640" i="5"/>
  <c r="F1640" i="5"/>
  <c r="G1639" i="5"/>
  <c r="F1639" i="5"/>
  <c r="G1638" i="5"/>
  <c r="F1638" i="5"/>
  <c r="G1637" i="5"/>
  <c r="F1637" i="5"/>
  <c r="G1636" i="5"/>
  <c r="F1636" i="5"/>
  <c r="G1635" i="5"/>
  <c r="F1635" i="5"/>
  <c r="G1634" i="5"/>
  <c r="F1634" i="5"/>
  <c r="G1633" i="5"/>
  <c r="F1633" i="5"/>
  <c r="G1632" i="5"/>
  <c r="F1632" i="5"/>
  <c r="G1631" i="5"/>
  <c r="F1631" i="5"/>
  <c r="G1630" i="5"/>
  <c r="F1630" i="5"/>
  <c r="G1629" i="5"/>
  <c r="F1629" i="5"/>
  <c r="G1628" i="5"/>
  <c r="F1628" i="5"/>
  <c r="G1627" i="5"/>
  <c r="F1627" i="5"/>
  <c r="G1626" i="5"/>
  <c r="F1626" i="5"/>
  <c r="G1625" i="5"/>
  <c r="F1625" i="5"/>
  <c r="G1624" i="5"/>
  <c r="F1624" i="5"/>
  <c r="G1623" i="5"/>
  <c r="F1623" i="5"/>
  <c r="G1622" i="5"/>
  <c r="F1622" i="5"/>
  <c r="G1621" i="5"/>
  <c r="F1621" i="5"/>
  <c r="G1620" i="5"/>
  <c r="F1620" i="5"/>
  <c r="G1619" i="5"/>
  <c r="F1619" i="5"/>
  <c r="G1618" i="5"/>
  <c r="F1618" i="5"/>
  <c r="G1617" i="5"/>
  <c r="F1617" i="5"/>
  <c r="G1616" i="5"/>
  <c r="F1616" i="5"/>
  <c r="G1615" i="5"/>
  <c r="F1615" i="5"/>
  <c r="G1614" i="5"/>
  <c r="F1614" i="5"/>
  <c r="G1613" i="5"/>
  <c r="F1613" i="5"/>
  <c r="G1612" i="5"/>
  <c r="F1612" i="5"/>
  <c r="G1611" i="5"/>
  <c r="F1611" i="5"/>
  <c r="G1610" i="5"/>
  <c r="F1610" i="5"/>
  <c r="G1609" i="5"/>
  <c r="F1609" i="5"/>
  <c r="G1608" i="5"/>
  <c r="F1608" i="5"/>
  <c r="G1607" i="5"/>
  <c r="F1607" i="5"/>
  <c r="G1606" i="5"/>
  <c r="F1606" i="5"/>
  <c r="G1605" i="5"/>
  <c r="F1605" i="5"/>
  <c r="G1604" i="5"/>
  <c r="F1604" i="5"/>
  <c r="G1603" i="5"/>
  <c r="F1603" i="5"/>
  <c r="G1602" i="5"/>
  <c r="F1602" i="5"/>
  <c r="G1601" i="5"/>
  <c r="F1601" i="5"/>
  <c r="G1600" i="5"/>
  <c r="F1600" i="5"/>
  <c r="G1599" i="5"/>
  <c r="F1599" i="5"/>
  <c r="G1598" i="5"/>
  <c r="F1598" i="5"/>
  <c r="G1597" i="5"/>
  <c r="F1597" i="5"/>
  <c r="G1596" i="5"/>
  <c r="F1596" i="5"/>
  <c r="G1595" i="5"/>
  <c r="F1595" i="5"/>
  <c r="G1594" i="5"/>
  <c r="F1594" i="5"/>
  <c r="G1593" i="5"/>
  <c r="F1593" i="5"/>
  <c r="G1592" i="5"/>
  <c r="F1592" i="5"/>
  <c r="G1591" i="5"/>
  <c r="F1591" i="5"/>
  <c r="G1590" i="5"/>
  <c r="F1590" i="5"/>
  <c r="G1589" i="5"/>
  <c r="F1589" i="5"/>
  <c r="G1588" i="5"/>
  <c r="F1588" i="5"/>
  <c r="G1587" i="5"/>
  <c r="F1587" i="5"/>
  <c r="G1586" i="5"/>
  <c r="F1586" i="5"/>
  <c r="G1585" i="5"/>
  <c r="F1585" i="5"/>
  <c r="G1584" i="5"/>
  <c r="F1584" i="5"/>
  <c r="G1583" i="5"/>
  <c r="F1583" i="5"/>
  <c r="G1582" i="5"/>
  <c r="F1582" i="5"/>
  <c r="G1581" i="5"/>
  <c r="F1581" i="5"/>
  <c r="G1580" i="5"/>
  <c r="F1580" i="5"/>
  <c r="G1579" i="5"/>
  <c r="F1579" i="5"/>
  <c r="G1578" i="5"/>
  <c r="F1578" i="5"/>
  <c r="G1577" i="5"/>
  <c r="F1577" i="5"/>
  <c r="G1576" i="5"/>
  <c r="F1576" i="5"/>
  <c r="G1575" i="5"/>
  <c r="F1575" i="5"/>
  <c r="G1574" i="5"/>
  <c r="F1574" i="5"/>
  <c r="G1573" i="5"/>
  <c r="F1573" i="5"/>
  <c r="G1572" i="5"/>
  <c r="F1572" i="5"/>
  <c r="G1571" i="5"/>
  <c r="F1571" i="5"/>
  <c r="G1570" i="5"/>
  <c r="F1570" i="5"/>
  <c r="G1569" i="5"/>
  <c r="F1569" i="5"/>
  <c r="G1568" i="5"/>
  <c r="F1568" i="5"/>
  <c r="G1567" i="5"/>
  <c r="F1567" i="5"/>
  <c r="G1566" i="5"/>
  <c r="F1566" i="5"/>
  <c r="G1565" i="5"/>
  <c r="F1565" i="5"/>
  <c r="G1564" i="5"/>
  <c r="F1564" i="5"/>
  <c r="G1563" i="5"/>
  <c r="F1563" i="5"/>
  <c r="G1562" i="5"/>
  <c r="F1562" i="5"/>
  <c r="G1561" i="5"/>
  <c r="F1561" i="5"/>
  <c r="G1560" i="5"/>
  <c r="F1560" i="5"/>
  <c r="G1559" i="5"/>
  <c r="F1559" i="5"/>
  <c r="G1558" i="5"/>
  <c r="F1558" i="5"/>
  <c r="G1557" i="5"/>
  <c r="F1557" i="5"/>
  <c r="G1556" i="5"/>
  <c r="F1556" i="5"/>
  <c r="G1555" i="5"/>
  <c r="F1555" i="5"/>
  <c r="G1554" i="5"/>
  <c r="F1554" i="5"/>
  <c r="G1553" i="5"/>
  <c r="F1553" i="5"/>
  <c r="G1552" i="5"/>
  <c r="F1552" i="5"/>
  <c r="G1551" i="5"/>
  <c r="F1551" i="5"/>
  <c r="G1550" i="5"/>
  <c r="F1550" i="5"/>
  <c r="G1549" i="5"/>
  <c r="F1549" i="5"/>
  <c r="G1548" i="5"/>
  <c r="F1548" i="5"/>
  <c r="G1547" i="5"/>
  <c r="F1547" i="5"/>
  <c r="G1546" i="5"/>
  <c r="F1546" i="5"/>
  <c r="G1545" i="5"/>
  <c r="F1545" i="5"/>
  <c r="G1544" i="5"/>
  <c r="F1544" i="5"/>
  <c r="G1543" i="5"/>
  <c r="F1543" i="5"/>
  <c r="G1542" i="5"/>
  <c r="F1542" i="5"/>
  <c r="G1541" i="5"/>
  <c r="F1541" i="5"/>
  <c r="G1540" i="5"/>
  <c r="F1540" i="5"/>
  <c r="G1539" i="5"/>
  <c r="F1539" i="5"/>
  <c r="G1538" i="5"/>
  <c r="F1538" i="5"/>
  <c r="G1537" i="5"/>
  <c r="F1537" i="5"/>
  <c r="G1536" i="5"/>
  <c r="F1536" i="5"/>
  <c r="G1535" i="5"/>
  <c r="F1535" i="5"/>
  <c r="G1534" i="5"/>
  <c r="F1534" i="5"/>
  <c r="G1533" i="5"/>
  <c r="F1533" i="5"/>
  <c r="G1532" i="5"/>
  <c r="F1532" i="5"/>
  <c r="G1531" i="5"/>
  <c r="F1531" i="5"/>
  <c r="G1530" i="5"/>
  <c r="F1530" i="5"/>
  <c r="G1529" i="5"/>
  <c r="F1529" i="5"/>
  <c r="G1528" i="5"/>
  <c r="F1528" i="5"/>
  <c r="G1527" i="5"/>
  <c r="F1527" i="5"/>
  <c r="G1526" i="5"/>
  <c r="F1526" i="5"/>
  <c r="G1525" i="5"/>
  <c r="F1525" i="5"/>
  <c r="G1524" i="5"/>
  <c r="F1524" i="5"/>
  <c r="G1523" i="5"/>
  <c r="F1523" i="5"/>
  <c r="G1522" i="5"/>
  <c r="F1522" i="5"/>
  <c r="G1521" i="5"/>
  <c r="F1521" i="5"/>
  <c r="G1520" i="5"/>
  <c r="F1520" i="5"/>
  <c r="G1519" i="5"/>
  <c r="F1519" i="5"/>
  <c r="G1518" i="5"/>
  <c r="F1518" i="5"/>
  <c r="G1517" i="5"/>
  <c r="F1517" i="5"/>
  <c r="G1516" i="5"/>
  <c r="F1516" i="5"/>
  <c r="G1515" i="5"/>
  <c r="F1515" i="5"/>
  <c r="G1514" i="5"/>
  <c r="F1514" i="5"/>
  <c r="G1513" i="5"/>
  <c r="F1513" i="5"/>
  <c r="G1512" i="5"/>
  <c r="F1512" i="5"/>
  <c r="G1511" i="5"/>
  <c r="F1511" i="5"/>
  <c r="G1510" i="5"/>
  <c r="F1510" i="5"/>
  <c r="G1509" i="5"/>
  <c r="F1509" i="5"/>
  <c r="G1508" i="5"/>
  <c r="F1508" i="5"/>
  <c r="G1507" i="5"/>
  <c r="F1507" i="5"/>
  <c r="G1506" i="5"/>
  <c r="F1506" i="5"/>
  <c r="G1505" i="5"/>
  <c r="F1505" i="5"/>
  <c r="G1504" i="5"/>
  <c r="F1504" i="5"/>
  <c r="G1503" i="5"/>
  <c r="F1503" i="5"/>
  <c r="G1502" i="5"/>
  <c r="F1502" i="5"/>
  <c r="G1501" i="5"/>
  <c r="F1501" i="5"/>
  <c r="G1500" i="5"/>
  <c r="F1500" i="5"/>
  <c r="G1499" i="5"/>
  <c r="F1499" i="5"/>
  <c r="G1498" i="5"/>
  <c r="F1498" i="5"/>
  <c r="G1497" i="5"/>
  <c r="F1497" i="5"/>
  <c r="G1496" i="5"/>
  <c r="F1496" i="5"/>
  <c r="G1495" i="5"/>
  <c r="F1495" i="5"/>
  <c r="G1494" i="5"/>
  <c r="F1494" i="5"/>
  <c r="G1493" i="5"/>
  <c r="F1493" i="5"/>
  <c r="G1492" i="5"/>
  <c r="F1492" i="5"/>
  <c r="G1491" i="5"/>
  <c r="F1491" i="5"/>
  <c r="G1490" i="5"/>
  <c r="F1490" i="5"/>
  <c r="G1489" i="5"/>
  <c r="F1489" i="5"/>
  <c r="G1488" i="5"/>
  <c r="F1488" i="5"/>
  <c r="G1487" i="5"/>
  <c r="F1487" i="5"/>
  <c r="G1486" i="5"/>
  <c r="F1486" i="5"/>
  <c r="G1485" i="5"/>
  <c r="F1485" i="5"/>
  <c r="G1484" i="5"/>
  <c r="F1484" i="5"/>
  <c r="G1483" i="5"/>
  <c r="F1483" i="5"/>
  <c r="G1482" i="5"/>
  <c r="F1482" i="5"/>
  <c r="G1481" i="5"/>
  <c r="F1481" i="5"/>
  <c r="G1480" i="5"/>
  <c r="F1480" i="5"/>
  <c r="G1479" i="5"/>
  <c r="F1479" i="5"/>
  <c r="G1478" i="5"/>
  <c r="F1478" i="5"/>
  <c r="G1477" i="5"/>
  <c r="F1477" i="5"/>
  <c r="G1476" i="5"/>
  <c r="F1476" i="5"/>
  <c r="G1475" i="5"/>
  <c r="F1475" i="5"/>
  <c r="G1474" i="5"/>
  <c r="F1474" i="5"/>
  <c r="G1473" i="5"/>
  <c r="F1473" i="5"/>
  <c r="G1472" i="5"/>
  <c r="F1472" i="5"/>
  <c r="G1471" i="5"/>
  <c r="F1471" i="5"/>
  <c r="G1470" i="5"/>
  <c r="F1470" i="5"/>
  <c r="G1469" i="5"/>
  <c r="F1469" i="5"/>
  <c r="G1468" i="5"/>
  <c r="F1468" i="5"/>
  <c r="G1467" i="5"/>
  <c r="F1467" i="5"/>
  <c r="G1466" i="5"/>
  <c r="F1466" i="5"/>
  <c r="G1465" i="5"/>
  <c r="F1465" i="5"/>
  <c r="G1464" i="5"/>
  <c r="F1464" i="5"/>
  <c r="G1463" i="5"/>
  <c r="F1463" i="5"/>
  <c r="G1462" i="5"/>
  <c r="F1462" i="5"/>
  <c r="G1461" i="5"/>
  <c r="F1461" i="5"/>
  <c r="G1460" i="5"/>
  <c r="F1460" i="5"/>
  <c r="G1459" i="5"/>
  <c r="F1459" i="5"/>
  <c r="G1458" i="5"/>
  <c r="F1458" i="5"/>
  <c r="G1457" i="5"/>
  <c r="F1457" i="5"/>
  <c r="G1456" i="5"/>
  <c r="F1456" i="5"/>
  <c r="G1455" i="5"/>
  <c r="F1455" i="5"/>
  <c r="G1454" i="5"/>
  <c r="F1454" i="5"/>
  <c r="G1453" i="5"/>
  <c r="F1453" i="5"/>
  <c r="G1452" i="5"/>
  <c r="F1452" i="5"/>
  <c r="G1451" i="5"/>
  <c r="F1451" i="5"/>
  <c r="G1450" i="5"/>
  <c r="F1450" i="5"/>
  <c r="G1449" i="5"/>
  <c r="F1449" i="5"/>
  <c r="G1448" i="5"/>
  <c r="F1448" i="5"/>
  <c r="G1447" i="5"/>
  <c r="F1447" i="5"/>
  <c r="G1446" i="5"/>
  <c r="F1446" i="5"/>
  <c r="G1445" i="5"/>
  <c r="F1445" i="5"/>
  <c r="G1444" i="5"/>
  <c r="F1444" i="5"/>
  <c r="G1443" i="5"/>
  <c r="F1443" i="5"/>
  <c r="G1442" i="5"/>
  <c r="F1442" i="5"/>
  <c r="G1441" i="5"/>
  <c r="F1441" i="5"/>
  <c r="G1440" i="5"/>
  <c r="F1440" i="5"/>
  <c r="G1439" i="5"/>
  <c r="F1439" i="5"/>
  <c r="G1438" i="5"/>
  <c r="F1438" i="5"/>
  <c r="G1437" i="5"/>
  <c r="F1437" i="5"/>
  <c r="G1436" i="5"/>
  <c r="F1436" i="5"/>
  <c r="G1435" i="5"/>
  <c r="F1435" i="5"/>
  <c r="G1434" i="5"/>
  <c r="F1434" i="5"/>
  <c r="G1433" i="5"/>
  <c r="F1433" i="5"/>
  <c r="G1432" i="5"/>
  <c r="F1432" i="5"/>
  <c r="G1431" i="5"/>
  <c r="F1431" i="5"/>
  <c r="G1430" i="5"/>
  <c r="F1430" i="5"/>
  <c r="G1429" i="5"/>
  <c r="F1429" i="5"/>
  <c r="G1428" i="5"/>
  <c r="F1428" i="5"/>
  <c r="G1427" i="5"/>
  <c r="F1427" i="5"/>
  <c r="G1426" i="5"/>
  <c r="F1426" i="5"/>
  <c r="G1425" i="5"/>
  <c r="F1425" i="5"/>
  <c r="G1424" i="5"/>
  <c r="F1424" i="5"/>
  <c r="G1423" i="5"/>
  <c r="F1423" i="5"/>
  <c r="G1422" i="5"/>
  <c r="F1422" i="5"/>
  <c r="G1421" i="5"/>
  <c r="F1421" i="5"/>
  <c r="G1420" i="5"/>
  <c r="F1420" i="5"/>
  <c r="G1419" i="5"/>
  <c r="F1419" i="5"/>
  <c r="G1418" i="5"/>
  <c r="F1418" i="5"/>
  <c r="G1417" i="5"/>
  <c r="F1417" i="5"/>
  <c r="G1416" i="5"/>
  <c r="F1416" i="5"/>
  <c r="G1415" i="5"/>
  <c r="F1415" i="5"/>
  <c r="G1414" i="5"/>
  <c r="F1414" i="5"/>
  <c r="G1413" i="5"/>
  <c r="F1413" i="5"/>
  <c r="G1412" i="5"/>
  <c r="F1412" i="5"/>
  <c r="G1411" i="5"/>
  <c r="F1411" i="5"/>
  <c r="G1410" i="5"/>
  <c r="F1410" i="5"/>
  <c r="G1409" i="5"/>
  <c r="F1409" i="5"/>
  <c r="G1408" i="5"/>
  <c r="F1408" i="5"/>
  <c r="G1407" i="5"/>
  <c r="F1407" i="5"/>
  <c r="G1406" i="5"/>
  <c r="F1406" i="5"/>
  <c r="G1405" i="5"/>
  <c r="F1405" i="5"/>
  <c r="G1404" i="5"/>
  <c r="F1404" i="5"/>
  <c r="G1403" i="5"/>
  <c r="F1403" i="5"/>
  <c r="G1402" i="5"/>
  <c r="F1402" i="5"/>
  <c r="G1401" i="5"/>
  <c r="F1401" i="5"/>
  <c r="G1400" i="5"/>
  <c r="F1400" i="5"/>
  <c r="G1399" i="5"/>
  <c r="F1399" i="5"/>
  <c r="G1398" i="5"/>
  <c r="F1398" i="5"/>
  <c r="G1397" i="5"/>
  <c r="F1397" i="5"/>
  <c r="G1396" i="5"/>
  <c r="F1396" i="5"/>
  <c r="G1395" i="5"/>
  <c r="F1395" i="5"/>
  <c r="G1394" i="5"/>
  <c r="F1394" i="5"/>
  <c r="G1393" i="5"/>
  <c r="F1393" i="5"/>
  <c r="G1392" i="5"/>
  <c r="F1392" i="5"/>
  <c r="G1391" i="5"/>
  <c r="F1391" i="5"/>
  <c r="G1390" i="5"/>
  <c r="F1390" i="5"/>
  <c r="G1389" i="5"/>
  <c r="F1389" i="5"/>
  <c r="G1388" i="5"/>
  <c r="F1388" i="5"/>
  <c r="G1387" i="5"/>
  <c r="F1387" i="5"/>
  <c r="G1386" i="5"/>
  <c r="F1386" i="5"/>
  <c r="G1385" i="5"/>
  <c r="F1385" i="5"/>
  <c r="G1384" i="5"/>
  <c r="F1384" i="5"/>
  <c r="G1383" i="5"/>
  <c r="F1383" i="5"/>
  <c r="G1382" i="5"/>
  <c r="F1382" i="5"/>
  <c r="G1381" i="5"/>
  <c r="F1381" i="5"/>
  <c r="G1380" i="5"/>
  <c r="F1380" i="5"/>
  <c r="G1379" i="5"/>
  <c r="F1379" i="5"/>
  <c r="G1378" i="5"/>
  <c r="F1378" i="5"/>
  <c r="G1377" i="5"/>
  <c r="F1377" i="5"/>
  <c r="G1376" i="5"/>
  <c r="F1376" i="5"/>
  <c r="G1375" i="5"/>
  <c r="F1375" i="5"/>
  <c r="G1374" i="5"/>
  <c r="F1374" i="5"/>
  <c r="G1373" i="5"/>
  <c r="F1373" i="5"/>
  <c r="G1372" i="5"/>
  <c r="F1372" i="5"/>
  <c r="G1371" i="5"/>
  <c r="F1371" i="5"/>
  <c r="G1370" i="5"/>
  <c r="F1370" i="5"/>
  <c r="G1369" i="5"/>
  <c r="F1369" i="5"/>
  <c r="G1368" i="5"/>
  <c r="F1368" i="5"/>
  <c r="G1367" i="5"/>
  <c r="F1367" i="5"/>
  <c r="G1366" i="5"/>
  <c r="F1366" i="5"/>
  <c r="G1365" i="5"/>
  <c r="F1365" i="5"/>
  <c r="G1364" i="5"/>
  <c r="F1364" i="5"/>
  <c r="G1363" i="5"/>
  <c r="F1363" i="5"/>
  <c r="G1362" i="5"/>
  <c r="F1362" i="5"/>
  <c r="G1361" i="5"/>
  <c r="F1361" i="5"/>
  <c r="G1360" i="5"/>
  <c r="F1360" i="5"/>
  <c r="G1359" i="5"/>
  <c r="F1359" i="5"/>
  <c r="G1358" i="5"/>
  <c r="F1358" i="5"/>
  <c r="G1357" i="5"/>
  <c r="F1357" i="5"/>
  <c r="G1356" i="5"/>
  <c r="F1356" i="5"/>
  <c r="G1355" i="5"/>
  <c r="F1355" i="5"/>
  <c r="G1354" i="5"/>
  <c r="F1354" i="5"/>
  <c r="G1353" i="5"/>
  <c r="F1353" i="5"/>
  <c r="G1352" i="5"/>
  <c r="F1352" i="5"/>
  <c r="G1351" i="5"/>
  <c r="F1351" i="5"/>
  <c r="G1350" i="5"/>
  <c r="F1350" i="5"/>
  <c r="G1349" i="5"/>
  <c r="F1349" i="5"/>
  <c r="G1348" i="5"/>
  <c r="F1348" i="5"/>
  <c r="G1347" i="5"/>
  <c r="F1347" i="5"/>
  <c r="G1346" i="5"/>
  <c r="F1346" i="5"/>
  <c r="G1345" i="5"/>
  <c r="F1345" i="5"/>
  <c r="G1344" i="5"/>
  <c r="F1344" i="5"/>
  <c r="G1343" i="5"/>
  <c r="F1343" i="5"/>
  <c r="G1342" i="5"/>
  <c r="F1342" i="5"/>
  <c r="G1341" i="5"/>
  <c r="F1341" i="5"/>
  <c r="G1340" i="5"/>
  <c r="F1340" i="5"/>
  <c r="G1339" i="5"/>
  <c r="F1339" i="5"/>
  <c r="G1338" i="5"/>
  <c r="F1338" i="5"/>
  <c r="G1337" i="5"/>
  <c r="F1337" i="5"/>
  <c r="G1336" i="5"/>
  <c r="F1336" i="5"/>
  <c r="G1335" i="5"/>
  <c r="F1335" i="5"/>
  <c r="G1334" i="5"/>
  <c r="F1334" i="5"/>
  <c r="G1333" i="5"/>
  <c r="F1333" i="5"/>
  <c r="G1332" i="5"/>
  <c r="F1332" i="5"/>
  <c r="G1331" i="5"/>
  <c r="F1331" i="5"/>
  <c r="G1330" i="5"/>
  <c r="F1330" i="5"/>
  <c r="G1329" i="5"/>
  <c r="F1329" i="5"/>
  <c r="G1328" i="5"/>
  <c r="F1328" i="5"/>
  <c r="G1327" i="5"/>
  <c r="F1327" i="5"/>
  <c r="G1326" i="5"/>
  <c r="F1326" i="5"/>
  <c r="G1325" i="5"/>
  <c r="F1325" i="5"/>
  <c r="G1324" i="5"/>
  <c r="F1324" i="5"/>
  <c r="G1323" i="5"/>
  <c r="F1323" i="5"/>
  <c r="G1322" i="5"/>
  <c r="F1322" i="5"/>
  <c r="G1321" i="5"/>
  <c r="F1321" i="5"/>
  <c r="G1320" i="5"/>
  <c r="F1320" i="5"/>
  <c r="G1319" i="5"/>
  <c r="F1319" i="5"/>
  <c r="G1318" i="5"/>
  <c r="F1318" i="5"/>
  <c r="G1317" i="5"/>
  <c r="F1317" i="5"/>
  <c r="G1316" i="5"/>
  <c r="F1316" i="5"/>
  <c r="G1315" i="5"/>
  <c r="F1315" i="5"/>
  <c r="G1314" i="5"/>
  <c r="F1314" i="5"/>
  <c r="G1313" i="5"/>
  <c r="F1313" i="5"/>
  <c r="G1312" i="5"/>
  <c r="F1312" i="5"/>
  <c r="G1311" i="5"/>
  <c r="F1311" i="5"/>
  <c r="G1310" i="5"/>
  <c r="F1310" i="5"/>
  <c r="G1309" i="5"/>
  <c r="F1309" i="5"/>
  <c r="G1308" i="5"/>
  <c r="F1308" i="5"/>
  <c r="G1307" i="5"/>
  <c r="F1307" i="5"/>
  <c r="G1306" i="5"/>
  <c r="F1306" i="5"/>
  <c r="G1305" i="5"/>
  <c r="F1305" i="5"/>
  <c r="G1304" i="5"/>
  <c r="F1304" i="5"/>
  <c r="G1303" i="5"/>
  <c r="F1303" i="5"/>
  <c r="G1302" i="5"/>
  <c r="F1302" i="5"/>
  <c r="G1301" i="5"/>
  <c r="F1301" i="5"/>
  <c r="G1300" i="5"/>
  <c r="F1300" i="5"/>
  <c r="G1299" i="5"/>
  <c r="F1299" i="5"/>
  <c r="G1298" i="5"/>
  <c r="F1298" i="5"/>
  <c r="G1297" i="5"/>
  <c r="F1297" i="5"/>
  <c r="G1296" i="5"/>
  <c r="F1296" i="5"/>
  <c r="G1295" i="5"/>
  <c r="F1295" i="5"/>
  <c r="G1294" i="5"/>
  <c r="F1294" i="5"/>
  <c r="G1293" i="5"/>
  <c r="F1293" i="5"/>
  <c r="G1292" i="5"/>
  <c r="F1292" i="5"/>
  <c r="G1291" i="5"/>
  <c r="F1291" i="5"/>
  <c r="G1290" i="5"/>
  <c r="F1290" i="5"/>
  <c r="G1289" i="5"/>
  <c r="F1289" i="5"/>
  <c r="G1288" i="5"/>
  <c r="F1288" i="5"/>
  <c r="G1287" i="5"/>
  <c r="F1287" i="5"/>
  <c r="G1286" i="5"/>
  <c r="F1286" i="5"/>
  <c r="G1285" i="5"/>
  <c r="F1285" i="5"/>
  <c r="G1284" i="5"/>
  <c r="F1284" i="5"/>
  <c r="G1283" i="5"/>
  <c r="F1283" i="5"/>
  <c r="G1282" i="5"/>
  <c r="F1282" i="5"/>
  <c r="G1281" i="5"/>
  <c r="F1281" i="5"/>
  <c r="G1280" i="5"/>
  <c r="F1280" i="5"/>
  <c r="G1279" i="5"/>
  <c r="F1279" i="5"/>
  <c r="G1278" i="5"/>
  <c r="F1278" i="5"/>
  <c r="G1277" i="5"/>
  <c r="F1277" i="5"/>
  <c r="G1276" i="5"/>
  <c r="F1276" i="5"/>
  <c r="G1275" i="5"/>
  <c r="F1275" i="5"/>
  <c r="G1274" i="5"/>
  <c r="F1274" i="5"/>
  <c r="G1273" i="5"/>
  <c r="F1273" i="5"/>
  <c r="G1272" i="5"/>
  <c r="F1272" i="5"/>
  <c r="G1271" i="5"/>
  <c r="F1271" i="5"/>
  <c r="G1270" i="5"/>
  <c r="F1270" i="5"/>
  <c r="G1269" i="5"/>
  <c r="F1269" i="5"/>
  <c r="G1268" i="5"/>
  <c r="F1268" i="5"/>
  <c r="G1267" i="5"/>
  <c r="F1267" i="5"/>
  <c r="G1266" i="5"/>
  <c r="F1266" i="5"/>
  <c r="G1265" i="5"/>
  <c r="F1265" i="5"/>
  <c r="G1264" i="5"/>
  <c r="F1264" i="5"/>
  <c r="G1263" i="5"/>
  <c r="F1263" i="5"/>
  <c r="G1262" i="5"/>
  <c r="F1262" i="5"/>
  <c r="G1261" i="5"/>
  <c r="F1261" i="5"/>
  <c r="G1260" i="5"/>
  <c r="F1260" i="5"/>
  <c r="G1259" i="5"/>
  <c r="F1259" i="5"/>
  <c r="G1258" i="5"/>
  <c r="F1258" i="5"/>
  <c r="G1257" i="5"/>
  <c r="F1257" i="5"/>
  <c r="G1256" i="5"/>
  <c r="F1256" i="5"/>
  <c r="G1255" i="5"/>
  <c r="F1255" i="5"/>
  <c r="G1254" i="5"/>
  <c r="F1254" i="5"/>
  <c r="G1253" i="5"/>
  <c r="F1253" i="5"/>
  <c r="G1252" i="5"/>
  <c r="F1252" i="5"/>
  <c r="G1251" i="5"/>
  <c r="F1251" i="5"/>
  <c r="G1250" i="5"/>
  <c r="F1250" i="5"/>
  <c r="G1249" i="5"/>
  <c r="F1249" i="5"/>
  <c r="G1248" i="5"/>
  <c r="F1248" i="5"/>
  <c r="G1247" i="5"/>
  <c r="F1247" i="5"/>
  <c r="G1246" i="5"/>
  <c r="F1246" i="5"/>
  <c r="G1245" i="5"/>
  <c r="F1245" i="5"/>
  <c r="G1244" i="5"/>
  <c r="F1244" i="5"/>
  <c r="G1243" i="5"/>
  <c r="F1243" i="5"/>
  <c r="G1242" i="5"/>
  <c r="F1242" i="5"/>
  <c r="G1241" i="5"/>
  <c r="F1241" i="5"/>
  <c r="G1240" i="5"/>
  <c r="F1240" i="5"/>
  <c r="G1239" i="5"/>
  <c r="F1239" i="5"/>
  <c r="G1238" i="5"/>
  <c r="F1238" i="5"/>
  <c r="G1237" i="5"/>
  <c r="F1237" i="5"/>
  <c r="G1236" i="5"/>
  <c r="F1236" i="5"/>
  <c r="G1235" i="5"/>
  <c r="F1235" i="5"/>
  <c r="G1234" i="5"/>
  <c r="F1234" i="5"/>
  <c r="G1233" i="5"/>
  <c r="F1233" i="5"/>
  <c r="G1232" i="5"/>
  <c r="F1232" i="5"/>
  <c r="G1231" i="5"/>
  <c r="F1231" i="5"/>
  <c r="G1230" i="5"/>
  <c r="F1230" i="5"/>
  <c r="G1229" i="5"/>
  <c r="F1229" i="5"/>
  <c r="G1228" i="5"/>
  <c r="F1228" i="5"/>
  <c r="G1227" i="5"/>
  <c r="F1227" i="5"/>
  <c r="G1226" i="5"/>
  <c r="F1226" i="5"/>
  <c r="G1225" i="5"/>
  <c r="F1225" i="5"/>
  <c r="G1224" i="5"/>
  <c r="F1224" i="5"/>
  <c r="G1223" i="5"/>
  <c r="F1223" i="5"/>
  <c r="G1222" i="5"/>
  <c r="F1222" i="5"/>
  <c r="G1221" i="5"/>
  <c r="F1221" i="5"/>
  <c r="G1220" i="5"/>
  <c r="F1220" i="5"/>
  <c r="G1219" i="5"/>
  <c r="F1219" i="5"/>
  <c r="G1218" i="5"/>
  <c r="F1218" i="5"/>
  <c r="G1217" i="5"/>
  <c r="F1217" i="5"/>
  <c r="G1216" i="5"/>
  <c r="F1216" i="5"/>
  <c r="G1215" i="5"/>
  <c r="F1215" i="5"/>
  <c r="G1214" i="5"/>
  <c r="F1214" i="5"/>
  <c r="G1213" i="5"/>
  <c r="F1213" i="5"/>
  <c r="G1212" i="5"/>
  <c r="F1212" i="5"/>
  <c r="G1211" i="5"/>
  <c r="F1211" i="5"/>
  <c r="G1210" i="5"/>
  <c r="F1210" i="5"/>
  <c r="G1209" i="5"/>
  <c r="F1209" i="5"/>
  <c r="G1208" i="5"/>
  <c r="F1208" i="5"/>
  <c r="G1207" i="5"/>
  <c r="F1207" i="5"/>
  <c r="G1206" i="5"/>
  <c r="F1206" i="5"/>
  <c r="G1205" i="5"/>
  <c r="F1205" i="5"/>
  <c r="G1204" i="5"/>
  <c r="F1204" i="5"/>
  <c r="G1203" i="5"/>
  <c r="F1203" i="5"/>
  <c r="G1202" i="5"/>
  <c r="F1202" i="5"/>
  <c r="G1201" i="5"/>
  <c r="F1201" i="5"/>
  <c r="G1200" i="5"/>
  <c r="F1200" i="5"/>
  <c r="G1199" i="5"/>
  <c r="F1199" i="5"/>
  <c r="G1198" i="5"/>
  <c r="F1198" i="5"/>
  <c r="G1197" i="5"/>
  <c r="F1197" i="5"/>
  <c r="G1196" i="5"/>
  <c r="F1196" i="5"/>
  <c r="G1195" i="5"/>
  <c r="F1195" i="5"/>
  <c r="G1194" i="5"/>
  <c r="F1194" i="5"/>
  <c r="G1193" i="5"/>
  <c r="F1193" i="5"/>
  <c r="G1192" i="5"/>
  <c r="F1192" i="5"/>
  <c r="G1191" i="5"/>
  <c r="F1191" i="5"/>
  <c r="G1190" i="5"/>
  <c r="F1190" i="5"/>
  <c r="G1189" i="5"/>
  <c r="F1189" i="5"/>
  <c r="G1188" i="5"/>
  <c r="F1188" i="5"/>
  <c r="G1187" i="5"/>
  <c r="F1187" i="5"/>
  <c r="G1186" i="5"/>
  <c r="F1186" i="5"/>
  <c r="G1185" i="5"/>
  <c r="F1185" i="5"/>
  <c r="G1184" i="5"/>
  <c r="F1184" i="5"/>
  <c r="G1183" i="5"/>
  <c r="F1183" i="5"/>
  <c r="G1182" i="5"/>
  <c r="F1182" i="5"/>
  <c r="G1181" i="5"/>
  <c r="F1181" i="5"/>
  <c r="G1180" i="5"/>
  <c r="F1180" i="5"/>
  <c r="G1179" i="5"/>
  <c r="F1179" i="5"/>
  <c r="G1178" i="5"/>
  <c r="F1178" i="5"/>
  <c r="G1177" i="5"/>
  <c r="F1177" i="5"/>
  <c r="G1176" i="5"/>
  <c r="F1176" i="5"/>
  <c r="G1175" i="5"/>
  <c r="F1175" i="5"/>
  <c r="G1174" i="5"/>
  <c r="F1174" i="5"/>
  <c r="G1173" i="5"/>
  <c r="F1173" i="5"/>
  <c r="G1172" i="5"/>
  <c r="F1172" i="5"/>
  <c r="G1171" i="5"/>
  <c r="F1171" i="5"/>
  <c r="G1170" i="5"/>
  <c r="F1170" i="5"/>
  <c r="G1169" i="5"/>
  <c r="F1169" i="5"/>
  <c r="G1168" i="5"/>
  <c r="F1168" i="5"/>
  <c r="G1167" i="5"/>
  <c r="F1167" i="5"/>
  <c r="G1166" i="5"/>
  <c r="F1166" i="5"/>
  <c r="G1165" i="5"/>
  <c r="F1165" i="5"/>
  <c r="G1164" i="5"/>
  <c r="F1164" i="5"/>
  <c r="G1163" i="5"/>
  <c r="F1163" i="5"/>
  <c r="G1162" i="5"/>
  <c r="F1162" i="5"/>
  <c r="G1161" i="5"/>
  <c r="F1161" i="5"/>
  <c r="G1160" i="5"/>
  <c r="F1160" i="5"/>
  <c r="G1159" i="5"/>
  <c r="F1159" i="5"/>
  <c r="G1158" i="5"/>
  <c r="F1158" i="5"/>
  <c r="G1157" i="5"/>
  <c r="F1157" i="5"/>
  <c r="G1156" i="5"/>
  <c r="F1156" i="5"/>
  <c r="G1155" i="5"/>
  <c r="F1155" i="5"/>
  <c r="G1154" i="5"/>
  <c r="F1154" i="5"/>
  <c r="G1153" i="5"/>
  <c r="F1153" i="5"/>
  <c r="G1152" i="5"/>
  <c r="F1152" i="5"/>
  <c r="G1151" i="5"/>
  <c r="F1151" i="5"/>
  <c r="G1150" i="5"/>
  <c r="F1150" i="5"/>
  <c r="G1149" i="5"/>
  <c r="F1149" i="5"/>
  <c r="G1148" i="5"/>
  <c r="F1148" i="5"/>
  <c r="G1147" i="5"/>
  <c r="F1147" i="5"/>
  <c r="G1146" i="5"/>
  <c r="F1146" i="5"/>
  <c r="G1145" i="5"/>
  <c r="F1145" i="5"/>
  <c r="G1144" i="5"/>
  <c r="F1144" i="5"/>
  <c r="G1143" i="5"/>
  <c r="F1143" i="5"/>
  <c r="G1142" i="5"/>
  <c r="F1142" i="5"/>
  <c r="G1141" i="5"/>
  <c r="F1141" i="5"/>
  <c r="G1140" i="5"/>
  <c r="F1140" i="5"/>
  <c r="G1139" i="5"/>
  <c r="F1139" i="5"/>
  <c r="G1138" i="5"/>
  <c r="F1138" i="5"/>
  <c r="G1137" i="5"/>
  <c r="F1137" i="5"/>
  <c r="G1136" i="5"/>
  <c r="F1136" i="5"/>
  <c r="G1135" i="5"/>
  <c r="F1135" i="5"/>
  <c r="G1134" i="5"/>
  <c r="F1134" i="5"/>
  <c r="G1133" i="5"/>
  <c r="F1133" i="5"/>
  <c r="G1132" i="5"/>
  <c r="F1132" i="5"/>
  <c r="G1131" i="5"/>
  <c r="F1131" i="5"/>
  <c r="G1130" i="5"/>
  <c r="F1130" i="5"/>
  <c r="G1129" i="5"/>
  <c r="F1129" i="5"/>
  <c r="G1128" i="5"/>
  <c r="F1128" i="5"/>
  <c r="G1127" i="5"/>
  <c r="F1127" i="5"/>
  <c r="G1126" i="5"/>
  <c r="F1126" i="5"/>
  <c r="G1125" i="5"/>
  <c r="F1125" i="5"/>
  <c r="G1124" i="5"/>
  <c r="F1124" i="5"/>
  <c r="G1123" i="5"/>
  <c r="F1123" i="5"/>
  <c r="G1122" i="5"/>
  <c r="F1122" i="5"/>
  <c r="G1121" i="5"/>
  <c r="F1121" i="5"/>
  <c r="G1120" i="5"/>
  <c r="F1120" i="5"/>
  <c r="G1119" i="5"/>
  <c r="F1119" i="5"/>
  <c r="G1118" i="5"/>
  <c r="F1118" i="5"/>
  <c r="G1117" i="5"/>
  <c r="F1117" i="5"/>
  <c r="G1116" i="5"/>
  <c r="F1116" i="5"/>
  <c r="G1115" i="5"/>
  <c r="F1115" i="5"/>
  <c r="G1114" i="5"/>
  <c r="F1114" i="5"/>
  <c r="G1113" i="5"/>
  <c r="F1113" i="5"/>
  <c r="G1112" i="5"/>
  <c r="F1112" i="5"/>
  <c r="G1111" i="5"/>
  <c r="F1111" i="5"/>
  <c r="G1110" i="5"/>
  <c r="F1110" i="5"/>
  <c r="G1109" i="5"/>
  <c r="F1109" i="5"/>
  <c r="G1108" i="5"/>
  <c r="F1108" i="5"/>
  <c r="G1107" i="5"/>
  <c r="F1107" i="5"/>
  <c r="G1106" i="5"/>
  <c r="F1106" i="5"/>
  <c r="G1105" i="5"/>
  <c r="F1105" i="5"/>
  <c r="G1104" i="5"/>
  <c r="F1104" i="5"/>
  <c r="G1103" i="5"/>
  <c r="F1103" i="5"/>
  <c r="G1102" i="5"/>
  <c r="F1102" i="5"/>
  <c r="G1101" i="5"/>
  <c r="F1101" i="5"/>
  <c r="G1100" i="5"/>
  <c r="F1100" i="5"/>
  <c r="G1099" i="5"/>
  <c r="F1099" i="5"/>
  <c r="G1098" i="5"/>
  <c r="F1098" i="5"/>
  <c r="G1097" i="5"/>
  <c r="F1097" i="5"/>
  <c r="G1096" i="5"/>
  <c r="F1096" i="5"/>
  <c r="G1095" i="5"/>
  <c r="F1095" i="5"/>
  <c r="G1094" i="5"/>
  <c r="F1094" i="5"/>
  <c r="G1093" i="5"/>
  <c r="F1093" i="5"/>
  <c r="G1092" i="5"/>
  <c r="F1092" i="5"/>
  <c r="G1091" i="5"/>
  <c r="F1091" i="5"/>
  <c r="G1090" i="5"/>
  <c r="F1090" i="5"/>
  <c r="G1089" i="5"/>
  <c r="F1089" i="5"/>
  <c r="G1088" i="5"/>
  <c r="F1088" i="5"/>
  <c r="G1087" i="5"/>
  <c r="F1087" i="5"/>
  <c r="G1086" i="5"/>
  <c r="F1086" i="5"/>
  <c r="G1085" i="5"/>
  <c r="F1085" i="5"/>
  <c r="G1084" i="5"/>
  <c r="F1084" i="5"/>
  <c r="G1083" i="5"/>
  <c r="F1083" i="5"/>
  <c r="G1082" i="5"/>
  <c r="F1082" i="5"/>
  <c r="G1081" i="5"/>
  <c r="F1081" i="5"/>
  <c r="G1080" i="5"/>
  <c r="F1080" i="5"/>
  <c r="G1079" i="5"/>
  <c r="F1079" i="5"/>
  <c r="G1078" i="5"/>
  <c r="F1078" i="5"/>
  <c r="G1077" i="5"/>
  <c r="F1077" i="5"/>
  <c r="G1076" i="5"/>
  <c r="F1076" i="5"/>
  <c r="G1075" i="5"/>
  <c r="F1075" i="5"/>
  <c r="G1074" i="5"/>
  <c r="F1074" i="5"/>
  <c r="G1073" i="5"/>
  <c r="F1073" i="5"/>
  <c r="G1072" i="5"/>
  <c r="F1072" i="5"/>
  <c r="G1071" i="5"/>
  <c r="F1071" i="5"/>
  <c r="G1070" i="5"/>
  <c r="F1070" i="5"/>
  <c r="G1069" i="5"/>
  <c r="F1069" i="5"/>
  <c r="G1068" i="5"/>
  <c r="F1068" i="5"/>
  <c r="G1067" i="5"/>
  <c r="F1067" i="5"/>
  <c r="G1066" i="5"/>
  <c r="F1066" i="5"/>
  <c r="G1065" i="5"/>
  <c r="F1065" i="5"/>
  <c r="G1064" i="5"/>
  <c r="F1064" i="5"/>
  <c r="G1063" i="5"/>
  <c r="F1063" i="5"/>
  <c r="G1062" i="5"/>
  <c r="F1062" i="5"/>
  <c r="G1061" i="5"/>
  <c r="F1061" i="5"/>
  <c r="G1060" i="5"/>
  <c r="F1060" i="5"/>
  <c r="G1059" i="5"/>
  <c r="F1059" i="5"/>
  <c r="G1058" i="5"/>
  <c r="F1058" i="5"/>
  <c r="G1057" i="5"/>
  <c r="F1057" i="5"/>
  <c r="G1056" i="5"/>
  <c r="F1056" i="5"/>
  <c r="G1055" i="5"/>
  <c r="F1055" i="5"/>
  <c r="G1054" i="5"/>
  <c r="F1054" i="5"/>
  <c r="G1053" i="5"/>
  <c r="F1053" i="5"/>
  <c r="G1052" i="5"/>
  <c r="F1052" i="5"/>
  <c r="G1051" i="5"/>
  <c r="F1051" i="5"/>
  <c r="G1050" i="5"/>
  <c r="F1050" i="5"/>
  <c r="G1049" i="5"/>
  <c r="F1049" i="5"/>
  <c r="G1048" i="5"/>
  <c r="F1048" i="5"/>
  <c r="G1047" i="5"/>
  <c r="F1047" i="5"/>
  <c r="G1046" i="5"/>
  <c r="F1046" i="5"/>
  <c r="G1045" i="5"/>
  <c r="F1045" i="5"/>
  <c r="G1044" i="5"/>
  <c r="F1044" i="5"/>
  <c r="G1043" i="5"/>
  <c r="F1043" i="5"/>
  <c r="G1042" i="5"/>
  <c r="F1042" i="5"/>
  <c r="G1041" i="5"/>
  <c r="F1041" i="5"/>
  <c r="G1040" i="5"/>
  <c r="F1040" i="5"/>
  <c r="G1039" i="5"/>
  <c r="F1039" i="5"/>
  <c r="G1038" i="5"/>
  <c r="F1038" i="5"/>
  <c r="G1037" i="5"/>
  <c r="F1037" i="5"/>
  <c r="G1036" i="5"/>
  <c r="F1036" i="5"/>
  <c r="G1035" i="5"/>
  <c r="F1035" i="5"/>
  <c r="G1034" i="5"/>
  <c r="F1034" i="5"/>
  <c r="G1033" i="5"/>
  <c r="F1033" i="5"/>
  <c r="G1032" i="5"/>
  <c r="F1032" i="5"/>
  <c r="G1031" i="5"/>
  <c r="F1031" i="5"/>
  <c r="G1030" i="5"/>
  <c r="F1030" i="5"/>
  <c r="G1029" i="5"/>
  <c r="F1029" i="5"/>
  <c r="G1028" i="5"/>
  <c r="F1028" i="5"/>
  <c r="G1027" i="5"/>
  <c r="F1027" i="5"/>
  <c r="G1026" i="5"/>
  <c r="F1026" i="5"/>
  <c r="G1025" i="5"/>
  <c r="F1025" i="5"/>
  <c r="G1024" i="5"/>
  <c r="F1024" i="5"/>
  <c r="G1023" i="5"/>
  <c r="F1023" i="5"/>
  <c r="G1022" i="5"/>
  <c r="F1022" i="5"/>
  <c r="G1021" i="5"/>
  <c r="F1021" i="5"/>
  <c r="G1020" i="5"/>
  <c r="F1020" i="5"/>
  <c r="G1019" i="5"/>
  <c r="F1019" i="5"/>
  <c r="G1018" i="5"/>
  <c r="F1018" i="5"/>
  <c r="G1017" i="5"/>
  <c r="F1017" i="5"/>
  <c r="G1016" i="5"/>
  <c r="F1016" i="5"/>
  <c r="G1015" i="5"/>
  <c r="F1015" i="5"/>
  <c r="G1014" i="5"/>
  <c r="F1014" i="5"/>
  <c r="G1013" i="5"/>
  <c r="F1013" i="5"/>
  <c r="G1012" i="5"/>
  <c r="F1012" i="5"/>
  <c r="G1011" i="5"/>
  <c r="F1011" i="5"/>
  <c r="G1010" i="5"/>
  <c r="F1010" i="5"/>
  <c r="G1009" i="5"/>
  <c r="F1009" i="5"/>
  <c r="G1008" i="5"/>
  <c r="F1008" i="5"/>
  <c r="G1007" i="5"/>
  <c r="F1007" i="5"/>
  <c r="G1006" i="5"/>
  <c r="F1006" i="5"/>
  <c r="G1005" i="5"/>
  <c r="F1005" i="5"/>
  <c r="G1004" i="5"/>
  <c r="F1004" i="5"/>
  <c r="G1003" i="5"/>
  <c r="F1003" i="5"/>
  <c r="G1002" i="5"/>
  <c r="F1002" i="5"/>
  <c r="G1001" i="5"/>
  <c r="F1001" i="5"/>
  <c r="G1000" i="5"/>
  <c r="F1000" i="5"/>
  <c r="G999" i="5"/>
  <c r="F999" i="5"/>
  <c r="G998" i="5"/>
  <c r="F998" i="5"/>
  <c r="G997" i="5"/>
  <c r="F997" i="5"/>
  <c r="G996" i="5"/>
  <c r="F996" i="5"/>
  <c r="G995" i="5"/>
  <c r="F995" i="5"/>
  <c r="G994" i="5"/>
  <c r="F994" i="5"/>
  <c r="G993" i="5"/>
  <c r="F993" i="5"/>
  <c r="G992" i="5"/>
  <c r="F992" i="5"/>
  <c r="G991" i="5"/>
  <c r="F991" i="5"/>
  <c r="G990" i="5"/>
  <c r="F990" i="5"/>
  <c r="G989" i="5"/>
  <c r="F989" i="5"/>
  <c r="G988" i="5"/>
  <c r="F988" i="5"/>
  <c r="G987" i="5"/>
  <c r="F987" i="5"/>
  <c r="G986" i="5"/>
  <c r="F986" i="5"/>
  <c r="G985" i="5"/>
  <c r="F985" i="5"/>
  <c r="G984" i="5"/>
  <c r="F984" i="5"/>
  <c r="G983" i="5"/>
  <c r="F983" i="5"/>
  <c r="G982" i="5"/>
  <c r="F982" i="5"/>
  <c r="G981" i="5"/>
  <c r="F981" i="5"/>
  <c r="G980" i="5"/>
  <c r="F980" i="5"/>
  <c r="G979" i="5"/>
  <c r="F979" i="5"/>
  <c r="G978" i="5"/>
  <c r="F978" i="5"/>
  <c r="G977" i="5"/>
  <c r="F977" i="5"/>
  <c r="G976" i="5"/>
  <c r="F976" i="5"/>
  <c r="G975" i="5"/>
  <c r="F975" i="5"/>
  <c r="G974" i="5"/>
  <c r="F974" i="5"/>
  <c r="G973" i="5"/>
  <c r="F973" i="5"/>
  <c r="G972" i="5"/>
  <c r="F972" i="5"/>
  <c r="G971" i="5"/>
  <c r="F971" i="5"/>
  <c r="G970" i="5"/>
  <c r="F970" i="5"/>
  <c r="G969" i="5"/>
  <c r="F969" i="5"/>
  <c r="G968" i="5"/>
  <c r="F968" i="5"/>
  <c r="G967" i="5"/>
  <c r="F967" i="5"/>
  <c r="G966" i="5"/>
  <c r="F966" i="5"/>
  <c r="G965" i="5"/>
  <c r="F965" i="5"/>
  <c r="G964" i="5"/>
  <c r="F964" i="5"/>
  <c r="G963" i="5"/>
  <c r="F963" i="5"/>
  <c r="G962" i="5"/>
  <c r="F962" i="5"/>
  <c r="G961" i="5"/>
  <c r="F961" i="5"/>
  <c r="G960" i="5"/>
  <c r="F960" i="5"/>
  <c r="G959" i="5"/>
  <c r="F959" i="5"/>
  <c r="G958" i="5"/>
  <c r="F958" i="5"/>
  <c r="G957" i="5"/>
  <c r="F957" i="5"/>
  <c r="G956" i="5"/>
  <c r="F956" i="5"/>
  <c r="G955" i="5"/>
  <c r="F955" i="5"/>
  <c r="G954" i="5"/>
  <c r="F954" i="5"/>
  <c r="G953" i="5"/>
  <c r="F953" i="5"/>
  <c r="G952" i="5"/>
  <c r="F952" i="5"/>
  <c r="G951" i="5"/>
  <c r="F951" i="5"/>
  <c r="G950" i="5"/>
  <c r="F950" i="5"/>
  <c r="G949" i="5"/>
  <c r="F949" i="5"/>
  <c r="G948" i="5"/>
  <c r="F948" i="5"/>
  <c r="G947" i="5"/>
  <c r="F947" i="5"/>
  <c r="G946" i="5"/>
  <c r="F946" i="5"/>
  <c r="G945" i="5"/>
  <c r="F945" i="5"/>
  <c r="G944" i="5"/>
  <c r="F944" i="5"/>
  <c r="G943" i="5"/>
  <c r="F943" i="5"/>
  <c r="G942" i="5"/>
  <c r="F942" i="5"/>
  <c r="G941" i="5"/>
  <c r="F941" i="5"/>
  <c r="G940" i="5"/>
  <c r="F940" i="5"/>
  <c r="G939" i="5"/>
  <c r="F939" i="5"/>
  <c r="G938" i="5"/>
  <c r="F938" i="5"/>
  <c r="G937" i="5"/>
  <c r="F937" i="5"/>
  <c r="G936" i="5"/>
  <c r="F936" i="5"/>
  <c r="G935" i="5"/>
  <c r="F935" i="5"/>
  <c r="G934" i="5"/>
  <c r="F934" i="5"/>
  <c r="G933" i="5"/>
  <c r="F933" i="5"/>
  <c r="G932" i="5"/>
  <c r="F932" i="5"/>
  <c r="G931" i="5"/>
  <c r="F931" i="5"/>
  <c r="G930" i="5"/>
  <c r="F930" i="5"/>
  <c r="G929" i="5"/>
  <c r="F929" i="5"/>
  <c r="G928" i="5"/>
  <c r="F928" i="5"/>
  <c r="G927" i="5"/>
  <c r="F927" i="5"/>
  <c r="G926" i="5"/>
  <c r="F926" i="5"/>
  <c r="G925" i="5"/>
  <c r="F925" i="5"/>
  <c r="G924" i="5"/>
  <c r="F924" i="5"/>
  <c r="G923" i="5"/>
  <c r="F923" i="5"/>
  <c r="G922" i="5"/>
  <c r="F922" i="5"/>
  <c r="G921" i="5"/>
  <c r="F921" i="5"/>
  <c r="G920" i="5"/>
  <c r="F920" i="5"/>
  <c r="G919" i="5"/>
  <c r="F919" i="5"/>
  <c r="G918" i="5"/>
  <c r="F918" i="5"/>
  <c r="G917" i="5"/>
  <c r="F917" i="5"/>
  <c r="G916" i="5"/>
  <c r="F916" i="5"/>
  <c r="G915" i="5"/>
  <c r="F915" i="5"/>
  <c r="G914" i="5"/>
  <c r="F914" i="5"/>
  <c r="G913" i="5"/>
  <c r="F913" i="5"/>
  <c r="G912" i="5"/>
  <c r="F912" i="5"/>
  <c r="G911" i="5"/>
  <c r="F911" i="5"/>
  <c r="G910" i="5"/>
  <c r="F910" i="5"/>
  <c r="G909" i="5"/>
  <c r="F909" i="5"/>
  <c r="G908" i="5"/>
  <c r="F908" i="5"/>
  <c r="G907" i="5"/>
  <c r="F907" i="5"/>
  <c r="G906" i="5"/>
  <c r="F906" i="5"/>
  <c r="G905" i="5"/>
  <c r="F905" i="5"/>
  <c r="G904" i="5"/>
  <c r="F904" i="5"/>
  <c r="G903" i="5"/>
  <c r="F903" i="5"/>
  <c r="G902" i="5"/>
  <c r="F902" i="5"/>
  <c r="G901" i="5"/>
  <c r="F901" i="5"/>
  <c r="G900" i="5"/>
  <c r="F900" i="5"/>
  <c r="G899" i="5"/>
  <c r="F899" i="5"/>
  <c r="G898" i="5"/>
  <c r="F898" i="5"/>
  <c r="G897" i="5"/>
  <c r="F897" i="5"/>
  <c r="G896" i="5"/>
  <c r="F896" i="5"/>
  <c r="G895" i="5"/>
  <c r="F895" i="5"/>
  <c r="G894" i="5"/>
  <c r="F894" i="5"/>
  <c r="G893" i="5"/>
  <c r="F893" i="5"/>
  <c r="G892" i="5"/>
  <c r="F892" i="5"/>
  <c r="G891" i="5"/>
  <c r="F891" i="5"/>
  <c r="G890" i="5"/>
  <c r="F890" i="5"/>
  <c r="G889" i="5"/>
  <c r="F889" i="5"/>
  <c r="G888" i="5"/>
  <c r="F888" i="5"/>
  <c r="G887" i="5"/>
  <c r="F887" i="5"/>
  <c r="G886" i="5"/>
  <c r="F886" i="5"/>
  <c r="G885" i="5"/>
  <c r="F885" i="5"/>
  <c r="G884" i="5"/>
  <c r="F884" i="5"/>
  <c r="G883" i="5"/>
  <c r="F883" i="5"/>
  <c r="G882" i="5"/>
  <c r="F882" i="5"/>
  <c r="G881" i="5"/>
  <c r="F881" i="5"/>
  <c r="G880" i="5"/>
  <c r="F880" i="5"/>
  <c r="G879" i="5"/>
  <c r="F879" i="5"/>
  <c r="G878" i="5"/>
  <c r="F878" i="5"/>
  <c r="G877" i="5"/>
  <c r="F877" i="5"/>
  <c r="G876" i="5"/>
  <c r="F876" i="5"/>
  <c r="G875" i="5"/>
  <c r="F875" i="5"/>
  <c r="G874" i="5"/>
  <c r="F874" i="5"/>
  <c r="G873" i="5"/>
  <c r="F873" i="5"/>
  <c r="G872" i="5"/>
  <c r="F872" i="5"/>
  <c r="G871" i="5"/>
  <c r="F871" i="5"/>
  <c r="G870" i="5"/>
  <c r="F870" i="5"/>
  <c r="G869" i="5"/>
  <c r="F869" i="5"/>
  <c r="G868" i="5"/>
  <c r="F868" i="5"/>
  <c r="G867" i="5"/>
  <c r="F867" i="5"/>
  <c r="G866" i="5"/>
  <c r="F866" i="5"/>
  <c r="G865" i="5"/>
  <c r="F865" i="5"/>
  <c r="G864" i="5"/>
  <c r="F864" i="5"/>
  <c r="G863" i="5"/>
  <c r="F863" i="5"/>
  <c r="G862" i="5"/>
  <c r="F862" i="5"/>
  <c r="G861" i="5"/>
  <c r="F861" i="5"/>
  <c r="G860" i="5"/>
  <c r="F860" i="5"/>
  <c r="G859" i="5"/>
  <c r="F859" i="5"/>
  <c r="G858" i="5"/>
  <c r="F858" i="5"/>
  <c r="G857" i="5"/>
  <c r="F857" i="5"/>
  <c r="G856" i="5"/>
  <c r="F856" i="5"/>
  <c r="G855" i="5"/>
  <c r="F855" i="5"/>
  <c r="G854" i="5"/>
  <c r="F854" i="5"/>
  <c r="G853" i="5"/>
  <c r="F853" i="5"/>
  <c r="G852" i="5"/>
  <c r="F852" i="5"/>
  <c r="G851" i="5"/>
  <c r="F851" i="5"/>
  <c r="G850" i="5"/>
  <c r="F850" i="5"/>
  <c r="G849" i="5"/>
  <c r="F849" i="5"/>
  <c r="G848" i="5"/>
  <c r="F848" i="5"/>
  <c r="G847" i="5"/>
  <c r="F847" i="5"/>
  <c r="G846" i="5"/>
  <c r="F846" i="5"/>
  <c r="G845" i="5"/>
  <c r="F845" i="5"/>
  <c r="G844" i="5"/>
  <c r="F844" i="5"/>
  <c r="G843" i="5"/>
  <c r="F843" i="5"/>
  <c r="G842" i="5"/>
  <c r="F842" i="5"/>
  <c r="G841" i="5"/>
  <c r="F841" i="5"/>
  <c r="G840" i="5"/>
  <c r="F840" i="5"/>
  <c r="G839" i="5"/>
  <c r="F839" i="5"/>
  <c r="G838" i="5"/>
  <c r="F838" i="5"/>
  <c r="G837" i="5"/>
  <c r="F837" i="5"/>
  <c r="G836" i="5"/>
  <c r="F836" i="5"/>
  <c r="G835" i="5"/>
  <c r="F835" i="5"/>
  <c r="G834" i="5"/>
  <c r="F834" i="5"/>
  <c r="G833" i="5"/>
  <c r="F833" i="5"/>
  <c r="G832" i="5"/>
  <c r="F832" i="5"/>
  <c r="G831" i="5"/>
  <c r="F831" i="5"/>
  <c r="G830" i="5"/>
  <c r="F830" i="5"/>
  <c r="G829" i="5"/>
  <c r="F829" i="5"/>
  <c r="G828" i="5"/>
  <c r="F828" i="5"/>
  <c r="G827" i="5"/>
  <c r="F827" i="5"/>
  <c r="G826" i="5"/>
  <c r="F826" i="5"/>
  <c r="G825" i="5"/>
  <c r="F825" i="5"/>
  <c r="G824" i="5"/>
  <c r="F824" i="5"/>
  <c r="G823" i="5"/>
  <c r="F823" i="5"/>
  <c r="G822" i="5"/>
  <c r="F822" i="5"/>
  <c r="G821" i="5"/>
  <c r="F821" i="5"/>
  <c r="G820" i="5"/>
  <c r="F820" i="5"/>
  <c r="G819" i="5"/>
  <c r="F819" i="5"/>
  <c r="G818" i="5"/>
  <c r="F818" i="5"/>
  <c r="G817" i="5"/>
  <c r="F817" i="5"/>
  <c r="G816" i="5"/>
  <c r="F816" i="5"/>
  <c r="G815" i="5"/>
  <c r="F815" i="5"/>
  <c r="G814" i="5"/>
  <c r="F814" i="5"/>
  <c r="G813" i="5"/>
  <c r="F813" i="5"/>
  <c r="G812" i="5"/>
  <c r="F812" i="5"/>
  <c r="G811" i="5"/>
  <c r="F811" i="5"/>
  <c r="G810" i="5"/>
  <c r="F810" i="5"/>
  <c r="G809" i="5"/>
  <c r="F809" i="5"/>
  <c r="G808" i="5"/>
  <c r="F808" i="5"/>
  <c r="G807" i="5"/>
  <c r="F807" i="5"/>
  <c r="G806" i="5"/>
  <c r="F806" i="5"/>
  <c r="G805" i="5"/>
  <c r="F805" i="5"/>
  <c r="G804" i="5"/>
  <c r="F804" i="5"/>
  <c r="G803" i="5"/>
  <c r="F803" i="5"/>
  <c r="G802" i="5"/>
  <c r="F802" i="5"/>
  <c r="G801" i="5"/>
  <c r="F801" i="5"/>
  <c r="G800" i="5"/>
  <c r="F800" i="5"/>
  <c r="G799" i="5"/>
  <c r="F799" i="5"/>
  <c r="G798" i="5"/>
  <c r="F798" i="5"/>
  <c r="G797" i="5"/>
  <c r="F797" i="5"/>
  <c r="G796" i="5"/>
  <c r="F796" i="5"/>
  <c r="G795" i="5"/>
  <c r="F795" i="5"/>
  <c r="G794" i="5"/>
  <c r="F794" i="5"/>
  <c r="G793" i="5"/>
  <c r="F793" i="5"/>
  <c r="G792" i="5"/>
  <c r="F792" i="5"/>
  <c r="G791" i="5"/>
  <c r="F791" i="5"/>
  <c r="G790" i="5"/>
  <c r="F790" i="5"/>
  <c r="G789" i="5"/>
  <c r="F789" i="5"/>
  <c r="G788" i="5"/>
  <c r="F788" i="5"/>
  <c r="G787" i="5"/>
  <c r="F787" i="5"/>
  <c r="G786" i="5"/>
  <c r="F786" i="5"/>
  <c r="G785" i="5"/>
  <c r="F785" i="5"/>
  <c r="G784" i="5"/>
  <c r="F784" i="5"/>
  <c r="G783" i="5"/>
  <c r="F783" i="5"/>
  <c r="G782" i="5"/>
  <c r="F782" i="5"/>
  <c r="G781" i="5"/>
  <c r="F781" i="5"/>
  <c r="G780" i="5"/>
  <c r="F780" i="5"/>
  <c r="G779" i="5"/>
  <c r="F779" i="5"/>
  <c r="G778" i="5"/>
  <c r="F778" i="5"/>
  <c r="G777" i="5"/>
  <c r="F777" i="5"/>
  <c r="G776" i="5"/>
  <c r="F776" i="5"/>
  <c r="G775" i="5"/>
  <c r="F775" i="5"/>
  <c r="G774" i="5"/>
  <c r="F774" i="5"/>
  <c r="G773" i="5"/>
  <c r="F773" i="5"/>
  <c r="G772" i="5"/>
  <c r="F772" i="5"/>
  <c r="G771" i="5"/>
  <c r="F771" i="5"/>
  <c r="G770" i="5"/>
  <c r="F770" i="5"/>
  <c r="G769" i="5"/>
  <c r="F769" i="5"/>
  <c r="G768" i="5"/>
  <c r="F768" i="5"/>
  <c r="G767" i="5"/>
  <c r="F767" i="5"/>
  <c r="G766" i="5"/>
  <c r="F766" i="5"/>
  <c r="G765" i="5"/>
  <c r="F765" i="5"/>
  <c r="G764" i="5"/>
  <c r="F764" i="5"/>
  <c r="G763" i="5"/>
  <c r="F763" i="5"/>
  <c r="G762" i="5"/>
  <c r="F762" i="5"/>
  <c r="G761" i="5"/>
  <c r="F761" i="5"/>
  <c r="G760" i="5"/>
  <c r="F760" i="5"/>
  <c r="G759" i="5"/>
  <c r="F759" i="5"/>
  <c r="G758" i="5"/>
  <c r="F758" i="5"/>
  <c r="G757" i="5"/>
  <c r="F757" i="5"/>
  <c r="G756" i="5"/>
  <c r="F756" i="5"/>
  <c r="G755" i="5"/>
  <c r="F755" i="5"/>
  <c r="G754" i="5"/>
  <c r="F754" i="5"/>
  <c r="G753" i="5"/>
  <c r="F753" i="5"/>
  <c r="G752" i="5"/>
  <c r="F752" i="5"/>
  <c r="G751" i="5"/>
  <c r="F751" i="5"/>
  <c r="G750" i="5"/>
  <c r="F750" i="5"/>
  <c r="G749" i="5"/>
  <c r="F749" i="5"/>
  <c r="G748" i="5"/>
  <c r="F748" i="5"/>
  <c r="G747" i="5"/>
  <c r="F747" i="5"/>
  <c r="G746" i="5"/>
  <c r="F746" i="5"/>
  <c r="G745" i="5"/>
  <c r="F745" i="5"/>
  <c r="G744" i="5"/>
  <c r="F744" i="5"/>
  <c r="G743" i="5"/>
  <c r="F743" i="5"/>
  <c r="G742" i="5"/>
  <c r="F742" i="5"/>
  <c r="G741" i="5"/>
  <c r="F741" i="5"/>
  <c r="G740" i="5"/>
  <c r="F740" i="5"/>
  <c r="G739" i="5"/>
  <c r="F739" i="5"/>
  <c r="G738" i="5"/>
  <c r="F738" i="5"/>
  <c r="G737" i="5"/>
  <c r="F737" i="5"/>
  <c r="G736" i="5"/>
  <c r="F736" i="5"/>
  <c r="G735" i="5"/>
  <c r="F735" i="5"/>
  <c r="G734" i="5"/>
  <c r="F734" i="5"/>
  <c r="G733" i="5"/>
  <c r="F733" i="5"/>
  <c r="G732" i="5"/>
  <c r="F732" i="5"/>
  <c r="G731" i="5"/>
  <c r="F731" i="5"/>
  <c r="G730" i="5"/>
  <c r="F730" i="5"/>
  <c r="G729" i="5"/>
  <c r="F729" i="5"/>
  <c r="G728" i="5"/>
  <c r="F728" i="5"/>
  <c r="G727" i="5"/>
  <c r="F727" i="5"/>
  <c r="G726" i="5"/>
  <c r="F726" i="5"/>
  <c r="G725" i="5"/>
  <c r="F725" i="5"/>
  <c r="G724" i="5"/>
  <c r="F724" i="5"/>
  <c r="G723" i="5"/>
  <c r="F723" i="5"/>
  <c r="G722" i="5"/>
  <c r="F722" i="5"/>
  <c r="G721" i="5"/>
  <c r="F721" i="5"/>
  <c r="G720" i="5"/>
  <c r="F720" i="5"/>
  <c r="G719" i="5"/>
  <c r="F719" i="5"/>
  <c r="G718" i="5"/>
  <c r="F718" i="5"/>
  <c r="G717" i="5"/>
  <c r="F717" i="5"/>
  <c r="G716" i="5"/>
  <c r="F716" i="5"/>
  <c r="G715" i="5"/>
  <c r="F715" i="5"/>
  <c r="G714" i="5"/>
  <c r="F714" i="5"/>
  <c r="G713" i="5"/>
  <c r="F713" i="5"/>
  <c r="G712" i="5"/>
  <c r="F712" i="5"/>
  <c r="G711" i="5"/>
  <c r="F711" i="5"/>
  <c r="G710" i="5"/>
  <c r="F710" i="5"/>
  <c r="G709" i="5"/>
  <c r="F709" i="5"/>
  <c r="G708" i="5"/>
  <c r="F708" i="5"/>
  <c r="G707" i="5"/>
  <c r="F707" i="5"/>
  <c r="G706" i="5"/>
  <c r="F706" i="5"/>
  <c r="G705" i="5"/>
  <c r="F705" i="5"/>
  <c r="G704" i="5"/>
  <c r="F704" i="5"/>
  <c r="G703" i="5"/>
  <c r="F703" i="5"/>
  <c r="G702" i="5"/>
  <c r="F702" i="5"/>
  <c r="G701" i="5"/>
  <c r="F701" i="5"/>
  <c r="G700" i="5"/>
  <c r="F700" i="5"/>
  <c r="G699" i="5"/>
  <c r="F699" i="5"/>
  <c r="G698" i="5"/>
  <c r="F698" i="5"/>
  <c r="G697" i="5"/>
  <c r="F697" i="5"/>
  <c r="G696" i="5"/>
  <c r="F696" i="5"/>
  <c r="G695" i="5"/>
  <c r="F695" i="5"/>
  <c r="G694" i="5"/>
  <c r="F694" i="5"/>
  <c r="G693" i="5"/>
  <c r="F693" i="5"/>
  <c r="G692" i="5"/>
  <c r="F692" i="5"/>
  <c r="G691" i="5"/>
  <c r="F691" i="5"/>
  <c r="G690" i="5"/>
  <c r="F690" i="5"/>
  <c r="G689" i="5"/>
  <c r="F689" i="5"/>
  <c r="G688" i="5"/>
  <c r="F688" i="5"/>
  <c r="G687" i="5"/>
  <c r="F687" i="5"/>
  <c r="G686" i="5"/>
  <c r="F686" i="5"/>
  <c r="G685" i="5"/>
  <c r="F685" i="5"/>
  <c r="G684" i="5"/>
  <c r="F684" i="5"/>
  <c r="G683" i="5"/>
  <c r="F683" i="5"/>
  <c r="G682" i="5"/>
  <c r="F682" i="5"/>
  <c r="G681" i="5"/>
  <c r="F681" i="5"/>
  <c r="G680" i="5"/>
  <c r="F680" i="5"/>
  <c r="G679" i="5"/>
  <c r="F679" i="5"/>
  <c r="G678" i="5"/>
  <c r="F678" i="5"/>
  <c r="G677" i="5"/>
  <c r="F677" i="5"/>
  <c r="G676" i="5"/>
  <c r="F676" i="5"/>
  <c r="G675" i="5"/>
  <c r="F675" i="5"/>
  <c r="G674" i="5"/>
  <c r="F674" i="5"/>
  <c r="G673" i="5"/>
  <c r="F673" i="5"/>
  <c r="G672" i="5"/>
  <c r="F672" i="5"/>
  <c r="G671" i="5"/>
  <c r="F671" i="5"/>
  <c r="G670" i="5"/>
  <c r="F670" i="5"/>
  <c r="G669" i="5"/>
  <c r="F669" i="5"/>
  <c r="G668" i="5"/>
  <c r="F668" i="5"/>
  <c r="G667" i="5"/>
  <c r="F667" i="5"/>
  <c r="G666" i="5"/>
  <c r="F666" i="5"/>
  <c r="G665" i="5"/>
  <c r="F665" i="5"/>
  <c r="G664" i="5"/>
  <c r="F664" i="5"/>
  <c r="G663" i="5"/>
  <c r="F663" i="5"/>
  <c r="G662" i="5"/>
  <c r="F662" i="5"/>
  <c r="G661" i="5"/>
  <c r="F661" i="5"/>
  <c r="G660" i="5"/>
  <c r="F660" i="5"/>
  <c r="G659" i="5"/>
  <c r="F659" i="5"/>
  <c r="G658" i="5"/>
  <c r="F658" i="5"/>
  <c r="G657" i="5"/>
  <c r="F657" i="5"/>
  <c r="G656" i="5"/>
  <c r="F656" i="5"/>
  <c r="G655" i="5"/>
  <c r="F655" i="5"/>
  <c r="G654" i="5"/>
  <c r="F654" i="5"/>
  <c r="G653" i="5"/>
  <c r="F653" i="5"/>
  <c r="G652" i="5"/>
  <c r="F652" i="5"/>
  <c r="G651" i="5"/>
  <c r="F651" i="5"/>
  <c r="G650" i="5"/>
  <c r="F650" i="5"/>
  <c r="G649" i="5"/>
  <c r="F649" i="5"/>
  <c r="G648" i="5"/>
  <c r="F648" i="5"/>
  <c r="G647" i="5"/>
  <c r="F647" i="5"/>
  <c r="G646" i="5"/>
  <c r="F646" i="5"/>
  <c r="G645" i="5"/>
  <c r="F645" i="5"/>
  <c r="G644" i="5"/>
  <c r="F644" i="5"/>
  <c r="G643" i="5"/>
  <c r="F643" i="5"/>
  <c r="G642" i="5"/>
  <c r="F642" i="5"/>
  <c r="G641" i="5"/>
  <c r="F641" i="5"/>
  <c r="G640" i="5"/>
  <c r="F640" i="5"/>
  <c r="G639" i="5"/>
  <c r="F639" i="5"/>
  <c r="G638" i="5"/>
  <c r="F638" i="5"/>
  <c r="G637" i="5"/>
  <c r="F637" i="5"/>
  <c r="G636" i="5"/>
  <c r="F636" i="5"/>
  <c r="G635" i="5"/>
  <c r="F635" i="5"/>
  <c r="G634" i="5"/>
  <c r="F634" i="5"/>
  <c r="G633" i="5"/>
  <c r="F633" i="5"/>
  <c r="G632" i="5"/>
  <c r="F632" i="5"/>
  <c r="G631" i="5"/>
  <c r="F631" i="5"/>
  <c r="G630" i="5"/>
  <c r="F630" i="5"/>
  <c r="G629" i="5"/>
  <c r="F629" i="5"/>
  <c r="G628" i="5"/>
  <c r="F628" i="5"/>
  <c r="G627" i="5"/>
  <c r="F627" i="5"/>
  <c r="G626" i="5"/>
  <c r="F626" i="5"/>
  <c r="G625" i="5"/>
  <c r="F625" i="5"/>
  <c r="G624" i="5"/>
  <c r="F624" i="5"/>
  <c r="G623" i="5"/>
  <c r="F623" i="5"/>
  <c r="G622" i="5"/>
  <c r="F622" i="5"/>
  <c r="G621" i="5"/>
  <c r="F621" i="5"/>
  <c r="G620" i="5"/>
  <c r="F620" i="5"/>
  <c r="G619" i="5"/>
  <c r="F619" i="5"/>
  <c r="G618" i="5"/>
  <c r="F618" i="5"/>
  <c r="G617" i="5"/>
  <c r="F617" i="5"/>
  <c r="G616" i="5"/>
  <c r="F616" i="5"/>
  <c r="G615" i="5"/>
  <c r="F615" i="5"/>
  <c r="G614" i="5"/>
  <c r="F614" i="5"/>
  <c r="G613" i="5"/>
  <c r="F613" i="5"/>
  <c r="G612" i="5"/>
  <c r="F612" i="5"/>
  <c r="G611" i="5"/>
  <c r="F611" i="5"/>
  <c r="G610" i="5"/>
  <c r="F610" i="5"/>
  <c r="G609" i="5"/>
  <c r="F609" i="5"/>
  <c r="G608" i="5"/>
  <c r="F608" i="5"/>
  <c r="G607" i="5"/>
  <c r="F607" i="5"/>
  <c r="G606" i="5"/>
  <c r="F606" i="5"/>
  <c r="G605" i="5"/>
  <c r="F605" i="5"/>
  <c r="G604" i="5"/>
  <c r="F604" i="5"/>
  <c r="G603" i="5"/>
  <c r="F603" i="5"/>
  <c r="G602" i="5"/>
  <c r="F602" i="5"/>
  <c r="G601" i="5"/>
  <c r="F601" i="5"/>
  <c r="G600" i="5"/>
  <c r="F600" i="5"/>
  <c r="G599" i="5"/>
  <c r="F599" i="5"/>
  <c r="G598" i="5"/>
  <c r="F598" i="5"/>
  <c r="G597" i="5"/>
  <c r="F597" i="5"/>
  <c r="G596" i="5"/>
  <c r="F596" i="5"/>
  <c r="G595" i="5"/>
  <c r="F595" i="5"/>
  <c r="G594" i="5"/>
  <c r="F594" i="5"/>
  <c r="G593" i="5"/>
  <c r="F593" i="5"/>
  <c r="G592" i="5"/>
  <c r="F592" i="5"/>
  <c r="G591" i="5"/>
  <c r="F591" i="5"/>
  <c r="G590" i="5"/>
  <c r="F590" i="5"/>
  <c r="G589" i="5"/>
  <c r="F589" i="5"/>
  <c r="G588" i="5"/>
  <c r="F588" i="5"/>
  <c r="G587" i="5"/>
  <c r="F587" i="5"/>
  <c r="G586" i="5"/>
  <c r="F586" i="5"/>
  <c r="G585" i="5"/>
  <c r="F585" i="5"/>
  <c r="G584" i="5"/>
  <c r="F584" i="5"/>
  <c r="G583" i="5"/>
  <c r="F583" i="5"/>
  <c r="G582" i="5"/>
  <c r="F582" i="5"/>
  <c r="G581" i="5"/>
  <c r="F581" i="5"/>
  <c r="G580" i="5"/>
  <c r="F580" i="5"/>
  <c r="G579" i="5"/>
  <c r="F579" i="5"/>
  <c r="G578" i="5"/>
  <c r="F578" i="5"/>
  <c r="G577" i="5"/>
  <c r="F577" i="5"/>
  <c r="G576" i="5"/>
  <c r="F576" i="5"/>
  <c r="G575" i="5"/>
  <c r="F575" i="5"/>
  <c r="G574" i="5"/>
  <c r="F574" i="5"/>
  <c r="G573" i="5"/>
  <c r="F573" i="5"/>
  <c r="G572" i="5"/>
  <c r="F572" i="5"/>
  <c r="G571" i="5"/>
  <c r="F571" i="5"/>
  <c r="G570" i="5"/>
  <c r="F570" i="5"/>
  <c r="G569" i="5"/>
  <c r="F569" i="5"/>
  <c r="G568" i="5"/>
  <c r="F568" i="5"/>
  <c r="G567" i="5"/>
  <c r="F567" i="5"/>
  <c r="G566" i="5"/>
  <c r="F566" i="5"/>
  <c r="G565" i="5"/>
  <c r="F565" i="5"/>
  <c r="G564" i="5"/>
  <c r="F564" i="5"/>
  <c r="G563" i="5"/>
  <c r="F563" i="5"/>
  <c r="G562" i="5"/>
  <c r="F562" i="5"/>
  <c r="G561" i="5"/>
  <c r="F561" i="5"/>
  <c r="G560" i="5"/>
  <c r="F560" i="5"/>
  <c r="G559" i="5"/>
  <c r="F559" i="5"/>
  <c r="G558" i="5"/>
  <c r="F558" i="5"/>
  <c r="G557" i="5"/>
  <c r="F557" i="5"/>
  <c r="G556" i="5"/>
  <c r="F556" i="5"/>
  <c r="G555" i="5"/>
  <c r="F555" i="5"/>
  <c r="G554" i="5"/>
  <c r="F554" i="5"/>
  <c r="G553" i="5"/>
  <c r="F553" i="5"/>
  <c r="G552" i="5"/>
  <c r="F552" i="5"/>
  <c r="G551" i="5"/>
  <c r="F551" i="5"/>
  <c r="G550" i="5"/>
  <c r="F550" i="5"/>
  <c r="G549" i="5"/>
  <c r="F549" i="5"/>
  <c r="G548" i="5"/>
  <c r="F548" i="5"/>
  <c r="G547" i="5"/>
  <c r="F547" i="5"/>
  <c r="G546" i="5"/>
  <c r="F546" i="5"/>
  <c r="G545" i="5"/>
  <c r="F545" i="5"/>
  <c r="G544" i="5"/>
  <c r="F544" i="5"/>
  <c r="G543" i="5"/>
  <c r="F543" i="5"/>
  <c r="G542" i="5"/>
  <c r="F542" i="5"/>
  <c r="G541" i="5"/>
  <c r="F541" i="5"/>
  <c r="G540" i="5"/>
  <c r="F540" i="5"/>
  <c r="G539" i="5"/>
  <c r="F539" i="5"/>
  <c r="G538" i="5"/>
  <c r="F538" i="5"/>
  <c r="G537" i="5"/>
  <c r="F537" i="5"/>
  <c r="G536" i="5"/>
  <c r="F536" i="5"/>
  <c r="G535" i="5"/>
  <c r="F535" i="5"/>
  <c r="G534" i="5"/>
  <c r="F534" i="5"/>
  <c r="G533" i="5"/>
  <c r="F533" i="5"/>
  <c r="G532" i="5"/>
  <c r="F532" i="5"/>
  <c r="G531" i="5"/>
  <c r="F531" i="5"/>
  <c r="G530" i="5"/>
  <c r="F530" i="5"/>
  <c r="G529" i="5"/>
  <c r="F529" i="5"/>
  <c r="G528" i="5"/>
  <c r="F528" i="5"/>
  <c r="G527" i="5"/>
  <c r="F527" i="5"/>
  <c r="G526" i="5"/>
  <c r="F526" i="5"/>
  <c r="G525" i="5"/>
  <c r="F525" i="5"/>
  <c r="G524" i="5"/>
  <c r="F524" i="5"/>
  <c r="G523" i="5"/>
  <c r="F523" i="5"/>
  <c r="G522" i="5"/>
  <c r="F522" i="5"/>
  <c r="G521" i="5"/>
  <c r="F521" i="5"/>
  <c r="G520" i="5"/>
  <c r="F520" i="5"/>
  <c r="G519" i="5"/>
  <c r="F519" i="5"/>
  <c r="G518" i="5"/>
  <c r="F518" i="5"/>
  <c r="G517" i="5"/>
  <c r="F517" i="5"/>
  <c r="G516" i="5"/>
  <c r="F516" i="5"/>
  <c r="G515" i="5"/>
  <c r="F515" i="5"/>
  <c r="G514" i="5"/>
  <c r="F514" i="5"/>
  <c r="G513" i="5"/>
  <c r="F513" i="5"/>
  <c r="G512" i="5"/>
  <c r="F512" i="5"/>
  <c r="G511" i="5"/>
  <c r="F511" i="5"/>
  <c r="G510" i="5"/>
  <c r="F510" i="5"/>
  <c r="G509" i="5"/>
  <c r="F509" i="5"/>
  <c r="G508" i="5"/>
  <c r="F508" i="5"/>
  <c r="G507" i="5"/>
  <c r="F507" i="5"/>
  <c r="G506" i="5"/>
  <c r="F506" i="5"/>
  <c r="G505" i="5"/>
  <c r="F505" i="5"/>
  <c r="G504" i="5"/>
  <c r="F504" i="5"/>
  <c r="G503" i="5"/>
  <c r="F503" i="5"/>
  <c r="G502" i="5"/>
  <c r="F502" i="5"/>
  <c r="G501" i="5"/>
  <c r="F501" i="5"/>
  <c r="G500" i="5"/>
  <c r="F500" i="5"/>
  <c r="G499" i="5"/>
  <c r="F499" i="5"/>
  <c r="G498" i="5"/>
  <c r="F498" i="5"/>
  <c r="G497" i="5"/>
  <c r="F497" i="5"/>
  <c r="G496" i="5"/>
  <c r="F496" i="5"/>
  <c r="G495" i="5"/>
  <c r="F495" i="5"/>
  <c r="G494" i="5"/>
  <c r="F494" i="5"/>
  <c r="G493" i="5"/>
  <c r="F493" i="5"/>
  <c r="G492" i="5"/>
  <c r="F492" i="5"/>
  <c r="G491" i="5"/>
  <c r="F491" i="5"/>
  <c r="G490" i="5"/>
  <c r="F490" i="5"/>
  <c r="G489" i="5"/>
  <c r="F489" i="5"/>
  <c r="G488" i="5"/>
  <c r="F488" i="5"/>
  <c r="G487" i="5"/>
  <c r="F487" i="5"/>
  <c r="G486" i="5"/>
  <c r="F486" i="5"/>
  <c r="G485" i="5"/>
  <c r="F485" i="5"/>
  <c r="G484" i="5"/>
  <c r="F484" i="5"/>
  <c r="G483" i="5"/>
  <c r="F483" i="5"/>
  <c r="G482" i="5"/>
  <c r="F482" i="5"/>
  <c r="G481" i="5"/>
  <c r="F481" i="5"/>
  <c r="G480" i="5"/>
  <c r="F480" i="5"/>
  <c r="G479" i="5"/>
  <c r="F479" i="5"/>
  <c r="G478" i="5"/>
  <c r="F478" i="5"/>
  <c r="G477" i="5"/>
  <c r="F477" i="5"/>
  <c r="G476" i="5"/>
  <c r="F476" i="5"/>
  <c r="G475" i="5"/>
  <c r="F475" i="5"/>
  <c r="G474" i="5"/>
  <c r="F474" i="5"/>
  <c r="G473" i="5"/>
  <c r="F473" i="5"/>
  <c r="G472" i="5"/>
  <c r="F472" i="5"/>
  <c r="G471" i="5"/>
  <c r="F471" i="5"/>
  <c r="G470" i="5"/>
  <c r="F470" i="5"/>
  <c r="G469" i="5"/>
  <c r="F469" i="5"/>
  <c r="G468" i="5"/>
  <c r="F468" i="5"/>
  <c r="G467" i="5"/>
  <c r="F467" i="5"/>
  <c r="G466" i="5"/>
  <c r="F466" i="5"/>
  <c r="G465" i="5"/>
  <c r="F465" i="5"/>
  <c r="G464" i="5"/>
  <c r="F464" i="5"/>
  <c r="G463" i="5"/>
  <c r="F463" i="5"/>
  <c r="G462" i="5"/>
  <c r="F462" i="5"/>
  <c r="G461" i="5"/>
  <c r="F461" i="5"/>
  <c r="G460" i="5"/>
  <c r="F460" i="5"/>
  <c r="G459" i="5"/>
  <c r="F459" i="5"/>
  <c r="G458" i="5"/>
  <c r="F458" i="5"/>
  <c r="G457" i="5"/>
  <c r="F457" i="5"/>
  <c r="G456" i="5"/>
  <c r="F456" i="5"/>
  <c r="G455" i="5"/>
  <c r="F455" i="5"/>
  <c r="G454" i="5"/>
  <c r="F454" i="5"/>
  <c r="G453" i="5"/>
  <c r="F453" i="5"/>
  <c r="G452" i="5"/>
  <c r="F452" i="5"/>
  <c r="G451" i="5"/>
  <c r="F451" i="5"/>
  <c r="G450" i="5"/>
  <c r="F450" i="5"/>
  <c r="G449" i="5"/>
  <c r="F449" i="5"/>
  <c r="G448" i="5"/>
  <c r="F448" i="5"/>
  <c r="G447" i="5"/>
  <c r="F447" i="5"/>
  <c r="G446" i="5"/>
  <c r="F446" i="5"/>
  <c r="G445" i="5"/>
  <c r="F445" i="5"/>
  <c r="G444" i="5"/>
  <c r="F444" i="5"/>
  <c r="G443" i="5"/>
  <c r="F443" i="5"/>
  <c r="G442" i="5"/>
  <c r="F442" i="5"/>
  <c r="G441" i="5"/>
  <c r="F441" i="5"/>
  <c r="G440" i="5"/>
  <c r="F440" i="5"/>
  <c r="G439" i="5"/>
  <c r="F439" i="5"/>
  <c r="G438" i="5"/>
  <c r="F438" i="5"/>
  <c r="G437" i="5"/>
  <c r="F437" i="5"/>
  <c r="G436" i="5"/>
  <c r="F436" i="5"/>
  <c r="G435" i="5"/>
  <c r="F435" i="5"/>
  <c r="G434" i="5"/>
  <c r="F434" i="5"/>
  <c r="G433" i="5"/>
  <c r="F433" i="5"/>
  <c r="G432" i="5"/>
  <c r="F432" i="5"/>
  <c r="G431" i="5"/>
  <c r="F431" i="5"/>
  <c r="G430" i="5"/>
  <c r="F430" i="5"/>
  <c r="G429" i="5"/>
  <c r="F429" i="5"/>
  <c r="G428" i="5"/>
  <c r="F428" i="5"/>
  <c r="G427" i="5"/>
  <c r="F427" i="5"/>
  <c r="G426" i="5"/>
  <c r="F426" i="5"/>
  <c r="G425" i="5"/>
  <c r="F425" i="5"/>
  <c r="G424" i="5"/>
  <c r="F424" i="5"/>
  <c r="G423" i="5"/>
  <c r="F423" i="5"/>
  <c r="G422" i="5"/>
  <c r="F422" i="5"/>
  <c r="G421" i="5"/>
  <c r="F421" i="5"/>
  <c r="G420" i="5"/>
  <c r="F420" i="5"/>
  <c r="G419" i="5"/>
  <c r="F419" i="5"/>
  <c r="G418" i="5"/>
  <c r="F418" i="5"/>
  <c r="G417" i="5"/>
  <c r="F417" i="5"/>
  <c r="G416" i="5"/>
  <c r="F416" i="5"/>
  <c r="G415" i="5"/>
  <c r="F415" i="5"/>
  <c r="G414" i="5"/>
  <c r="F414" i="5"/>
  <c r="G413" i="5"/>
  <c r="F413" i="5"/>
  <c r="G412" i="5"/>
  <c r="F412" i="5"/>
  <c r="G411" i="5"/>
  <c r="F411" i="5"/>
  <c r="G410" i="5"/>
  <c r="F410" i="5"/>
  <c r="G409" i="5"/>
  <c r="F409" i="5"/>
  <c r="G408" i="5"/>
  <c r="F408" i="5"/>
  <c r="G407" i="5"/>
  <c r="F407" i="5"/>
  <c r="G406" i="5"/>
  <c r="F406" i="5"/>
  <c r="G405" i="5"/>
  <c r="F405" i="5"/>
  <c r="G404" i="5"/>
  <c r="F404" i="5"/>
  <c r="G403" i="5"/>
  <c r="F403" i="5"/>
  <c r="G402" i="5"/>
  <c r="F402" i="5"/>
  <c r="G401" i="5"/>
  <c r="F401" i="5"/>
  <c r="G400" i="5"/>
  <c r="F400" i="5"/>
  <c r="G399" i="5"/>
  <c r="F399" i="5"/>
  <c r="G398" i="5"/>
  <c r="F398" i="5"/>
  <c r="G397" i="5"/>
  <c r="F397" i="5"/>
  <c r="G396" i="5"/>
  <c r="F396" i="5"/>
  <c r="G395" i="5"/>
  <c r="F395" i="5"/>
  <c r="G394" i="5"/>
  <c r="F394" i="5"/>
  <c r="G393" i="5"/>
  <c r="F393" i="5"/>
  <c r="G392" i="5"/>
  <c r="F392" i="5"/>
  <c r="G391" i="5"/>
  <c r="F391" i="5"/>
  <c r="G390" i="5"/>
  <c r="F390" i="5"/>
  <c r="G389" i="5"/>
  <c r="F389" i="5"/>
  <c r="G388" i="5"/>
  <c r="F388" i="5"/>
  <c r="G387" i="5"/>
  <c r="F387" i="5"/>
  <c r="G386" i="5"/>
  <c r="F386" i="5"/>
  <c r="G385" i="5"/>
  <c r="F385" i="5"/>
  <c r="G384" i="5"/>
  <c r="F384" i="5"/>
  <c r="G383" i="5"/>
  <c r="F383" i="5"/>
  <c r="G382" i="5"/>
  <c r="F382" i="5"/>
  <c r="G381" i="5"/>
  <c r="F381" i="5"/>
  <c r="G380" i="5"/>
  <c r="F380" i="5"/>
  <c r="G379" i="5"/>
  <c r="F379" i="5"/>
  <c r="G378" i="5"/>
  <c r="F378" i="5"/>
  <c r="G377" i="5"/>
  <c r="F377" i="5"/>
  <c r="G376" i="5"/>
  <c r="F376" i="5"/>
  <c r="G375" i="5"/>
  <c r="F375" i="5"/>
  <c r="G374" i="5"/>
  <c r="F374" i="5"/>
  <c r="G373" i="5"/>
  <c r="F373" i="5"/>
  <c r="G372" i="5"/>
  <c r="F372" i="5"/>
  <c r="G371" i="5"/>
  <c r="F371" i="5"/>
  <c r="G370" i="5"/>
  <c r="F370" i="5"/>
  <c r="G369" i="5"/>
  <c r="F369" i="5"/>
  <c r="G368" i="5"/>
  <c r="F368" i="5"/>
  <c r="G367" i="5"/>
  <c r="F367" i="5"/>
  <c r="G366" i="5"/>
  <c r="F366" i="5"/>
  <c r="G365" i="5"/>
  <c r="F365" i="5"/>
  <c r="G364" i="5"/>
  <c r="F364" i="5"/>
  <c r="G363" i="5"/>
  <c r="F363" i="5"/>
  <c r="G362" i="5"/>
  <c r="F362" i="5"/>
  <c r="G361" i="5"/>
  <c r="F361" i="5"/>
  <c r="G360" i="5"/>
  <c r="F360" i="5"/>
  <c r="G359" i="5"/>
  <c r="F359" i="5"/>
  <c r="G358" i="5"/>
  <c r="F358" i="5"/>
  <c r="G357" i="5"/>
  <c r="F357" i="5"/>
  <c r="G356" i="5"/>
  <c r="F356" i="5"/>
  <c r="G355" i="5"/>
  <c r="F355" i="5"/>
  <c r="G354" i="5"/>
  <c r="F354" i="5"/>
  <c r="G353" i="5"/>
  <c r="F353" i="5"/>
  <c r="G352" i="5"/>
  <c r="F352" i="5"/>
  <c r="G351" i="5"/>
  <c r="F351" i="5"/>
  <c r="G350" i="5"/>
  <c r="F350" i="5"/>
  <c r="G349" i="5"/>
  <c r="F349" i="5"/>
  <c r="G348" i="5"/>
  <c r="F348" i="5"/>
  <c r="G347" i="5"/>
  <c r="F347" i="5"/>
  <c r="G346" i="5"/>
  <c r="F346" i="5"/>
  <c r="G345" i="5"/>
  <c r="F345" i="5"/>
  <c r="J344" i="5"/>
  <c r="G344" i="5"/>
  <c r="F344" i="5"/>
  <c r="J343" i="5"/>
  <c r="G343" i="5"/>
  <c r="F343" i="5"/>
  <c r="J342" i="5"/>
  <c r="G342" i="5"/>
  <c r="F342" i="5"/>
  <c r="J341" i="5"/>
  <c r="G341" i="5"/>
  <c r="F341" i="5"/>
  <c r="J340" i="5"/>
  <c r="G340" i="5"/>
  <c r="F340" i="5"/>
  <c r="J339" i="5"/>
  <c r="G339" i="5"/>
  <c r="F339" i="5"/>
  <c r="J338" i="5"/>
  <c r="G338" i="5"/>
  <c r="F338" i="5"/>
  <c r="J337" i="5"/>
  <c r="G337" i="5"/>
  <c r="F337" i="5"/>
  <c r="J336" i="5"/>
  <c r="G336" i="5"/>
  <c r="F336" i="5"/>
  <c r="J335" i="5"/>
  <c r="G335" i="5"/>
  <c r="F335" i="5"/>
  <c r="J334" i="5"/>
  <c r="G334" i="5"/>
  <c r="F334" i="5"/>
  <c r="J333" i="5"/>
  <c r="G333" i="5"/>
  <c r="F333" i="5"/>
  <c r="J332" i="5"/>
  <c r="G332" i="5"/>
  <c r="F332" i="5"/>
  <c r="J331" i="5"/>
  <c r="G331" i="5"/>
  <c r="F331" i="5"/>
  <c r="J330" i="5"/>
  <c r="G330" i="5"/>
  <c r="F330" i="5"/>
  <c r="J329" i="5"/>
  <c r="G329" i="5"/>
  <c r="F329" i="5"/>
  <c r="J328" i="5"/>
  <c r="G328" i="5"/>
  <c r="F328" i="5"/>
  <c r="J327" i="5"/>
  <c r="G327" i="5"/>
  <c r="F327" i="5"/>
  <c r="J326" i="5"/>
  <c r="G326" i="5"/>
  <c r="F326" i="5"/>
  <c r="J325" i="5"/>
  <c r="G325" i="5"/>
  <c r="F325" i="5"/>
  <c r="J324" i="5"/>
  <c r="G324" i="5"/>
  <c r="F324" i="5"/>
  <c r="J323" i="5"/>
  <c r="G323" i="5"/>
  <c r="F323" i="5"/>
  <c r="J322" i="5"/>
  <c r="G322" i="5"/>
  <c r="F322" i="5"/>
  <c r="J321" i="5"/>
  <c r="G321" i="5"/>
  <c r="F321" i="5"/>
  <c r="J320" i="5"/>
  <c r="G320" i="5"/>
  <c r="F320" i="5"/>
  <c r="J319" i="5"/>
  <c r="G319" i="5"/>
  <c r="F319" i="5"/>
  <c r="J318" i="5"/>
  <c r="G318" i="5"/>
  <c r="F318" i="5"/>
  <c r="J317" i="5"/>
  <c r="G317" i="5"/>
  <c r="F317" i="5"/>
  <c r="J316" i="5"/>
  <c r="G316" i="5"/>
  <c r="F316" i="5"/>
  <c r="J315" i="5"/>
  <c r="G315" i="5"/>
  <c r="F315" i="5"/>
  <c r="J314" i="5"/>
  <c r="G314" i="5"/>
  <c r="F314" i="5"/>
  <c r="J313" i="5"/>
  <c r="G313" i="5"/>
  <c r="F313" i="5"/>
  <c r="J312" i="5"/>
  <c r="G312" i="5"/>
  <c r="F312" i="5"/>
  <c r="J311" i="5"/>
  <c r="G311" i="5"/>
  <c r="F311" i="5"/>
  <c r="J310" i="5"/>
  <c r="G310" i="5"/>
  <c r="F310" i="5"/>
  <c r="J309" i="5"/>
  <c r="G309" i="5"/>
  <c r="F309" i="5"/>
  <c r="J308" i="5"/>
  <c r="G308" i="5"/>
  <c r="F308" i="5"/>
  <c r="J307" i="5"/>
  <c r="G307" i="5"/>
  <c r="F307" i="5"/>
  <c r="J306" i="5"/>
  <c r="G306" i="5"/>
  <c r="F306" i="5"/>
  <c r="J305" i="5"/>
  <c r="G305" i="5"/>
  <c r="F305" i="5"/>
  <c r="J304" i="5"/>
  <c r="G304" i="5"/>
  <c r="F304" i="5"/>
  <c r="J303" i="5"/>
  <c r="G303" i="5"/>
  <c r="F303" i="5"/>
  <c r="J302" i="5"/>
  <c r="G302" i="5"/>
  <c r="F302" i="5"/>
  <c r="J301" i="5"/>
  <c r="G301" i="5"/>
  <c r="F301" i="5"/>
  <c r="J300" i="5"/>
  <c r="G300" i="5"/>
  <c r="F300" i="5"/>
  <c r="J299" i="5"/>
  <c r="G299" i="5"/>
  <c r="F299" i="5"/>
  <c r="J298" i="5"/>
  <c r="G298" i="5"/>
  <c r="F298" i="5"/>
  <c r="J297" i="5"/>
  <c r="G297" i="5"/>
  <c r="F297" i="5"/>
  <c r="J296" i="5"/>
  <c r="G296" i="5"/>
  <c r="F296" i="5"/>
  <c r="J295" i="5"/>
  <c r="G295" i="5"/>
  <c r="F295" i="5"/>
  <c r="J294" i="5"/>
  <c r="G294" i="5"/>
  <c r="F294" i="5"/>
  <c r="J293" i="5"/>
  <c r="G293" i="5"/>
  <c r="F293" i="5"/>
  <c r="J292" i="5"/>
  <c r="G292" i="5"/>
  <c r="F292" i="5"/>
  <c r="J291" i="5"/>
  <c r="G291" i="5"/>
  <c r="F291" i="5"/>
  <c r="J290" i="5"/>
  <c r="G290" i="5"/>
  <c r="F290" i="5"/>
  <c r="J289" i="5"/>
  <c r="G289" i="5"/>
  <c r="F289" i="5"/>
  <c r="J288" i="5"/>
  <c r="G288" i="5"/>
  <c r="F288" i="5"/>
  <c r="J287" i="5"/>
  <c r="G287" i="5"/>
  <c r="F287" i="5"/>
  <c r="J286" i="5"/>
  <c r="G286" i="5"/>
  <c r="F286" i="5"/>
  <c r="J285" i="5"/>
  <c r="G285" i="5"/>
  <c r="F285" i="5"/>
  <c r="J284" i="5"/>
  <c r="G284" i="5"/>
  <c r="F284" i="5"/>
  <c r="J283" i="5"/>
  <c r="G283" i="5"/>
  <c r="F283" i="5"/>
  <c r="J282" i="5"/>
  <c r="G282" i="5"/>
  <c r="F282" i="5"/>
  <c r="J281" i="5"/>
  <c r="G281" i="5"/>
  <c r="F281" i="5"/>
  <c r="J280" i="5"/>
  <c r="G280" i="5"/>
  <c r="F280" i="5"/>
  <c r="J279" i="5"/>
  <c r="G279" i="5"/>
  <c r="F279" i="5"/>
  <c r="J278" i="5"/>
  <c r="G278" i="5"/>
  <c r="F278" i="5"/>
  <c r="J277" i="5"/>
  <c r="G277" i="5"/>
  <c r="F277" i="5"/>
  <c r="J276" i="5"/>
  <c r="G276" i="5"/>
  <c r="F276" i="5"/>
  <c r="J275" i="5"/>
  <c r="G275" i="5"/>
  <c r="F275" i="5"/>
  <c r="J274" i="5"/>
  <c r="G274" i="5"/>
  <c r="F274" i="5"/>
  <c r="J273" i="5"/>
  <c r="G273" i="5"/>
  <c r="F273" i="5"/>
  <c r="J272" i="5"/>
  <c r="G272" i="5"/>
  <c r="F272" i="5"/>
  <c r="J271" i="5"/>
  <c r="G271" i="5"/>
  <c r="F271" i="5"/>
  <c r="J270" i="5"/>
  <c r="G270" i="5"/>
  <c r="F270" i="5"/>
  <c r="J269" i="5"/>
  <c r="G269" i="5"/>
  <c r="F269" i="5"/>
  <c r="J268" i="5"/>
  <c r="G268" i="5"/>
  <c r="F268" i="5"/>
  <c r="J267" i="5"/>
  <c r="G267" i="5"/>
  <c r="F267" i="5"/>
  <c r="J266" i="5"/>
  <c r="G266" i="5"/>
  <c r="F266" i="5"/>
  <c r="J265" i="5"/>
  <c r="G265" i="5"/>
  <c r="F265" i="5"/>
  <c r="J264" i="5"/>
  <c r="G264" i="5"/>
  <c r="F264" i="5"/>
  <c r="J263" i="5"/>
  <c r="G263" i="5"/>
  <c r="F263" i="5"/>
  <c r="J262" i="5"/>
  <c r="G262" i="5"/>
  <c r="F262" i="5"/>
  <c r="J261" i="5"/>
  <c r="G261" i="5"/>
  <c r="F261" i="5"/>
  <c r="J260" i="5"/>
  <c r="G260" i="5"/>
  <c r="F260" i="5"/>
  <c r="J259" i="5"/>
  <c r="G259" i="5"/>
  <c r="F259" i="5"/>
  <c r="J258" i="5"/>
  <c r="G258" i="5"/>
  <c r="F258" i="5"/>
  <c r="J257" i="5"/>
  <c r="G257" i="5"/>
  <c r="F257" i="5"/>
  <c r="J256" i="5"/>
  <c r="G256" i="5"/>
  <c r="F256" i="5"/>
  <c r="J255" i="5"/>
  <c r="G255" i="5"/>
  <c r="F255" i="5"/>
  <c r="J254" i="5"/>
  <c r="G254" i="5"/>
  <c r="F254" i="5"/>
  <c r="J253" i="5"/>
  <c r="G253" i="5"/>
  <c r="F253" i="5"/>
  <c r="J252" i="5"/>
  <c r="G252" i="5"/>
  <c r="F252" i="5"/>
  <c r="J251" i="5"/>
  <c r="G251" i="5"/>
  <c r="F251" i="5"/>
  <c r="J250" i="5"/>
  <c r="G250" i="5"/>
  <c r="F250" i="5"/>
  <c r="J249" i="5"/>
  <c r="G249" i="5"/>
  <c r="F249" i="5"/>
  <c r="J248" i="5"/>
  <c r="G248" i="5"/>
  <c r="F248" i="5"/>
  <c r="J247" i="5"/>
  <c r="G247" i="5"/>
  <c r="F247" i="5"/>
  <c r="J246" i="5"/>
  <c r="G246" i="5"/>
  <c r="F246" i="5"/>
  <c r="J245" i="5"/>
  <c r="G245" i="5"/>
  <c r="F245" i="5"/>
  <c r="J244" i="5"/>
  <c r="G244" i="5"/>
  <c r="F244" i="5"/>
  <c r="J243" i="5"/>
  <c r="G243" i="5"/>
  <c r="F243" i="5"/>
  <c r="J242" i="5"/>
  <c r="G242" i="5"/>
  <c r="F242" i="5"/>
  <c r="J241" i="5"/>
  <c r="G241" i="5"/>
  <c r="F241" i="5"/>
  <c r="J240" i="5"/>
  <c r="G240" i="5"/>
  <c r="F240" i="5"/>
  <c r="J239" i="5"/>
  <c r="G239" i="5"/>
  <c r="F239" i="5"/>
  <c r="J238" i="5"/>
  <c r="G238" i="5"/>
  <c r="F238" i="5"/>
  <c r="J237" i="5"/>
  <c r="G237" i="5"/>
  <c r="F237" i="5"/>
  <c r="J236" i="5"/>
  <c r="G236" i="5"/>
  <c r="F236" i="5"/>
  <c r="J235" i="5"/>
  <c r="G235" i="5"/>
  <c r="F235" i="5"/>
  <c r="J234" i="5"/>
  <c r="G234" i="5"/>
  <c r="F234" i="5"/>
  <c r="J233" i="5"/>
  <c r="G233" i="5"/>
  <c r="F233" i="5"/>
  <c r="J232" i="5"/>
  <c r="G232" i="5"/>
  <c r="F232" i="5"/>
  <c r="J231" i="5"/>
  <c r="G231" i="5"/>
  <c r="F231" i="5"/>
  <c r="J230" i="5"/>
  <c r="G230" i="5"/>
  <c r="F230" i="5"/>
  <c r="J229" i="5"/>
  <c r="G229" i="5"/>
  <c r="F229" i="5"/>
  <c r="J228" i="5"/>
  <c r="G228" i="5"/>
  <c r="F228" i="5"/>
  <c r="J227" i="5"/>
  <c r="G227" i="5"/>
  <c r="F227" i="5"/>
  <c r="J226" i="5"/>
  <c r="G226" i="5"/>
  <c r="F226" i="5"/>
  <c r="J225" i="5"/>
  <c r="G225" i="5"/>
  <c r="F225" i="5"/>
  <c r="J224" i="5"/>
  <c r="G224" i="5"/>
  <c r="F224" i="5"/>
  <c r="J223" i="5"/>
  <c r="G223" i="5"/>
  <c r="F223" i="5"/>
  <c r="J222" i="5"/>
  <c r="G222" i="5"/>
  <c r="F222" i="5"/>
  <c r="J221" i="5"/>
  <c r="G221" i="5"/>
  <c r="F221" i="5"/>
  <c r="J220" i="5"/>
  <c r="G220" i="5"/>
  <c r="F220" i="5"/>
  <c r="J219" i="5"/>
  <c r="G219" i="5"/>
  <c r="F219" i="5"/>
  <c r="J218" i="5"/>
  <c r="G218" i="5"/>
  <c r="F218" i="5"/>
  <c r="J217" i="5"/>
  <c r="G217" i="5"/>
  <c r="F217" i="5"/>
  <c r="J216" i="5"/>
  <c r="G216" i="5"/>
  <c r="F216" i="5"/>
  <c r="J215" i="5"/>
  <c r="G215" i="5"/>
  <c r="F215" i="5"/>
  <c r="J214" i="5"/>
  <c r="G214" i="5"/>
  <c r="F214" i="5"/>
  <c r="J213" i="5"/>
  <c r="G213" i="5"/>
  <c r="F213" i="5"/>
  <c r="J212" i="5"/>
  <c r="G212" i="5"/>
  <c r="F212" i="5"/>
  <c r="J211" i="5"/>
  <c r="G211" i="5"/>
  <c r="F211" i="5"/>
  <c r="J210" i="5"/>
  <c r="G210" i="5"/>
  <c r="F210" i="5"/>
  <c r="J209" i="5"/>
  <c r="G209" i="5"/>
  <c r="F209" i="5"/>
  <c r="J208" i="5"/>
  <c r="G208" i="5"/>
  <c r="F208" i="5"/>
  <c r="J207" i="5"/>
  <c r="G207" i="5"/>
  <c r="F207" i="5"/>
  <c r="J206" i="5"/>
  <c r="G206" i="5"/>
  <c r="F206" i="5"/>
  <c r="J205" i="5"/>
  <c r="G205" i="5"/>
  <c r="F205" i="5"/>
  <c r="J204" i="5"/>
  <c r="G204" i="5"/>
  <c r="F204" i="5"/>
  <c r="J203" i="5"/>
  <c r="G203" i="5"/>
  <c r="F203" i="5"/>
  <c r="J202" i="5"/>
  <c r="G202" i="5"/>
  <c r="F202" i="5"/>
  <c r="J201" i="5"/>
  <c r="G201" i="5"/>
  <c r="F201" i="5"/>
  <c r="J200" i="5"/>
  <c r="G200" i="5"/>
  <c r="F200" i="5"/>
  <c r="J199" i="5"/>
  <c r="G199" i="5"/>
  <c r="F199" i="5"/>
  <c r="J198" i="5"/>
  <c r="G198" i="5"/>
  <c r="F198" i="5"/>
  <c r="J197" i="5"/>
  <c r="G197" i="5"/>
  <c r="F197" i="5"/>
  <c r="J196" i="5"/>
  <c r="G196" i="5"/>
  <c r="F196" i="5"/>
  <c r="J195" i="5"/>
  <c r="G195" i="5"/>
  <c r="F195" i="5"/>
  <c r="J194" i="5"/>
  <c r="G194" i="5"/>
  <c r="F194" i="5"/>
  <c r="J193" i="5"/>
  <c r="G193" i="5"/>
  <c r="F193" i="5"/>
  <c r="J192" i="5"/>
  <c r="G192" i="5"/>
  <c r="F192" i="5"/>
  <c r="J191" i="5"/>
  <c r="G191" i="5"/>
  <c r="F191" i="5"/>
  <c r="J190" i="5"/>
  <c r="G190" i="5"/>
  <c r="F190" i="5"/>
  <c r="J189" i="5"/>
  <c r="G189" i="5"/>
  <c r="F189" i="5"/>
  <c r="J188" i="5"/>
  <c r="G188" i="5"/>
  <c r="F188" i="5"/>
  <c r="J187" i="5"/>
  <c r="G187" i="5"/>
  <c r="F187" i="5"/>
  <c r="J186" i="5"/>
  <c r="G186" i="5"/>
  <c r="F186" i="5"/>
  <c r="J185" i="5"/>
  <c r="G185" i="5"/>
  <c r="F185" i="5"/>
  <c r="J184" i="5"/>
  <c r="G184" i="5"/>
  <c r="F184" i="5"/>
  <c r="J183" i="5"/>
  <c r="G183" i="5"/>
  <c r="F183" i="5"/>
  <c r="J182" i="5"/>
  <c r="G182" i="5"/>
  <c r="F182" i="5"/>
  <c r="J181" i="5"/>
  <c r="G181" i="5"/>
  <c r="F181" i="5"/>
  <c r="J180" i="5"/>
  <c r="G180" i="5"/>
  <c r="F180" i="5"/>
  <c r="J179" i="5"/>
  <c r="G179" i="5"/>
  <c r="F179" i="5"/>
  <c r="J178" i="5"/>
  <c r="G178" i="5"/>
  <c r="F178" i="5"/>
  <c r="J177" i="5"/>
  <c r="G177" i="5"/>
  <c r="F177" i="5"/>
  <c r="J176" i="5"/>
  <c r="G176" i="5"/>
  <c r="F176" i="5"/>
  <c r="J175" i="5"/>
  <c r="G175" i="5"/>
  <c r="F175" i="5"/>
  <c r="J174" i="5"/>
  <c r="G174" i="5"/>
  <c r="F174" i="5"/>
  <c r="J173" i="5"/>
  <c r="G173" i="5"/>
  <c r="F173" i="5"/>
  <c r="J172" i="5"/>
  <c r="G172" i="5"/>
  <c r="F172" i="5"/>
  <c r="J171" i="5"/>
  <c r="G171" i="5"/>
  <c r="F171" i="5"/>
  <c r="J170" i="5"/>
  <c r="G170" i="5"/>
  <c r="F170" i="5"/>
  <c r="J169" i="5"/>
  <c r="G169" i="5"/>
  <c r="F169" i="5"/>
  <c r="J168" i="5"/>
  <c r="G168" i="5"/>
  <c r="F168" i="5"/>
  <c r="J167" i="5"/>
  <c r="G167" i="5"/>
  <c r="F167" i="5"/>
  <c r="J166" i="5"/>
  <c r="G166" i="5"/>
  <c r="F166" i="5"/>
  <c r="J165" i="5"/>
  <c r="G165" i="5"/>
  <c r="F165" i="5"/>
  <c r="J164" i="5"/>
  <c r="G164" i="5"/>
  <c r="F164" i="5"/>
  <c r="J163" i="5"/>
  <c r="G163" i="5"/>
  <c r="F163" i="5"/>
  <c r="J162" i="5"/>
  <c r="G162" i="5"/>
  <c r="F162" i="5"/>
  <c r="J161" i="5"/>
  <c r="G161" i="5"/>
  <c r="F161" i="5"/>
  <c r="J160" i="5"/>
  <c r="G160" i="5"/>
  <c r="F160" i="5"/>
  <c r="J159" i="5"/>
  <c r="G159" i="5"/>
  <c r="F159" i="5"/>
  <c r="J158" i="5"/>
  <c r="G158" i="5"/>
  <c r="F158" i="5"/>
  <c r="J157" i="5"/>
  <c r="G157" i="5"/>
  <c r="F157" i="5"/>
  <c r="J156" i="5"/>
  <c r="G156" i="5"/>
  <c r="F156" i="5"/>
  <c r="J155" i="5"/>
  <c r="G155" i="5"/>
  <c r="F155" i="5"/>
  <c r="J154" i="5"/>
  <c r="G154" i="5"/>
  <c r="F154" i="5"/>
  <c r="J153" i="5"/>
  <c r="G153" i="5"/>
  <c r="F153" i="5"/>
  <c r="J152" i="5"/>
  <c r="G152" i="5"/>
  <c r="F152" i="5"/>
  <c r="J151" i="5"/>
  <c r="G151" i="5"/>
  <c r="F151" i="5"/>
  <c r="J150" i="5"/>
  <c r="G150" i="5"/>
  <c r="F150" i="5"/>
  <c r="J149" i="5"/>
  <c r="G149" i="5"/>
  <c r="F149" i="5"/>
  <c r="J148" i="5"/>
  <c r="G148" i="5"/>
  <c r="F148" i="5"/>
  <c r="J147" i="5"/>
  <c r="G147" i="5"/>
  <c r="F147" i="5"/>
  <c r="J146" i="5"/>
  <c r="G146" i="5"/>
  <c r="F146" i="5"/>
  <c r="J145" i="5"/>
  <c r="G145" i="5"/>
  <c r="F145" i="5"/>
  <c r="J144" i="5"/>
  <c r="G144" i="5"/>
  <c r="F144" i="5"/>
  <c r="J143" i="5"/>
  <c r="G143" i="5"/>
  <c r="F143" i="5"/>
  <c r="J142" i="5"/>
  <c r="G142" i="5"/>
  <c r="F142" i="5"/>
  <c r="J141" i="5"/>
  <c r="G141" i="5"/>
  <c r="F141" i="5"/>
  <c r="J140" i="5"/>
  <c r="G140" i="5"/>
  <c r="F140" i="5"/>
  <c r="J139" i="5"/>
  <c r="G139" i="5"/>
  <c r="F139" i="5"/>
  <c r="J138" i="5"/>
  <c r="G138" i="5"/>
  <c r="F138" i="5"/>
  <c r="J137" i="5"/>
  <c r="G137" i="5"/>
  <c r="F137" i="5"/>
  <c r="J136" i="5"/>
  <c r="G136" i="5"/>
  <c r="F136" i="5"/>
  <c r="J135" i="5"/>
  <c r="G135" i="5"/>
  <c r="F135" i="5"/>
  <c r="J134" i="5"/>
  <c r="G134" i="5"/>
  <c r="F134" i="5"/>
  <c r="J133" i="5"/>
  <c r="G133" i="5"/>
  <c r="F133" i="5"/>
  <c r="J132" i="5"/>
  <c r="G132" i="5"/>
  <c r="F132" i="5"/>
  <c r="J131" i="5"/>
  <c r="G131" i="5"/>
  <c r="F131" i="5"/>
  <c r="J130" i="5"/>
  <c r="G130" i="5"/>
  <c r="F130" i="5"/>
  <c r="J129" i="5"/>
  <c r="G129" i="5"/>
  <c r="F129" i="5"/>
  <c r="J128" i="5"/>
  <c r="G128" i="5"/>
  <c r="F128" i="5"/>
  <c r="J127" i="5"/>
  <c r="G127" i="5"/>
  <c r="F127" i="5"/>
  <c r="J126" i="5"/>
  <c r="G126" i="5"/>
  <c r="F126" i="5"/>
  <c r="J125" i="5"/>
  <c r="G125" i="5"/>
  <c r="F125" i="5"/>
  <c r="J124" i="5"/>
  <c r="G124" i="5"/>
  <c r="F124" i="5"/>
  <c r="J123" i="5"/>
  <c r="G123" i="5"/>
  <c r="F123" i="5"/>
  <c r="J122" i="5"/>
  <c r="G122" i="5"/>
  <c r="F122" i="5"/>
  <c r="J121" i="5"/>
  <c r="G121" i="5"/>
  <c r="F121" i="5"/>
  <c r="J120" i="5"/>
  <c r="G120" i="5"/>
  <c r="F120" i="5"/>
  <c r="J119" i="5"/>
  <c r="G119" i="5"/>
  <c r="F119" i="5"/>
  <c r="J118" i="5"/>
  <c r="G118" i="5"/>
  <c r="F118" i="5"/>
  <c r="J117" i="5"/>
  <c r="G117" i="5"/>
  <c r="F117" i="5"/>
  <c r="J116" i="5"/>
  <c r="G116" i="5"/>
  <c r="F116" i="5"/>
  <c r="J115" i="5"/>
  <c r="G115" i="5"/>
  <c r="F115" i="5"/>
  <c r="J114" i="5"/>
  <c r="G114" i="5"/>
  <c r="F114" i="5"/>
  <c r="J113" i="5"/>
  <c r="G113" i="5"/>
  <c r="F113" i="5"/>
  <c r="J112" i="5"/>
  <c r="G112" i="5"/>
  <c r="F112" i="5"/>
  <c r="J111" i="5"/>
  <c r="G111" i="5"/>
  <c r="F111" i="5"/>
  <c r="J110" i="5"/>
  <c r="G110" i="5"/>
  <c r="F110" i="5"/>
  <c r="J109" i="5"/>
  <c r="G109" i="5"/>
  <c r="F109" i="5"/>
  <c r="J108" i="5"/>
  <c r="G108" i="5"/>
  <c r="F108" i="5"/>
  <c r="J107" i="5"/>
  <c r="G107" i="5"/>
  <c r="F107" i="5"/>
  <c r="J106" i="5"/>
  <c r="G106" i="5"/>
  <c r="F106" i="5"/>
  <c r="J105" i="5"/>
  <c r="G105" i="5"/>
  <c r="F105" i="5"/>
  <c r="J104" i="5"/>
  <c r="G104" i="5"/>
  <c r="F104" i="5"/>
  <c r="J103" i="5"/>
  <c r="G103" i="5"/>
  <c r="F103" i="5"/>
  <c r="J102" i="5"/>
  <c r="G102" i="5"/>
  <c r="F102" i="5"/>
  <c r="J101" i="5"/>
  <c r="G101" i="5"/>
  <c r="F101" i="5"/>
  <c r="J100" i="5"/>
  <c r="G100" i="5"/>
  <c r="F100" i="5"/>
  <c r="J99" i="5"/>
  <c r="G99" i="5"/>
  <c r="F99" i="5"/>
  <c r="J98" i="5"/>
  <c r="G98" i="5"/>
  <c r="F98" i="5"/>
  <c r="J97" i="5"/>
  <c r="G97" i="5"/>
  <c r="F97" i="5"/>
  <c r="J96" i="5"/>
  <c r="G96" i="5"/>
  <c r="F96" i="5"/>
  <c r="J95" i="5"/>
  <c r="G95" i="5"/>
  <c r="F95" i="5"/>
  <c r="K94" i="5"/>
  <c r="G94" i="5"/>
  <c r="F94" i="5"/>
  <c r="G93" i="5"/>
  <c r="F93" i="5"/>
  <c r="G92" i="5"/>
  <c r="F92" i="5"/>
  <c r="G91" i="5"/>
  <c r="F91" i="5"/>
  <c r="J90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J65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K9" i="5" s="1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M14" i="5"/>
  <c r="L14" i="5"/>
  <c r="G14" i="5"/>
  <c r="F14" i="5"/>
  <c r="M13" i="5"/>
  <c r="L13" i="5"/>
  <c r="G13" i="5"/>
  <c r="F13" i="5"/>
  <c r="M12" i="5"/>
  <c r="L12" i="5"/>
  <c r="G12" i="5"/>
  <c r="F12" i="5"/>
  <c r="M11" i="5"/>
  <c r="L11" i="5"/>
  <c r="G11" i="5"/>
  <c r="F11" i="5"/>
  <c r="M10" i="5"/>
  <c r="L10" i="5"/>
  <c r="G10" i="5"/>
  <c r="F10" i="5"/>
  <c r="M9" i="5"/>
  <c r="L9" i="5"/>
  <c r="G9" i="5"/>
  <c r="F9" i="5"/>
  <c r="M8" i="5"/>
  <c r="L8" i="5"/>
  <c r="G8" i="5"/>
  <c r="J38" i="5" s="1"/>
  <c r="F8" i="5"/>
  <c r="J16" i="5" s="1"/>
  <c r="M7" i="5"/>
  <c r="L7" i="5"/>
  <c r="G7" i="5"/>
  <c r="K4" i="5" s="1"/>
  <c r="F7" i="5"/>
  <c r="M6" i="5"/>
  <c r="L6" i="5"/>
  <c r="G6" i="5"/>
  <c r="J37" i="5" s="1"/>
  <c r="F6" i="5"/>
  <c r="J72" i="5" s="1"/>
  <c r="M5" i="5"/>
  <c r="L5" i="5"/>
  <c r="J5" i="5"/>
  <c r="M4" i="5"/>
  <c r="L4" i="5"/>
  <c r="D26" i="4"/>
  <c r="C26" i="4"/>
  <c r="B26" i="4"/>
  <c r="E26" i="4" s="1"/>
  <c r="D25" i="4"/>
  <c r="C25" i="4"/>
  <c r="B25" i="4"/>
  <c r="E25" i="4" s="1"/>
  <c r="D24" i="4"/>
  <c r="C24" i="4"/>
  <c r="B24" i="4"/>
  <c r="E24" i="4" s="1"/>
  <c r="B18" i="4"/>
  <c r="D9" i="4"/>
  <c r="B31" i="4" s="1"/>
  <c r="B9" i="4"/>
  <c r="D8" i="4"/>
  <c r="D7" i="4"/>
  <c r="D6" i="4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C14" i="3"/>
  <c r="D14" i="3" s="1"/>
  <c r="B14" i="3"/>
  <c r="B64" i="2"/>
  <c r="B65" i="2" s="1"/>
  <c r="B55" i="2"/>
  <c r="B10" i="2"/>
  <c r="A41" i="2" s="1"/>
  <c r="E14" i="3" l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B66" i="2"/>
  <c r="B67" i="2" s="1"/>
  <c r="B68" i="2" s="1"/>
  <c r="B69" i="2" s="1"/>
  <c r="B73" i="2" s="1"/>
  <c r="E27" i="4"/>
  <c r="J23" i="5"/>
  <c r="J35" i="5"/>
  <c r="J62" i="5"/>
  <c r="J78" i="5"/>
  <c r="K13" i="5"/>
  <c r="J73" i="5"/>
  <c r="K11" i="5"/>
  <c r="K15" i="5"/>
  <c r="J6" i="5"/>
  <c r="K6" i="5"/>
  <c r="K10" i="5"/>
  <c r="K14" i="5"/>
  <c r="J51" i="5"/>
  <c r="J59" i="5"/>
  <c r="J67" i="5"/>
  <c r="J75" i="5"/>
  <c r="J57" i="5"/>
  <c r="B29" i="7"/>
  <c r="B27" i="2"/>
  <c r="J8" i="5"/>
  <c r="J12" i="5"/>
  <c r="J33" i="5"/>
  <c r="J52" i="5"/>
  <c r="J60" i="5"/>
  <c r="J68" i="5"/>
  <c r="J76" i="5"/>
  <c r="J30" i="5"/>
  <c r="J36" i="5"/>
  <c r="J55" i="5"/>
  <c r="J63" i="5"/>
  <c r="J71" i="5"/>
  <c r="J24" i="5"/>
  <c r="J4" i="5"/>
  <c r="J7" i="5"/>
  <c r="J11" i="5"/>
  <c r="J15" i="5"/>
  <c r="J50" i="5"/>
  <c r="J58" i="5"/>
  <c r="J66" i="5"/>
  <c r="J74" i="5"/>
  <c r="J29" i="5"/>
  <c r="J54" i="5"/>
  <c r="J70" i="5"/>
  <c r="J89" i="5"/>
  <c r="B15" i="2"/>
  <c r="B17" i="4"/>
  <c r="B19" i="4" s="1"/>
  <c r="K5" i="5"/>
  <c r="J49" i="5"/>
  <c r="J28" i="5"/>
  <c r="J34" i="5"/>
  <c r="J53" i="5"/>
  <c r="J61" i="5"/>
  <c r="J69" i="5"/>
  <c r="J77" i="5"/>
  <c r="J88" i="5"/>
  <c r="J9" i="5"/>
  <c r="J13" i="5"/>
  <c r="K16" i="5"/>
  <c r="K8" i="5"/>
  <c r="K12" i="5"/>
  <c r="K7" i="5"/>
  <c r="J10" i="5"/>
  <c r="J14" i="5"/>
  <c r="J48" i="5"/>
  <c r="J56" i="5"/>
  <c r="J64" i="5"/>
  <c r="B21" i="7"/>
  <c r="B65" i="7"/>
  <c r="B22" i="7"/>
  <c r="B66" i="7"/>
  <c r="B67" i="7" s="1"/>
  <c r="J25" i="5" l="1"/>
  <c r="K95" i="5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B17" i="3"/>
  <c r="B35" i="4"/>
  <c r="B33" i="4"/>
  <c r="B72" i="2"/>
  <c r="B74" i="2" s="1"/>
  <c r="A80" i="2" s="1"/>
  <c r="B54" i="7"/>
  <c r="B28" i="7"/>
  <c r="B33" i="7" s="1"/>
  <c r="B18" i="3"/>
  <c r="C24" i="3" s="1"/>
  <c r="B37" i="7" l="1"/>
  <c r="B36" i="7"/>
  <c r="B39" i="7" s="1"/>
  <c r="A42" i="3"/>
  <c r="B24" i="3"/>
  <c r="C49" i="7" l="1"/>
  <c r="C47" i="7"/>
  <c r="C45" i="7"/>
  <c r="B53" i="7"/>
  <c r="C50" i="7"/>
  <c r="C48" i="7"/>
  <c r="C46" i="7"/>
  <c r="B58" i="7" l="1"/>
  <c r="B55" i="7"/>
  <c r="D45" i="7"/>
  <c r="E45" i="7" s="1"/>
  <c r="B46" i="7" s="1"/>
  <c r="D46" i="7" l="1"/>
  <c r="E46" i="7" s="1"/>
  <c r="B47" i="7" s="1"/>
  <c r="B60" i="7"/>
  <c r="B61" i="7"/>
  <c r="D47" i="7" l="1"/>
  <c r="E47" i="7" s="1"/>
  <c r="B48" i="7" s="1"/>
  <c r="D48" i="7" l="1"/>
  <c r="E48" i="7" s="1"/>
  <c r="B49" i="7" s="1"/>
  <c r="D49" i="7" l="1"/>
  <c r="E49" i="7" s="1"/>
  <c r="B50" i="7" s="1"/>
  <c r="D50" i="7" l="1"/>
  <c r="E50" i="7" s="1"/>
</calcChain>
</file>

<file path=xl/sharedStrings.xml><?xml version="1.0" encoding="utf-8"?>
<sst xmlns="http://schemas.openxmlformats.org/spreadsheetml/2006/main" count="3788" uniqueCount="3762">
  <si>
    <t>VBA - Homework 1</t>
  </si>
  <si>
    <t>Group Members</t>
  </si>
  <si>
    <t>1.</t>
  </si>
  <si>
    <t>Andreas Sonneck</t>
  </si>
  <si>
    <t>2.</t>
  </si>
  <si>
    <t>Le San Hua</t>
  </si>
  <si>
    <t>3.</t>
  </si>
  <si>
    <t>Muzaffer Efe Gencelli</t>
  </si>
  <si>
    <t>DIVIDEND DISCOUNT MODEL - SENSITIVITY ANALYSIS</t>
  </si>
  <si>
    <t>PART (a): Constant Growth DDM</t>
  </si>
  <si>
    <t>INPUT ASSUMPTIONS</t>
  </si>
  <si>
    <t>Next year's anticipated dividend (D1)</t>
  </si>
  <si>
    <t>Dividend growth rate (g)</t>
  </si>
  <si>
    <t>Cost of equity (rE)</t>
  </si>
  <si>
    <t>Share value (Gordon DDM)</t>
  </si>
  <si>
    <t>ONE-WAY DATA TABLE: Share Value vs. Growth Rate (g)</t>
  </si>
  <si>
    <t>Growth rate (g)</t>
  </si>
  <si>
    <t>ONE-WAY DATA TABLE: Share Value vs. Cost of Equity (rE)</t>
  </si>
  <si>
    <t>TWO-WAY DATA TABLE: Share Value for varying g and rE</t>
  </si>
  <si>
    <t>Cost of Equity (rE)</t>
  </si>
  <si>
    <t>Dividend Growth Rate (g) --&gt;</t>
  </si>
  <si>
    <t>PART (b): Two-Stage Growth DDM (Supernormal Growth)</t>
  </si>
  <si>
    <t>Current dividend (D0) implied from D1</t>
  </si>
  <si>
    <t>High growth rate g1 (years 1-5)</t>
  </si>
  <si>
    <t>Long-run growth rate g2 (year 6+)</t>
  </si>
  <si>
    <t>DIVIDEND PROJECTIONS</t>
  </si>
  <si>
    <t>Year</t>
  </si>
  <si>
    <t>Dividend</t>
  </si>
  <si>
    <t>VALUATION</t>
  </si>
  <si>
    <t>PV of dividends years 1-5</t>
  </si>
  <si>
    <t>Terminal value at end of year 5</t>
  </si>
  <si>
    <t>SHARE VALUE (two-stage DDM)</t>
  </si>
  <si>
    <t>TWO-WAY DATA TABLE: Two-Stage DDM Share Value</t>
  </si>
  <si>
    <t>Long-run Growth Rate (g2) --&gt;</t>
  </si>
  <si>
    <t>PROJECT NPV &amp; IRR - SENSITIVITY ANALYSIS</t>
  </si>
  <si>
    <t>Initial investment (Year 0)</t>
  </si>
  <si>
    <t>Initial cash flow (CF1)</t>
  </si>
  <si>
    <t>Discount rate</t>
  </si>
  <si>
    <t>Number of years</t>
  </si>
  <si>
    <t>CASH FLOW SCHEDULE</t>
  </si>
  <si>
    <t>Cash flow</t>
  </si>
  <si>
    <t>NPV</t>
  </si>
  <si>
    <t>IRR</t>
  </si>
  <si>
    <t>PART (a): NPV and IRR vs. Growth Rate (g)</t>
  </si>
  <si>
    <t>Helper: Cash flows for IRR calculation</t>
  </si>
  <si>
    <t>PART (b): TWO-WAY DATA TABLE - NPV for varying g and discount rate</t>
  </si>
  <si>
    <t>Discount Rate (rE)</t>
  </si>
  <si>
    <t>Growth Rate (g) --&gt;</t>
  </si>
  <si>
    <t>BOND PORTFOLIO - DURATION &amp; YIELD CURVE SHIFT ANALYSIS</t>
  </si>
  <si>
    <t>PORTFOLIO COMPOSITION</t>
  </si>
  <si>
    <t>Bond Type</t>
  </si>
  <si>
    <t>Weight</t>
  </si>
  <si>
    <t>Duration (years)</t>
  </si>
  <si>
    <t>Weighted Duration</t>
  </si>
  <si>
    <t>Government bonds</t>
  </si>
  <si>
    <t>Financial bonds</t>
  </si>
  <si>
    <t>Non-financial bonds</t>
  </si>
  <si>
    <t>TOTAL</t>
  </si>
  <si>
    <t>YIELD CURVE SHIFT</t>
  </si>
  <si>
    <t>Parallel increase in yield curve (Δy)</t>
  </si>
  <si>
    <t>APPROXIMATE CHANGE IN PORTFOLIO VALUE</t>
  </si>
  <si>
    <t>Portfolio Duration (Dp)</t>
  </si>
  <si>
    <t>Yield change (Δy)</t>
  </si>
  <si>
    <t>ΔP/P ≈ -Duration × Δy</t>
  </si>
  <si>
    <t>BREAKDOWN BY BOND TYPE</t>
  </si>
  <si>
    <t>Duration</t>
  </si>
  <si>
    <t>Δy</t>
  </si>
  <si>
    <t>ΔP/P (component)</t>
  </si>
  <si>
    <t>TOTAL portfolio change</t>
  </si>
  <si>
    <t>INTERPRETATION</t>
  </si>
  <si>
    <t>Portfolio duration:</t>
  </si>
  <si>
    <t>years</t>
  </si>
  <si>
    <t>With a 3% parallel increase in yields:</t>
  </si>
  <si>
    <t>Approximate portfolio value change:</t>
  </si>
  <si>
    <t>The portfolio would lose approximately</t>
  </si>
  <si>
    <t>% of its value.</t>
  </si>
  <si>
    <t>MICROSOFT &amp; S&amp;P 500 ANALYSIS</t>
  </si>
  <si>
    <t>DESCRIPTIVE STATISTICS</t>
  </si>
  <si>
    <t>Period: 5 Jan 2012 - 26 Feb 2026 | Source: stooq.com</t>
  </si>
  <si>
    <t>Statistic</t>
  </si>
  <si>
    <t>MSFT Log Return</t>
  </si>
  <si>
    <t>S&amp;P 500 Log Return</t>
  </si>
  <si>
    <t>MSFT Volume</t>
  </si>
  <si>
    <t>S&amp;P 500 Volume</t>
  </si>
  <si>
    <t>Date</t>
  </si>
  <si>
    <t>MSFT Close</t>
  </si>
  <si>
    <t>S&amp;P 500 Close</t>
  </si>
  <si>
    <t>Count</t>
  </si>
  <si>
    <t>2012-01-05</t>
  </si>
  <si>
    <t>Mean</t>
  </si>
  <si>
    <t>2012-01-06</t>
  </si>
  <si>
    <t>Median</t>
  </si>
  <si>
    <t>2012-01-09</t>
  </si>
  <si>
    <t>Standard Deviation</t>
  </si>
  <si>
    <t>2012-01-10</t>
  </si>
  <si>
    <t>Std Dev (Population)</t>
  </si>
  <si>
    <t>2012-01-11</t>
  </si>
  <si>
    <t>Variance</t>
  </si>
  <si>
    <t>2012-01-12</t>
  </si>
  <si>
    <t>Minimum</t>
  </si>
  <si>
    <t>2012-01-13</t>
  </si>
  <si>
    <t>Maximum</t>
  </si>
  <si>
    <t>2012-01-17</t>
  </si>
  <si>
    <t>Range</t>
  </si>
  <si>
    <t>2012-01-18</t>
  </si>
  <si>
    <t>Skewness</t>
  </si>
  <si>
    <t>2012-01-19</t>
  </si>
  <si>
    <t>Kurtosis</t>
  </si>
  <si>
    <t>2012-01-20</t>
  </si>
  <si>
    <t>Annualized Mean</t>
  </si>
  <si>
    <t>2012-01-23</t>
  </si>
  <si>
    <t>Annualized Std Dev</t>
  </si>
  <si>
    <t>2012-01-24</t>
  </si>
  <si>
    <t>2012-01-25</t>
  </si>
  <si>
    <t>2012-01-26</t>
  </si>
  <si>
    <t>2012-01-27</t>
  </si>
  <si>
    <t>MICROSOFT'S BETA (β)</t>
  </si>
  <si>
    <t>2012-01-30</t>
  </si>
  <si>
    <t>2012-01-31</t>
  </si>
  <si>
    <t>Method 1: Covariance / Variance</t>
  </si>
  <si>
    <t>2012-02-01</t>
  </si>
  <si>
    <t>Covariance (MSFT, S&amp;P500)</t>
  </si>
  <si>
    <t>2012-02-02</t>
  </si>
  <si>
    <t>Variance of S&amp;P 500</t>
  </si>
  <si>
    <t>2012-02-03</t>
  </si>
  <si>
    <t>Beta = Cov / Var</t>
  </si>
  <si>
    <t>2012-02-06</t>
  </si>
  <si>
    <t>2012-02-07</t>
  </si>
  <si>
    <t>Method 2: SLOPE Function</t>
  </si>
  <si>
    <t>2012-02-08</t>
  </si>
  <si>
    <t>Beta = SLOPE(MSFT, S&amp;P500)</t>
  </si>
  <si>
    <t>2012-02-09</t>
  </si>
  <si>
    <t>Intercept (alpha)</t>
  </si>
  <si>
    <t>2012-02-10</t>
  </si>
  <si>
    <t>R-squared</t>
  </si>
  <si>
    <t>2012-02-13</t>
  </si>
  <si>
    <t>2012-02-14</t>
  </si>
  <si>
    <t>Method 3: Regression (LINEST)</t>
  </si>
  <si>
    <t>2012-02-15</t>
  </si>
  <si>
    <t>Beta (slope from LINEST)</t>
  </si>
  <si>
    <t>2012-02-16</t>
  </si>
  <si>
    <t>Intercept from LINEST</t>
  </si>
  <si>
    <t>2012-02-17</t>
  </si>
  <si>
    <t>Std Error of Slope</t>
  </si>
  <si>
    <t>2012-02-21</t>
  </si>
  <si>
    <t>R-squared from LINEST</t>
  </si>
  <si>
    <t>2012-02-22</t>
  </si>
  <si>
    <t>F-statistic from LINEST</t>
  </si>
  <si>
    <t>2012-02-23</t>
  </si>
  <si>
    <t>Observations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</si>
  <si>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</si>
  <si>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</si>
  <si>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</si>
  <si>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</si>
  <si>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</si>
  <si>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</si>
  <si>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</si>
  <si>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HISTOGRAM: MSFT LOGARITHMIC RETURNS</t>
  </si>
  <si>
    <t>2012-03-06</t>
  </si>
  <si>
    <t>2012-03-07</t>
  </si>
  <si>
    <t>Bin upper limit</t>
  </si>
  <si>
    <t>Frequency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</si>
  <si>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</si>
  <si>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</si>
  <si>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</si>
  <si>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</si>
  <si>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</si>
  <si>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</si>
  <si>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</si>
  <si>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</si>
  <si>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</si>
  <si>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</si>
  <si>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</si>
  <si>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</si>
  <si>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</si>
  <si>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</si>
  <si>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</si>
  <si>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</si>
  <si>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</si>
  <si>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</si>
  <si>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</si>
  <si>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</si>
  <si>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</si>
  <si>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</si>
  <si>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</si>
  <si>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</si>
  <si>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</si>
  <si>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</si>
  <si>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</si>
  <si>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</si>
  <si>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</si>
  <si>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</si>
  <si>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</si>
  <si>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More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</si>
  <si>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</si>
  <si>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</si>
  <si>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</si>
  <si>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</si>
  <si>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</si>
  <si>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</si>
  <si>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</si>
  <si>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SIMULATION: MSFT SHARE PRICE (250 business days)</t>
  </si>
  <si>
    <t>2012-05-02</t>
  </si>
  <si>
    <t>2012-05-03</t>
  </si>
  <si>
    <t>SIMULATION PARAMETERS</t>
  </si>
  <si>
    <t>2012-05-04</t>
  </si>
  <si>
    <t>Mean daily log return (μ)</t>
  </si>
  <si>
    <t>2012-05-07</t>
  </si>
  <si>
    <t>Std dev daily log return (σ)</t>
  </si>
  <si>
    <t>2012-05-08</t>
  </si>
  <si>
    <t>Last observed close price</t>
  </si>
  <si>
    <t>2012-05-09</t>
  </si>
  <si>
    <t>Δt</t>
  </si>
  <si>
    <t>2012-05-10</t>
  </si>
  <si>
    <t>2012-05-11</t>
  </si>
  <si>
    <t>Day</t>
  </si>
  <si>
    <t>Normal deviate (Z)</t>
  </si>
  <si>
    <t>Simulated Price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</si>
  <si>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</si>
  <si>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</si>
  <si>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</si>
  <si>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</si>
  <si>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</si>
  <si>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</si>
  <si>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</si>
  <si>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</si>
  <si>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</si>
  <si>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</si>
  <si>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</si>
  <si>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</si>
  <si>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</si>
  <si>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</si>
  <si>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</si>
  <si>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</si>
  <si>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</si>
  <si>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</si>
  <si>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</si>
  <si>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</si>
  <si>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</si>
  <si>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</si>
  <si>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</si>
  <si>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</si>
  <si>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</si>
  <si>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</si>
  <si>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</si>
  <si>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</si>
  <si>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</si>
  <si>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</si>
  <si>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</si>
  <si>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</si>
  <si>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</si>
  <si>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</si>
  <si>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</si>
  <si>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</si>
  <si>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</si>
  <si>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</si>
  <si>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</si>
  <si>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</si>
  <si>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</si>
  <si>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</si>
  <si>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</si>
  <si>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</si>
  <si>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</si>
  <si>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</si>
  <si>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</si>
  <si>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</si>
  <si>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</si>
  <si>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</si>
  <si>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</si>
  <si>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</si>
  <si>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</si>
  <si>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</si>
  <si>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</si>
  <si>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</si>
  <si>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</si>
  <si>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</si>
  <si>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</si>
  <si>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</si>
  <si>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</si>
  <si>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</si>
  <si>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</si>
  <si>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</si>
  <si>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</si>
  <si>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</si>
  <si>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</si>
  <si>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</si>
  <si>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</si>
  <si>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</si>
  <si>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</si>
  <si>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</si>
  <si>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</si>
  <si>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</si>
  <si>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</si>
  <si>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</si>
  <si>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</si>
  <si>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</si>
  <si>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</si>
  <si>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</si>
  <si>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</si>
  <si>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</si>
  <si>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</si>
  <si>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</si>
  <si>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</si>
  <si>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</si>
  <si>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</si>
  <si>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</si>
  <si>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</si>
  <si>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</si>
  <si>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</si>
  <si>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</si>
  <si>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</si>
  <si>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</si>
  <si>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</si>
  <si>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</si>
  <si>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</si>
  <si>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</si>
  <si>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</si>
  <si>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</si>
  <si>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</si>
  <si>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</si>
  <si>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</si>
  <si>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</si>
  <si>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</si>
  <si>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</si>
  <si>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</si>
  <si>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</si>
  <si>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</si>
  <si>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</si>
  <si>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</si>
  <si>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</si>
  <si>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</si>
  <si>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</si>
  <si>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</si>
  <si>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</si>
  <si>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</si>
  <si>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</si>
  <si>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</si>
  <si>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</si>
  <si>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</si>
  <si>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</si>
  <si>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</si>
  <si>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</si>
  <si>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</si>
  <si>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</si>
  <si>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</si>
  <si>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</si>
  <si>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</si>
  <si>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</si>
  <si>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</si>
  <si>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</si>
  <si>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</si>
  <si>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</si>
  <si>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</si>
  <si>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</si>
  <si>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</si>
  <si>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</si>
  <si>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</si>
  <si>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</si>
  <si>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</si>
  <si>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</si>
  <si>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</si>
  <si>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</si>
  <si>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</si>
  <si>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</si>
  <si>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</si>
  <si>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</si>
  <si>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</si>
  <si>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</si>
  <si>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</si>
  <si>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</si>
  <si>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</si>
  <si>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</si>
  <si>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</si>
  <si>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</si>
  <si>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</si>
  <si>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</si>
  <si>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</si>
  <si>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</si>
  <si>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</si>
  <si>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</si>
  <si>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</si>
  <si>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</si>
  <si>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</si>
  <si>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</si>
  <si>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</si>
  <si>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</si>
  <si>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</si>
  <si>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</si>
  <si>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</si>
  <si>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</si>
  <si>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</si>
  <si>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</si>
  <si>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</si>
  <si>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</si>
  <si>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</si>
  <si>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</si>
  <si>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</si>
  <si>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</si>
  <si>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</si>
  <si>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</si>
  <si>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</si>
  <si>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</si>
  <si>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</si>
  <si>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</si>
  <si>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</si>
  <si>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</si>
  <si>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</si>
  <si>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</si>
  <si>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</si>
  <si>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</si>
  <si>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</si>
  <si>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</si>
  <si>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</si>
  <si>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</si>
  <si>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</si>
  <si>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</si>
  <si>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</si>
  <si>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</si>
  <si>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</si>
  <si>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</si>
  <si>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</si>
  <si>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</si>
  <si>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</si>
  <si>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</si>
  <si>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</si>
  <si>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</si>
  <si>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</si>
  <si>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</si>
  <si>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</si>
  <si>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</si>
  <si>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</si>
  <si>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</si>
  <si>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</si>
  <si>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</si>
  <si>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</si>
  <si>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</si>
  <si>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</si>
  <si>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</si>
  <si>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</si>
  <si>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</si>
  <si>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</si>
  <si>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</si>
  <si>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</si>
  <si>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</si>
  <si>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</si>
  <si>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</si>
  <si>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</si>
  <si>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</si>
  <si>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</si>
  <si>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</si>
  <si>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</si>
  <si>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</si>
  <si>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</si>
  <si>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</si>
  <si>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</si>
  <si>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</si>
  <si>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</si>
  <si>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</si>
  <si>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</si>
  <si>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</si>
  <si>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</si>
  <si>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</si>
  <si>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</si>
  <si>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</si>
  <si>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</si>
  <si>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</si>
  <si>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</si>
  <si>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</si>
  <si>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</si>
  <si>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</si>
  <si>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</si>
  <si>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</si>
  <si>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SUMMARY OUTPUT</t>
  </si>
  <si>
    <t>2013-05-20</t>
  </si>
  <si>
    <t>2013-05-21</t>
  </si>
  <si>
    <t>Regression Statistics</t>
  </si>
  <si>
    <t>2013-05-22</t>
  </si>
  <si>
    <t>Multiple R</t>
  </si>
  <si>
    <t>2013-05-23</t>
  </si>
  <si>
    <t>R Square</t>
  </si>
  <si>
    <t>2013-05-24</t>
  </si>
  <si>
    <t>Adjusted R Square</t>
  </si>
  <si>
    <t>2013-05-28</t>
  </si>
  <si>
    <t>Standard Error</t>
  </si>
  <si>
    <t>2013-05-29</t>
  </si>
  <si>
    <t>2013-05-30</t>
  </si>
  <si>
    <t>2013-05-31</t>
  </si>
  <si>
    <t>ANOVA</t>
  </si>
  <si>
    <t>2013-06-03</t>
  </si>
  <si>
    <t>df</t>
  </si>
  <si>
    <t>SS</t>
  </si>
  <si>
    <t>MS</t>
  </si>
  <si>
    <t>F</t>
  </si>
  <si>
    <t>Significance F</t>
  </si>
  <si>
    <t>2013-06-04</t>
  </si>
  <si>
    <t>Regression</t>
  </si>
  <si>
    <t>2013-06-05</t>
  </si>
  <si>
    <t>Residual</t>
  </si>
  <si>
    <t>2013-06-06</t>
  </si>
  <si>
    <t>Total</t>
  </si>
  <si>
    <t>2013-06-07</t>
  </si>
  <si>
    <t>2013-06-10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</si>
  <si>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</si>
  <si>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</si>
  <si>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</si>
  <si>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</si>
  <si>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</si>
  <si>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</si>
  <si>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</si>
  <si>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2013-06-11</t>
  </si>
  <si>
    <t>Intercept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</si>
  <si>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</si>
  <si>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</si>
  <si>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</si>
  <si>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</si>
  <si>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</si>
  <si>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</si>
  <si>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</si>
  <si>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</si>
  <si>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</si>
  <si>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</si>
  <si>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</si>
  <si>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</si>
  <si>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</si>
  <si>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</si>
  <si>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</si>
  <si>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</si>
  <si>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</si>
  <si>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</si>
  <si>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</si>
  <si>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</si>
  <si>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</si>
  <si>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</si>
  <si>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</si>
  <si>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</si>
  <si>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</si>
  <si>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</si>
  <si>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</si>
  <si>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</si>
  <si>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</si>
  <si>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</si>
  <si>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</si>
  <si>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</si>
  <si>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</si>
  <si>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</si>
  <si>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</si>
  <si>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</si>
  <si>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</si>
  <si>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</si>
  <si>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</si>
  <si>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</si>
  <si>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</si>
  <si>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</si>
  <si>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</si>
  <si>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</si>
  <si>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</si>
  <si>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</si>
  <si>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</si>
  <si>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</si>
  <si>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</si>
  <si>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</si>
  <si>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</si>
  <si>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</si>
  <si>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</si>
  <si>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</si>
  <si>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</si>
  <si>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</si>
  <si>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</si>
  <si>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</si>
  <si>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</si>
  <si>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</si>
  <si>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</si>
  <si>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</si>
  <si>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</si>
  <si>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</si>
  <si>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</si>
  <si>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</si>
  <si>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</si>
  <si>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</si>
  <si>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</si>
  <si>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</si>
  <si>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</si>
  <si>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</si>
  <si>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</si>
  <si>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</si>
  <si>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</si>
  <si>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</si>
  <si>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</si>
  <si>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</si>
  <si>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</si>
  <si>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</si>
  <si>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</si>
  <si>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</si>
  <si>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</si>
  <si>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</si>
  <si>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</si>
  <si>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</si>
  <si>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</si>
  <si>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</si>
  <si>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</si>
  <si>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</si>
  <si>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</si>
  <si>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</si>
  <si>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</si>
  <si>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</si>
  <si>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</si>
  <si>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</si>
  <si>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</si>
  <si>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</si>
  <si>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</si>
  <si>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</si>
  <si>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</si>
  <si>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</si>
  <si>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</si>
  <si>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</si>
  <si>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</si>
  <si>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</si>
  <si>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</si>
  <si>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</si>
  <si>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</si>
  <si>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</si>
  <si>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</si>
  <si>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</si>
  <si>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</si>
  <si>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</si>
  <si>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</si>
  <si>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</si>
  <si>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</si>
  <si>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</si>
  <si>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</si>
  <si>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</si>
  <si>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</si>
  <si>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</si>
  <si>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</si>
  <si>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</si>
  <si>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</si>
  <si>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</si>
  <si>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</si>
  <si>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</si>
  <si>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</si>
  <si>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</si>
  <si>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</si>
  <si>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</si>
  <si>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</si>
  <si>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</si>
  <si>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</si>
  <si>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</si>
  <si>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</si>
  <si>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</si>
  <si>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</si>
  <si>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</si>
  <si>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</si>
  <si>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</si>
  <si>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</si>
  <si>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</si>
  <si>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</si>
  <si>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</si>
  <si>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</si>
  <si>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</si>
  <si>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</si>
  <si>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</si>
  <si>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</si>
  <si>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</si>
  <si>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</si>
  <si>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</si>
  <si>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</si>
  <si>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</si>
  <si>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</si>
  <si>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</si>
  <si>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</si>
  <si>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</si>
  <si>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</si>
  <si>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</si>
  <si>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</si>
  <si>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</si>
  <si>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</si>
  <si>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</si>
  <si>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</si>
  <si>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</si>
  <si>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</si>
  <si>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</si>
  <si>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</si>
  <si>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</si>
  <si>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</si>
  <si>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</si>
  <si>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</si>
  <si>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</si>
  <si>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</si>
  <si>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</si>
  <si>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</si>
  <si>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</si>
  <si>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</si>
  <si>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</si>
  <si>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</si>
  <si>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</si>
  <si>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</si>
  <si>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</si>
  <si>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</si>
  <si>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</si>
  <si>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</si>
  <si>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</si>
  <si>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</si>
  <si>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</si>
  <si>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</si>
  <si>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</si>
  <si>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</si>
  <si>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</si>
  <si>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</si>
  <si>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</si>
  <si>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</si>
  <si>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</si>
  <si>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</si>
  <si>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</si>
  <si>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</si>
  <si>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</si>
  <si>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</si>
  <si>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</si>
  <si>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</si>
  <si>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</si>
  <si>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</si>
  <si>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</si>
  <si>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</si>
  <si>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</si>
  <si>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</si>
  <si>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</si>
  <si>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</si>
  <si>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</si>
  <si>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</si>
  <si>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</si>
  <si>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</si>
  <si>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</si>
  <si>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</si>
  <si>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</si>
  <si>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</si>
  <si>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</si>
  <si>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</si>
  <si>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</si>
  <si>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</si>
  <si>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</si>
  <si>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</si>
  <si>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</si>
  <si>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</si>
  <si>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</si>
  <si>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</si>
  <si>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</si>
  <si>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</si>
  <si>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</si>
  <si>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</si>
  <si>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</si>
  <si>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</si>
  <si>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</si>
  <si>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</si>
  <si>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</si>
  <si>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</si>
  <si>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</si>
  <si>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</si>
  <si>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</si>
  <si>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</si>
  <si>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</si>
  <si>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</si>
  <si>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</si>
  <si>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</si>
  <si>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</si>
  <si>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</si>
  <si>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</si>
  <si>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</si>
  <si>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</si>
  <si>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</si>
  <si>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</si>
  <si>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</si>
  <si>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</si>
  <si>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</si>
  <si>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</si>
  <si>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</si>
  <si>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</si>
  <si>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</si>
  <si>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</si>
  <si>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</si>
  <si>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</si>
  <si>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</si>
  <si>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</si>
  <si>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</si>
  <si>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</si>
  <si>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</si>
  <si>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</si>
  <si>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</si>
  <si>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</si>
  <si>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</si>
  <si>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</si>
  <si>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</si>
  <si>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</si>
  <si>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</si>
  <si>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</si>
  <si>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</si>
  <si>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</si>
  <si>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</si>
  <si>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</si>
  <si>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</si>
  <si>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</si>
  <si>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</si>
  <si>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</si>
  <si>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</si>
  <si>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</si>
  <si>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</si>
  <si>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</si>
  <si>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</si>
  <si>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</si>
  <si>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</si>
  <si>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</si>
  <si>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</si>
  <si>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</si>
  <si>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</si>
  <si>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</si>
  <si>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</si>
  <si>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</si>
  <si>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</si>
  <si>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</si>
  <si>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</si>
  <si>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</si>
  <si>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</si>
  <si>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</si>
  <si>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</si>
  <si>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</si>
  <si>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</si>
  <si>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</si>
  <si>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</si>
  <si>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</si>
  <si>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</si>
  <si>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</si>
  <si>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</si>
  <si>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</si>
  <si>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</si>
  <si>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</si>
  <si>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</si>
  <si>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</si>
  <si>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</si>
  <si>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</si>
  <si>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</si>
  <si>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</si>
  <si>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</si>
  <si>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</si>
  <si>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</si>
  <si>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</si>
  <si>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</si>
  <si>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</si>
  <si>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</si>
  <si>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</si>
  <si>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</si>
  <si>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</si>
  <si>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</si>
  <si>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</si>
  <si>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</si>
  <si>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</si>
  <si>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</si>
  <si>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</si>
  <si>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</si>
  <si>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</si>
  <si>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</si>
  <si>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</si>
  <si>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</si>
  <si>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</si>
  <si>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</si>
  <si>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</si>
  <si>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</si>
  <si>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</si>
  <si>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</si>
  <si>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</si>
  <si>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</si>
  <si>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</si>
  <si>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</si>
  <si>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</si>
  <si>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</si>
  <si>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</si>
  <si>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</si>
  <si>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</si>
  <si>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</si>
  <si>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</si>
  <si>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</si>
  <si>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</si>
  <si>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</si>
  <si>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</si>
  <si>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</si>
  <si>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</si>
  <si>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</si>
  <si>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</si>
  <si>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</si>
  <si>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</si>
  <si>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</si>
  <si>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</si>
  <si>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</si>
  <si>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</si>
  <si>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</si>
  <si>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</si>
  <si>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</si>
  <si>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</si>
  <si>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</si>
  <si>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</si>
  <si>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</si>
  <si>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</si>
  <si>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</si>
  <si>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</si>
  <si>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</si>
  <si>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</si>
  <si>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</si>
  <si>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</si>
  <si>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</si>
  <si>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</si>
  <si>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</si>
  <si>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</si>
  <si>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</si>
  <si>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</si>
  <si>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</si>
  <si>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</si>
  <si>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</si>
  <si>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</si>
  <si>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</si>
  <si>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</si>
  <si>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</si>
  <si>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</si>
  <si>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</si>
  <si>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</si>
  <si>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</si>
  <si>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</si>
  <si>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</si>
  <si>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</si>
  <si>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</si>
  <si>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</si>
  <si>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</si>
  <si>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</si>
  <si>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</si>
  <si>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</si>
  <si>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</si>
  <si>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</si>
  <si>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</si>
  <si>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</si>
  <si>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</si>
  <si>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</si>
  <si>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</si>
  <si>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</si>
  <si>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</si>
  <si>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</si>
  <si>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</si>
  <si>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</si>
  <si>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</si>
  <si>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</si>
  <si>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</si>
  <si>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</si>
  <si>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</si>
  <si>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</si>
  <si>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</si>
  <si>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</si>
  <si>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</si>
  <si>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</si>
  <si>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</si>
  <si>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</si>
  <si>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</si>
  <si>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</si>
  <si>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</si>
  <si>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</si>
  <si>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</si>
  <si>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</si>
  <si>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</si>
  <si>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</si>
  <si>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</si>
  <si>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</si>
  <si>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</si>
  <si>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</si>
  <si>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</si>
  <si>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</si>
  <si>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</si>
  <si>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</si>
  <si>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</si>
  <si>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</si>
  <si>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</si>
  <si>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</si>
  <si>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</si>
  <si>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</si>
  <si>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</si>
  <si>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</si>
  <si>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</si>
  <si>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</si>
  <si>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</si>
  <si>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</si>
  <si>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</si>
  <si>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</si>
  <si>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</si>
  <si>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</si>
  <si>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</si>
  <si>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</si>
  <si>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</si>
  <si>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</si>
  <si>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</si>
  <si>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</si>
  <si>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</si>
  <si>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</si>
  <si>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</si>
  <si>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</si>
  <si>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</si>
  <si>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</si>
  <si>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</si>
  <si>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</si>
  <si>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</si>
  <si>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</si>
  <si>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</si>
  <si>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</si>
  <si>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</si>
  <si>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</si>
  <si>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</si>
  <si>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</si>
  <si>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</si>
  <si>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</si>
  <si>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</si>
  <si>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</si>
  <si>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</si>
  <si>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</si>
  <si>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</si>
  <si>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</si>
  <si>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</si>
  <si>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</si>
  <si>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</si>
  <si>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</si>
  <si>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</si>
  <si>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</si>
  <si>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</si>
  <si>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</si>
  <si>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</si>
  <si>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</si>
  <si>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</si>
  <si>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</si>
  <si>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</si>
  <si>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</si>
  <si>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</si>
  <si>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</si>
  <si>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</si>
  <si>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</si>
  <si>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</si>
  <si>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</si>
  <si>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</si>
  <si>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</si>
  <si>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</si>
  <si>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</si>
  <si>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</si>
  <si>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</si>
  <si>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</si>
  <si>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</si>
  <si>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</si>
  <si>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</si>
  <si>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</si>
  <si>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</si>
  <si>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</si>
  <si>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</si>
  <si>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</si>
  <si>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</si>
  <si>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</si>
  <si>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</si>
  <si>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</si>
  <si>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</si>
  <si>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</si>
  <si>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</si>
  <si>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</si>
  <si>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</si>
  <si>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</si>
  <si>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</si>
  <si>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</si>
  <si>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</si>
  <si>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</si>
  <si>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</si>
  <si>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</si>
  <si>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</si>
  <si>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</si>
  <si>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</si>
  <si>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</si>
  <si>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</si>
  <si>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</si>
  <si>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</si>
  <si>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</si>
  <si>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</si>
  <si>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</si>
  <si>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</si>
  <si>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</si>
  <si>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</si>
  <si>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</si>
  <si>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</si>
  <si>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</si>
  <si>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</si>
  <si>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</si>
  <si>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</si>
  <si>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</si>
  <si>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</si>
  <si>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</si>
  <si>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</si>
  <si>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</si>
  <si>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</si>
  <si>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</si>
  <si>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</si>
  <si>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</si>
  <si>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</si>
  <si>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</si>
  <si>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</si>
  <si>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</si>
  <si>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</si>
  <si>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</si>
  <si>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</si>
  <si>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</si>
  <si>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</si>
  <si>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</si>
  <si>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</si>
  <si>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</si>
  <si>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</si>
  <si>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</si>
  <si>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</si>
  <si>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</si>
  <si>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</si>
  <si>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</si>
  <si>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</si>
  <si>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</si>
  <si>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</si>
  <si>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</si>
  <si>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</si>
  <si>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</si>
  <si>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</si>
  <si>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</si>
  <si>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</si>
  <si>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</si>
  <si>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</si>
  <si>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</si>
  <si>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</si>
  <si>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</si>
  <si>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</si>
  <si>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</si>
  <si>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</si>
  <si>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</si>
  <si>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</si>
  <si>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</si>
  <si>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</si>
  <si>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</si>
  <si>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</si>
  <si>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</si>
  <si>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</si>
  <si>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</si>
  <si>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</si>
  <si>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</si>
  <si>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</si>
  <si>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</si>
  <si>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</si>
  <si>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</si>
  <si>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</si>
  <si>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</si>
  <si>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</si>
  <si>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</si>
  <si>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</si>
  <si>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</si>
  <si>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</si>
  <si>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</si>
  <si>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</si>
  <si>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</si>
  <si>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</si>
  <si>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</si>
  <si>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</si>
  <si>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</si>
  <si>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</si>
  <si>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</si>
  <si>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</si>
  <si>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</si>
  <si>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</si>
  <si>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</si>
  <si>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</si>
  <si>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</si>
  <si>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</si>
  <si>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</si>
  <si>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</si>
  <si>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</si>
  <si>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</si>
  <si>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</si>
  <si>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</si>
  <si>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</si>
  <si>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</si>
  <si>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</si>
  <si>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</si>
  <si>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</si>
  <si>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</si>
  <si>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</si>
  <si>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</si>
  <si>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</si>
  <si>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</si>
  <si>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</si>
  <si>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</si>
  <si>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</si>
  <si>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</si>
  <si>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</si>
  <si>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</si>
  <si>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</si>
  <si>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</si>
  <si>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</si>
  <si>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</si>
  <si>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</si>
  <si>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</si>
  <si>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</si>
  <si>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</si>
  <si>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</si>
  <si>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</si>
  <si>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</si>
  <si>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</si>
  <si>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</si>
  <si>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</si>
  <si>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</si>
  <si>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</si>
  <si>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</si>
  <si>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</si>
  <si>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</si>
  <si>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</si>
  <si>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</si>
  <si>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</si>
  <si>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</si>
  <si>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</si>
  <si>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</si>
  <si>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</si>
  <si>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</si>
  <si>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</si>
  <si>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</si>
  <si>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</si>
  <si>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</si>
  <si>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</si>
  <si>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</si>
  <si>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</si>
  <si>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</si>
  <si>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</si>
  <si>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</si>
  <si>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</si>
  <si>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</si>
  <si>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</si>
  <si>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</si>
  <si>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</si>
  <si>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</si>
  <si>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</si>
  <si>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</si>
  <si>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</si>
  <si>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</si>
  <si>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</si>
  <si>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</si>
  <si>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</si>
  <si>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</si>
  <si>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</si>
  <si>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</si>
  <si>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</si>
  <si>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</si>
  <si>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</si>
  <si>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</si>
  <si>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</si>
  <si>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</si>
  <si>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</si>
  <si>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</si>
  <si>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</si>
  <si>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</si>
  <si>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</si>
  <si>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</si>
  <si>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</si>
  <si>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</si>
  <si>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</si>
  <si>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</si>
  <si>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</si>
  <si>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</si>
  <si>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</si>
  <si>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</si>
  <si>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</si>
  <si>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</si>
  <si>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</si>
  <si>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</si>
  <si>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</si>
  <si>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</si>
  <si>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</si>
  <si>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</si>
  <si>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</si>
  <si>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</si>
  <si>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</si>
  <si>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</si>
  <si>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</si>
  <si>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</si>
  <si>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</si>
  <si>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</si>
  <si>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</si>
  <si>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</si>
  <si>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</si>
  <si>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</si>
  <si>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</si>
  <si>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</si>
  <si>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</si>
  <si>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</si>
  <si>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</si>
  <si>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</si>
  <si>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</si>
  <si>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</si>
  <si>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</si>
  <si>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</si>
  <si>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</si>
  <si>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</si>
  <si>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</si>
  <si>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</si>
  <si>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</si>
  <si>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</si>
  <si>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</si>
  <si>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</si>
  <si>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</si>
  <si>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</si>
  <si>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</si>
  <si>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</si>
  <si>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</si>
  <si>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</si>
  <si>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</si>
  <si>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</si>
  <si>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</si>
  <si>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</si>
  <si>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</si>
  <si>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</si>
  <si>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</si>
  <si>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</si>
  <si>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</si>
  <si>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</si>
  <si>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</si>
  <si>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</si>
  <si>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</si>
  <si>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</si>
  <si>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</si>
  <si>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</si>
  <si>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</si>
  <si>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</si>
  <si>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</si>
  <si>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</si>
  <si>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</si>
  <si>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</si>
  <si>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</si>
  <si>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</si>
  <si>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</si>
  <si>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</si>
  <si>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</si>
  <si>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</si>
  <si>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</si>
  <si>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</si>
  <si>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</si>
  <si>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</si>
  <si>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</si>
  <si>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</si>
  <si>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</si>
  <si>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</si>
  <si>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</si>
  <si>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</si>
  <si>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</si>
  <si>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</si>
  <si>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</si>
  <si>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</si>
  <si>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</si>
  <si>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</si>
  <si>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</si>
  <si>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</si>
  <si>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</si>
  <si>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</si>
  <si>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</si>
  <si>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</si>
  <si>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</si>
  <si>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</si>
  <si>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</si>
  <si>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</si>
  <si>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</si>
  <si>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</si>
  <si>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</si>
  <si>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</si>
  <si>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</si>
  <si>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</si>
  <si>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</si>
  <si>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</si>
  <si>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</si>
  <si>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</si>
  <si>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</si>
  <si>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</si>
  <si>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</si>
  <si>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</si>
  <si>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</si>
  <si>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</si>
  <si>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</si>
  <si>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</si>
  <si>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</si>
  <si>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</si>
  <si>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</si>
  <si>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</si>
  <si>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</si>
  <si>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</si>
  <si>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</si>
  <si>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</si>
  <si>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</si>
  <si>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</si>
  <si>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</si>
  <si>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</si>
  <si>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</si>
  <si>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</si>
  <si>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</si>
  <si>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</si>
  <si>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</si>
  <si>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</si>
  <si>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</si>
  <si>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</si>
  <si>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</si>
  <si>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</si>
  <si>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</si>
  <si>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</si>
  <si>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</si>
  <si>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</si>
  <si>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</si>
  <si>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</si>
  <si>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</si>
  <si>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</si>
  <si>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</si>
  <si>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</si>
  <si>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</si>
  <si>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</si>
  <si>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</si>
  <si>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</si>
  <si>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</si>
  <si>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</si>
  <si>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</si>
  <si>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</si>
  <si>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</si>
  <si>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</si>
  <si>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</si>
  <si>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</si>
  <si>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</si>
  <si>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</si>
  <si>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</si>
  <si>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</si>
  <si>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</si>
  <si>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</si>
  <si>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</si>
  <si>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</si>
  <si>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</si>
  <si>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</si>
  <si>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</si>
  <si>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</si>
  <si>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</si>
  <si>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</si>
  <si>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</si>
  <si>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</si>
  <si>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</si>
  <si>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</si>
  <si>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</si>
  <si>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</si>
  <si>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</si>
  <si>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</si>
  <si>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</si>
  <si>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</si>
  <si>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</si>
  <si>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</si>
  <si>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</si>
  <si>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</si>
  <si>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</si>
  <si>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</si>
  <si>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</si>
  <si>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</si>
  <si>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</si>
  <si>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</si>
  <si>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</si>
  <si>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</si>
  <si>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</si>
  <si>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</si>
  <si>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</si>
  <si>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</si>
  <si>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</si>
  <si>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</si>
  <si>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</si>
  <si>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</si>
  <si>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</si>
  <si>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</si>
  <si>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</si>
  <si>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</si>
  <si>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</si>
  <si>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</si>
  <si>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</si>
  <si>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</si>
  <si>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</si>
  <si>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</si>
  <si>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</si>
  <si>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</si>
  <si>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</si>
  <si>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</si>
  <si>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</si>
  <si>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</si>
  <si>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</si>
  <si>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</si>
  <si>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</si>
  <si>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</si>
  <si>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</si>
  <si>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</si>
  <si>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</si>
  <si>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</si>
  <si>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</si>
  <si>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</si>
  <si>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</si>
  <si>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</si>
  <si>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</si>
  <si>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</si>
  <si>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</si>
  <si>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</si>
  <si>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</si>
  <si>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</si>
  <si>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</si>
  <si>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</si>
  <si>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</si>
  <si>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</si>
  <si>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</si>
  <si>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</si>
  <si>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</si>
  <si>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</si>
  <si>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</si>
  <si>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</si>
  <si>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</si>
  <si>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</si>
  <si>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</si>
  <si>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</si>
  <si>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</si>
  <si>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</si>
  <si>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</si>
  <si>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</si>
  <si>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</si>
  <si>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</si>
  <si>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</si>
  <si>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</si>
  <si>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</si>
  <si>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</si>
  <si>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</si>
  <si>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</si>
  <si>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</si>
  <si>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</si>
  <si>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</si>
  <si>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</si>
  <si>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</si>
  <si>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</si>
  <si>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</si>
  <si>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</si>
  <si>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</si>
  <si>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</si>
  <si>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</si>
  <si>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</si>
  <si>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</si>
  <si>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</si>
  <si>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</si>
  <si>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</si>
  <si>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</si>
  <si>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</si>
  <si>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</si>
  <si>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</si>
  <si>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</si>
  <si>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</si>
  <si>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</si>
  <si>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</si>
  <si>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</si>
  <si>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</si>
  <si>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</si>
  <si>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</si>
  <si>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</si>
  <si>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</si>
  <si>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</si>
  <si>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</si>
  <si>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</si>
  <si>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</si>
  <si>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</si>
  <si>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</si>
  <si>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</si>
  <si>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</si>
  <si>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</si>
  <si>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</si>
  <si>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</si>
  <si>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</si>
  <si>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</si>
  <si>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</si>
  <si>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</si>
  <si>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</si>
  <si>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</si>
  <si>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</si>
  <si>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</si>
  <si>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</si>
  <si>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</si>
  <si>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</si>
  <si>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</si>
  <si>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</si>
  <si>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</si>
  <si>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</si>
  <si>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</si>
  <si>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</si>
  <si>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</si>
  <si>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</si>
  <si>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</si>
  <si>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</si>
  <si>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</si>
  <si>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</si>
  <si>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</si>
  <si>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</si>
  <si>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</si>
  <si>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</si>
  <si>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</si>
  <si>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</si>
  <si>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</si>
  <si>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</si>
  <si>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</si>
  <si>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</si>
  <si>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</si>
  <si>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</si>
  <si>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</si>
  <si>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</si>
  <si>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</si>
  <si>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</si>
  <si>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</si>
  <si>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</si>
  <si>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</si>
  <si>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</si>
  <si>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</si>
  <si>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</si>
  <si>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</si>
  <si>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</si>
  <si>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</si>
  <si>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</si>
  <si>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</si>
  <si>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</si>
  <si>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</si>
  <si>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</si>
  <si>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</si>
  <si>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</si>
  <si>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</si>
  <si>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</si>
  <si>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</si>
  <si>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</si>
  <si>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</si>
  <si>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</si>
  <si>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</si>
  <si>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</si>
  <si>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</si>
  <si>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</si>
  <si>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</si>
  <si>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</si>
  <si>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</si>
  <si>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</si>
  <si>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</si>
  <si>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</si>
  <si>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</si>
  <si>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</si>
  <si>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</si>
  <si>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</si>
  <si>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</si>
  <si>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</si>
  <si>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</si>
  <si>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</si>
  <si>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</si>
  <si>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</si>
  <si>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</si>
  <si>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</si>
  <si>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</si>
  <si>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</si>
  <si>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</si>
  <si>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</si>
  <si>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</si>
  <si>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</si>
  <si>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</si>
  <si>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</si>
  <si>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</si>
  <si>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</si>
  <si>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</si>
  <si>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</si>
  <si>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</si>
  <si>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</si>
  <si>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</si>
  <si>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</si>
  <si>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</si>
  <si>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</si>
  <si>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</si>
  <si>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</si>
  <si>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</si>
  <si>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</si>
  <si>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</si>
  <si>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</si>
  <si>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</si>
  <si>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</si>
  <si>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</si>
  <si>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</si>
  <si>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</si>
  <si>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</si>
  <si>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</si>
  <si>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</si>
  <si>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</si>
  <si>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</si>
  <si>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</si>
  <si>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</si>
  <si>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</si>
  <si>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</si>
  <si>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</si>
  <si>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</si>
  <si>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</si>
  <si>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</si>
  <si>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</si>
  <si>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</si>
  <si>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</si>
  <si>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</si>
  <si>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</si>
  <si>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</si>
  <si>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</si>
  <si>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</si>
  <si>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</si>
  <si>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</si>
  <si>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</si>
  <si>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</si>
  <si>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</si>
  <si>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</si>
  <si>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</si>
  <si>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</si>
  <si>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</si>
  <si>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</si>
  <si>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</si>
  <si>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</si>
  <si>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</si>
  <si>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</si>
  <si>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</si>
  <si>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</si>
  <si>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</si>
  <si>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</si>
  <si>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</si>
  <si>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</si>
  <si>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</si>
  <si>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</si>
  <si>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</si>
  <si>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</si>
  <si>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</si>
  <si>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</si>
  <si>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</si>
  <si>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</si>
  <si>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</si>
  <si>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</si>
  <si>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</si>
  <si>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</si>
  <si>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</si>
  <si>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</si>
  <si>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</si>
  <si>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</si>
  <si>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</si>
  <si>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</si>
  <si>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</si>
  <si>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</si>
  <si>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</si>
  <si>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</si>
  <si>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</si>
  <si>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</si>
  <si>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</si>
  <si>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</si>
  <si>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</si>
  <si>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</si>
  <si>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</si>
  <si>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</si>
  <si>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</si>
  <si>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</si>
  <si>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</si>
  <si>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</si>
  <si>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</si>
  <si>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</si>
  <si>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</si>
  <si>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</si>
  <si>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</si>
  <si>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</si>
  <si>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</si>
  <si>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</si>
  <si>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</si>
  <si>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</si>
  <si>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</si>
  <si>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</si>
  <si>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</si>
  <si>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</si>
  <si>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</si>
  <si>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</si>
  <si>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</si>
  <si>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</si>
  <si>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</si>
  <si>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</si>
  <si>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</si>
  <si>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</si>
  <si>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</si>
  <si>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</si>
  <si>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</si>
  <si>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</si>
  <si>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</si>
  <si>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</si>
  <si>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</si>
  <si>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</si>
  <si>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</si>
  <si>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</si>
  <si>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</si>
  <si>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</si>
  <si>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</si>
  <si>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</si>
  <si>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</si>
  <si>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</si>
  <si>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</si>
  <si>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</si>
  <si>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</si>
  <si>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</si>
  <si>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</si>
  <si>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</si>
  <si>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</si>
  <si>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</si>
  <si>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</si>
  <si>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</si>
  <si>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</si>
  <si>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</si>
  <si>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</si>
  <si>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</si>
  <si>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</si>
  <si>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</si>
  <si>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</si>
  <si>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</si>
  <si>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</si>
  <si>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</si>
  <si>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</si>
  <si>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</si>
  <si>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</si>
  <si>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</si>
  <si>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</si>
  <si>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</si>
  <si>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</si>
  <si>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</si>
  <si>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</si>
  <si>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</si>
  <si>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</si>
  <si>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</si>
  <si>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</si>
  <si>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</si>
  <si>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</si>
  <si>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</si>
  <si>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</si>
  <si>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</si>
  <si>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</si>
  <si>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</si>
  <si>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</si>
  <si>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</si>
  <si>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</si>
  <si>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</si>
  <si>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</si>
  <si>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</si>
  <si>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</si>
  <si>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</si>
  <si>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</si>
  <si>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</si>
  <si>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</si>
  <si>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</si>
  <si>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</si>
  <si>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</si>
  <si>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</si>
  <si>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</si>
  <si>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</si>
  <si>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</si>
  <si>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</si>
  <si>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</si>
  <si>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</si>
  <si>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</si>
  <si>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</si>
  <si>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</si>
  <si>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</si>
  <si>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</si>
  <si>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</si>
  <si>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</si>
  <si>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</si>
  <si>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</si>
  <si>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</si>
  <si>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</si>
  <si>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</si>
  <si>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</si>
  <si>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</si>
  <si>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</si>
  <si>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</si>
  <si>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</si>
  <si>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</si>
  <si>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</si>
  <si>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</si>
  <si>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</si>
  <si>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</si>
  <si>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</si>
  <si>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</si>
  <si>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</si>
  <si>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</si>
  <si>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</si>
  <si>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</si>
  <si>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</si>
  <si>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</si>
  <si>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</si>
  <si>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</si>
  <si>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</si>
  <si>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</si>
  <si>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</si>
  <si>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</si>
  <si>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</si>
  <si>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</si>
  <si>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</si>
  <si>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</si>
  <si>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</si>
  <si>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</si>
  <si>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</si>
  <si>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</si>
  <si>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</si>
  <si>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</si>
  <si>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</si>
  <si>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</si>
  <si>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</si>
  <si>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</si>
  <si>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</si>
  <si>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</si>
  <si>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</si>
  <si>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</si>
  <si>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</si>
  <si>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</si>
  <si>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</si>
  <si>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</si>
  <si>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</si>
  <si>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</si>
  <si>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</si>
  <si>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</si>
  <si>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</si>
  <si>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</si>
  <si>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</si>
  <si>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</si>
  <si>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</si>
  <si>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</si>
  <si>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</si>
  <si>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</si>
  <si>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</si>
  <si>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</si>
  <si>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</si>
  <si>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</si>
  <si>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</si>
  <si>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</si>
  <si>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</si>
  <si>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</si>
  <si>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</si>
  <si>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</si>
  <si>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</si>
  <si>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</si>
  <si>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</si>
  <si>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</si>
  <si>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</si>
  <si>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</si>
  <si>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</si>
  <si>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</si>
  <si>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</si>
  <si>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</si>
  <si>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</si>
  <si>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</si>
  <si>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</si>
  <si>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</si>
  <si>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</si>
  <si>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</si>
  <si>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</si>
  <si>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</si>
  <si>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</si>
  <si>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</si>
  <si>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</si>
  <si>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</si>
  <si>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</si>
  <si>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</si>
  <si>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</si>
  <si>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</si>
  <si>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</si>
  <si>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</si>
  <si>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</si>
  <si>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</si>
  <si>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</si>
  <si>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</si>
  <si>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</si>
  <si>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</si>
  <si>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</si>
  <si>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</si>
  <si>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</si>
  <si>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</si>
  <si>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</si>
  <si>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</si>
  <si>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</si>
  <si>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</si>
  <si>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</si>
  <si>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</si>
  <si>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</si>
  <si>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</si>
  <si>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</si>
  <si>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</si>
  <si>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</si>
  <si>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</si>
  <si>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</si>
  <si>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</si>
  <si>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</si>
  <si>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</si>
  <si>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</si>
  <si>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</si>
  <si>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</si>
  <si>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</si>
  <si>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</si>
  <si>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</si>
  <si>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</si>
  <si>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</si>
  <si>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</si>
  <si>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</si>
  <si>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</si>
  <si>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</si>
  <si>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</si>
  <si>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</si>
  <si>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</si>
  <si>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</si>
  <si>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</si>
  <si>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</si>
  <si>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</si>
  <si>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</si>
  <si>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</si>
  <si>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</si>
  <si>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</si>
  <si>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</si>
  <si>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</si>
  <si>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</si>
  <si>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</si>
  <si>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</si>
  <si>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</si>
  <si>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</si>
  <si>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</si>
  <si>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</si>
  <si>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</si>
  <si>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</si>
  <si>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</si>
  <si>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</si>
  <si>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</si>
  <si>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</si>
  <si>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</si>
  <si>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</si>
  <si>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</si>
  <si>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</si>
  <si>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</si>
  <si>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</si>
  <si>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</si>
  <si>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</si>
  <si>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</si>
  <si>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</si>
  <si>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</si>
  <si>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</si>
  <si>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</si>
  <si>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</si>
  <si>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</si>
  <si>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</si>
  <si>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</si>
  <si>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</si>
  <si>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</si>
  <si>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</si>
  <si>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</si>
  <si>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</si>
  <si>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</si>
  <si>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</si>
  <si>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</si>
  <si>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</si>
  <si>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</si>
  <si>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</si>
  <si>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</si>
  <si>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</si>
  <si>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</si>
  <si>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</si>
  <si>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</si>
  <si>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</si>
  <si>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</si>
  <si>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</si>
  <si>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</si>
  <si>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</si>
  <si>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</si>
  <si>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</si>
  <si>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</si>
  <si>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</si>
  <si>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</si>
  <si>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</si>
  <si>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</si>
  <si>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</si>
  <si>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</si>
  <si>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</si>
  <si>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</si>
  <si>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</si>
  <si>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</si>
  <si>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</si>
  <si>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</si>
  <si>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</si>
  <si>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</si>
  <si>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</si>
  <si>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</si>
  <si>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</si>
  <si>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</si>
  <si>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</si>
  <si>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</si>
  <si>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</si>
  <si>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</si>
  <si>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</si>
  <si>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</si>
  <si>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</si>
  <si>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</si>
  <si>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</si>
  <si>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</si>
  <si>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</si>
  <si>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</si>
  <si>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</si>
  <si>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</si>
  <si>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</si>
  <si>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</si>
  <si>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</si>
  <si>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</si>
  <si>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</si>
  <si>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</si>
  <si>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</si>
  <si>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</si>
  <si>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</si>
  <si>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</si>
  <si>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</si>
  <si>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</si>
  <si>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</si>
  <si>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</si>
  <si>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</si>
  <si>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</si>
  <si>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</si>
  <si>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</si>
  <si>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</si>
  <si>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</si>
  <si>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</si>
  <si>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</si>
  <si>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</si>
  <si>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</si>
  <si>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</si>
  <si>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</si>
  <si>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</si>
  <si>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</si>
  <si>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</si>
  <si>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</si>
  <si>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</si>
  <si>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</si>
  <si>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</si>
  <si>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</si>
  <si>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</si>
  <si>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</si>
  <si>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</si>
  <si>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</si>
  <si>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</si>
  <si>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</si>
  <si>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</si>
  <si>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</si>
  <si>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</si>
  <si>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</si>
  <si>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</si>
  <si>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</si>
  <si>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</si>
  <si>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</si>
  <si>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</si>
  <si>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</si>
  <si>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</si>
  <si>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</si>
  <si>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</si>
  <si>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</si>
  <si>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</si>
  <si>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</si>
  <si>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</si>
  <si>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</si>
  <si>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</si>
  <si>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</si>
  <si>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</si>
  <si>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</si>
  <si>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</si>
  <si>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</si>
  <si>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</si>
  <si>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</si>
  <si>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</si>
  <si>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</si>
  <si>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</si>
  <si>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</si>
  <si>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</si>
  <si>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</si>
  <si>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</si>
  <si>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</si>
  <si>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</si>
  <si>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</si>
  <si>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</si>
  <si>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</si>
  <si>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</si>
  <si>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</si>
  <si>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</si>
  <si>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</si>
  <si>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</si>
  <si>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</si>
  <si>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</si>
  <si>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</si>
  <si>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</si>
  <si>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</si>
  <si>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</si>
  <si>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</si>
  <si>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</si>
  <si>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</si>
  <si>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</si>
  <si>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</si>
  <si>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</si>
  <si>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</si>
  <si>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</si>
  <si>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</si>
  <si>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</si>
  <si>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</si>
  <si>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</si>
  <si>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</si>
  <si>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</si>
  <si>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</si>
  <si>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</si>
  <si>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</si>
  <si>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</si>
  <si>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</si>
  <si>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</si>
  <si>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</si>
  <si>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</si>
  <si>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</si>
  <si>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</si>
  <si>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</si>
  <si>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</si>
  <si>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</si>
  <si>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</si>
  <si>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</si>
  <si>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</si>
  <si>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</si>
  <si>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</si>
  <si>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</si>
  <si>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</si>
  <si>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</si>
  <si>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</si>
  <si>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</si>
  <si>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</si>
  <si>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</si>
  <si>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</si>
  <si>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</si>
  <si>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</si>
  <si>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</si>
  <si>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</si>
  <si>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</si>
  <si>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</si>
  <si>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</si>
  <si>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</si>
  <si>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</si>
  <si>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</si>
  <si>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</si>
  <si>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</si>
  <si>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</si>
  <si>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</si>
  <si>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</si>
  <si>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</si>
  <si>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</si>
  <si>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</si>
  <si>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</si>
  <si>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</si>
  <si>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</si>
  <si>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</si>
  <si>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</si>
  <si>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</si>
  <si>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</si>
  <si>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</si>
  <si>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</si>
  <si>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</si>
  <si>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</si>
  <si>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</si>
  <si>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</si>
  <si>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</si>
  <si>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</si>
  <si>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</si>
  <si>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</si>
  <si>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</si>
  <si>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</si>
  <si>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</si>
  <si>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</si>
  <si>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</si>
  <si>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</si>
  <si>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</si>
  <si>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</si>
  <si>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</si>
  <si>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</si>
  <si>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</si>
  <si>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</si>
  <si>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</si>
  <si>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</si>
  <si>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</si>
  <si>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</si>
  <si>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</si>
  <si>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</si>
  <si>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</si>
  <si>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</si>
  <si>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</si>
  <si>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</si>
  <si>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</si>
  <si>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</si>
  <si>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</si>
  <si>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</si>
  <si>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</si>
  <si>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</si>
  <si>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</si>
  <si>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</si>
  <si>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</si>
  <si>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</si>
  <si>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</si>
  <si>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</si>
  <si>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</si>
  <si>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</si>
  <si>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</si>
  <si>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</si>
  <si>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</si>
  <si>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</si>
  <si>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</si>
  <si>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</si>
  <si>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</si>
  <si>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</si>
  <si>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</si>
  <si>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</si>
  <si>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</si>
  <si>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</si>
  <si>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</si>
  <si>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</si>
  <si>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</si>
  <si>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</si>
  <si>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</si>
  <si>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</si>
  <si>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</si>
  <si>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</si>
  <si>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</si>
  <si>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</si>
  <si>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</si>
  <si>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</si>
  <si>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</si>
  <si>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</si>
  <si>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</si>
  <si>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</si>
  <si>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</si>
  <si>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</si>
  <si>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</si>
  <si>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</si>
  <si>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</si>
  <si>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</si>
  <si>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</si>
  <si>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</si>
  <si>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</si>
  <si>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</si>
  <si>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</si>
  <si>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</si>
  <si>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</si>
  <si>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</si>
  <si>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</si>
  <si>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</si>
  <si>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</si>
  <si>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</si>
  <si>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</si>
  <si>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</si>
  <si>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</si>
  <si>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</si>
  <si>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</si>
  <si>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</si>
  <si>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</si>
  <si>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</si>
  <si>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</si>
  <si>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</si>
  <si>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</si>
  <si>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</si>
  <si>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</si>
  <si>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</si>
  <si>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</si>
  <si>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</si>
  <si>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</si>
  <si>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</si>
  <si>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</si>
  <si>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</si>
  <si>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</si>
  <si>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</si>
  <si>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</si>
  <si>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</si>
  <si>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</si>
  <si>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</si>
  <si>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</si>
  <si>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</si>
  <si>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</si>
  <si>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</si>
  <si>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</si>
  <si>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</si>
  <si>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</si>
  <si>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</si>
  <si>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</si>
  <si>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</si>
  <si>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</si>
  <si>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</si>
  <si>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</si>
  <si>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</si>
  <si>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</si>
  <si>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</si>
  <si>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</si>
  <si>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</si>
  <si>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</si>
  <si>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</si>
  <si>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</si>
  <si>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</si>
  <si>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</si>
  <si>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</si>
  <si>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</si>
  <si>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</si>
  <si>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</si>
  <si>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</si>
  <si>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</si>
  <si>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</si>
  <si>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</si>
  <si>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</si>
  <si>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</si>
  <si>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</si>
  <si>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</si>
  <si>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</si>
  <si>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</si>
  <si>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</si>
  <si>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</si>
  <si>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</si>
  <si>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</si>
  <si>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</si>
  <si>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</si>
  <si>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</si>
  <si>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</si>
  <si>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</si>
  <si>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</si>
  <si>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</si>
  <si>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</si>
  <si>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</si>
  <si>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</si>
  <si>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</si>
  <si>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</si>
  <si>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</si>
  <si>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</si>
  <si>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</si>
  <si>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</si>
  <si>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</si>
  <si>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</si>
  <si>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</si>
  <si>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</si>
  <si>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</si>
  <si>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</si>
  <si>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</si>
  <si>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</si>
  <si>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</si>
  <si>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</si>
  <si>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</si>
  <si>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</si>
  <si>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</si>
  <si>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</si>
  <si>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</si>
  <si>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</si>
  <si>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</si>
  <si>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</si>
  <si>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</si>
  <si>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</si>
  <si>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</si>
  <si>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</si>
  <si>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</si>
  <si>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</si>
  <si>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</si>
  <si>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</si>
  <si>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</si>
  <si>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</si>
  <si>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</si>
  <si>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</si>
  <si>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</si>
  <si>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</si>
  <si>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</si>
  <si>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</si>
  <si>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</si>
  <si>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</si>
  <si>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</si>
  <si>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</si>
  <si>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</si>
  <si>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</si>
  <si>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</si>
  <si>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</si>
  <si>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</si>
  <si>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</si>
  <si>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</si>
  <si>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</si>
  <si>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</si>
  <si>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</si>
  <si>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</si>
  <si>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</si>
  <si>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</si>
  <si>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</si>
  <si>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</si>
  <si>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</si>
  <si>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</si>
  <si>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</si>
  <si>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</si>
  <si>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</si>
  <si>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</si>
  <si>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</si>
  <si>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</si>
  <si>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</si>
  <si>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</si>
  <si>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</si>
  <si>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</si>
  <si>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</si>
  <si>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</si>
  <si>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</si>
  <si>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</si>
  <si>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</si>
  <si>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</si>
  <si>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</si>
  <si>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</si>
  <si>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</si>
  <si>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</si>
  <si>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</si>
  <si>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</si>
  <si>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</si>
  <si>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</si>
  <si>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</si>
  <si>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</si>
  <si>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</si>
  <si>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</si>
  <si>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</si>
  <si>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</si>
  <si>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</si>
  <si>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</si>
  <si>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</si>
  <si>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</si>
  <si>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</si>
  <si>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</si>
  <si>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</si>
  <si>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</si>
  <si>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</si>
  <si>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</si>
  <si>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</si>
  <si>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</si>
  <si>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</si>
  <si>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</si>
  <si>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</si>
  <si>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</si>
  <si>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</si>
  <si>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</si>
  <si>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</si>
  <si>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</si>
  <si>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</si>
  <si>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</si>
  <si>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</si>
  <si>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</si>
  <si>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</si>
  <si>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</si>
  <si>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</si>
  <si>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</si>
  <si>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</si>
  <si>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</si>
  <si>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</si>
  <si>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</si>
  <si>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</si>
  <si>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</si>
  <si>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</si>
  <si>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</si>
  <si>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</si>
  <si>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</si>
  <si>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</si>
  <si>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</si>
  <si>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</si>
  <si>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</si>
  <si>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</si>
  <si>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</si>
  <si>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</si>
  <si>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</si>
  <si>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</si>
  <si>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</si>
  <si>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</si>
  <si>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</si>
  <si>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</si>
  <si>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</si>
  <si>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</si>
  <si>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</si>
  <si>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</si>
  <si>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</si>
  <si>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</si>
  <si>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</si>
  <si>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</si>
  <si>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</si>
  <si>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</si>
  <si>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</si>
  <si>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</si>
  <si>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</si>
  <si>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</si>
  <si>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</si>
  <si>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</si>
  <si>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</si>
  <si>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</si>
  <si>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</si>
  <si>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</si>
  <si>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</si>
  <si>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</si>
  <si>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</si>
  <si>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</si>
  <si>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</si>
  <si>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</si>
  <si>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</si>
  <si>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</si>
  <si>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</si>
  <si>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</si>
  <si>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</si>
  <si>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</si>
  <si>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</si>
  <si>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</si>
  <si>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</si>
  <si>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</si>
  <si>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</si>
  <si>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</si>
  <si>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</si>
  <si>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</si>
  <si>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</si>
  <si>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</si>
  <si>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</si>
  <si>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</si>
  <si>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</si>
  <si>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</si>
  <si>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</si>
  <si>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</si>
  <si>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</si>
  <si>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</si>
  <si>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</si>
  <si>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</si>
  <si>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</si>
  <si>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</si>
  <si>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</si>
  <si>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</si>
  <si>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</si>
  <si>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</si>
  <si>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</si>
  <si>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</si>
  <si>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</si>
  <si>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</si>
  <si>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</si>
  <si>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</si>
  <si>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</si>
  <si>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</si>
  <si>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</si>
  <si>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</si>
  <si>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</si>
  <si>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</si>
  <si>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</si>
  <si>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</si>
  <si>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</si>
  <si>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</si>
  <si>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</si>
  <si>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</si>
  <si>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</si>
  <si>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</si>
  <si>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</si>
  <si>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</si>
  <si>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</si>
  <si>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</si>
  <si>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</si>
  <si>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</si>
  <si>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</si>
  <si>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</si>
  <si>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</si>
  <si>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</si>
  <si>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</si>
  <si>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</si>
  <si>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</si>
  <si>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</si>
  <si>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</si>
  <si>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</si>
  <si>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</si>
  <si>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</si>
  <si>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</si>
  <si>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</si>
  <si>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</si>
  <si>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</si>
  <si>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</si>
  <si>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</si>
  <si>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</si>
  <si>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</si>
  <si>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</si>
  <si>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</si>
  <si>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</si>
  <si>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</si>
  <si>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</si>
  <si>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</si>
  <si>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</si>
  <si>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</si>
  <si>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</si>
  <si>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</si>
  <si>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</si>
  <si>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</si>
  <si>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</si>
  <si>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</si>
  <si>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</si>
  <si>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</si>
  <si>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</si>
  <si>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</si>
  <si>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</si>
  <si>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</si>
  <si>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</si>
  <si>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</si>
  <si>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</si>
  <si>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</si>
  <si>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</si>
  <si>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</si>
  <si>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</si>
  <si>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</si>
  <si>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</si>
  <si>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</si>
  <si>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</si>
  <si>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</si>
  <si>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</si>
  <si>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</si>
  <si>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</si>
  <si>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</si>
  <si>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</si>
  <si>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</si>
  <si>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</si>
  <si>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</si>
  <si>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</si>
  <si>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</si>
  <si>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</si>
  <si>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</si>
  <si>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</si>
  <si>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</si>
  <si>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</si>
  <si>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</si>
  <si>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</si>
  <si>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</si>
  <si>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</si>
  <si>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</si>
  <si>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</si>
  <si>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</si>
  <si>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</si>
  <si>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</si>
  <si>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</si>
  <si>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</si>
  <si>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</si>
  <si>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</si>
  <si>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</si>
  <si>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</si>
  <si>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</si>
  <si>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</si>
  <si>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</si>
  <si>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</si>
  <si>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</si>
  <si>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</si>
  <si>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</si>
  <si>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</si>
  <si>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</si>
  <si>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</si>
  <si>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</si>
  <si>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</si>
  <si>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</si>
  <si>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</si>
  <si>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</si>
  <si>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</si>
  <si>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</si>
  <si>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</si>
  <si>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</si>
  <si>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</si>
  <si>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</si>
  <si>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</si>
  <si>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</si>
  <si>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</si>
  <si>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</si>
  <si>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</si>
  <si>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</si>
  <si>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</si>
  <si>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</si>
  <si>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</si>
  <si>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</si>
  <si>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</si>
  <si>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</si>
  <si>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</si>
  <si>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</si>
  <si>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</si>
  <si>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</si>
  <si>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</si>
  <si>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</si>
  <si>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</si>
  <si>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</si>
  <si>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</si>
  <si>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</si>
  <si>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</si>
  <si>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</si>
  <si>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</si>
  <si>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</si>
  <si>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</si>
  <si>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</si>
  <si>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</si>
  <si>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</si>
  <si>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</si>
  <si>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</si>
  <si>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</si>
  <si>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</si>
  <si>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</si>
  <si>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</si>
  <si>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</si>
  <si>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</si>
  <si>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</si>
  <si>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</si>
  <si>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</si>
  <si>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</si>
  <si>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</si>
  <si>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</si>
  <si>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</si>
  <si>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</si>
  <si>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</si>
  <si>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</si>
  <si>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</si>
  <si>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</si>
  <si>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</si>
  <si>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</si>
  <si>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</si>
  <si>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</si>
  <si>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</si>
  <si>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</si>
  <si>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</si>
  <si>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</si>
  <si>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</si>
  <si>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</si>
  <si>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</si>
  <si>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</si>
  <si>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</si>
  <si>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</si>
  <si>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</si>
  <si>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</si>
  <si>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</si>
  <si>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</si>
  <si>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</si>
  <si>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</si>
  <si>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</si>
  <si>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</si>
  <si>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</si>
  <si>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</si>
  <si>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</si>
  <si>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</si>
  <si>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</si>
  <si>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</si>
  <si>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</si>
  <si>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</si>
  <si>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</si>
  <si>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</si>
  <si>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</si>
  <si>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</si>
  <si>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</si>
  <si>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</si>
  <si>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</si>
  <si>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</si>
  <si>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</si>
  <si>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</si>
  <si>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</si>
  <si>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</si>
  <si>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</si>
  <si>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</si>
  <si>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</si>
  <si>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</si>
  <si>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</si>
  <si>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</si>
  <si>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</si>
  <si>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</si>
  <si>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</si>
  <si>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</si>
  <si>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</si>
  <si>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</si>
  <si>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</si>
  <si>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</si>
  <si>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</si>
  <si>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</si>
  <si>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</si>
  <si>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</si>
  <si>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</si>
  <si>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</si>
  <si>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</si>
  <si>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</si>
  <si>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</si>
  <si>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</si>
  <si>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</si>
  <si>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</si>
  <si>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</si>
  <si>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</si>
  <si>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</si>
  <si>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</si>
  <si>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</si>
  <si>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</si>
  <si>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</si>
  <si>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</si>
  <si>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</si>
  <si>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</si>
  <si>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</si>
  <si>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</si>
  <si>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</si>
  <si>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</si>
  <si>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</si>
  <si>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</si>
  <si>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</si>
  <si>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</si>
  <si>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</si>
  <si>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</si>
  <si>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</si>
  <si>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</si>
  <si>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</si>
  <si>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</si>
  <si>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</si>
  <si>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</si>
  <si>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</si>
  <si>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</si>
  <si>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</si>
  <si>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</si>
  <si>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</si>
  <si>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</si>
  <si>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</si>
  <si>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</si>
  <si>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</si>
  <si>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</si>
  <si>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</si>
  <si>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</si>
  <si>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</si>
  <si>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</si>
  <si>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</si>
  <si>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</si>
  <si>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</si>
  <si>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</si>
  <si>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</si>
  <si>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</si>
  <si>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</si>
  <si>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</si>
  <si>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</si>
  <si>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</si>
  <si>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</si>
  <si>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</si>
  <si>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</si>
  <si>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</si>
  <si>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</si>
  <si>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</si>
  <si>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</si>
  <si>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</si>
  <si>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</si>
  <si>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</si>
  <si>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</si>
  <si>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</si>
  <si>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</si>
  <si>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</si>
  <si>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</si>
  <si>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</si>
  <si>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</si>
  <si>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</si>
  <si>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</si>
  <si>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</si>
  <si>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</si>
  <si>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</si>
  <si>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</si>
  <si>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</si>
  <si>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</si>
  <si>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</si>
  <si>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</si>
  <si>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</si>
  <si>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</si>
  <si>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</si>
  <si>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</si>
  <si>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</si>
  <si>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</si>
  <si>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</si>
  <si>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</si>
  <si>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</si>
  <si>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</si>
  <si>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</si>
  <si>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</si>
  <si>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</si>
  <si>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</si>
  <si>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</si>
  <si>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</si>
  <si>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</si>
  <si>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</si>
  <si>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</si>
  <si>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</si>
  <si>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</si>
  <si>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</si>
  <si>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</si>
  <si>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</si>
  <si>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</si>
  <si>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</si>
  <si>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</si>
  <si>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</si>
  <si>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</si>
  <si>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</si>
  <si>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</si>
  <si>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</si>
  <si>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</si>
  <si>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</si>
  <si>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</si>
  <si>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</si>
  <si>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</si>
  <si>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</si>
  <si>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</si>
  <si>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</si>
  <si>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</si>
  <si>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</si>
  <si>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</si>
  <si>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</si>
  <si>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</si>
  <si>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</si>
  <si>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</si>
  <si>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</si>
  <si>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</si>
  <si>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</si>
  <si>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</si>
  <si>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</si>
  <si>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</si>
  <si>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</si>
  <si>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</si>
  <si>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</si>
  <si>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</si>
  <si>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</si>
  <si>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</si>
  <si>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</si>
  <si>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</si>
  <si>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</si>
  <si>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</si>
  <si>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</si>
  <si>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</si>
  <si>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</si>
  <si>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</si>
  <si>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</si>
  <si>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</si>
  <si>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</si>
  <si>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</si>
  <si>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</si>
  <si>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</si>
  <si>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</si>
  <si>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</si>
  <si>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</si>
  <si>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</si>
  <si>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</si>
  <si>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</si>
  <si>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</si>
  <si>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</si>
  <si>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</si>
  <si>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</si>
  <si>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</si>
  <si>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</si>
  <si>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</si>
  <si>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</si>
  <si>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</si>
  <si>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</si>
  <si>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</si>
  <si>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</si>
  <si>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</si>
  <si>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</si>
  <si>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</si>
  <si>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</si>
  <si>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</si>
  <si>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</si>
  <si>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</si>
  <si>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</si>
  <si>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</si>
  <si>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</si>
  <si>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</si>
  <si>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</si>
  <si>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</si>
  <si>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</si>
  <si>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</si>
  <si>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</si>
  <si>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</si>
  <si>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</si>
  <si>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</si>
  <si>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</si>
  <si>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</si>
  <si>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</si>
  <si>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</si>
  <si>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</si>
  <si>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</si>
  <si>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</si>
  <si>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</si>
  <si>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</si>
  <si>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</si>
  <si>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</si>
  <si>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</si>
  <si>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</si>
  <si>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</si>
  <si>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</si>
  <si>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</si>
  <si>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</si>
  <si>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</si>
  <si>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</si>
  <si>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</si>
  <si>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</si>
  <si>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</si>
  <si>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</si>
  <si>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</si>
  <si>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</si>
  <si>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</si>
  <si>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</si>
  <si>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</si>
  <si>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</si>
  <si>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</si>
  <si>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</si>
  <si>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</si>
  <si>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</si>
  <si>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</si>
  <si>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</si>
  <si>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</si>
  <si>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</si>
  <si>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</si>
  <si>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</si>
  <si>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</si>
  <si>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</si>
  <si>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</si>
  <si>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</si>
  <si>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</si>
  <si>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</si>
  <si>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</si>
  <si>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</si>
  <si>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</si>
  <si>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</si>
  <si>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</si>
  <si>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</si>
  <si>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</si>
  <si>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</si>
  <si>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</si>
  <si>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</si>
  <si>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</si>
  <si>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</si>
  <si>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</si>
  <si>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</si>
  <si>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</si>
  <si>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</si>
  <si>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</si>
  <si>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</si>
  <si>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</si>
  <si>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</si>
  <si>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</si>
  <si>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</si>
  <si>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</si>
  <si>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</si>
  <si>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</si>
  <si>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</si>
  <si>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</si>
  <si>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</si>
  <si>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</si>
  <si>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</si>
  <si>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</si>
  <si>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</si>
  <si>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</si>
  <si>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</si>
  <si>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</si>
  <si>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</si>
  <si>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</si>
  <si>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</si>
  <si>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</si>
  <si>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</si>
  <si>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</si>
  <si>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</si>
  <si>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</si>
  <si>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</si>
  <si>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</si>
  <si>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</si>
  <si>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</si>
  <si>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</si>
  <si>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</si>
  <si>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</si>
  <si>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</si>
  <si>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</si>
  <si>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</si>
  <si>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</si>
  <si>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</si>
  <si>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</si>
  <si>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</si>
  <si>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</si>
  <si>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</si>
  <si>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</si>
  <si>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</si>
  <si>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</si>
  <si>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</si>
  <si>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</si>
  <si>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</si>
  <si>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</si>
  <si>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</si>
  <si>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</si>
  <si>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</si>
  <si>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</si>
  <si>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</si>
  <si>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</si>
  <si>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</si>
  <si>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</si>
  <si>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</si>
  <si>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</si>
  <si>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</si>
  <si>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</si>
  <si>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</si>
  <si>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</si>
  <si>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</si>
  <si>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</si>
  <si>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</si>
  <si>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</si>
  <si>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</si>
  <si>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</si>
  <si>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</si>
  <si>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</si>
  <si>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</si>
  <si>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</si>
  <si>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</si>
  <si>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</si>
  <si>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</si>
  <si>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</si>
  <si>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</si>
  <si>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</si>
  <si>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</si>
  <si>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</si>
  <si>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</si>
  <si>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</si>
  <si>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</si>
  <si>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</si>
  <si>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</si>
  <si>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</si>
  <si>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</si>
  <si>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</si>
  <si>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</si>
  <si>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</si>
  <si>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</si>
  <si>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</si>
  <si>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</si>
  <si>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</si>
  <si>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</si>
  <si>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</si>
  <si>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</si>
  <si>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</si>
  <si>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</si>
  <si>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</si>
  <si>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</si>
  <si>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</si>
  <si>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</si>
  <si>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</si>
  <si>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</si>
  <si>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</si>
  <si>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</si>
  <si>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</si>
  <si>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</si>
  <si>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</si>
  <si>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</si>
  <si>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</si>
  <si>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</si>
  <si>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</si>
  <si>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</si>
  <si>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</si>
  <si>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</si>
  <si>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</si>
  <si>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</si>
  <si>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</si>
  <si>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</si>
  <si>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</si>
  <si>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</si>
  <si>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</si>
  <si>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</si>
  <si>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</si>
  <si>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</si>
  <si>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</si>
  <si>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</si>
  <si>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</si>
  <si>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</si>
  <si>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</si>
  <si>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</si>
  <si>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</si>
  <si>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</si>
  <si>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</si>
  <si>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</si>
  <si>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</si>
  <si>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</si>
  <si>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</si>
  <si>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</si>
  <si>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</si>
  <si>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</si>
  <si>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</si>
  <si>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</si>
  <si>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</si>
  <si>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</si>
  <si>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</si>
  <si>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</si>
  <si>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</si>
  <si>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</si>
  <si>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</si>
  <si>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</si>
  <si>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</si>
  <si>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</si>
  <si>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</si>
  <si>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</si>
  <si>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</si>
  <si>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</si>
  <si>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</si>
  <si>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</si>
  <si>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</si>
  <si>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</si>
  <si>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</si>
  <si>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</si>
  <si>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</si>
  <si>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</si>
  <si>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</si>
  <si>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</si>
  <si>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</si>
  <si>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</si>
  <si>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</si>
  <si>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</si>
  <si>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</si>
  <si>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</si>
  <si>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</si>
  <si>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</si>
  <si>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</si>
  <si>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</si>
  <si>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</si>
  <si>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</si>
  <si>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</si>
  <si>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</si>
  <si>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</si>
  <si>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</si>
  <si>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</si>
  <si>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</si>
  <si>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</si>
  <si>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</si>
  <si>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</si>
  <si>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</si>
  <si>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</si>
  <si>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</si>
  <si>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</si>
  <si>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</si>
  <si>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</si>
  <si>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</si>
  <si>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</si>
  <si>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</si>
  <si>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</si>
  <si>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</si>
  <si>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</si>
  <si>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</si>
  <si>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</si>
  <si>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</si>
  <si>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</si>
  <si>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</si>
  <si>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</si>
  <si>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</si>
  <si>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</si>
  <si>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</si>
  <si>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</si>
  <si>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</si>
  <si>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</si>
  <si>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</si>
  <si>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</si>
  <si>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</si>
  <si>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</si>
  <si>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</si>
  <si>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</si>
  <si>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</si>
  <si>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</si>
  <si>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</si>
  <si>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</si>
  <si>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</si>
  <si>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</si>
  <si>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</si>
  <si>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</si>
  <si>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</si>
  <si>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</si>
  <si>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</si>
  <si>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</si>
  <si>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</si>
  <si>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</si>
  <si>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</si>
  <si>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</si>
  <si>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</si>
  <si>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</si>
  <si>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</si>
  <si>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</si>
  <si>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</si>
  <si>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</si>
  <si>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</si>
  <si>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</si>
  <si>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</si>
  <si>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</si>
  <si>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</si>
  <si>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</si>
  <si>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</si>
  <si>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</si>
  <si>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</si>
  <si>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</si>
  <si>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</si>
  <si>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</si>
  <si>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</si>
  <si>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</si>
  <si>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</si>
  <si>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</si>
  <si>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</si>
  <si>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</si>
  <si>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</si>
  <si>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</si>
  <si>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</si>
  <si>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</si>
  <si>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</si>
  <si>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</si>
  <si>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</si>
  <si>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</si>
  <si>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</si>
  <si>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</si>
  <si>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</si>
  <si>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</si>
  <si>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</si>
  <si>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</si>
  <si>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</si>
  <si>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</si>
  <si>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</si>
  <si>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</si>
  <si>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</si>
  <si>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</si>
  <si>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</si>
  <si>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</si>
  <si>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</si>
  <si>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</si>
  <si>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</si>
  <si>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</si>
  <si>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</si>
  <si>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</si>
  <si>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</si>
  <si>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</si>
  <si>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</si>
  <si>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</si>
  <si>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</si>
  <si>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</si>
  <si>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</si>
  <si>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</si>
  <si>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</si>
  <si>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</si>
  <si>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</si>
  <si>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</si>
  <si>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</si>
  <si>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</si>
  <si>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</si>
  <si>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</si>
  <si>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</si>
  <si>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</si>
  <si>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</si>
  <si>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</si>
  <si>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</si>
  <si>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</si>
  <si>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</si>
  <si>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</si>
  <si>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</si>
  <si>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</si>
  <si>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</si>
  <si>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</si>
  <si>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</si>
  <si>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</si>
  <si>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</si>
  <si>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</si>
  <si>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</si>
  <si>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</si>
  <si>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</si>
  <si>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</si>
  <si>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</si>
  <si>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</si>
  <si>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</si>
  <si>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</si>
  <si>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</si>
  <si>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</si>
  <si>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</si>
  <si>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</si>
  <si>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</si>
  <si>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</si>
  <si>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</si>
  <si>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</si>
  <si>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</si>
  <si>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</si>
  <si>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</si>
  <si>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</si>
  <si>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</si>
  <si>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</si>
  <si>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</si>
  <si>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</si>
  <si>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</si>
  <si>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</si>
  <si>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</si>
  <si>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</si>
  <si>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</si>
  <si>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</si>
  <si>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</si>
  <si>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</si>
  <si>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</si>
  <si>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</si>
  <si>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</si>
  <si>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</si>
  <si>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</si>
  <si>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</si>
  <si>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</si>
  <si>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</si>
  <si>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</si>
  <si>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</si>
  <si>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</si>
  <si>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</si>
  <si>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</si>
  <si>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</si>
  <si>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</si>
  <si>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</si>
  <si>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</si>
  <si>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</si>
  <si>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</si>
  <si>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</si>
  <si>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</si>
  <si>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</si>
  <si>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</si>
  <si>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</si>
  <si>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</si>
  <si>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</si>
  <si>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</si>
  <si>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</si>
  <si>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</si>
  <si>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</si>
  <si>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</si>
  <si>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</si>
  <si>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</si>
  <si>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</si>
  <si>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</si>
  <si>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</si>
  <si>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</si>
  <si>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</si>
  <si>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</si>
  <si>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</si>
  <si>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</si>
  <si>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</si>
  <si>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</si>
  <si>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</si>
  <si>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</si>
  <si>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</si>
  <si>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</si>
  <si>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</si>
  <si>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</si>
  <si>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</si>
  <si>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</si>
  <si>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</si>
  <si>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</si>
  <si>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</si>
  <si>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</si>
  <si>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</si>
  <si>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</si>
  <si>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</si>
  <si>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</si>
  <si>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</si>
  <si>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</si>
  <si>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</si>
  <si>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</si>
  <si>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</si>
  <si>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</si>
  <si>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</si>
  <si>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</si>
  <si>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</si>
  <si>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</si>
  <si>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</si>
  <si>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</si>
  <si>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</si>
  <si>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</si>
  <si>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</si>
  <si>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</si>
  <si>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</si>
  <si>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</si>
  <si>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</si>
  <si>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</si>
  <si>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</si>
  <si>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</si>
  <si>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</si>
  <si>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</si>
  <si>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</si>
  <si>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</si>
  <si>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</si>
  <si>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</si>
  <si>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</si>
  <si>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</si>
  <si>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</si>
  <si>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</si>
  <si>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</si>
  <si>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</si>
  <si>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</si>
  <si>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</si>
  <si>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</si>
  <si>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</si>
  <si>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</si>
  <si>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</si>
  <si>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</si>
  <si>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</si>
  <si>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</si>
  <si>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</si>
  <si>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</si>
  <si>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</si>
  <si>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</si>
  <si>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</si>
  <si>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</si>
  <si>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</si>
  <si>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</si>
  <si>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</si>
  <si>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</si>
  <si>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</si>
  <si>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</si>
  <si>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</si>
  <si>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</si>
  <si>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</si>
  <si>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</si>
  <si>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</si>
  <si>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</si>
  <si>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</si>
  <si>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</si>
  <si>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</si>
  <si>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</si>
  <si>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</si>
  <si>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</si>
  <si>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</si>
  <si>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</si>
  <si>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</si>
  <si>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</si>
  <si>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</si>
  <si>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</si>
  <si>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</si>
  <si>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</si>
  <si>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</si>
  <si>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</si>
  <si>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</si>
  <si>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</si>
  <si>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</si>
  <si>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</si>
  <si>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</si>
  <si>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</si>
  <si>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</si>
  <si>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</si>
  <si>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</si>
  <si>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</si>
  <si>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</si>
  <si>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</si>
  <si>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</si>
  <si>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</si>
  <si>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</si>
  <si>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</si>
  <si>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</si>
  <si>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</si>
  <si>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</si>
  <si>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</si>
  <si>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</si>
  <si>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</si>
  <si>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</si>
  <si>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</si>
  <si>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</si>
  <si>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</si>
  <si>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</si>
  <si>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</si>
  <si>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</si>
  <si>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</si>
  <si>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</si>
  <si>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</si>
  <si>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</si>
  <si>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</si>
  <si>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</si>
  <si>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</si>
  <si>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</si>
  <si>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</si>
  <si>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</si>
  <si>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</si>
  <si>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</si>
  <si>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</si>
  <si>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</si>
  <si>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</si>
  <si>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</si>
  <si>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</si>
  <si>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</si>
  <si>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</si>
  <si>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</si>
  <si>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</si>
  <si>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</si>
  <si>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</si>
  <si>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</si>
  <si>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</si>
  <si>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</si>
  <si>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</si>
  <si>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</si>
  <si>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</si>
  <si>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</si>
  <si>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</si>
  <si>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</si>
  <si>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</si>
  <si>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</si>
  <si>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</si>
  <si>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</si>
  <si>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</si>
  <si>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</si>
  <si>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</si>
  <si>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</si>
  <si>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</si>
  <si>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</si>
  <si>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</si>
  <si>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</si>
  <si>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</si>
  <si>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</si>
  <si>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</si>
  <si>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</si>
  <si>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</si>
  <si>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</si>
  <si>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</si>
  <si>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</si>
  <si>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</si>
  <si>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</si>
  <si>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</si>
  <si>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</si>
  <si>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</si>
  <si>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</si>
  <si>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</si>
  <si>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</si>
  <si>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</si>
  <si>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</si>
  <si>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</si>
  <si>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</si>
  <si>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</si>
  <si>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</si>
  <si>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</si>
  <si>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</si>
  <si>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</si>
  <si>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</si>
  <si>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</si>
  <si>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GOAL SEEK: Finding the Root of f(X) = X³ - 3X² - 2X - 20</t>
  </si>
  <si>
    <t>GOAL SEEK SETUP</t>
  </si>
  <si>
    <t>X (changing cell)</t>
  </si>
  <si>
    <t>f(X)</t>
  </si>
  <si>
    <t>FUNCTION TABLE FOR PLOT</t>
  </si>
  <si>
    <t>X</t>
  </si>
  <si>
    <t>PENSION SCHEME - MONTHLY CONTRIBUTION CALCULATION</t>
  </si>
  <si>
    <t>Annual interest rate</t>
  </si>
  <si>
    <t>Compounding periods per year</t>
  </si>
  <si>
    <t>Monthly interest rate</t>
  </si>
  <si>
    <t>Accumulation period (years)</t>
  </si>
  <si>
    <t>Accumulation period (months)</t>
  </si>
  <si>
    <t>Payout period (years)</t>
  </si>
  <si>
    <t>Payout period (months)</t>
  </si>
  <si>
    <t>Monthly pension benefit</t>
  </si>
  <si>
    <t>Employer contribution rate</t>
  </si>
  <si>
    <t>State monthly contribution</t>
  </si>
  <si>
    <t>CALCULATION</t>
  </si>
  <si>
    <t>Step 1: Required fund at retirement</t>
  </si>
  <si>
    <t>PV of pension payouts (annuity)</t>
  </si>
  <si>
    <t>Using PV function (verification)</t>
  </si>
  <si>
    <t>Step 2: FV annuity factor (accumulation)</t>
  </si>
  <si>
    <t>FV factor [(1+r)^n - 1] / r</t>
  </si>
  <si>
    <t>Step 3: Required total monthly contribution</t>
  </si>
  <si>
    <t>Total monthly contribution needed</t>
  </si>
  <si>
    <t>Using PMT function (verification)</t>
  </si>
  <si>
    <t>Step 4: Solve for employee contribution (X)</t>
  </si>
  <si>
    <t>Total = (1 + employer rate) * X + State</t>
  </si>
  <si>
    <t>Employee monthly contribution (X)</t>
  </si>
  <si>
    <t>BREAKDOWN OF MONTHLY CONTRIBUTIONS</t>
  </si>
  <si>
    <t>Employee (X)</t>
  </si>
  <si>
    <t>Employer (30% of X)</t>
  </si>
  <si>
    <t>State</t>
  </si>
  <si>
    <t>TOTAL monthly contribution</t>
  </si>
  <si>
    <t>VERIFICATION: ACCOUNT BALANCE SCHEDULE</t>
  </si>
  <si>
    <t>Month</t>
  </si>
  <si>
    <t>Account balance
beg. of month</t>
  </si>
  <si>
    <t>Contribution /
Withdrawal</t>
  </si>
  <si>
    <t>Interest earned
during month</t>
  </si>
  <si>
    <t>Total in account
end of month</t>
  </si>
  <si>
    <t>...</t>
  </si>
  <si>
    <t>Fund value at end of accumulation (month 360)</t>
  </si>
  <si>
    <t>Required fund (PV of pensions)</t>
  </si>
  <si>
    <t>Difference (should be 0)</t>
  </si>
  <si>
    <t>PAYOUT PHASE VERIFICATION</t>
  </si>
  <si>
    <t>Fund at start of payout</t>
  </si>
  <si>
    <t>Monthly withdrawal</t>
  </si>
  <si>
    <t>Fund after 180 withdrawals</t>
  </si>
  <si>
    <t>Using FV function (verification)</t>
  </si>
  <si>
    <t>ALTERNATIVE SOLUTION: Direct Excel approach</t>
  </si>
  <si>
    <t>Required fund at retirement (using PV)</t>
  </si>
  <si>
    <t>Total monthly payment (using PMT)</t>
  </si>
  <si>
    <t>Employee monthly contribution</t>
  </si>
  <si>
    <t>&lt;-- Same result as Step 4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</si>
</sst>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0%"/>
    <numFmt numFmtId="166" formatCode="#,##0.0000"/>
    <numFmt numFmtId="167" formatCode="0.000000"/>
    <numFmt numFmtId="168" formatCode="0.0"/>
    <numFmt numFmtId="169" formatCode="0.000000000"/>
    <numFmt numFmtId="170" formatCode="0.0000"/>
    <numFmt numFmtId="171" formatCode="0.00000000"/>
  </numFmts>
  <fonts count="21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i/>
      <sz val="9"/>
      <color rgb="FF808080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1"/>
      <color rgb="FF0000FF"/>
      <name val="Arial"/>
      <family val="2"/>
    </font>
    <font>
      <sz val="10"/>
      <color rgb="FF0000FF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charset val="1"/>
    </font>
    <font>
      <sz val="9"/>
      <color rgb="FF808080"/>
      <name val="Arial"/>
      <family val="2"/>
    </font>
    <font>
      <b/>
      <sz val="20"/>
      <color rgb="FF1F4E79"/>
      <name val="Arial"/>
      <family val="2"/>
    </font>
    <font>
      <b/>
      <sz val="14"/>
      <color rgb="FF2E75B6"/>
      <name val="Arial"/>
      <family val="2"/>
    </font>
    <font>
      <sz val="14"/>
      <color rgb="FF000000"/>
      <name val="Arial"/>
      <family val="2"/>
    </font>
    <font>
      <b/>
      <sz val="14"/>
      <color rgb="FF1F4E7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D9D9D9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C6EFCE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5" fillId="2" borderId="1" xfId="0" applyNumberFormat="1" applyFont="1" applyFill="1" applyBorder="1"/>
    <xf numFmtId="0" fontId="5" fillId="2" borderId="1" xfId="0" applyFont="1" applyFill="1" applyBorder="1"/>
    <xf numFmtId="165" fontId="4" fillId="0" borderId="1" xfId="0" applyNumberFormat="1" applyFont="1" applyBorder="1"/>
    <xf numFmtId="3" fontId="5" fillId="2" borderId="1" xfId="0" applyNumberFormat="1" applyFont="1" applyFill="1" applyBorder="1"/>
    <xf numFmtId="9" fontId="5" fillId="2" borderId="1" xfId="0" applyNumberFormat="1" applyFont="1" applyFill="1" applyBorder="1"/>
    <xf numFmtId="0" fontId="6" fillId="3" borderId="0" xfId="0" applyFont="1" applyFill="1"/>
    <xf numFmtId="4" fontId="4" fillId="0" borderId="1" xfId="0" applyNumberFormat="1" applyFont="1" applyBorder="1"/>
    <xf numFmtId="166" fontId="4" fillId="0" borderId="1" xfId="0" applyNumberFormat="1" applyFont="1" applyBorder="1"/>
    <xf numFmtId="0" fontId="6" fillId="4" borderId="1" xfId="0" applyFont="1" applyFill="1" applyBorder="1"/>
    <xf numFmtId="4" fontId="7" fillId="4" borderId="1" xfId="0" applyNumberFormat="1" applyFont="1" applyFill="1" applyBorder="1"/>
    <xf numFmtId="0" fontId="6" fillId="0" borderId="1" xfId="0" applyFont="1" applyBorder="1"/>
    <xf numFmtId="4" fontId="6" fillId="0" borderId="1" xfId="0" applyNumberFormat="1" applyFont="1" applyBorder="1"/>
    <xf numFmtId="0" fontId="6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/>
    <xf numFmtId="0" fontId="6" fillId="5" borderId="1" xfId="0" applyFont="1" applyFill="1" applyBorder="1"/>
    <xf numFmtId="4" fontId="6" fillId="5" borderId="1" xfId="0" applyNumberFormat="1" applyFont="1" applyFill="1" applyBorder="1"/>
    <xf numFmtId="4" fontId="6" fillId="4" borderId="1" xfId="0" applyNumberFormat="1" applyFont="1" applyFill="1" applyBorder="1"/>
    <xf numFmtId="2" fontId="4" fillId="0" borderId="1" xfId="0" applyNumberFormat="1" applyFont="1" applyBorder="1"/>
    <xf numFmtId="0" fontId="6" fillId="0" borderId="0" xfId="0" applyFont="1"/>
    <xf numFmtId="0" fontId="0" fillId="3" borderId="0" xfId="0" applyFill="1"/>
    <xf numFmtId="3" fontId="5" fillId="2" borderId="0" xfId="0" applyNumberFormat="1" applyFont="1" applyFill="1"/>
    <xf numFmtId="164" fontId="8" fillId="2" borderId="0" xfId="0" applyNumberFormat="1" applyFont="1" applyFill="1"/>
    <xf numFmtId="4" fontId="6" fillId="0" borderId="0" xfId="0" applyNumberFormat="1" applyFont="1"/>
    <xf numFmtId="0" fontId="6" fillId="5" borderId="0" xfId="0" applyFont="1" applyFill="1"/>
    <xf numFmtId="164" fontId="8" fillId="0" borderId="1" xfId="0" applyNumberFormat="1" applyFont="1" applyBorder="1"/>
    <xf numFmtId="4" fontId="4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/>
    <xf numFmtId="4" fontId="4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167" fontId="12" fillId="2" borderId="1" xfId="0" applyNumberFormat="1" applyFont="1" applyFill="1" applyBorder="1"/>
    <xf numFmtId="0" fontId="13" fillId="0" borderId="0" xfId="0" applyFont="1"/>
    <xf numFmtId="167" fontId="11" fillId="0" borderId="1" xfId="0" applyNumberFormat="1" applyFont="1" applyBorder="1"/>
    <xf numFmtId="0" fontId="11" fillId="6" borderId="1" xfId="0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/>
    <xf numFmtId="0" fontId="11" fillId="0" borderId="0" xfId="0" applyFont="1"/>
    <xf numFmtId="0" fontId="14" fillId="0" borderId="0" xfId="0" applyFont="1"/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167" fontId="4" fillId="0" borderId="1" xfId="0" applyNumberFormat="1" applyFont="1" applyBorder="1"/>
    <xf numFmtId="3" fontId="4" fillId="0" borderId="1" xfId="0" applyNumberFormat="1" applyFont="1" applyBorder="1"/>
    <xf numFmtId="2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169" fontId="4" fillId="0" borderId="1" xfId="0" applyNumberFormat="1" applyFont="1" applyBorder="1"/>
    <xf numFmtId="0" fontId="6" fillId="7" borderId="1" xfId="0" applyFont="1" applyFill="1" applyBorder="1"/>
    <xf numFmtId="167" fontId="7" fillId="7" borderId="1" xfId="0" applyNumberFormat="1" applyFont="1" applyFill="1" applyBorder="1"/>
    <xf numFmtId="170" fontId="4" fillId="0" borderId="1" xfId="0" applyNumberFormat="1" applyFont="1" applyBorder="1"/>
    <xf numFmtId="1" fontId="4" fillId="0" borderId="1" xfId="0" applyNumberFormat="1" applyFont="1" applyBorder="1"/>
    <xf numFmtId="0" fontId="6" fillId="6" borderId="0" xfId="0" applyFont="1" applyFill="1"/>
    <xf numFmtId="171" fontId="4" fillId="0" borderId="1" xfId="0" applyNumberFormat="1" applyFont="1" applyBorder="1"/>
    <xf numFmtId="0" fontId="15" fillId="0" borderId="2" xfId="0" applyFont="1" applyBorder="1" applyAlignment="1">
      <alignment horizontal="centerContinuous"/>
    </xf>
    <xf numFmtId="0" fontId="0" fillId="0" borderId="3" xfId="0" applyBorder="1"/>
    <xf numFmtId="0" fontId="15" fillId="0" borderId="2" xfId="0" applyFont="1" applyBorder="1" applyAlignment="1">
      <alignment horizontal="center"/>
    </xf>
    <xf numFmtId="164" fontId="8" fillId="2" borderId="1" xfId="0" applyNumberFormat="1" applyFont="1" applyFill="1" applyBorder="1"/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8" borderId="1" xfId="0" applyFont="1" applyFill="1" applyBorder="1"/>
    <xf numFmtId="4" fontId="7" fillId="7" borderId="1" xfId="0" applyNumberFormat="1" applyFont="1" applyFill="1" applyBorder="1"/>
    <xf numFmtId="10" fontId="7" fillId="7" borderId="1" xfId="0" applyNumberFormat="1" applyFont="1" applyFill="1" applyBorder="1"/>
    <xf numFmtId="0" fontId="16" fillId="0" borderId="0" xfId="0" applyFont="1"/>
    <xf numFmtId="4" fontId="6" fillId="8" borderId="1" xfId="0" applyNumberFormat="1" applyFont="1" applyFill="1" applyBorder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9" fontId="8" fillId="0" borderId="1" xfId="0" applyNumberFormat="1" applyFont="1" applyBorder="1"/>
    <xf numFmtId="10" fontId="4" fillId="0" borderId="1" xfId="0" applyNumberFormat="1" applyFont="1" applyBorder="1"/>
    <xf numFmtId="4" fontId="4" fillId="8" borderId="1" xfId="0" applyNumberFormat="1" applyFont="1" applyFill="1" applyBorder="1"/>
    <xf numFmtId="9" fontId="5" fillId="8" borderId="1" xfId="0" applyNumberFormat="1" applyFont="1" applyFill="1" applyBorder="1" applyAlignment="1">
      <alignment horizontal="center"/>
    </xf>
    <xf numFmtId="9" fontId="5" fillId="8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9" fontId="6" fillId="5" borderId="1" xfId="0" applyNumberFormat="1" applyFont="1" applyFill="1" applyBorder="1" applyAlignment="1">
      <alignment horizontal="center"/>
    </xf>
    <xf numFmtId="2" fontId="6" fillId="5" borderId="1" xfId="0" applyNumberFormat="1" applyFont="1" applyFill="1" applyBorder="1" applyAlignment="1">
      <alignment horizontal="center"/>
    </xf>
    <xf numFmtId="164" fontId="4" fillId="0" borderId="1" xfId="0" applyNumberFormat="1" applyFont="1" applyBorder="1"/>
    <xf numFmtId="10" fontId="7" fillId="4" borderId="1" xfId="0" applyNumberFormat="1" applyFont="1" applyFill="1" applyBorder="1"/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7" fillId="0" borderId="0" xfId="0" applyNumberFormat="1" applyFont="1"/>
    <xf numFmtId="2" fontId="7" fillId="0" borderId="0" xfId="0" applyNumberFormat="1" applyFont="1"/>
    <xf numFmtId="0" fontId="19" fillId="0" borderId="0" xfId="0" applyFont="1" applyAlignment="1">
      <alignment horizontal="right"/>
    </xf>
    <xf numFmtId="0" fontId="20" fillId="0" borderId="0" xfId="0" applyFont="1"/>
    <xf numFmtId="0" fontId="17" fillId="0" borderId="0" xfId="0" applyFont="1" applyAlignment="1">
      <alignment horizontal="center"/>
    </xf>
    <xf numFmtId="0" fontId="18" fillId="9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Histogram: MSFT Daily Logarithmic Returns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'[1]MSFT Analysis'!$I$48:$I$78</c:f>
              <c:strCache>
                <c:ptCount val="31"/>
                <c:pt idx="0">
                  <c:v>-0,149798</c:v>
                </c:pt>
                <c:pt idx="1">
                  <c:v>-0,140048</c:v>
                </c:pt>
                <c:pt idx="2">
                  <c:v>-0,130297</c:v>
                </c:pt>
                <c:pt idx="3">
                  <c:v>-0,120546</c:v>
                </c:pt>
                <c:pt idx="4">
                  <c:v>-0,110796</c:v>
                </c:pt>
                <c:pt idx="5">
                  <c:v>-0,101045</c:v>
                </c:pt>
                <c:pt idx="6">
                  <c:v>-0,091294</c:v>
                </c:pt>
                <c:pt idx="7">
                  <c:v>-0,081543</c:v>
                </c:pt>
                <c:pt idx="8">
                  <c:v>-0,071793</c:v>
                </c:pt>
                <c:pt idx="9">
                  <c:v>-0,062042</c:v>
                </c:pt>
                <c:pt idx="10">
                  <c:v>-0,052291</c:v>
                </c:pt>
                <c:pt idx="11">
                  <c:v>-0,042541</c:v>
                </c:pt>
                <c:pt idx="12">
                  <c:v>-0,03279</c:v>
                </c:pt>
                <c:pt idx="13">
                  <c:v>-0,023039</c:v>
                </c:pt>
                <c:pt idx="14">
                  <c:v>-0,013289</c:v>
                </c:pt>
                <c:pt idx="15">
                  <c:v>-0,003538</c:v>
                </c:pt>
                <c:pt idx="16">
                  <c:v>0,006213</c:v>
                </c:pt>
                <c:pt idx="17">
                  <c:v>0,015963</c:v>
                </c:pt>
                <c:pt idx="18">
                  <c:v>0,025714</c:v>
                </c:pt>
                <c:pt idx="19">
                  <c:v>0,035465</c:v>
                </c:pt>
                <c:pt idx="20">
                  <c:v>0,045216</c:v>
                </c:pt>
                <c:pt idx="21">
                  <c:v>0,054966</c:v>
                </c:pt>
                <c:pt idx="22">
                  <c:v>0,064717</c:v>
                </c:pt>
                <c:pt idx="23">
                  <c:v>0,074468</c:v>
                </c:pt>
                <c:pt idx="24">
                  <c:v>0,084218</c:v>
                </c:pt>
                <c:pt idx="25">
                  <c:v>0,093969</c:v>
                </c:pt>
                <c:pt idx="26">
                  <c:v>0,10372</c:v>
                </c:pt>
                <c:pt idx="27">
                  <c:v>0,11347</c:v>
                </c:pt>
                <c:pt idx="28">
                  <c:v>0,123221</c:v>
                </c:pt>
                <c:pt idx="29">
                  <c:v>0,132972</c:v>
                </c:pt>
                <c:pt idx="30">
                  <c:v>More</c:v>
                </c:pt>
              </c:strCache>
            </c:strRef>
          </c:cat>
          <c:val>
            <c:numRef>
              <c:f>'[1]MSFT Analysis'!$J$48:$J$78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19</c:v>
                </c:pt>
                <c:pt idx="12">
                  <c:v>48</c:v>
                </c:pt>
                <c:pt idx="13">
                  <c:v>118</c:v>
                </c:pt>
                <c:pt idx="14">
                  <c:v>268</c:v>
                </c:pt>
                <c:pt idx="15">
                  <c:v>759</c:v>
                </c:pt>
                <c:pt idx="16">
                  <c:v>1172</c:v>
                </c:pt>
                <c:pt idx="17">
                  <c:v>691</c:v>
                </c:pt>
                <c:pt idx="18">
                  <c:v>308</c:v>
                </c:pt>
                <c:pt idx="19">
                  <c:v>89</c:v>
                </c:pt>
                <c:pt idx="20">
                  <c:v>31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B-49CC-9763-3C910443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98575"/>
        <c:axId val="33788328"/>
      </c:barChart>
      <c:catAx>
        <c:axId val="38898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Log Return (bin upper limit)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3788328"/>
        <c:crosses val="autoZero"/>
        <c:auto val="1"/>
        <c:lblAlgn val="ctr"/>
        <c:lblOffset val="100"/>
        <c:noMultiLvlLbl val="0"/>
      </c:catAx>
      <c:valAx>
        <c:axId val="33788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889857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MSFT Daily Logarithmic Returns (2012-2026)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'[1]MSFT Analysis'!$F$5:$F$3560</c:f>
              <c:numCache>
                <c:formatCode>General</c:formatCode>
                <c:ptCount val="3556"/>
                <c:pt idx="1">
                  <c:v>1.50112230927922E-2</c:v>
                </c:pt>
                <c:pt idx="2">
                  <c:v>-1.2779160985664907E-2</c:v>
                </c:pt>
                <c:pt idx="3">
                  <c:v>3.4753771463098995E-3</c:v>
                </c:pt>
                <c:pt idx="4">
                  <c:v>-4.1837915389234146E-3</c:v>
                </c:pt>
                <c:pt idx="5">
                  <c:v>9.9448534500700455E-3</c:v>
                </c:pt>
                <c:pt idx="6">
                  <c:v>9.0263040819872527E-3</c:v>
                </c:pt>
                <c:pt idx="7">
                  <c:v>1.3008888677956467E-4</c:v>
                </c:pt>
                <c:pt idx="8">
                  <c:v>-9.1546742348616041E-4</c:v>
                </c:pt>
                <c:pt idx="9">
                  <c:v>-4.0488617292924172E-3</c:v>
                </c:pt>
                <c:pt idx="10">
                  <c:v>5.5133590583348414E-2</c:v>
                </c:pt>
                <c:pt idx="11">
                  <c:v>5.2885006201212155E-4</c:v>
                </c:pt>
                <c:pt idx="12">
                  <c:v>-1.3072586490252742E-2</c:v>
                </c:pt>
                <c:pt idx="13">
                  <c:v>7.5185250055781602E-3</c:v>
                </c:pt>
                <c:pt idx="14">
                  <c:v>-2.0515468900717962E-3</c:v>
                </c:pt>
                <c:pt idx="15">
                  <c:v>-9.2410411363598975E-3</c:v>
                </c:pt>
                <c:pt idx="16">
                  <c:v>1.2800664230161551E-2</c:v>
                </c:pt>
                <c:pt idx="17">
                  <c:v>-2.4603632658246966E-3</c:v>
                </c:pt>
                <c:pt idx="18">
                  <c:v>1.2072134905225065E-2</c:v>
                </c:pt>
                <c:pt idx="19">
                  <c:v>1.8639176461562382E-3</c:v>
                </c:pt>
                <c:pt idx="20">
                  <c:v>9.5403489663446941E-3</c:v>
                </c:pt>
                <c:pt idx="21">
                  <c:v>-1.3003793905997441E-3</c:v>
                </c:pt>
                <c:pt idx="22">
                  <c:v>5.0201812458344867E-3</c:v>
                </c:pt>
                <c:pt idx="23">
                  <c:v>1.0192785487554621E-2</c:v>
                </c:pt>
                <c:pt idx="24">
                  <c:v>3.5160880579573651E-3</c:v>
                </c:pt>
                <c:pt idx="25">
                  <c:v>-8.7387030234010281E-3</c:v>
                </c:pt>
                <c:pt idx="26">
                  <c:v>2.6271516341934095E-3</c:v>
                </c:pt>
                <c:pt idx="27">
                  <c:v>-4.2533812826018738E-3</c:v>
                </c:pt>
                <c:pt idx="28">
                  <c:v>-6.7787242217625093E-3</c:v>
                </c:pt>
                <c:pt idx="29">
                  <c:v>4.0201052870745289E-2</c:v>
                </c:pt>
                <c:pt idx="30">
                  <c:v>-1.0149954350765981E-3</c:v>
                </c:pt>
                <c:pt idx="31">
                  <c:v>6.1947314064060965E-3</c:v>
                </c:pt>
                <c:pt idx="32">
                  <c:v>-5.5340617695517963E-3</c:v>
                </c:pt>
                <c:pt idx="33">
                  <c:v>3.3008306162113318E-3</c:v>
                </c:pt>
                <c:pt idx="34">
                  <c:v>3.4819855631802645E-3</c:v>
                </c:pt>
                <c:pt idx="35">
                  <c:v>-4.1886766722222758E-3</c:v>
                </c:pt>
                <c:pt idx="36">
                  <c:v>1.6492426561051494E-2</c:v>
                </c:pt>
                <c:pt idx="37">
                  <c:v>-4.2841540191254218E-3</c:v>
                </c:pt>
                <c:pt idx="38">
                  <c:v>1.7444898421682301E-2</c:v>
                </c:pt>
                <c:pt idx="39">
                  <c:v>-6.6509636689137406E-3</c:v>
                </c:pt>
                <c:pt idx="40">
                  <c:v>-8.6654015068486547E-3</c:v>
                </c:pt>
                <c:pt idx="41">
                  <c:v>-7.767013900881789E-3</c:v>
                </c:pt>
                <c:pt idx="42">
                  <c:v>9.0451261095040765E-3</c:v>
                </c:pt>
                <c:pt idx="43">
                  <c:v>5.2732066825192693E-3</c:v>
                </c:pt>
                <c:pt idx="44">
                  <c:v>-6.8863073424019043E-4</c:v>
                </c:pt>
                <c:pt idx="45">
                  <c:v>1.5340141069442609E-3</c:v>
                </c:pt>
                <c:pt idx="46">
                  <c:v>1.9468876835909033E-2</c:v>
                </c:pt>
                <c:pt idx="47">
                  <c:v>3.2671907580653849E-3</c:v>
                </c:pt>
                <c:pt idx="48">
                  <c:v>2.2527156273494933E-3</c:v>
                </c:pt>
                <c:pt idx="49">
                  <c:v>-7.6344473379943026E-3</c:v>
                </c:pt>
                <c:pt idx="50">
                  <c:v>-1.2340005750257434E-2</c:v>
                </c:pt>
                <c:pt idx="51">
                  <c:v>-6.5483442400164297E-3</c:v>
                </c:pt>
                <c:pt idx="52">
                  <c:v>-2.4277596147095327E-3</c:v>
                </c:pt>
                <c:pt idx="53">
                  <c:v>2.8055814761984567E-3</c:v>
                </c:pt>
                <c:pt idx="54">
                  <c:v>3.1080887275128745E-4</c:v>
                </c:pt>
                <c:pt idx="55">
                  <c:v>1.7863604927638128E-2</c:v>
                </c:pt>
                <c:pt idx="56">
                  <c:v>-2.1584578893567036E-3</c:v>
                </c:pt>
                <c:pt idx="57">
                  <c:v>-1.0185721920416444E-2</c:v>
                </c:pt>
                <c:pt idx="58">
                  <c:v>-2.110808392816829E-3</c:v>
                </c:pt>
                <c:pt idx="59">
                  <c:v>4.4318563285681159E-3</c:v>
                </c:pt>
                <c:pt idx="60">
                  <c:v>9.2457323100465219E-4</c:v>
                </c:pt>
                <c:pt idx="61">
                  <c:v>-1.1037358344502781E-2</c:v>
                </c:pt>
                <c:pt idx="62">
                  <c:v>-2.3019776051644434E-2</c:v>
                </c:pt>
                <c:pt idx="63">
                  <c:v>9.6880180396806681E-3</c:v>
                </c:pt>
                <c:pt idx="64">
                  <c:v>-1.3232494373833368E-2</c:v>
                </c:pt>
                <c:pt idx="65">
                  <c:v>-2.0542448001378503E-2</c:v>
                </c:pt>
                <c:pt idx="66">
                  <c:v>-4.203609692786465E-3</c:v>
                </c:pt>
                <c:pt idx="67">
                  <c:v>2.0859800723973271E-2</c:v>
                </c:pt>
                <c:pt idx="68">
                  <c:v>-5.4123139695755424E-3</c:v>
                </c:pt>
                <c:pt idx="69">
                  <c:v>8.6546102760642913E-3</c:v>
                </c:pt>
                <c:pt idx="70">
                  <c:v>1.1732548548209957E-2</c:v>
                </c:pt>
                <c:pt idx="71">
                  <c:v>-9.8342582603013432E-3</c:v>
                </c:pt>
                <c:pt idx="72">
                  <c:v>-4.2346072724472111E-3</c:v>
                </c:pt>
                <c:pt idx="73">
                  <c:v>4.4500844656394409E-2</c:v>
                </c:pt>
                <c:pt idx="74">
                  <c:v>-9.275385837425848E-3</c:v>
                </c:pt>
                <c:pt idx="75">
                  <c:v>-6.3316739110372278E-3</c:v>
                </c:pt>
                <c:pt idx="76">
                  <c:v>8.7827706917653851E-3</c:v>
                </c:pt>
                <c:pt idx="77">
                  <c:v>-2.8314374843165422E-3</c:v>
                </c:pt>
                <c:pt idx="78">
                  <c:v>-4.1421270498393425E-3</c:v>
                </c:pt>
                <c:pt idx="79">
                  <c:v>1.1138510283795386E-3</c:v>
                </c:pt>
                <c:pt idx="80">
                  <c:v>-3.9337555569461936E-5</c:v>
                </c:pt>
                <c:pt idx="81">
                  <c:v>-6.5119813355720823E-3</c:v>
                </c:pt>
                <c:pt idx="82">
                  <c:v>-1.513686868721615E-3</c:v>
                </c:pt>
                <c:pt idx="83">
                  <c:v>-2.4617171197467591E-2</c:v>
                </c:pt>
                <c:pt idx="84">
                  <c:v>-1.0865963234690194E-2</c:v>
                </c:pt>
                <c:pt idx="85">
                  <c:v>-4.7816929143681833E-3</c:v>
                </c:pt>
                <c:pt idx="86">
                  <c:v>8.5955644292318376E-3</c:v>
                </c:pt>
                <c:pt idx="87">
                  <c:v>-7.6570779501404073E-4</c:v>
                </c:pt>
                <c:pt idx="88">
                  <c:v>1.3718071526318269E-2</c:v>
                </c:pt>
                <c:pt idx="89">
                  <c:v>-1.5764198234799447E-2</c:v>
                </c:pt>
                <c:pt idx="90">
                  <c:v>-8.8890207146097629E-3</c:v>
                </c:pt>
                <c:pt idx="91">
                  <c:v>-1.0340268963822442E-2</c:v>
                </c:pt>
                <c:pt idx="92">
                  <c:v>-5.9384466426735732E-3</c:v>
                </c:pt>
                <c:pt idx="93">
                  <c:v>-1.536765772679341E-2</c:v>
                </c:pt>
                <c:pt idx="94">
                  <c:v>1.6234391205827852E-2</c:v>
                </c:pt>
                <c:pt idx="95">
                  <c:v>3.7002620039487373E-4</c:v>
                </c:pt>
                <c:pt idx="96">
                  <c:v>-2.1880162770673801E-2</c:v>
                </c:pt>
                <c:pt idx="97">
                  <c:v>-1.518015432954239E-3</c:v>
                </c:pt>
                <c:pt idx="98">
                  <c:v>-2.9268712815999935E-4</c:v>
                </c:pt>
                <c:pt idx="99">
                  <c:v>1.7013586421917467E-2</c:v>
                </c:pt>
                <c:pt idx="100">
                  <c:v>-7.5149834868466717E-3</c:v>
                </c:pt>
                <c:pt idx="101">
                  <c:v>-5.0444056471219958E-3</c:v>
                </c:pt>
                <c:pt idx="102">
                  <c:v>-2.5654898241336533E-2</c:v>
                </c:pt>
                <c:pt idx="103">
                  <c:v>3.4238641428927644E-3</c:v>
                </c:pt>
                <c:pt idx="104">
                  <c:v>-1.6665720285815675E-3</c:v>
                </c:pt>
                <c:pt idx="105">
                  <c:v>2.9317187109064856E-2</c:v>
                </c:pt>
                <c:pt idx="106">
                  <c:v>-4.1218501154351101E-3</c:v>
                </c:pt>
                <c:pt idx="107">
                  <c:v>1.4439242091902905E-2</c:v>
                </c:pt>
                <c:pt idx="108">
                  <c:v>-2.5798867336878781E-2</c:v>
                </c:pt>
                <c:pt idx="109">
                  <c:v>1.339490990387142E-2</c:v>
                </c:pt>
                <c:pt idx="110">
                  <c:v>-5.3493355249587728E-3</c:v>
                </c:pt>
                <c:pt idx="111">
                  <c:v>7.0607256465809141E-3</c:v>
                </c:pt>
                <c:pt idx="112">
                  <c:v>2.3065397938817001E-2</c:v>
                </c:pt>
                <c:pt idx="113">
                  <c:v>-6.1316422101210678E-3</c:v>
                </c:pt>
                <c:pt idx="114">
                  <c:v>2.8428453046801798E-2</c:v>
                </c:pt>
                <c:pt idx="115">
                  <c:v>7.4862925656069288E-3</c:v>
                </c:pt>
                <c:pt idx="116">
                  <c:v>-2.5844788790732702E-2</c:v>
                </c:pt>
                <c:pt idx="117">
                  <c:v>1.8358496225125573E-2</c:v>
                </c:pt>
                <c:pt idx="118">
                  <c:v>-2.7770438341368636E-2</c:v>
                </c:pt>
                <c:pt idx="119">
                  <c:v>5.4736275046881151E-3</c:v>
                </c:pt>
                <c:pt idx="120">
                  <c:v>4.8676055962722639E-3</c:v>
                </c:pt>
                <c:pt idx="121">
                  <c:v>-8.7545591518714879E-3</c:v>
                </c:pt>
                <c:pt idx="122">
                  <c:v>2.2668980121113413E-2</c:v>
                </c:pt>
                <c:pt idx="123">
                  <c:v>-9.1235096244203365E-4</c:v>
                </c:pt>
                <c:pt idx="124">
                  <c:v>6.4137830128868619E-3</c:v>
                </c:pt>
                <c:pt idx="125">
                  <c:v>-1.9866477792783665E-3</c:v>
                </c:pt>
                <c:pt idx="126">
                  <c:v>-1.707265317795759E-2</c:v>
                </c:pt>
                <c:pt idx="127">
                  <c:v>-5.8368836205843228E-3</c:v>
                </c:pt>
                <c:pt idx="128">
                  <c:v>-8.958528053217554E-3</c:v>
                </c:pt>
                <c:pt idx="129">
                  <c:v>-1.4829716210089076E-2</c:v>
                </c:pt>
                <c:pt idx="130">
                  <c:v>-2.2894592934603969E-2</c:v>
                </c:pt>
                <c:pt idx="131">
                  <c:v>2.5900318862787257E-2</c:v>
                </c:pt>
                <c:pt idx="132">
                  <c:v>1.7863603414834128E-3</c:v>
                </c:pt>
                <c:pt idx="133">
                  <c:v>7.4849317944067828E-3</c:v>
                </c:pt>
                <c:pt idx="134">
                  <c:v>2.6179756249302733E-2</c:v>
                </c:pt>
                <c:pt idx="135">
                  <c:v>7.2421217471525488E-3</c:v>
                </c:pt>
                <c:pt idx="136">
                  <c:v>-1.8377013033674078E-2</c:v>
                </c:pt>
                <c:pt idx="137">
                  <c:v>-2.8065113894041555E-2</c:v>
                </c:pt>
                <c:pt idx="138">
                  <c:v>-4.2993505872157296E-3</c:v>
                </c:pt>
                <c:pt idx="139">
                  <c:v>-1.1138005330059734E-2</c:v>
                </c:pt>
                <c:pt idx="140">
                  <c:v>1.1502711241694281E-2</c:v>
                </c:pt>
                <c:pt idx="141">
                  <c:v>1.9835684025441284E-2</c:v>
                </c:pt>
                <c:pt idx="142">
                  <c:v>-3.5052129535392581E-3</c:v>
                </c:pt>
                <c:pt idx="143">
                  <c:v>-5.7859778831830513E-3</c:v>
                </c:pt>
                <c:pt idx="144">
                  <c:v>-2.1587266801413436E-3</c:v>
                </c:pt>
                <c:pt idx="145">
                  <c:v>-7.4167243265807507E-3</c:v>
                </c:pt>
                <c:pt idx="146">
                  <c:v>1.8866641843444405E-2</c:v>
                </c:pt>
                <c:pt idx="147">
                  <c:v>6.8777186210333824E-3</c:v>
                </c:pt>
                <c:pt idx="148">
                  <c:v>1.0226622847680117E-2</c:v>
                </c:pt>
                <c:pt idx="149">
                  <c:v>2.3372794148776195E-3</c:v>
                </c:pt>
                <c:pt idx="150">
                  <c:v>5.5938449206085761E-3</c:v>
                </c:pt>
                <c:pt idx="151">
                  <c:v>-2.690188600695287E-3</c:v>
                </c:pt>
                <c:pt idx="152">
                  <c:v>-1.0163501563078606E-3</c:v>
                </c:pt>
                <c:pt idx="153">
                  <c:v>-1.8873061636054229E-3</c:v>
                </c:pt>
                <c:pt idx="154">
                  <c:v>2.2989084134719421E-3</c:v>
                </c:pt>
                <c:pt idx="155">
                  <c:v>1.8991124398490721E-2</c:v>
                </c:pt>
                <c:pt idx="156">
                  <c:v>3.9773500935428386E-3</c:v>
                </c:pt>
                <c:pt idx="157">
                  <c:v>-5.2055834506468104E-3</c:v>
                </c:pt>
                <c:pt idx="158">
                  <c:v>1.8095019922306167E-3</c:v>
                </c:pt>
                <c:pt idx="159">
                  <c:v>-8.3476997861292659E-3</c:v>
                </c:pt>
                <c:pt idx="160">
                  <c:v>-9.6251698850469518E-3</c:v>
                </c:pt>
                <c:pt idx="161">
                  <c:v>1.0267903559161594E-2</c:v>
                </c:pt>
                <c:pt idx="162">
                  <c:v>4.2811150820065346E-3</c:v>
                </c:pt>
                <c:pt idx="163">
                  <c:v>-1.9779914439995304E-3</c:v>
                </c:pt>
                <c:pt idx="164">
                  <c:v>6.2867957057206143E-4</c:v>
                </c:pt>
                <c:pt idx="165">
                  <c:v>-1.083594992190772E-2</c:v>
                </c:pt>
                <c:pt idx="166">
                  <c:v>1.6286832807715666E-2</c:v>
                </c:pt>
                <c:pt idx="167">
                  <c:v>-1.3924560899615846E-2</c:v>
                </c:pt>
                <c:pt idx="168">
                  <c:v>0</c:v>
                </c:pt>
                <c:pt idx="169">
                  <c:v>3.0636705072182628E-2</c:v>
                </c:pt>
                <c:pt idx="170">
                  <c:v>-1.2386381878658863E-2</c:v>
                </c:pt>
                <c:pt idx="171">
                  <c:v>-7.5247568548755129E-3</c:v>
                </c:pt>
                <c:pt idx="172">
                  <c:v>2.2468287153551191E-3</c:v>
                </c:pt>
                <c:pt idx="173">
                  <c:v>-3.0682277188619276E-4</c:v>
                </c:pt>
                <c:pt idx="174">
                  <c:v>4.8778128474937076E-3</c:v>
                </c:pt>
                <c:pt idx="175">
                  <c:v>9.020043116316153E-3</c:v>
                </c:pt>
                <c:pt idx="176">
                  <c:v>0</c:v>
                </c:pt>
                <c:pt idx="177">
                  <c:v>-1.3627834765700536E-3</c:v>
                </c:pt>
                <c:pt idx="178">
                  <c:v>-3.7432504483206138E-3</c:v>
                </c:pt>
                <c:pt idx="179">
                  <c:v>1.2773831004570411E-2</c:v>
                </c:pt>
                <c:pt idx="180">
                  <c:v>-8.3210638349054695E-3</c:v>
                </c:pt>
                <c:pt idx="181">
                  <c:v>-1.3244589208584375E-2</c:v>
                </c:pt>
                <c:pt idx="182">
                  <c:v>-1.2665572282116877E-2</c:v>
                </c:pt>
                <c:pt idx="183">
                  <c:v>-7.4455067764583448E-3</c:v>
                </c:pt>
                <c:pt idx="184">
                  <c:v>-2.4721777127241528E-4</c:v>
                </c:pt>
                <c:pt idx="185">
                  <c:v>-1.3295172160356809E-2</c:v>
                </c:pt>
                <c:pt idx="186">
                  <c:v>-9.0989232148669108E-3</c:v>
                </c:pt>
                <c:pt idx="187">
                  <c:v>5.6645709119118636E-3</c:v>
                </c:pt>
                <c:pt idx="188">
                  <c:v>6.8569501874696879E-3</c:v>
                </c:pt>
                <c:pt idx="189">
                  <c:v>5.6356647587320176E-3</c:v>
                </c:pt>
                <c:pt idx="190">
                  <c:v>-6.0019605550046115E-3</c:v>
                </c:pt>
                <c:pt idx="191">
                  <c:v>-2.3216034068722106E-3</c:v>
                </c:pt>
                <c:pt idx="192">
                  <c:v>-1.6942781846703055E-2</c:v>
                </c:pt>
                <c:pt idx="193">
                  <c:v>-1.0285466116492586E-2</c:v>
                </c:pt>
                <c:pt idx="194">
                  <c:v>-1.1283995302175545E-3</c:v>
                </c:pt>
                <c:pt idx="195">
                  <c:v>8.5193846002238408E-3</c:v>
                </c:pt>
                <c:pt idx="196">
                  <c:v>1.0660829014286621E-2</c:v>
                </c:pt>
                <c:pt idx="197">
                  <c:v>-6.5718801733389675E-4</c:v>
                </c:pt>
                <c:pt idx="198">
                  <c:v>3.3698324887623003E-3</c:v>
                </c:pt>
                <c:pt idx="199">
                  <c:v>-2.9948453877162761E-3</c:v>
                </c:pt>
                <c:pt idx="200">
                  <c:v>-2.969264385866386E-2</c:v>
                </c:pt>
                <c:pt idx="201">
                  <c:v>-2.2455497980480389E-2</c:v>
                </c:pt>
                <c:pt idx="202">
                  <c:v>1.7249143482698469E-3</c:v>
                </c:pt>
                <c:pt idx="203">
                  <c:v>-5.3306687823521026E-3</c:v>
                </c:pt>
                <c:pt idx="204">
                  <c:v>-6.5496494714615693E-4</c:v>
                </c:pt>
                <c:pt idx="205">
                  <c:v>1.1693396653096591E-2</c:v>
                </c:pt>
                <c:pt idx="206">
                  <c:v>1.1492919419068442E-2</c:v>
                </c:pt>
                <c:pt idx="207">
                  <c:v>3.3504746064495654E-2</c:v>
                </c:pt>
                <c:pt idx="208">
                  <c:v>-2.8220091628792398E-4</c:v>
                </c:pt>
                <c:pt idx="209">
                  <c:v>4.270816179931229E-3</c:v>
                </c:pt>
                <c:pt idx="210">
                  <c:v>7.8757178184042584E-3</c:v>
                </c:pt>
                <c:pt idx="211">
                  <c:v>-2.6606948392353849E-2</c:v>
                </c:pt>
                <c:pt idx="212">
                  <c:v>-9.2356899974853218E-3</c:v>
                </c:pt>
                <c:pt idx="213">
                  <c:v>6.8131055734551714E-4</c:v>
                </c:pt>
                <c:pt idx="214">
                  <c:v>-2.1440798333407673E-2</c:v>
                </c:pt>
                <c:pt idx="215">
                  <c:v>-3.2673122448866582E-2</c:v>
                </c:pt>
                <c:pt idx="216">
                  <c:v>-9.2387328034243613E-3</c:v>
                </c:pt>
                <c:pt idx="217">
                  <c:v>-6.7970575938722565E-3</c:v>
                </c:pt>
                <c:pt idx="218">
                  <c:v>-5.1643046092373877E-3</c:v>
                </c:pt>
                <c:pt idx="219">
                  <c:v>7.7779970351385362E-3</c:v>
                </c:pt>
                <c:pt idx="220">
                  <c:v>-6.7354981740166411E-4</c:v>
                </c:pt>
                <c:pt idx="221">
                  <c:v>8.9725432023926802E-3</c:v>
                </c:pt>
                <c:pt idx="222">
                  <c:v>2.7446193297771027E-2</c:v>
                </c:pt>
                <c:pt idx="223">
                  <c:v>-1.1353511303128694E-2</c:v>
                </c:pt>
                <c:pt idx="224">
                  <c:v>-1.1374637478722451E-2</c:v>
                </c:pt>
                <c:pt idx="225">
                  <c:v>1.0266858596961638E-2</c:v>
                </c:pt>
                <c:pt idx="226">
                  <c:v>-1.4984903112881476E-2</c:v>
                </c:pt>
                <c:pt idx="227">
                  <c:v>-1.271299128453972E-2</c:v>
                </c:pt>
                <c:pt idx="228">
                  <c:v>-6.6787289617108916E-3</c:v>
                </c:pt>
                <c:pt idx="229">
                  <c:v>-2.4138079600700981E-3</c:v>
                </c:pt>
                <c:pt idx="230">
                  <c:v>1.1304282279002632E-2</c:v>
                </c:pt>
                <c:pt idx="231">
                  <c:v>2.2022525423270973E-3</c:v>
                </c:pt>
                <c:pt idx="232">
                  <c:v>-1.0426105232905335E-2</c:v>
                </c:pt>
                <c:pt idx="233">
                  <c:v>1.8372862716842173E-2</c:v>
                </c:pt>
                <c:pt idx="234">
                  <c:v>1.3975502676014053E-2</c:v>
                </c:pt>
                <c:pt idx="235">
                  <c:v>-3.0455867086875469E-3</c:v>
                </c:pt>
                <c:pt idx="236">
                  <c:v>-4.6949614364239943E-3</c:v>
                </c:pt>
                <c:pt idx="237">
                  <c:v>-1.1257497683934106E-2</c:v>
                </c:pt>
                <c:pt idx="238">
                  <c:v>1.0497883640489963E-2</c:v>
                </c:pt>
                <c:pt idx="239">
                  <c:v>1.7098675169473287E-2</c:v>
                </c:pt>
                <c:pt idx="240">
                  <c:v>-8.995630275630568E-3</c:v>
                </c:pt>
                <c:pt idx="241">
                  <c:v>1.3570152629163727E-2</c:v>
                </c:pt>
                <c:pt idx="242">
                  <c:v>-8.3839654043238124E-3</c:v>
                </c:pt>
                <c:pt idx="243">
                  <c:v>-1.4432013937600146E-2</c:v>
                </c:pt>
                <c:pt idx="244">
                  <c:v>-7.3338782936383864E-3</c:v>
                </c:pt>
                <c:pt idx="245">
                  <c:v>3.7559589776185003E-3</c:v>
                </c:pt>
                <c:pt idx="246">
                  <c:v>-1.5336685249403086E-2</c:v>
                </c:pt>
                <c:pt idx="247">
                  <c:v>5.9617385955435002E-3</c:v>
                </c:pt>
                <c:pt idx="248">
                  <c:v>3.3544447801201999E-2</c:v>
                </c:pt>
                <c:pt idx="249">
                  <c:v>-1.3541770641180329E-2</c:v>
                </c:pt>
                <c:pt idx="250">
                  <c:v>-1.9015573996788417E-2</c:v>
                </c:pt>
                <c:pt idx="251">
                  <c:v>-1.6657249868860526E-3</c:v>
                </c:pt>
                <c:pt idx="252">
                  <c:v>-5.2831167718906348E-3</c:v>
                </c:pt>
                <c:pt idx="253">
                  <c:v>5.6017108972166692E-3</c:v>
                </c:pt>
                <c:pt idx="254">
                  <c:v>-9.0197862929027022E-3</c:v>
                </c:pt>
                <c:pt idx="255">
                  <c:v>1.3786557858042029E-2</c:v>
                </c:pt>
                <c:pt idx="256">
                  <c:v>2.3313457094490046E-3</c:v>
                </c:pt>
                <c:pt idx="257">
                  <c:v>1.1702755713204709E-2</c:v>
                </c:pt>
                <c:pt idx="258">
                  <c:v>-6.2125691491560185E-3</c:v>
                </c:pt>
                <c:pt idx="259">
                  <c:v>7.7744010197115703E-3</c:v>
                </c:pt>
                <c:pt idx="260">
                  <c:v>0</c:v>
                </c:pt>
                <c:pt idx="261">
                  <c:v>-3.5073445416185667E-3</c:v>
                </c:pt>
                <c:pt idx="262">
                  <c:v>1.6700966171507039E-2</c:v>
                </c:pt>
                <c:pt idx="263">
                  <c:v>7.497088535653231E-4</c:v>
                </c:pt>
                <c:pt idx="264">
                  <c:v>8.8954610708211566E-3</c:v>
                </c:pt>
                <c:pt idx="265">
                  <c:v>1.0694006631298814E-3</c:v>
                </c:pt>
                <c:pt idx="266">
                  <c:v>3.5270916926415422E-3</c:v>
                </c:pt>
                <c:pt idx="267">
                  <c:v>-5.6404815506388584E-3</c:v>
                </c:pt>
                <c:pt idx="268">
                  <c:v>-1.4412599611949628E-2</c:v>
                </c:pt>
                <c:pt idx="269">
                  <c:v>1.7227990200776606E-2</c:v>
                </c:pt>
                <c:pt idx="270">
                  <c:v>-1.7623209844744088E-2</c:v>
                </c:pt>
                <c:pt idx="271">
                  <c:v>2.1897065659272335E-3</c:v>
                </c:pt>
                <c:pt idx="272">
                  <c:v>-5.9250508250619531E-3</c:v>
                </c:pt>
                <c:pt idx="273">
                  <c:v>-2.2072523264496653E-3</c:v>
                </c:pt>
                <c:pt idx="274">
                  <c:v>9.7535426349119672E-3</c:v>
                </c:pt>
                <c:pt idx="275">
                  <c:v>1.1350889972980199E-2</c:v>
                </c:pt>
                <c:pt idx="276">
                  <c:v>6.8997242847640254E-4</c:v>
                </c:pt>
                <c:pt idx="277">
                  <c:v>5.3795811971794243E-3</c:v>
                </c:pt>
                <c:pt idx="278">
                  <c:v>3.8691863759727043E-4</c:v>
                </c:pt>
                <c:pt idx="279">
                  <c:v>-1.1700074790051817E-3</c:v>
                </c:pt>
                <c:pt idx="280">
                  <c:v>9.5530201133779014E-3</c:v>
                </c:pt>
                <c:pt idx="281">
                  <c:v>-6.2795653243430576E-3</c:v>
                </c:pt>
                <c:pt idx="282">
                  <c:v>-1.3718811675294929E-2</c:v>
                </c:pt>
                <c:pt idx="283">
                  <c:v>9.7761660538556467E-3</c:v>
                </c:pt>
                <c:pt idx="284">
                  <c:v>-1.4085989256895234E-2</c:v>
                </c:pt>
                <c:pt idx="285">
                  <c:v>0</c:v>
                </c:pt>
                <c:pt idx="286">
                  <c:v>1.5925187568304942E-2</c:v>
                </c:pt>
                <c:pt idx="287">
                  <c:v>-3.8691863759724435E-4</c:v>
                </c:pt>
                <c:pt idx="288">
                  <c:v>5.4732657750212787E-3</c:v>
                </c:pt>
                <c:pt idx="289">
                  <c:v>6.9864978539426904E-3</c:v>
                </c:pt>
                <c:pt idx="290">
                  <c:v>7.1450359255502529E-3</c:v>
                </c:pt>
                <c:pt idx="291">
                  <c:v>-9.392994904506919E-3</c:v>
                </c:pt>
                <c:pt idx="292">
                  <c:v>1.9482332908733726E-3</c:v>
                </c:pt>
                <c:pt idx="293">
                  <c:v>-4.8078690669740463E-3</c:v>
                </c:pt>
                <c:pt idx="294">
                  <c:v>-4.8618029262797787E-3</c:v>
                </c:pt>
                <c:pt idx="295">
                  <c:v>1.4509496181721721E-3</c:v>
                </c:pt>
                <c:pt idx="296">
                  <c:v>3.0657784908620585E-4</c:v>
                </c:pt>
                <c:pt idx="297">
                  <c:v>7.912144525995625E-3</c:v>
                </c:pt>
                <c:pt idx="298">
                  <c:v>-3.8566557620433807E-3</c:v>
                </c:pt>
                <c:pt idx="299">
                  <c:v>2.3392740625203441E-3</c:v>
                </c:pt>
                <c:pt idx="300">
                  <c:v>2.9283488366635396E-3</c:v>
                </c:pt>
                <c:pt idx="301">
                  <c:v>4.9853615286966678E-3</c:v>
                </c:pt>
                <c:pt idx="302">
                  <c:v>-7.4873935620217167E-3</c:v>
                </c:pt>
                <c:pt idx="303">
                  <c:v>4.9502152101928397E-3</c:v>
                </c:pt>
                <c:pt idx="304">
                  <c:v>-3.168613035558382E-3</c:v>
                </c:pt>
                <c:pt idx="305">
                  <c:v>0</c:v>
                </c:pt>
                <c:pt idx="306">
                  <c:v>7.4698063796078068E-3</c:v>
                </c:pt>
                <c:pt idx="307">
                  <c:v>7.9318486466147826E-3</c:v>
                </c:pt>
                <c:pt idx="308">
                  <c:v>4.1033006499879751E-4</c:v>
                </c:pt>
                <c:pt idx="309">
                  <c:v>6.7377606395673103E-3</c:v>
                </c:pt>
                <c:pt idx="310">
                  <c:v>-8.4913891743886843E-3</c:v>
                </c:pt>
                <c:pt idx="311">
                  <c:v>1.0482697023780308E-3</c:v>
                </c:pt>
                <c:pt idx="312">
                  <c:v>3.8754610062201947E-3</c:v>
                </c:pt>
                <c:pt idx="313">
                  <c:v>-3.8754610062202762E-3</c:v>
                </c:pt>
                <c:pt idx="314">
                  <c:v>3.5209135340451614E-2</c:v>
                </c:pt>
                <c:pt idx="315">
                  <c:v>2.2254757575486957E-2</c:v>
                </c:pt>
                <c:pt idx="316">
                  <c:v>-4.5506131329927979E-2</c:v>
                </c:pt>
                <c:pt idx="317">
                  <c:v>-4.9222162047233321E-3</c:v>
                </c:pt>
                <c:pt idx="318">
                  <c:v>-3.4540585458018289E-3</c:v>
                </c:pt>
                <c:pt idx="319">
                  <c:v>9.7697442500092532E-3</c:v>
                </c:pt>
                <c:pt idx="320">
                  <c:v>-4.7881386472721525E-3</c:v>
                </c:pt>
                <c:pt idx="321">
                  <c:v>-1.5275470569350554E-3</c:v>
                </c:pt>
                <c:pt idx="322">
                  <c:v>3.3037454843076269E-2</c:v>
                </c:pt>
                <c:pt idx="323">
                  <c:v>3.5361306360327534E-2</c:v>
                </c:pt>
                <c:pt idx="324">
                  <c:v>-7.4234958125659993E-3</c:v>
                </c:pt>
                <c:pt idx="325">
                  <c:v>3.7194459151278982E-2</c:v>
                </c:pt>
                <c:pt idx="326">
                  <c:v>5.6617576741680555E-3</c:v>
                </c:pt>
                <c:pt idx="327">
                  <c:v>-4.6921874794407896E-3</c:v>
                </c:pt>
                <c:pt idx="328">
                  <c:v>2.5484406292842168E-2</c:v>
                </c:pt>
                <c:pt idx="329">
                  <c:v>1.4965415224368228E-2</c:v>
                </c:pt>
                <c:pt idx="330">
                  <c:v>-1.1645683367856454E-2</c:v>
                </c:pt>
                <c:pt idx="331">
                  <c:v>1.3453708538077714E-2</c:v>
                </c:pt>
                <c:pt idx="332">
                  <c:v>9.9226268670098167E-3</c:v>
                </c:pt>
                <c:pt idx="333">
                  <c:v>7.5309583766957813E-3</c:v>
                </c:pt>
                <c:pt idx="334">
                  <c:v>-1.2995482849717053E-2</c:v>
                </c:pt>
                <c:pt idx="335">
                  <c:v>-9.6214691962693485E-3</c:v>
                </c:pt>
                <c:pt idx="336">
                  <c:v>-1.0149081806186162E-2</c:v>
                </c:pt>
                <c:pt idx="337">
                  <c:v>9.8776895736196334E-4</c:v>
                </c:pt>
                <c:pt idx="338">
                  <c:v>1.0461132501349562E-2</c:v>
                </c:pt>
                <c:pt idx="339">
                  <c:v>2.1845910999665492E-2</c:v>
                </c:pt>
                <c:pt idx="340">
                  <c:v>9.6103826173301338E-3</c:v>
                </c:pt>
                <c:pt idx="341">
                  <c:v>6.7407712947636089E-3</c:v>
                </c:pt>
                <c:pt idx="342">
                  <c:v>2.2840870842732217E-2</c:v>
                </c:pt>
                <c:pt idx="343">
                  <c:v>6.032876198994586E-3</c:v>
                </c:pt>
                <c:pt idx="344">
                  <c:v>-6.5831285279431082E-3</c:v>
                </c:pt>
                <c:pt idx="345">
                  <c:v>-6.9985358766393134E-3</c:v>
                </c:pt>
                <c:pt idx="346">
                  <c:v>-1.3309963755024946E-2</c:v>
                </c:pt>
                <c:pt idx="347">
                  <c:v>3.5664451637831048E-3</c:v>
                </c:pt>
                <c:pt idx="348">
                  <c:v>2.1600262319721193E-2</c:v>
                </c:pt>
                <c:pt idx="349">
                  <c:v>-4.0364235587780732E-3</c:v>
                </c:pt>
                <c:pt idx="350">
                  <c:v>4.3379796946976558E-3</c:v>
                </c:pt>
                <c:pt idx="351">
                  <c:v>-3.5655612560349841E-3</c:v>
                </c:pt>
                <c:pt idx="352">
                  <c:v>1.9456811510233148E-2</c:v>
                </c:pt>
                <c:pt idx="353">
                  <c:v>-1.7080671825855841E-2</c:v>
                </c:pt>
                <c:pt idx="354">
                  <c:v>-6.0137997072115977E-3</c:v>
                </c:pt>
                <c:pt idx="355">
                  <c:v>5.2397427250462933E-3</c:v>
                </c:pt>
                <c:pt idx="356">
                  <c:v>2.004219773711087E-2</c:v>
                </c:pt>
                <c:pt idx="357">
                  <c:v>-5.4982041579727629E-3</c:v>
                </c:pt>
                <c:pt idx="358">
                  <c:v>-1.8046879995206148E-2</c:v>
                </c:pt>
                <c:pt idx="359">
                  <c:v>4.6169225170767051E-3</c:v>
                </c:pt>
                <c:pt idx="360">
                  <c:v>-8.0237240500613174E-3</c:v>
                </c:pt>
                <c:pt idx="361">
                  <c:v>-9.2666437538849542E-3</c:v>
                </c:pt>
                <c:pt idx="362">
                  <c:v>1.7290367803946251E-2</c:v>
                </c:pt>
                <c:pt idx="363">
                  <c:v>-6.0371599425738129E-4</c:v>
                </c:pt>
                <c:pt idx="364">
                  <c:v>-1.11507609323095E-2</c:v>
                </c:pt>
                <c:pt idx="365">
                  <c:v>-3.2324324649677216E-2</c:v>
                </c:pt>
                <c:pt idx="366">
                  <c:v>-6.86367959457176E-3</c:v>
                </c:pt>
                <c:pt idx="367">
                  <c:v>1.3702171437248667E-2</c:v>
                </c:pt>
                <c:pt idx="368">
                  <c:v>-1.542070354476709E-3</c:v>
                </c:pt>
                <c:pt idx="369">
                  <c:v>1.9980424334789783E-2</c:v>
                </c:pt>
                <c:pt idx="370">
                  <c:v>7.8403333548650866E-3</c:v>
                </c:pt>
                <c:pt idx="371">
                  <c:v>-2.1660493530294891E-3</c:v>
                </c:pt>
                <c:pt idx="372">
                  <c:v>-5.3315041956304883E-3</c:v>
                </c:pt>
                <c:pt idx="373">
                  <c:v>-1.2368198418766348E-2</c:v>
                </c:pt>
                <c:pt idx="374">
                  <c:v>2.1011714252624387E-3</c:v>
                </c:pt>
                <c:pt idx="375">
                  <c:v>5.9471976010283508E-3</c:v>
                </c:pt>
                <c:pt idx="376">
                  <c:v>3.3158948749711205E-3</c:v>
                </c:pt>
                <c:pt idx="377">
                  <c:v>6.611547112993217E-4</c:v>
                </c:pt>
                <c:pt idx="378">
                  <c:v>1.0197639552857882E-2</c:v>
                </c:pt>
                <c:pt idx="379">
                  <c:v>2.8039478022597E-2</c:v>
                </c:pt>
                <c:pt idx="380">
                  <c:v>-5.070001860987168E-4</c:v>
                </c:pt>
                <c:pt idx="381">
                  <c:v>1.3968845908670665E-2</c:v>
                </c:pt>
                <c:pt idx="382">
                  <c:v>2.6747752612565068E-3</c:v>
                </c:pt>
                <c:pt idx="383">
                  <c:v>-1.4678302618269115E-2</c:v>
                </c:pt>
                <c:pt idx="384">
                  <c:v>-8.3982510131575035E-3</c:v>
                </c:pt>
                <c:pt idx="385">
                  <c:v>-0.12110916865807582</c:v>
                </c:pt>
                <c:pt idx="386">
                  <c:v>1.9307511502037359E-2</c:v>
                </c:pt>
                <c:pt idx="387">
                  <c:v>-5.9149599883498508E-3</c:v>
                </c:pt>
                <c:pt idx="388">
                  <c:v>4.2410208499684054E-3</c:v>
                </c:pt>
                <c:pt idx="389">
                  <c:v>-1.7977753862850946E-2</c:v>
                </c:pt>
                <c:pt idx="390">
                  <c:v>7.4219135852091334E-3</c:v>
                </c:pt>
                <c:pt idx="391">
                  <c:v>-2.5871743704276753E-3</c:v>
                </c:pt>
                <c:pt idx="392">
                  <c:v>9.763835981798882E-3</c:v>
                </c:pt>
                <c:pt idx="393">
                  <c:v>-3.0117898455862309E-4</c:v>
                </c:pt>
                <c:pt idx="394">
                  <c:v>-5.3716191028653814E-3</c:v>
                </c:pt>
                <c:pt idx="395">
                  <c:v>6.9793977434323305E-3</c:v>
                </c:pt>
                <c:pt idx="396">
                  <c:v>-6.0521200033069236E-3</c:v>
                </c:pt>
                <c:pt idx="397">
                  <c:v>-3.6719958841200193E-3</c:v>
                </c:pt>
                <c:pt idx="398">
                  <c:v>1.5062260900697691E-2</c:v>
                </c:pt>
                <c:pt idx="399">
                  <c:v>2.5592580807437124E-2</c:v>
                </c:pt>
                <c:pt idx="400">
                  <c:v>-5.9340764316511471E-3</c:v>
                </c:pt>
                <c:pt idx="401">
                  <c:v>5.3138137600685165E-3</c:v>
                </c:pt>
                <c:pt idx="402">
                  <c:v>-1.2733580711855748E-2</c:v>
                </c:pt>
                <c:pt idx="403">
                  <c:v>3.8192423256221916E-3</c:v>
                </c:pt>
                <c:pt idx="404">
                  <c:v>-1.7501705950131979E-2</c:v>
                </c:pt>
                <c:pt idx="405">
                  <c:v>2.8815384581437885E-4</c:v>
                </c:pt>
                <c:pt idx="406">
                  <c:v>-1.2884696417828035E-2</c:v>
                </c:pt>
                <c:pt idx="407">
                  <c:v>7.1706015385612585E-3</c:v>
                </c:pt>
                <c:pt idx="408">
                  <c:v>-3.0124674433278076E-4</c:v>
                </c:pt>
                <c:pt idx="409">
                  <c:v>2.4331257217251274E-2</c:v>
                </c:pt>
                <c:pt idx="410">
                  <c:v>7.0387951935288129E-2</c:v>
                </c:pt>
                <c:pt idx="411">
                  <c:v>-1.7392107886947842E-2</c:v>
                </c:pt>
                <c:pt idx="412">
                  <c:v>-2.6415071293915363E-2</c:v>
                </c:pt>
                <c:pt idx="413">
                  <c:v>-7.1440047469470717E-3</c:v>
                </c:pt>
                <c:pt idx="414">
                  <c:v>1.5812409801995584E-2</c:v>
                </c:pt>
                <c:pt idx="415">
                  <c:v>-4.573848487182868E-3</c:v>
                </c:pt>
                <c:pt idx="416">
                  <c:v>-4.6439402154229766E-2</c:v>
                </c:pt>
                <c:pt idx="417">
                  <c:v>-2.2024787425416737E-2</c:v>
                </c:pt>
                <c:pt idx="418">
                  <c:v>1.6955146317031006E-3</c:v>
                </c:pt>
                <c:pt idx="419">
                  <c:v>-2.9061474608456954E-3</c:v>
                </c:pt>
                <c:pt idx="420">
                  <c:v>1.6310644672272279E-2</c:v>
                </c:pt>
                <c:pt idx="421">
                  <c:v>2.2688848414226227E-2</c:v>
                </c:pt>
                <c:pt idx="422">
                  <c:v>1.0843174208757071E-2</c:v>
                </c:pt>
                <c:pt idx="423">
                  <c:v>-1.481263397707044E-3</c:v>
                </c:pt>
                <c:pt idx="424">
                  <c:v>1.0323060461575131E-2</c:v>
                </c:pt>
                <c:pt idx="425">
                  <c:v>-7.0833446370907683E-3</c:v>
                </c:pt>
                <c:pt idx="426">
                  <c:v>3.9397569722985706E-3</c:v>
                </c:pt>
                <c:pt idx="427">
                  <c:v>1.1842770431141042E-2</c:v>
                </c:pt>
                <c:pt idx="428">
                  <c:v>9.6351583432321593E-3</c:v>
                </c:pt>
                <c:pt idx="429">
                  <c:v>-2.5766922850965362E-2</c:v>
                </c:pt>
                <c:pt idx="430">
                  <c:v>-1.4092153224836881E-3</c:v>
                </c:pt>
                <c:pt idx="431">
                  <c:v>-8.70522556405353E-3</c:v>
                </c:pt>
                <c:pt idx="432">
                  <c:v>1.6032484052305753E-3</c:v>
                </c:pt>
                <c:pt idx="433">
                  <c:v>7.8565038947433549E-3</c:v>
                </c:pt>
                <c:pt idx="434">
                  <c:v>1.5233132061074673E-2</c:v>
                </c:pt>
                <c:pt idx="435">
                  <c:v>2.4275230507446086E-4</c:v>
                </c:pt>
                <c:pt idx="436">
                  <c:v>9.0160554492262155E-3</c:v>
                </c:pt>
                <c:pt idx="437">
                  <c:v>1.0094817604224225E-2</c:v>
                </c:pt>
                <c:pt idx="438">
                  <c:v>-1.7074502318056455E-3</c:v>
                </c:pt>
                <c:pt idx="439">
                  <c:v>6.1217155527689576E-4</c:v>
                </c:pt>
                <c:pt idx="440">
                  <c:v>-1.7341993702477486E-2</c:v>
                </c:pt>
                <c:pt idx="441">
                  <c:v>-8.6244103569298302E-3</c:v>
                </c:pt>
                <c:pt idx="442">
                  <c:v>1.8095788547454231E-3</c:v>
                </c:pt>
                <c:pt idx="443">
                  <c:v>2.0542440740478809E-2</c:v>
                </c:pt>
                <c:pt idx="444">
                  <c:v>1.0927828468395642E-2</c:v>
                </c:pt>
                <c:pt idx="445">
                  <c:v>9.3795730710337991E-3</c:v>
                </c:pt>
                <c:pt idx="446">
                  <c:v>1.1855075727465105E-3</c:v>
                </c:pt>
                <c:pt idx="447">
                  <c:v>4.2304743986200637E-3</c:v>
                </c:pt>
                <c:pt idx="448">
                  <c:v>8.1246027624087315E-3</c:v>
                </c:pt>
                <c:pt idx="449">
                  <c:v>1.117850531458197E-3</c:v>
                </c:pt>
                <c:pt idx="450">
                  <c:v>9.0302796217004593E-4</c:v>
                </c:pt>
                <c:pt idx="451">
                  <c:v>-1.1876661206836251E-2</c:v>
                </c:pt>
                <c:pt idx="452">
                  <c:v>-2.3992203559996889E-2</c:v>
                </c:pt>
                <c:pt idx="453">
                  <c:v>-1.2506076008962854E-3</c:v>
                </c:pt>
                <c:pt idx="454">
                  <c:v>5.7970891249642997E-2</c:v>
                </c:pt>
                <c:pt idx="455">
                  <c:v>-4.3958790168323473E-3</c:v>
                </c:pt>
                <c:pt idx="456">
                  <c:v>-1.4888298142053239E-3</c:v>
                </c:pt>
                <c:pt idx="457">
                  <c:v>5.9715471134701593E-4</c:v>
                </c:pt>
                <c:pt idx="458">
                  <c:v>-3.857249350455966E-3</c:v>
                </c:pt>
                <c:pt idx="459">
                  <c:v>3.5553236388489924E-3</c:v>
                </c:pt>
                <c:pt idx="460">
                  <c:v>1.1503491840654044E-2</c:v>
                </c:pt>
                <c:pt idx="461">
                  <c:v>1.9300039352447364E-2</c:v>
                </c:pt>
                <c:pt idx="462">
                  <c:v>4.1148573857264795E-2</c:v>
                </c:pt>
                <c:pt idx="463">
                  <c:v>-1.7990606108351785E-2</c:v>
                </c:pt>
                <c:pt idx="464">
                  <c:v>7.4112846758582797E-3</c:v>
                </c:pt>
                <c:pt idx="465">
                  <c:v>-4.999954434896872E-3</c:v>
                </c:pt>
                <c:pt idx="466">
                  <c:v>-6.1828473909036393E-3</c:v>
                </c:pt>
                <c:pt idx="467">
                  <c:v>2.0953506391213201E-2</c:v>
                </c:pt>
                <c:pt idx="468">
                  <c:v>-3.3678378301729857E-3</c:v>
                </c:pt>
                <c:pt idx="469">
                  <c:v>-4.8118424529547095E-3</c:v>
                </c:pt>
                <c:pt idx="470">
                  <c:v>-1.7013196455719543E-2</c:v>
                </c:pt>
                <c:pt idx="471">
                  <c:v>-4.8857122169475966E-3</c:v>
                </c:pt>
                <c:pt idx="472">
                  <c:v>9.1541237692128758E-3</c:v>
                </c:pt>
                <c:pt idx="473">
                  <c:v>8.6617067427636838E-3</c:v>
                </c:pt>
                <c:pt idx="474">
                  <c:v>4.4907889974314958E-3</c:v>
                </c:pt>
                <c:pt idx="475">
                  <c:v>1.7658882788772873E-3</c:v>
                </c:pt>
                <c:pt idx="476">
                  <c:v>-7.6331620161973141E-3</c:v>
                </c:pt>
                <c:pt idx="477">
                  <c:v>6.5740032962512034E-3</c:v>
                </c:pt>
                <c:pt idx="478">
                  <c:v>1.4046395265762924E-2</c:v>
                </c:pt>
                <c:pt idx="479">
                  <c:v>8.4243390228307229E-3</c:v>
                </c:pt>
                <c:pt idx="480">
                  <c:v>-3.6816034875729207E-3</c:v>
                </c:pt>
                <c:pt idx="481">
                  <c:v>1.6367808940296706E-2</c:v>
                </c:pt>
                <c:pt idx="482">
                  <c:v>-2.4489547286667867E-2</c:v>
                </c:pt>
                <c:pt idx="483">
                  <c:v>9.4606543367051488E-3</c:v>
                </c:pt>
                <c:pt idx="484">
                  <c:v>9.059866615894193E-3</c:v>
                </c:pt>
                <c:pt idx="485">
                  <c:v>-1.5659414614573163E-2</c:v>
                </c:pt>
                <c:pt idx="486">
                  <c:v>-1.3277125385703657E-2</c:v>
                </c:pt>
                <c:pt idx="487">
                  <c:v>-1.0307045322613144E-2</c:v>
                </c:pt>
                <c:pt idx="488">
                  <c:v>-1.4319791050911452E-2</c:v>
                </c:pt>
                <c:pt idx="489">
                  <c:v>5.1746263370337402E-3</c:v>
                </c:pt>
                <c:pt idx="490">
                  <c:v>-9.9337539674224547E-3</c:v>
                </c:pt>
                <c:pt idx="491">
                  <c:v>1.6630387019174705E-3</c:v>
                </c:pt>
                <c:pt idx="492">
                  <c:v>-9.0193861556917363E-3</c:v>
                </c:pt>
                <c:pt idx="493">
                  <c:v>1.5071966699488423E-2</c:v>
                </c:pt>
                <c:pt idx="494">
                  <c:v>-4.9377987833424631E-3</c:v>
                </c:pt>
                <c:pt idx="495">
                  <c:v>1.2497544835443469E-2</c:v>
                </c:pt>
                <c:pt idx="496">
                  <c:v>9.6592736576718852E-3</c:v>
                </c:pt>
                <c:pt idx="497">
                  <c:v>-3.9673760602057144E-3</c:v>
                </c:pt>
                <c:pt idx="498">
                  <c:v>0</c:v>
                </c:pt>
                <c:pt idx="499">
                  <c:v>3.2480769142502006E-3</c:v>
                </c:pt>
                <c:pt idx="500">
                  <c:v>-6.7095502256300631E-3</c:v>
                </c:pt>
                <c:pt idx="501">
                  <c:v>-6.7808039778200803E-3</c:v>
                </c:pt>
                <c:pt idx="502">
                  <c:v>-2.1370847773340501E-2</c:v>
                </c:pt>
                <c:pt idx="503">
                  <c:v>7.7617322229943048E-3</c:v>
                </c:pt>
                <c:pt idx="504">
                  <c:v>-1.8140628400287816E-2</c:v>
                </c:pt>
                <c:pt idx="505">
                  <c:v>-6.4215430573739485E-3</c:v>
                </c:pt>
                <c:pt idx="506">
                  <c:v>1.423405675496796E-2</c:v>
                </c:pt>
                <c:pt idx="507">
                  <c:v>-2.9818858297175985E-2</c:v>
                </c:pt>
                <c:pt idx="508">
                  <c:v>2.2601761911034614E-2</c:v>
                </c:pt>
                <c:pt idx="509">
                  <c:v>2.7064965768991454E-2</c:v>
                </c:pt>
                <c:pt idx="510">
                  <c:v>3.5543752290894581E-3</c:v>
                </c:pt>
                <c:pt idx="511">
                  <c:v>-1.3909093222657992E-2</c:v>
                </c:pt>
                <c:pt idx="512">
                  <c:v>-5.8643456574290704E-3</c:v>
                </c:pt>
                <c:pt idx="513">
                  <c:v>-6.6778876345114655E-3</c:v>
                </c:pt>
                <c:pt idx="514">
                  <c:v>3.6398670001957069E-3</c:v>
                </c:pt>
                <c:pt idx="515">
                  <c:v>2.0587392908144951E-2</c:v>
                </c:pt>
                <c:pt idx="516">
                  <c:v>-2.1407284111033223E-2</c:v>
                </c:pt>
                <c:pt idx="517">
                  <c:v>6.6657425695314382E-3</c:v>
                </c:pt>
                <c:pt idx="518">
                  <c:v>1.0634331549144362E-2</c:v>
                </c:pt>
                <c:pt idx="519">
                  <c:v>5.5071631228174166E-3</c:v>
                </c:pt>
                <c:pt idx="520">
                  <c:v>2.6220728228365062E-2</c:v>
                </c:pt>
                <c:pt idx="521">
                  <c:v>-3.6609381193092982E-2</c:v>
                </c:pt>
                <c:pt idx="522">
                  <c:v>-3.5649021757789404E-3</c:v>
                </c:pt>
                <c:pt idx="523">
                  <c:v>-1.467194088556305E-2</c:v>
                </c:pt>
                <c:pt idx="524">
                  <c:v>9.9738438118932553E-3</c:v>
                </c:pt>
                <c:pt idx="525">
                  <c:v>1.0402401917533357E-2</c:v>
                </c:pt>
                <c:pt idx="526">
                  <c:v>6.5989830531745014E-3</c:v>
                </c:pt>
                <c:pt idx="527">
                  <c:v>1.001551447182342E-2</c:v>
                </c:pt>
                <c:pt idx="528">
                  <c:v>8.0468237460619655E-3</c:v>
                </c:pt>
                <c:pt idx="529">
                  <c:v>3.6080065403137039E-3</c:v>
                </c:pt>
                <c:pt idx="530">
                  <c:v>2.831171535417024E-4</c:v>
                </c:pt>
                <c:pt idx="531">
                  <c:v>2.258882798109985E-3</c:v>
                </c:pt>
                <c:pt idx="532">
                  <c:v>2.4247584349543693E-3</c:v>
                </c:pt>
                <c:pt idx="533">
                  <c:v>6.3147441347944913E-3</c:v>
                </c:pt>
                <c:pt idx="534">
                  <c:v>6.0937838035140263E-3</c:v>
                </c:pt>
                <c:pt idx="535">
                  <c:v>-7.5986323433871288E-3</c:v>
                </c:pt>
                <c:pt idx="536">
                  <c:v>-4.0725409556580175E-3</c:v>
                </c:pt>
                <c:pt idx="537">
                  <c:v>-1.7635935008841503E-3</c:v>
                </c:pt>
                <c:pt idx="538">
                  <c:v>1.0287446233549586E-2</c:v>
                </c:pt>
                <c:pt idx="539">
                  <c:v>1.1755596834027241E-2</c:v>
                </c:pt>
                <c:pt idx="540">
                  <c:v>-1.3969345267259358E-2</c:v>
                </c:pt>
                <c:pt idx="541">
                  <c:v>1.6637928787525937E-2</c:v>
                </c:pt>
                <c:pt idx="542">
                  <c:v>-7.8277678800224935E-3</c:v>
                </c:pt>
                <c:pt idx="543">
                  <c:v>1.0619828309114156E-3</c:v>
                </c:pt>
                <c:pt idx="544">
                  <c:v>-6.5893877971330951E-3</c:v>
                </c:pt>
                <c:pt idx="545">
                  <c:v>-2.205100224931126E-3</c:v>
                </c:pt>
                <c:pt idx="546">
                  <c:v>5.3209522840452442E-3</c:v>
                </c:pt>
                <c:pt idx="547">
                  <c:v>6.5720584172596786E-3</c:v>
                </c:pt>
                <c:pt idx="548">
                  <c:v>-9.9605398947764569E-3</c:v>
                </c:pt>
                <c:pt idx="549">
                  <c:v>-4.9988243299386526E-3</c:v>
                </c:pt>
                <c:pt idx="550">
                  <c:v>9.1491487547931891E-3</c:v>
                </c:pt>
                <c:pt idx="551">
                  <c:v>3.8659594797163688E-2</c:v>
                </c:pt>
                <c:pt idx="552">
                  <c:v>-7.1510563431925155E-3</c:v>
                </c:pt>
                <c:pt idx="553">
                  <c:v>2.6698887642171352E-2</c:v>
                </c:pt>
                <c:pt idx="554">
                  <c:v>-4.1842299872390772E-3</c:v>
                </c:pt>
                <c:pt idx="555">
                  <c:v>8.3774162631360706E-3</c:v>
                </c:pt>
                <c:pt idx="556">
                  <c:v>-3.9929713386048218E-3</c:v>
                </c:pt>
                <c:pt idx="557">
                  <c:v>-1.3694824225336858E-2</c:v>
                </c:pt>
                <c:pt idx="558">
                  <c:v>-1.0811889356233138E-2</c:v>
                </c:pt>
                <c:pt idx="559">
                  <c:v>2.3620163895132218E-2</c:v>
                </c:pt>
                <c:pt idx="560">
                  <c:v>1.6917218884669256E-2</c:v>
                </c:pt>
                <c:pt idx="561">
                  <c:v>1.0473472782844679E-2</c:v>
                </c:pt>
                <c:pt idx="562">
                  <c:v>-1.7877619147426192E-3</c:v>
                </c:pt>
                <c:pt idx="563">
                  <c:v>-8.2309501382667877E-3</c:v>
                </c:pt>
                <c:pt idx="564">
                  <c:v>-2.8114036071916104E-2</c:v>
                </c:pt>
                <c:pt idx="565">
                  <c:v>-1.7677988061626691E-3</c:v>
                </c:pt>
                <c:pt idx="566">
                  <c:v>5.1307293025253304E-4</c:v>
                </c:pt>
                <c:pt idx="567">
                  <c:v>1.6245657776400812E-2</c:v>
                </c:pt>
                <c:pt idx="568">
                  <c:v>-2.7869039338211454E-2</c:v>
                </c:pt>
                <c:pt idx="569">
                  <c:v>-3.8663133682307737E-3</c:v>
                </c:pt>
                <c:pt idx="570">
                  <c:v>-6.5442847402724126E-4</c:v>
                </c:pt>
                <c:pt idx="571">
                  <c:v>1.4347215273264177E-2</c:v>
                </c:pt>
                <c:pt idx="572">
                  <c:v>1.6177636167922008E-2</c:v>
                </c:pt>
                <c:pt idx="573">
                  <c:v>-9.5819445535013752E-3</c:v>
                </c:pt>
                <c:pt idx="574">
                  <c:v>-1.7942446411474162E-3</c:v>
                </c:pt>
                <c:pt idx="575">
                  <c:v>1.3014451441608606E-3</c:v>
                </c:pt>
                <c:pt idx="576">
                  <c:v>-7.5948072025363482E-3</c:v>
                </c:pt>
                <c:pt idx="577">
                  <c:v>4.260553687858987E-3</c:v>
                </c:pt>
                <c:pt idx="578">
                  <c:v>1.1910186700615389E-3</c:v>
                </c:pt>
                <c:pt idx="579">
                  <c:v>2.3800425981786184E-2</c:v>
                </c:pt>
                <c:pt idx="580">
                  <c:v>-8.831793283440921E-3</c:v>
                </c:pt>
                <c:pt idx="581">
                  <c:v>-2.7506538032415566E-3</c:v>
                </c:pt>
                <c:pt idx="582">
                  <c:v>-9.8372200000610959E-3</c:v>
                </c:pt>
                <c:pt idx="583">
                  <c:v>-7.8323312529631883E-3</c:v>
                </c:pt>
                <c:pt idx="584">
                  <c:v>-6.5982269939391849E-3</c:v>
                </c:pt>
                <c:pt idx="585">
                  <c:v>-9.4565999413546847E-3</c:v>
                </c:pt>
                <c:pt idx="586">
                  <c:v>9.2246607023708967E-3</c:v>
                </c:pt>
                <c:pt idx="587">
                  <c:v>5.5128007729432727E-3</c:v>
                </c:pt>
                <c:pt idx="588">
                  <c:v>-2.4026683864347195E-3</c:v>
                </c:pt>
                <c:pt idx="589">
                  <c:v>1.0827740298570155E-2</c:v>
                </c:pt>
                <c:pt idx="590">
                  <c:v>1.8082482833293161E-2</c:v>
                </c:pt>
                <c:pt idx="591">
                  <c:v>-4.3684407728296123E-3</c:v>
                </c:pt>
                <c:pt idx="592">
                  <c:v>-1.6102484685776172E-2</c:v>
                </c:pt>
                <c:pt idx="593">
                  <c:v>5.8553496250884672E-3</c:v>
                </c:pt>
                <c:pt idx="594">
                  <c:v>-2.0181820990747361E-3</c:v>
                </c:pt>
                <c:pt idx="595">
                  <c:v>-1.7161371539355262E-3</c:v>
                </c:pt>
                <c:pt idx="596">
                  <c:v>1.6667936610477253E-2</c:v>
                </c:pt>
                <c:pt idx="597">
                  <c:v>-6.2150239629873288E-3</c:v>
                </c:pt>
                <c:pt idx="598">
                  <c:v>4.3513542806494109E-4</c:v>
                </c:pt>
                <c:pt idx="599">
                  <c:v>1.8912257487122242E-3</c:v>
                </c:pt>
                <c:pt idx="600">
                  <c:v>-4.5667752213620341E-3</c:v>
                </c:pt>
                <c:pt idx="601">
                  <c:v>8.3122240822575896E-3</c:v>
                </c:pt>
                <c:pt idx="602">
                  <c:v>1.4678901781082823E-2</c:v>
                </c:pt>
                <c:pt idx="603">
                  <c:v>-3.6849885080042374E-3</c:v>
                </c:pt>
                <c:pt idx="604">
                  <c:v>-1.2280835688415533E-2</c:v>
                </c:pt>
                <c:pt idx="605">
                  <c:v>7.7820104917873504E-4</c:v>
                </c:pt>
                <c:pt idx="606">
                  <c:v>2.1779135494945877E-2</c:v>
                </c:pt>
                <c:pt idx="607">
                  <c:v>6.5199207630750027E-3</c:v>
                </c:pt>
                <c:pt idx="608">
                  <c:v>-5.0988019005297229E-3</c:v>
                </c:pt>
                <c:pt idx="609">
                  <c:v>-3.8534258962217524E-3</c:v>
                </c:pt>
                <c:pt idx="610">
                  <c:v>-6.1313082026502553E-3</c:v>
                </c:pt>
                <c:pt idx="611">
                  <c:v>-6.9273372881572485E-3</c:v>
                </c:pt>
                <c:pt idx="612">
                  <c:v>1.5940095655638732E-2</c:v>
                </c:pt>
                <c:pt idx="613">
                  <c:v>6.545417788282026E-3</c:v>
                </c:pt>
                <c:pt idx="614">
                  <c:v>4.2899476173328911E-3</c:v>
                </c:pt>
                <c:pt idx="615">
                  <c:v>-7.1890525717682979E-4</c:v>
                </c:pt>
                <c:pt idx="616">
                  <c:v>-3.3267047411754546E-3</c:v>
                </c:pt>
                <c:pt idx="617">
                  <c:v>4.0456099983523031E-3</c:v>
                </c:pt>
                <c:pt idx="618">
                  <c:v>7.4079424116455352E-3</c:v>
                </c:pt>
                <c:pt idx="619">
                  <c:v>-5.9462535193511535E-3</c:v>
                </c:pt>
                <c:pt idx="620">
                  <c:v>6.9034721007232855E-3</c:v>
                </c:pt>
                <c:pt idx="621">
                  <c:v>-7.3951753253514796E-3</c:v>
                </c:pt>
                <c:pt idx="622">
                  <c:v>1.2644957215261649E-2</c:v>
                </c:pt>
                <c:pt idx="623">
                  <c:v>-1.3148214260172472E-2</c:v>
                </c:pt>
                <c:pt idx="624">
                  <c:v>4.1372751908672128E-3</c:v>
                </c:pt>
                <c:pt idx="625">
                  <c:v>7.6856056338035935E-4</c:v>
                </c:pt>
                <c:pt idx="626">
                  <c:v>-2.4484989473390981E-3</c:v>
                </c:pt>
                <c:pt idx="627">
                  <c:v>4.4838769819820013E-3</c:v>
                </c:pt>
                <c:pt idx="628">
                  <c:v>-4.980506402244303E-3</c:v>
                </c:pt>
                <c:pt idx="629">
                  <c:v>-2.7019175734624167E-3</c:v>
                </c:pt>
                <c:pt idx="630">
                  <c:v>4.9231536339217877E-4</c:v>
                </c:pt>
                <c:pt idx="631">
                  <c:v>9.6584838242604384E-3</c:v>
                </c:pt>
                <c:pt idx="632">
                  <c:v>1.1171793366615901E-3</c:v>
                </c:pt>
                <c:pt idx="633">
                  <c:v>7.3550244018916701E-3</c:v>
                </c:pt>
                <c:pt idx="634">
                  <c:v>3.7591443211307841E-2</c:v>
                </c:pt>
                <c:pt idx="635">
                  <c:v>1.0271405811593755E-2</c:v>
                </c:pt>
                <c:pt idx="636">
                  <c:v>3.5605804852252539E-3</c:v>
                </c:pt>
                <c:pt idx="637">
                  <c:v>3.1666271613764148E-3</c:v>
                </c:pt>
                <c:pt idx="638">
                  <c:v>0</c:v>
                </c:pt>
                <c:pt idx="639">
                  <c:v>9.2543669072802498E-4</c:v>
                </c:pt>
                <c:pt idx="640">
                  <c:v>-1.0689270475490143E-2</c:v>
                </c:pt>
                <c:pt idx="641">
                  <c:v>2.3346458627932247E-3</c:v>
                </c:pt>
                <c:pt idx="642">
                  <c:v>-1.1972136370071596E-2</c:v>
                </c:pt>
                <c:pt idx="643">
                  <c:v>-2.075204741582523E-3</c:v>
                </c:pt>
                <c:pt idx="644">
                  <c:v>-6.8223389289348802E-3</c:v>
                </c:pt>
                <c:pt idx="645">
                  <c:v>-9.7175783048833037E-3</c:v>
                </c:pt>
                <c:pt idx="646">
                  <c:v>-6.9915399622132134E-3</c:v>
                </c:pt>
                <c:pt idx="647">
                  <c:v>1.1810471735180388E-2</c:v>
                </c:pt>
                <c:pt idx="648">
                  <c:v>-6.6594071514165876E-3</c:v>
                </c:pt>
                <c:pt idx="649">
                  <c:v>-7.920038981455841E-3</c:v>
                </c:pt>
                <c:pt idx="650">
                  <c:v>1.1409413874926439E-2</c:v>
                </c:pt>
                <c:pt idx="651">
                  <c:v>-7.422142884066184E-4</c:v>
                </c:pt>
                <c:pt idx="652">
                  <c:v>0</c:v>
                </c:pt>
                <c:pt idx="653">
                  <c:v>7.359533663556914E-3</c:v>
                </c:pt>
                <c:pt idx="654">
                  <c:v>1.2751613919074471E-2</c:v>
                </c:pt>
                <c:pt idx="655">
                  <c:v>4.3860363399966474E-3</c:v>
                </c:pt>
                <c:pt idx="656">
                  <c:v>1.1657322686059303E-2</c:v>
                </c:pt>
                <c:pt idx="657">
                  <c:v>7.1252728129054931E-3</c:v>
                </c:pt>
                <c:pt idx="658">
                  <c:v>1.1048744575697957E-2</c:v>
                </c:pt>
                <c:pt idx="659">
                  <c:v>-8.370248465764521E-3</c:v>
                </c:pt>
                <c:pt idx="660">
                  <c:v>5.9396103723231676E-3</c:v>
                </c:pt>
                <c:pt idx="661">
                  <c:v>-1.5666056888802458E-3</c:v>
                </c:pt>
                <c:pt idx="662">
                  <c:v>4.282071809595149E-4</c:v>
                </c:pt>
                <c:pt idx="663">
                  <c:v>-3.39695692424585E-3</c:v>
                </c:pt>
                <c:pt idx="664">
                  <c:v>-3.1603924119248936E-3</c:v>
                </c:pt>
                <c:pt idx="665">
                  <c:v>1.9847021314519294E-4</c:v>
                </c:pt>
                <c:pt idx="666">
                  <c:v>1.2223695108772335E-2</c:v>
                </c:pt>
                <c:pt idx="667">
                  <c:v>-7.5111719132864739E-3</c:v>
                </c:pt>
                <c:pt idx="668">
                  <c:v>-2.8993901405186227E-3</c:v>
                </c:pt>
                <c:pt idx="669">
                  <c:v>6.6477878435244418E-3</c:v>
                </c:pt>
                <c:pt idx="670">
                  <c:v>1.4211584097405493E-2</c:v>
                </c:pt>
                <c:pt idx="671">
                  <c:v>1.2168199114865282E-2</c:v>
                </c:pt>
                <c:pt idx="672">
                  <c:v>6.2395560739758223E-3</c:v>
                </c:pt>
                <c:pt idx="673">
                  <c:v>1.6351431638723843E-3</c:v>
                </c:pt>
                <c:pt idx="674">
                  <c:v>3.4168939539229413E-3</c:v>
                </c:pt>
                <c:pt idx="675">
                  <c:v>-6.5743956374980659E-3</c:v>
                </c:pt>
                <c:pt idx="676">
                  <c:v>-9.7583157567933919E-3</c:v>
                </c:pt>
                <c:pt idx="677">
                  <c:v>1.1280674276496309E-2</c:v>
                </c:pt>
                <c:pt idx="678">
                  <c:v>-5.2061596367057794E-3</c:v>
                </c:pt>
                <c:pt idx="679">
                  <c:v>3.4377992732587256E-3</c:v>
                </c:pt>
                <c:pt idx="680">
                  <c:v>1.7837955078056914E-2</c:v>
                </c:pt>
                <c:pt idx="681">
                  <c:v>-9.6769712758434084E-3</c:v>
                </c:pt>
                <c:pt idx="682">
                  <c:v>-1.0712425619002958E-2</c:v>
                </c:pt>
                <c:pt idx="683">
                  <c:v>1.1100809945108701E-2</c:v>
                </c:pt>
                <c:pt idx="684">
                  <c:v>-2.2326232466180464E-2</c:v>
                </c:pt>
                <c:pt idx="685">
                  <c:v>7.9505539985921594E-3</c:v>
                </c:pt>
                <c:pt idx="686">
                  <c:v>7.4213379483722226E-4</c:v>
                </c:pt>
                <c:pt idx="687">
                  <c:v>-1.7805305632523508E-3</c:v>
                </c:pt>
                <c:pt idx="688">
                  <c:v>-9.9967933566595009E-3</c:v>
                </c:pt>
                <c:pt idx="689">
                  <c:v>-3.0506422203261394E-3</c:v>
                </c:pt>
                <c:pt idx="690">
                  <c:v>7.2291838763206108E-3</c:v>
                </c:pt>
                <c:pt idx="691">
                  <c:v>0</c:v>
                </c:pt>
                <c:pt idx="692">
                  <c:v>-1.2217672966233425E-2</c:v>
                </c:pt>
                <c:pt idx="693">
                  <c:v>2.7032310061492589E-2</c:v>
                </c:pt>
                <c:pt idx="694">
                  <c:v>-1.9994542938068887E-2</c:v>
                </c:pt>
                <c:pt idx="695">
                  <c:v>-4.0630861749214521E-2</c:v>
                </c:pt>
                <c:pt idx="696">
                  <c:v>-8.6964159960913699E-3</c:v>
                </c:pt>
                <c:pt idx="697">
                  <c:v>1.9393808913696984E-3</c:v>
                </c:pt>
                <c:pt idx="698">
                  <c:v>-1.1739201374220682E-2</c:v>
                </c:pt>
                <c:pt idx="699">
                  <c:v>-1.1214856758113026E-2</c:v>
                </c:pt>
                <c:pt idx="700">
                  <c:v>2.0576924703804296E-2</c:v>
                </c:pt>
                <c:pt idx="701">
                  <c:v>1.0384414755172653E-2</c:v>
                </c:pt>
                <c:pt idx="702">
                  <c:v>1.7931580357160967E-2</c:v>
                </c:pt>
                <c:pt idx="703">
                  <c:v>-1.1254661579312637E-2</c:v>
                </c:pt>
                <c:pt idx="704">
                  <c:v>1.4440456993898784E-2</c:v>
                </c:pt>
                <c:pt idx="705">
                  <c:v>2.4284384123825383E-2</c:v>
                </c:pt>
                <c:pt idx="706">
                  <c:v>-4.7976745425144796E-3</c:v>
                </c:pt>
                <c:pt idx="707">
                  <c:v>1.2591768754280834E-2</c:v>
                </c:pt>
                <c:pt idx="708">
                  <c:v>2.7538657085725061E-3</c:v>
                </c:pt>
                <c:pt idx="709">
                  <c:v>-1.2238779429668655E-2</c:v>
                </c:pt>
                <c:pt idx="710">
                  <c:v>1.9305132328745086E-2</c:v>
                </c:pt>
                <c:pt idx="711">
                  <c:v>1.0404267441387177E-2</c:v>
                </c:pt>
                <c:pt idx="712">
                  <c:v>2.6963403608322761E-3</c:v>
                </c:pt>
                <c:pt idx="713">
                  <c:v>6.1890656356836521E-3</c:v>
                </c:pt>
                <c:pt idx="714">
                  <c:v>1.7308831589167961E-2</c:v>
                </c:pt>
                <c:pt idx="715">
                  <c:v>-4.4527938406235552E-4</c:v>
                </c:pt>
                <c:pt idx="716">
                  <c:v>4.3863723071071595E-3</c:v>
                </c:pt>
                <c:pt idx="717">
                  <c:v>-4.21945992379215E-4</c:v>
                </c:pt>
                <c:pt idx="718">
                  <c:v>-1.9009632948619338E-3</c:v>
                </c:pt>
                <c:pt idx="719">
                  <c:v>1.6826418124933417E-2</c:v>
                </c:pt>
                <c:pt idx="720">
                  <c:v>-5.5295489627921635E-4</c:v>
                </c:pt>
                <c:pt idx="721">
                  <c:v>-2.3570293424309344E-3</c:v>
                </c:pt>
                <c:pt idx="722">
                  <c:v>-8.4202558652387207E-3</c:v>
                </c:pt>
                <c:pt idx="723">
                  <c:v>-1.0742537122734749E-2</c:v>
                </c:pt>
                <c:pt idx="724">
                  <c:v>9.9059250181191463E-3</c:v>
                </c:pt>
                <c:pt idx="725">
                  <c:v>-1.4891075556861061E-2</c:v>
                </c:pt>
                <c:pt idx="726">
                  <c:v>-8.0958289023750213E-3</c:v>
                </c:pt>
                <c:pt idx="727">
                  <c:v>-2.5848449459167206E-3</c:v>
                </c:pt>
                <c:pt idx="728">
                  <c:v>5.8827512013568195E-3</c:v>
                </c:pt>
                <c:pt idx="729">
                  <c:v>1.2357431080966602E-3</c:v>
                </c:pt>
                <c:pt idx="730">
                  <c:v>1.6844995187446865E-2</c:v>
                </c:pt>
                <c:pt idx="731">
                  <c:v>-3.306002272186023E-3</c:v>
                </c:pt>
                <c:pt idx="732">
                  <c:v>-7.9158218680011293E-3</c:v>
                </c:pt>
                <c:pt idx="733">
                  <c:v>1.570509707272932E-2</c:v>
                </c:pt>
                <c:pt idx="734">
                  <c:v>-8.6138787265685485E-3</c:v>
                </c:pt>
                <c:pt idx="735">
                  <c:v>-1.5289969163808285E-2</c:v>
                </c:pt>
                <c:pt idx="736">
                  <c:v>-1.9580695931490839E-3</c:v>
                </c:pt>
                <c:pt idx="737">
                  <c:v>-1.4710932501212529E-2</c:v>
                </c:pt>
                <c:pt idx="738">
                  <c:v>5.8037203611028482E-3</c:v>
                </c:pt>
                <c:pt idx="739">
                  <c:v>-4.6893896817421631E-3</c:v>
                </c:pt>
                <c:pt idx="740">
                  <c:v>-5.975796226391869E-3</c:v>
                </c:pt>
                <c:pt idx="741">
                  <c:v>-3.2827003337261483E-2</c:v>
                </c:pt>
                <c:pt idx="742">
                  <c:v>1.2741669616342537E-2</c:v>
                </c:pt>
                <c:pt idx="743">
                  <c:v>3.8127232295038463E-2</c:v>
                </c:pt>
                <c:pt idx="744">
                  <c:v>2.8216426084474058E-3</c:v>
                </c:pt>
                <c:pt idx="745">
                  <c:v>6.8046857680516427E-3</c:v>
                </c:pt>
                <c:pt idx="746">
                  <c:v>9.7629145161205015E-3</c:v>
                </c:pt>
                <c:pt idx="747">
                  <c:v>-6.4504295853522334E-3</c:v>
                </c:pt>
                <c:pt idx="748">
                  <c:v>-5.358275375000097E-3</c:v>
                </c:pt>
                <c:pt idx="749">
                  <c:v>-9.0446616510601024E-3</c:v>
                </c:pt>
                <c:pt idx="750">
                  <c:v>-9.0776806570474766E-3</c:v>
                </c:pt>
                <c:pt idx="751">
                  <c:v>-1.2217320037688537E-2</c:v>
                </c:pt>
                <c:pt idx="752">
                  <c:v>6.664150949374381E-3</c:v>
                </c:pt>
                <c:pt idx="753">
                  <c:v>-9.2824693669997255E-3</c:v>
                </c:pt>
                <c:pt idx="754">
                  <c:v>-1.482431509326642E-2</c:v>
                </c:pt>
                <c:pt idx="755">
                  <c:v>1.2682897744268812E-2</c:v>
                </c:pt>
                <c:pt idx="756">
                  <c:v>2.9049359654276071E-2</c:v>
                </c:pt>
                <c:pt idx="757">
                  <c:v>-8.4999399816519869E-3</c:v>
                </c:pt>
                <c:pt idx="758">
                  <c:v>-1.2560757958998315E-2</c:v>
                </c:pt>
                <c:pt idx="759">
                  <c:v>-5.4878553221256029E-3</c:v>
                </c:pt>
                <c:pt idx="760">
                  <c:v>-8.400155878178231E-3</c:v>
                </c:pt>
                <c:pt idx="761">
                  <c:v>-1.0451241814167804E-2</c:v>
                </c:pt>
                <c:pt idx="762">
                  <c:v>1.6597427765386075E-2</c:v>
                </c:pt>
                <c:pt idx="763">
                  <c:v>3.2158936475009479E-3</c:v>
                </c:pt>
                <c:pt idx="764">
                  <c:v>-1.0198634562266058E-2</c:v>
                </c:pt>
                <c:pt idx="765">
                  <c:v>2.6030888367937804E-2</c:v>
                </c:pt>
                <c:pt idx="766">
                  <c:v>1.0397129254707262E-3</c:v>
                </c:pt>
                <c:pt idx="767">
                  <c:v>-3.5706552150277836E-3</c:v>
                </c:pt>
                <c:pt idx="768">
                  <c:v>-9.7168298373318931E-2</c:v>
                </c:pt>
                <c:pt idx="769">
                  <c:v>-3.5056708442582664E-2</c:v>
                </c:pt>
                <c:pt idx="770">
                  <c:v>1.9714642676965429E-2</c:v>
                </c:pt>
                <c:pt idx="771">
                  <c:v>-3.895495337228113E-2</c:v>
                </c:pt>
                <c:pt idx="772">
                  <c:v>2.1443222252500387E-2</c:v>
                </c:pt>
                <c:pt idx="773">
                  <c:v>7.716989735423967E-3</c:v>
                </c:pt>
                <c:pt idx="774">
                  <c:v>5.7503026613879779E-3</c:v>
                </c:pt>
                <c:pt idx="775">
                  <c:v>1.4465953903249961E-2</c:v>
                </c:pt>
                <c:pt idx="776">
                  <c:v>-9.0848589655552752E-4</c:v>
                </c:pt>
                <c:pt idx="777">
                  <c:v>-1.1814421560943751E-3</c:v>
                </c:pt>
                <c:pt idx="778">
                  <c:v>5.5953595782919233E-3</c:v>
                </c:pt>
                <c:pt idx="779">
                  <c:v>-5.1391025272521876E-3</c:v>
                </c:pt>
                <c:pt idx="780">
                  <c:v>1.6631419866500206E-2</c:v>
                </c:pt>
                <c:pt idx="781">
                  <c:v>1.7897557472683043E-2</c:v>
                </c:pt>
                <c:pt idx="782">
                  <c:v>4.1669266069307368E-4</c:v>
                </c:pt>
                <c:pt idx="783">
                  <c:v>-1.1204215230992997E-3</c:v>
                </c:pt>
                <c:pt idx="784">
                  <c:v>-5.9257843765383349E-4</c:v>
                </c:pt>
                <c:pt idx="785">
                  <c:v>7.9901091981258426E-3</c:v>
                </c:pt>
                <c:pt idx="786">
                  <c:v>6.7016805226336766E-3</c:v>
                </c:pt>
                <c:pt idx="787">
                  <c:v>-1.3078972373814029E-3</c:v>
                </c:pt>
                <c:pt idx="788">
                  <c:v>-2.1556004707812756E-3</c:v>
                </c:pt>
                <c:pt idx="789">
                  <c:v>1.4629542986883879E-3</c:v>
                </c:pt>
                <c:pt idx="790">
                  <c:v>-4.701137113159528E-3</c:v>
                </c:pt>
                <c:pt idx="791">
                  <c:v>6.4057026122125386E-4</c:v>
                </c:pt>
                <c:pt idx="792">
                  <c:v>-1.3757966520205098E-2</c:v>
                </c:pt>
                <c:pt idx="793">
                  <c:v>-5.1537116782495243E-3</c:v>
                </c:pt>
                <c:pt idx="794">
                  <c:v>1.2560522966674026E-3</c:v>
                </c:pt>
                <c:pt idx="795">
                  <c:v>-1.7626202802231122E-2</c:v>
                </c:pt>
                <c:pt idx="796">
                  <c:v>1.1554107492708529E-2</c:v>
                </c:pt>
                <c:pt idx="797">
                  <c:v>-1.9345440006569709E-2</c:v>
                </c:pt>
                <c:pt idx="798">
                  <c:v>-1.0763122894923947E-3</c:v>
                </c:pt>
                <c:pt idx="799">
                  <c:v>-1.8878084700485836E-2</c:v>
                </c:pt>
                <c:pt idx="800">
                  <c:v>4.3576958644134713E-3</c:v>
                </c:pt>
                <c:pt idx="801">
                  <c:v>4.3805236046198315E-3</c:v>
                </c:pt>
                <c:pt idx="802">
                  <c:v>3.1196159535120528E-3</c:v>
                </c:pt>
                <c:pt idx="803">
                  <c:v>1.9316204133586451E-2</c:v>
                </c:pt>
                <c:pt idx="804">
                  <c:v>-5.3246461025421221E-3</c:v>
                </c:pt>
                <c:pt idx="805">
                  <c:v>1.4138330422137853E-2</c:v>
                </c:pt>
                <c:pt idx="806">
                  <c:v>-6.8788687917948851E-4</c:v>
                </c:pt>
                <c:pt idx="807">
                  <c:v>1.1300426654129408E-3</c:v>
                </c:pt>
                <c:pt idx="808">
                  <c:v>-3.4087277917409085E-2</c:v>
                </c:pt>
                <c:pt idx="809">
                  <c:v>-6.0647783626645744E-3</c:v>
                </c:pt>
                <c:pt idx="810">
                  <c:v>-5.8816084182720402E-3</c:v>
                </c:pt>
                <c:pt idx="811">
                  <c:v>-2.2017602880109412E-4</c:v>
                </c:pt>
                <c:pt idx="812">
                  <c:v>-7.5035985491668259E-3</c:v>
                </c:pt>
                <c:pt idx="813">
                  <c:v>1.6653976361636594E-3</c:v>
                </c:pt>
                <c:pt idx="814">
                  <c:v>-1.0676938685274797E-2</c:v>
                </c:pt>
                <c:pt idx="815">
                  <c:v>3.059030465108525E-2</c:v>
                </c:pt>
                <c:pt idx="816">
                  <c:v>-2.1714619870668182E-4</c:v>
                </c:pt>
                <c:pt idx="817">
                  <c:v>-2.6708538906844055E-3</c:v>
                </c:pt>
                <c:pt idx="818">
                  <c:v>1.4980064255817145E-3</c:v>
                </c:pt>
                <c:pt idx="819">
                  <c:v>5.6482092336703534E-3</c:v>
                </c:pt>
                <c:pt idx="820">
                  <c:v>9.7519629396703757E-4</c:v>
                </c:pt>
                <c:pt idx="821">
                  <c:v>-2.6313287303065566E-3</c:v>
                </c:pt>
                <c:pt idx="822">
                  <c:v>1.4593970905872698E-2</c:v>
                </c:pt>
                <c:pt idx="823">
                  <c:v>-2.4052433822512663E-3</c:v>
                </c:pt>
                <c:pt idx="824">
                  <c:v>-1.2888622567939625E-2</c:v>
                </c:pt>
                <c:pt idx="825">
                  <c:v>3.0276487585136368E-2</c:v>
                </c:pt>
                <c:pt idx="826">
                  <c:v>-6.1754961705846132E-3</c:v>
                </c:pt>
                <c:pt idx="827">
                  <c:v>8.3161067790470996E-3</c:v>
                </c:pt>
                <c:pt idx="828">
                  <c:v>8.0767768882380776E-3</c:v>
                </c:pt>
                <c:pt idx="829">
                  <c:v>9.9390789622610373E-2</c:v>
                </c:pt>
                <c:pt idx="830">
                  <c:v>3.3497152474200329E-3</c:v>
                </c:pt>
                <c:pt idx="831">
                  <c:v>2.3148405054277829E-2</c:v>
                </c:pt>
                <c:pt idx="832">
                  <c:v>-1.8790403117549979E-3</c:v>
                </c:pt>
                <c:pt idx="833">
                  <c:v>-8.6517913572533803E-3</c:v>
                </c:pt>
                <c:pt idx="834">
                  <c:v>1.901723680527691E-4</c:v>
                </c:pt>
                <c:pt idx="835">
                  <c:v>-8.3971926903117864E-3</c:v>
                </c:pt>
                <c:pt idx="836">
                  <c:v>-1.3385187757732385E-2</c:v>
                </c:pt>
                <c:pt idx="837">
                  <c:v>-2.8076903269406903E-2</c:v>
                </c:pt>
                <c:pt idx="838">
                  <c:v>9.0086666059173599E-3</c:v>
                </c:pt>
                <c:pt idx="839">
                  <c:v>2.2192253854102065E-2</c:v>
                </c:pt>
                <c:pt idx="840">
                  <c:v>-8.0041663642189138E-3</c:v>
                </c:pt>
                <c:pt idx="841">
                  <c:v>-4.7369642805456181E-4</c:v>
                </c:pt>
                <c:pt idx="842">
                  <c:v>5.8735746742289456E-3</c:v>
                </c:pt>
                <c:pt idx="843">
                  <c:v>2.2740009121937466E-2</c:v>
                </c:pt>
                <c:pt idx="844">
                  <c:v>-8.8491722387555004E-3</c:v>
                </c:pt>
                <c:pt idx="845">
                  <c:v>-5.8091738646225662E-3</c:v>
                </c:pt>
                <c:pt idx="846">
                  <c:v>-2.5465801344819175E-3</c:v>
                </c:pt>
                <c:pt idx="847">
                  <c:v>0</c:v>
                </c:pt>
                <c:pt idx="848">
                  <c:v>-3.3522584137658982E-3</c:v>
                </c:pt>
                <c:pt idx="849">
                  <c:v>-1.0969432187537102E-2</c:v>
                </c:pt>
                <c:pt idx="850">
                  <c:v>-6.674899874693923E-3</c:v>
                </c:pt>
                <c:pt idx="851">
                  <c:v>2.1587994377430166E-2</c:v>
                </c:pt>
                <c:pt idx="852">
                  <c:v>-3.3357455738024372E-3</c:v>
                </c:pt>
                <c:pt idx="853">
                  <c:v>-1.2466890261202707E-2</c:v>
                </c:pt>
                <c:pt idx="854">
                  <c:v>7.8729411847526902E-3</c:v>
                </c:pt>
                <c:pt idx="855">
                  <c:v>-6.5352532251231141E-3</c:v>
                </c:pt>
                <c:pt idx="856">
                  <c:v>-1.5730709238936345E-3</c:v>
                </c:pt>
                <c:pt idx="857">
                  <c:v>-1.0476514020707168E-2</c:v>
                </c:pt>
                <c:pt idx="858">
                  <c:v>-4.7741324249709893E-3</c:v>
                </c:pt>
                <c:pt idx="859">
                  <c:v>-9.0215644793155674E-3</c:v>
                </c:pt>
                <c:pt idx="860">
                  <c:v>-1.6671385285159897E-3</c:v>
                </c:pt>
                <c:pt idx="861">
                  <c:v>2.0823267908470545E-2</c:v>
                </c:pt>
                <c:pt idx="862">
                  <c:v>-3.671849320272228E-3</c:v>
                </c:pt>
                <c:pt idx="863">
                  <c:v>-1.0169537025862435E-2</c:v>
                </c:pt>
                <c:pt idx="864">
                  <c:v>-1.0923138560046801E-2</c:v>
                </c:pt>
                <c:pt idx="865">
                  <c:v>7.8896021665571629E-3</c:v>
                </c:pt>
                <c:pt idx="866">
                  <c:v>3.0335363934897185E-3</c:v>
                </c:pt>
                <c:pt idx="867">
                  <c:v>1.6175264817868459E-2</c:v>
                </c:pt>
                <c:pt idx="868">
                  <c:v>-1.3375170151048573E-2</c:v>
                </c:pt>
                <c:pt idx="869">
                  <c:v>2.7028052441273507E-3</c:v>
                </c:pt>
                <c:pt idx="870">
                  <c:v>-6.8758617849771827E-3</c:v>
                </c:pt>
                <c:pt idx="871">
                  <c:v>-6.0771233805648637E-3</c:v>
                </c:pt>
                <c:pt idx="872">
                  <c:v>4.6820369225890487E-4</c:v>
                </c:pt>
                <c:pt idx="873">
                  <c:v>-8.6872999035825377E-3</c:v>
                </c:pt>
                <c:pt idx="874">
                  <c:v>-1.9735559919257319E-2</c:v>
                </c:pt>
                <c:pt idx="875">
                  <c:v>-4.9420116209465282E-3</c:v>
                </c:pt>
                <c:pt idx="876">
                  <c:v>6.4348600688069937E-3</c:v>
                </c:pt>
                <c:pt idx="877">
                  <c:v>-8.3541005255683884E-4</c:v>
                </c:pt>
                <c:pt idx="878">
                  <c:v>-2.536061251707457E-4</c:v>
                </c:pt>
                <c:pt idx="879">
                  <c:v>-2.0441348370341711E-3</c:v>
                </c:pt>
                <c:pt idx="880">
                  <c:v>-1.4248140614767067E-3</c:v>
                </c:pt>
                <c:pt idx="881">
                  <c:v>6.3970270533178575E-3</c:v>
                </c:pt>
                <c:pt idx="882">
                  <c:v>2.0932374444239624E-3</c:v>
                </c:pt>
                <c:pt idx="883">
                  <c:v>2.0609091530441079E-2</c:v>
                </c:pt>
                <c:pt idx="884">
                  <c:v>1.7517089938673687E-3</c:v>
                </c:pt>
                <c:pt idx="885">
                  <c:v>3.0198399378008238E-3</c:v>
                </c:pt>
                <c:pt idx="886">
                  <c:v>1.9455310306559042E-2</c:v>
                </c:pt>
                <c:pt idx="887">
                  <c:v>-8.2027285444242245E-4</c:v>
                </c:pt>
                <c:pt idx="888">
                  <c:v>6.4944544166535504E-3</c:v>
                </c:pt>
                <c:pt idx="889">
                  <c:v>7.5101669033579704E-3</c:v>
                </c:pt>
                <c:pt idx="890">
                  <c:v>-3.7411207703796363E-2</c:v>
                </c:pt>
                <c:pt idx="891">
                  <c:v>1.2389880690686968E-2</c:v>
                </c:pt>
                <c:pt idx="892">
                  <c:v>-3.701872759985206E-3</c:v>
                </c:pt>
                <c:pt idx="893">
                  <c:v>-1.2909738130608221E-2</c:v>
                </c:pt>
                <c:pt idx="894">
                  <c:v>-2.4829676150961129E-4</c:v>
                </c:pt>
                <c:pt idx="895">
                  <c:v>2.0746700822265641E-2</c:v>
                </c:pt>
                <c:pt idx="896">
                  <c:v>1.2696015284857956E-2</c:v>
                </c:pt>
                <c:pt idx="897">
                  <c:v>-3.8598046814796354E-3</c:v>
                </c:pt>
                <c:pt idx="898">
                  <c:v>2.346631573458418E-3</c:v>
                </c:pt>
                <c:pt idx="899">
                  <c:v>1.5469598834578314E-2</c:v>
                </c:pt>
                <c:pt idx="900">
                  <c:v>8.454699021159947E-4</c:v>
                </c:pt>
                <c:pt idx="901">
                  <c:v>-2.0367998390595901E-2</c:v>
                </c:pt>
                <c:pt idx="902">
                  <c:v>2.5177988110635769E-3</c:v>
                </c:pt>
                <c:pt idx="903">
                  <c:v>1.2577307348403576E-2</c:v>
                </c:pt>
                <c:pt idx="904">
                  <c:v>-1.9607534086370126E-2</c:v>
                </c:pt>
                <c:pt idx="905">
                  <c:v>7.0302267379664385E-3</c:v>
                </c:pt>
                <c:pt idx="906">
                  <c:v>-1.6470596948884461E-4</c:v>
                </c:pt>
                <c:pt idx="907">
                  <c:v>5.7192952990158018E-3</c:v>
                </c:pt>
                <c:pt idx="908">
                  <c:v>6.8333649987370642E-3</c:v>
                </c:pt>
                <c:pt idx="909">
                  <c:v>5.5105362334198875E-3</c:v>
                </c:pt>
                <c:pt idx="910">
                  <c:v>-1.398794232182504E-2</c:v>
                </c:pt>
                <c:pt idx="911">
                  <c:v>-2.066438146249901E-2</c:v>
                </c:pt>
                <c:pt idx="912">
                  <c:v>-5.8385747424549855E-2</c:v>
                </c:pt>
                <c:pt idx="913">
                  <c:v>-3.2863051410032929E-2</c:v>
                </c:pt>
                <c:pt idx="914">
                  <c:v>-2.9445847843852787E-2</c:v>
                </c:pt>
                <c:pt idx="915">
                  <c:v>5.3886558737078247E-2</c:v>
                </c:pt>
                <c:pt idx="916">
                  <c:v>2.7548179899084653E-2</c:v>
                </c:pt>
                <c:pt idx="917">
                  <c:v>6.3412861421179934E-4</c:v>
                </c:pt>
                <c:pt idx="918">
                  <c:v>-9.4049121778381085E-3</c:v>
                </c:pt>
                <c:pt idx="919">
                  <c:v>-3.9820002576214222E-2</c:v>
                </c:pt>
                <c:pt idx="920">
                  <c:v>3.6199494693489334E-2</c:v>
                </c:pt>
                <c:pt idx="921">
                  <c:v>3.1535736385178499E-3</c:v>
                </c:pt>
                <c:pt idx="922">
                  <c:v>-2.0549703236930422E-2</c:v>
                </c:pt>
                <c:pt idx="923">
                  <c:v>2.9532616813634758E-2</c:v>
                </c:pt>
                <c:pt idx="924">
                  <c:v>-1.8871035151148227E-2</c:v>
                </c:pt>
                <c:pt idx="925">
                  <c:v>5.0353838054438653E-3</c:v>
                </c:pt>
                <c:pt idx="926">
                  <c:v>4.398710632423415E-3</c:v>
                </c:pt>
                <c:pt idx="927">
                  <c:v>-1.0184300912368867E-2</c:v>
                </c:pt>
                <c:pt idx="928">
                  <c:v>2.1572218446991455E-2</c:v>
                </c:pt>
                <c:pt idx="929">
                  <c:v>7.3513676858879126E-3</c:v>
                </c:pt>
                <c:pt idx="930">
                  <c:v>-1.1058426474185102E-3</c:v>
                </c:pt>
                <c:pt idx="931">
                  <c:v>-1.7633442573092142E-2</c:v>
                </c:pt>
                <c:pt idx="932">
                  <c:v>1.4430174570107155E-2</c:v>
                </c:pt>
                <c:pt idx="933">
                  <c:v>-4.7384296256973973E-3</c:v>
                </c:pt>
                <c:pt idx="934">
                  <c:v>-7.0997333430624699E-4</c:v>
                </c:pt>
                <c:pt idx="935">
                  <c:v>9.4132093510675781E-4</c:v>
                </c:pt>
                <c:pt idx="936">
                  <c:v>6.3138450684479576E-4</c:v>
                </c:pt>
                <c:pt idx="937">
                  <c:v>-1.4953187684478449E-2</c:v>
                </c:pt>
                <c:pt idx="938">
                  <c:v>3.5241933010335675E-3</c:v>
                </c:pt>
                <c:pt idx="939">
                  <c:v>1.8734899139897104E-2</c:v>
                </c:pt>
                <c:pt idx="940">
                  <c:v>7.8261749209990756E-3</c:v>
                </c:pt>
                <c:pt idx="941">
                  <c:v>2.1265898773012396E-2</c:v>
                </c:pt>
                <c:pt idx="942">
                  <c:v>2.3091975001689573E-2</c:v>
                </c:pt>
                <c:pt idx="943">
                  <c:v>2.4346970857060083E-3</c:v>
                </c:pt>
                <c:pt idx="944">
                  <c:v>1.0980726270437889E-3</c:v>
                </c:pt>
                <c:pt idx="945">
                  <c:v>1.3815171067396523E-2</c:v>
                </c:pt>
                <c:pt idx="946">
                  <c:v>-7.1647170489440469E-3</c:v>
                </c:pt>
                <c:pt idx="947">
                  <c:v>-2.3527425141457222E-3</c:v>
                </c:pt>
                <c:pt idx="948">
                  <c:v>-2.2974403988567523E-3</c:v>
                </c:pt>
                <c:pt idx="949">
                  <c:v>-4.5594285667353539E-3</c:v>
                </c:pt>
                <c:pt idx="950">
                  <c:v>7.0753977819141053E-3</c:v>
                </c:pt>
                <c:pt idx="951">
                  <c:v>1.0565753271396026E-2</c:v>
                </c:pt>
                <c:pt idx="952">
                  <c:v>2.3419158256289267E-3</c:v>
                </c:pt>
                <c:pt idx="953">
                  <c:v>3.1060830447367199E-3</c:v>
                </c:pt>
                <c:pt idx="954">
                  <c:v>-1.2020666882375526E-2</c:v>
                </c:pt>
                <c:pt idx="955">
                  <c:v>1.7427263980232376E-2</c:v>
                </c:pt>
                <c:pt idx="956">
                  <c:v>9.6064288240768958E-2</c:v>
                </c:pt>
                <c:pt idx="957">
                  <c:v>2.5745196683383518E-2</c:v>
                </c:pt>
                <c:pt idx="958">
                  <c:v>-1.0392131794154508E-2</c:v>
                </c:pt>
                <c:pt idx="959">
                  <c:v>5.4485071928553289E-3</c:v>
                </c:pt>
                <c:pt idx="960">
                  <c:v>-1.1568320735923144E-2</c:v>
                </c:pt>
                <c:pt idx="961">
                  <c:v>-1.3674948221391755E-2</c:v>
                </c:pt>
                <c:pt idx="962">
                  <c:v>1.1349425537000961E-2</c:v>
                </c:pt>
                <c:pt idx="963">
                  <c:v>1.7007548867598594E-2</c:v>
                </c:pt>
                <c:pt idx="964">
                  <c:v>4.6010544974620727E-3</c:v>
                </c:pt>
                <c:pt idx="965">
                  <c:v>-3.5253088157884279E-4</c:v>
                </c:pt>
                <c:pt idx="966">
                  <c:v>9.878222064873066E-3</c:v>
                </c:pt>
                <c:pt idx="967">
                  <c:v>-1.3981324702575496E-2</c:v>
                </c:pt>
                <c:pt idx="968">
                  <c:v>-1.207636090517107E-2</c:v>
                </c:pt>
                <c:pt idx="969">
                  <c:v>2.6435571537711984E-3</c:v>
                </c:pt>
                <c:pt idx="970">
                  <c:v>-6.188481895924771E-3</c:v>
                </c:pt>
                <c:pt idx="971">
                  <c:v>-9.0548366961187704E-3</c:v>
                </c:pt>
                <c:pt idx="972">
                  <c:v>1.7275018905402364E-2</c:v>
                </c:pt>
                <c:pt idx="973">
                  <c:v>-8.0767739074094694E-3</c:v>
                </c:pt>
                <c:pt idx="974">
                  <c:v>1.6463653186568842E-2</c:v>
                </c:pt>
                <c:pt idx="975">
                  <c:v>1.7080609041690272E-3</c:v>
                </c:pt>
                <c:pt idx="976">
                  <c:v>4.606868112369991E-3</c:v>
                </c:pt>
                <c:pt idx="977">
                  <c:v>0</c:v>
                </c:pt>
                <c:pt idx="978">
                  <c:v>1.1228097766327629E-3</c:v>
                </c:pt>
                <c:pt idx="979">
                  <c:v>-1.0425437063390566E-2</c:v>
                </c:pt>
                <c:pt idx="980">
                  <c:v>4.5065857774884196E-3</c:v>
                </c:pt>
                <c:pt idx="981">
                  <c:v>7.7310851925313983E-3</c:v>
                </c:pt>
                <c:pt idx="982">
                  <c:v>1.5866335786450345E-2</c:v>
                </c:pt>
                <c:pt idx="983">
                  <c:v>-1.827427223690551E-4</c:v>
                </c:pt>
                <c:pt idx="984">
                  <c:v>-1.841363512543915E-2</c:v>
                </c:pt>
                <c:pt idx="985">
                  <c:v>3.1034410047852724E-2</c:v>
                </c:pt>
                <c:pt idx="986">
                  <c:v>-1.7819275099165194E-3</c:v>
                </c:pt>
                <c:pt idx="987">
                  <c:v>-3.6164381729264652E-4</c:v>
                </c:pt>
                <c:pt idx="988">
                  <c:v>-1.4617357212693595E-2</c:v>
                </c:pt>
                <c:pt idx="989">
                  <c:v>5.2668773005001227E-3</c:v>
                </c:pt>
                <c:pt idx="990">
                  <c:v>-2.2181399920422885E-2</c:v>
                </c:pt>
                <c:pt idx="991">
                  <c:v>1.9793046060531935E-2</c:v>
                </c:pt>
                <c:pt idx="992">
                  <c:v>1.0644769861590726E-3</c:v>
                </c:pt>
                <c:pt idx="993">
                  <c:v>1.6774289904445582E-2</c:v>
                </c:pt>
                <c:pt idx="994">
                  <c:v>-7.7085970645843476E-3</c:v>
                </c:pt>
                <c:pt idx="995">
                  <c:v>-2.8611248292163292E-2</c:v>
                </c:pt>
                <c:pt idx="996">
                  <c:v>1.2864603597609228E-2</c:v>
                </c:pt>
                <c:pt idx="997">
                  <c:v>9.4437103386543781E-3</c:v>
                </c:pt>
                <c:pt idx="998">
                  <c:v>8.4722935787782672E-3</c:v>
                </c:pt>
                <c:pt idx="999">
                  <c:v>-2.7638568797028196E-3</c:v>
                </c:pt>
                <c:pt idx="1000">
                  <c:v>5.0582105531269579E-3</c:v>
                </c:pt>
                <c:pt idx="1001">
                  <c:v>1.0670003398640691E-2</c:v>
                </c:pt>
                <c:pt idx="1002">
                  <c:v>-4.2591812436443225E-3</c:v>
                </c:pt>
                <c:pt idx="1003">
                  <c:v>-1.4879965268967956E-2</c:v>
                </c:pt>
                <c:pt idx="1004">
                  <c:v>-1.2289291721925281E-2</c:v>
                </c:pt>
                <c:pt idx="1005">
                  <c:v>4.5162831940424187E-3</c:v>
                </c:pt>
                <c:pt idx="1006">
                  <c:v>-1.8308369804024515E-2</c:v>
                </c:pt>
                <c:pt idx="1007">
                  <c:v>-3.5389360945999648E-2</c:v>
                </c:pt>
                <c:pt idx="1008">
                  <c:v>3.0095179390807417E-3</c:v>
                </c:pt>
                <c:pt idx="1009">
                  <c:v>-5.6345965711081735E-4</c:v>
                </c:pt>
                <c:pt idx="1010">
                  <c:v>9.1385926954300877E-3</c:v>
                </c:pt>
                <c:pt idx="1011">
                  <c:v>-2.1782547121961687E-2</c:v>
                </c:pt>
                <c:pt idx="1012">
                  <c:v>2.8080070881504139E-2</c:v>
                </c:pt>
                <c:pt idx="1013">
                  <c:v>-4.0716961980748811E-2</c:v>
                </c:pt>
                <c:pt idx="1014">
                  <c:v>-8.5493220133359849E-3</c:v>
                </c:pt>
                <c:pt idx="1015">
                  <c:v>4.5617383702661364E-3</c:v>
                </c:pt>
                <c:pt idx="1016">
                  <c:v>-6.1191438774560302E-3</c:v>
                </c:pt>
                <c:pt idx="1017">
                  <c:v>3.517077322756483E-2</c:v>
                </c:pt>
                <c:pt idx="1018">
                  <c:v>-9.614484566152999E-3</c:v>
                </c:pt>
                <c:pt idx="1019">
                  <c:v>7.3852261029203597E-3</c:v>
                </c:pt>
                <c:pt idx="1020">
                  <c:v>-1.8353847002291965E-2</c:v>
                </c:pt>
                <c:pt idx="1021">
                  <c:v>1.6215432290113116E-2</c:v>
                </c:pt>
                <c:pt idx="1022">
                  <c:v>5.5673434826232389E-2</c:v>
                </c:pt>
                <c:pt idx="1023">
                  <c:v>-6.067993574233611E-3</c:v>
                </c:pt>
                <c:pt idx="1024">
                  <c:v>-3.1666075817657395E-2</c:v>
                </c:pt>
                <c:pt idx="1025">
                  <c:v>-1.6011760940501611E-2</c:v>
                </c:pt>
                <c:pt idx="1026">
                  <c:v>-3.078104369072748E-3</c:v>
                </c:pt>
                <c:pt idx="1027">
                  <c:v>-3.6017334344129404E-2</c:v>
                </c:pt>
                <c:pt idx="1028">
                  <c:v>-1.5077808156196453E-2</c:v>
                </c:pt>
                <c:pt idx="1029">
                  <c:v>-2.6237869705659838E-3</c:v>
                </c:pt>
                <c:pt idx="1030">
                  <c:v>8.6995511751264687E-3</c:v>
                </c:pt>
                <c:pt idx="1031">
                  <c:v>-3.9918930885244057E-4</c:v>
                </c:pt>
                <c:pt idx="1032">
                  <c:v>1.6156668741516597E-2</c:v>
                </c:pt>
                <c:pt idx="1033">
                  <c:v>1.8809945489827604E-2</c:v>
                </c:pt>
                <c:pt idx="1034">
                  <c:v>2.5664852173017984E-2</c:v>
                </c:pt>
                <c:pt idx="1035">
                  <c:v>-4.3879871172168719E-3</c:v>
                </c:pt>
                <c:pt idx="1036">
                  <c:v>-7.0862722995528081E-3</c:v>
                </c:pt>
                <c:pt idx="1037">
                  <c:v>1.5890110064584684E-2</c:v>
                </c:pt>
                <c:pt idx="1038">
                  <c:v>-2.8275759428645866E-2</c:v>
                </c:pt>
                <c:pt idx="1039">
                  <c:v>3.4357844602108572E-3</c:v>
                </c:pt>
                <c:pt idx="1040">
                  <c:v>1.4283314862483324E-2</c:v>
                </c:pt>
                <c:pt idx="1041">
                  <c:v>-1.5438967326143744E-2</c:v>
                </c:pt>
                <c:pt idx="1042">
                  <c:v>-8.2223028168153921E-3</c:v>
                </c:pt>
                <c:pt idx="1043">
                  <c:v>3.2838063459856563E-2</c:v>
                </c:pt>
                <c:pt idx="1044">
                  <c:v>7.0206865520214207E-3</c:v>
                </c:pt>
                <c:pt idx="1045">
                  <c:v>-1.1421145498414463E-2</c:v>
                </c:pt>
                <c:pt idx="1046">
                  <c:v>-6.1102775806179122E-3</c:v>
                </c:pt>
                <c:pt idx="1047">
                  <c:v>-1.9395942809705788E-2</c:v>
                </c:pt>
                <c:pt idx="1048">
                  <c:v>1.2080672062703343E-2</c:v>
                </c:pt>
                <c:pt idx="1049">
                  <c:v>2.2788902596583741E-2</c:v>
                </c:pt>
                <c:pt idx="1050">
                  <c:v>-1.5114567748456044E-2</c:v>
                </c:pt>
                <c:pt idx="1051">
                  <c:v>1.9433806524301808E-2</c:v>
                </c:pt>
                <c:pt idx="1052">
                  <c:v>1.9028694987169351E-3</c:v>
                </c:pt>
                <c:pt idx="1053">
                  <c:v>7.8674729744519674E-3</c:v>
                </c:pt>
                <c:pt idx="1054">
                  <c:v>1.4018097586904945E-2</c:v>
                </c:pt>
                <c:pt idx="1055">
                  <c:v>5.7083768872044022E-3</c:v>
                </c:pt>
                <c:pt idx="1056">
                  <c:v>-2.1633357383411173E-2</c:v>
                </c:pt>
                <c:pt idx="1057">
                  <c:v>6.9456374248145041E-3</c:v>
                </c:pt>
                <c:pt idx="1058">
                  <c:v>3.8670889251022195E-3</c:v>
                </c:pt>
                <c:pt idx="1059">
                  <c:v>-1.8711886253799709E-3</c:v>
                </c:pt>
                <c:pt idx="1060">
                  <c:v>4.5115612250312253E-3</c:v>
                </c:pt>
                <c:pt idx="1061">
                  <c:v>-1.2489742186991721E-2</c:v>
                </c:pt>
                <c:pt idx="1062">
                  <c:v>2.1614807700391751E-2</c:v>
                </c:pt>
                <c:pt idx="1063">
                  <c:v>6.153322816324718E-3</c:v>
                </c:pt>
                <c:pt idx="1064">
                  <c:v>3.2704318678579872E-3</c:v>
                </c:pt>
                <c:pt idx="1065">
                  <c:v>6.1707331748246863E-3</c:v>
                </c:pt>
                <c:pt idx="1066">
                  <c:v>-2.5006832612269915E-3</c:v>
                </c:pt>
                <c:pt idx="1067">
                  <c:v>-1.5827749534783494E-2</c:v>
                </c:pt>
                <c:pt idx="1068">
                  <c:v>1.0221637992771157E-2</c:v>
                </c:pt>
                <c:pt idx="1069">
                  <c:v>-1.2038784087452846E-2</c:v>
                </c:pt>
                <c:pt idx="1070">
                  <c:v>-7.2571569397311176E-4</c:v>
                </c:pt>
                <c:pt idx="1071">
                  <c:v>-2.1264202690613326E-3</c:v>
                </c:pt>
                <c:pt idx="1072">
                  <c:v>6.295715981384383E-3</c:v>
                </c:pt>
                <c:pt idx="1073">
                  <c:v>1.2754434382948474E-2</c:v>
                </c:pt>
                <c:pt idx="1074">
                  <c:v>1.6064208064010992E-4</c:v>
                </c:pt>
                <c:pt idx="1075">
                  <c:v>5.1694479541764694E-3</c:v>
                </c:pt>
                <c:pt idx="1076">
                  <c:v>1.4514923121143527E-2</c:v>
                </c:pt>
                <c:pt idx="1077">
                  <c:v>-1.2687648203431731E-3</c:v>
                </c:pt>
                <c:pt idx="1078">
                  <c:v>-1.4274267459970584E-2</c:v>
                </c:pt>
                <c:pt idx="1079">
                  <c:v>3.4182193267700534E-3</c:v>
                </c:pt>
                <c:pt idx="1080">
                  <c:v>-7.4407297122267235E-2</c:v>
                </c:pt>
                <c:pt idx="1081">
                  <c:v>6.3254113890131953E-3</c:v>
                </c:pt>
                <c:pt idx="1082">
                  <c:v>-1.2951462087842786E-2</c:v>
                </c:pt>
                <c:pt idx="1083">
                  <c:v>-9.7281994392057168E-3</c:v>
                </c:pt>
                <c:pt idx="1084">
                  <c:v>-2.061081675713318E-2</c:v>
                </c:pt>
                <c:pt idx="1085">
                  <c:v>-3.9031346276012594E-4</c:v>
                </c:pt>
                <c:pt idx="1086">
                  <c:v>1.4525702935770692E-2</c:v>
                </c:pt>
                <c:pt idx="1087">
                  <c:v>-1.6558696857075506E-2</c:v>
                </c:pt>
                <c:pt idx="1088">
                  <c:v>1.8073097022184906E-3</c:v>
                </c:pt>
                <c:pt idx="1089">
                  <c:v>1.4570226092962258E-3</c:v>
                </c:pt>
                <c:pt idx="1090">
                  <c:v>8.919004422342957E-3</c:v>
                </c:pt>
                <c:pt idx="1091">
                  <c:v>-6.3686917917862374E-3</c:v>
                </c:pt>
                <c:pt idx="1092">
                  <c:v>1.8769480282242717E-2</c:v>
                </c:pt>
                <c:pt idx="1093">
                  <c:v>6.0653984124275418E-4</c:v>
                </c:pt>
                <c:pt idx="1094">
                  <c:v>8.9580783847208641E-3</c:v>
                </c:pt>
                <c:pt idx="1095">
                  <c:v>-8.3607206279234358E-3</c:v>
                </c:pt>
                <c:pt idx="1096">
                  <c:v>1.4619366272970691E-2</c:v>
                </c:pt>
                <c:pt idx="1097">
                  <c:v>-1.8843790041690154E-2</c:v>
                </c:pt>
                <c:pt idx="1098">
                  <c:v>5.9285680690075301E-3</c:v>
                </c:pt>
                <c:pt idx="1099">
                  <c:v>-9.6976646454054356E-3</c:v>
                </c:pt>
                <c:pt idx="1100">
                  <c:v>5.8647687208918066E-3</c:v>
                </c:pt>
                <c:pt idx="1101">
                  <c:v>-1.1672528034507046E-2</c:v>
                </c:pt>
                <c:pt idx="1102">
                  <c:v>3.066143021071922E-2</c:v>
                </c:pt>
                <c:pt idx="1103">
                  <c:v>1.0612671754404078E-2</c:v>
                </c:pt>
                <c:pt idx="1104">
                  <c:v>-4.6975784090464321E-3</c:v>
                </c:pt>
                <c:pt idx="1105">
                  <c:v>8.0236590795571064E-3</c:v>
                </c:pt>
                <c:pt idx="1106">
                  <c:v>1.3101996033349895E-2</c:v>
                </c:pt>
                <c:pt idx="1107">
                  <c:v>-2.6608341148380865E-3</c:v>
                </c:pt>
                <c:pt idx="1108">
                  <c:v>-7.2325984528151385E-3</c:v>
                </c:pt>
                <c:pt idx="1109">
                  <c:v>-1.323528710496529E-2</c:v>
                </c:pt>
                <c:pt idx="1110">
                  <c:v>6.4948075334612049E-3</c:v>
                </c:pt>
                <c:pt idx="1111">
                  <c:v>-5.4910171772792448E-4</c:v>
                </c:pt>
                <c:pt idx="1112">
                  <c:v>-1.1764353651944072E-3</c:v>
                </c:pt>
                <c:pt idx="1113">
                  <c:v>-8.0856143596883031E-3</c:v>
                </c:pt>
                <c:pt idx="1114">
                  <c:v>-2.6692674066704993E-3</c:v>
                </c:pt>
                <c:pt idx="1115">
                  <c:v>-2.6385083180767932E-2</c:v>
                </c:pt>
                <c:pt idx="1116">
                  <c:v>-6.2706365390257663E-3</c:v>
                </c:pt>
                <c:pt idx="1117">
                  <c:v>-2.7451314773160275E-3</c:v>
                </c:pt>
                <c:pt idx="1118">
                  <c:v>1.3990366070274155E-2</c:v>
                </c:pt>
                <c:pt idx="1119">
                  <c:v>-5.1975550442230969E-3</c:v>
                </c:pt>
                <c:pt idx="1120">
                  <c:v>-1.1958975006211799E-3</c:v>
                </c:pt>
                <c:pt idx="1121">
                  <c:v>2.2125172432591073E-2</c:v>
                </c:pt>
                <c:pt idx="1122">
                  <c:v>-3.6927857710301604E-3</c:v>
                </c:pt>
                <c:pt idx="1123">
                  <c:v>1.7732798311147852E-2</c:v>
                </c:pt>
                <c:pt idx="1124">
                  <c:v>-4.1016967020822637E-2</c:v>
                </c:pt>
                <c:pt idx="1125">
                  <c:v>-2.8421714345293735E-2</c:v>
                </c:pt>
                <c:pt idx="1126">
                  <c:v>2.0613634895379089E-2</c:v>
                </c:pt>
                <c:pt idx="1127">
                  <c:v>2.2012525189827985E-2</c:v>
                </c:pt>
                <c:pt idx="1128">
                  <c:v>1.2372823678559474E-2</c:v>
                </c:pt>
                <c:pt idx="1129">
                  <c:v>-1.966250410508745E-4</c:v>
                </c:pt>
                <c:pt idx="1130">
                  <c:v>1.9662504105083542E-4</c:v>
                </c:pt>
                <c:pt idx="1131">
                  <c:v>4.1463261356263232E-3</c:v>
                </c:pt>
                <c:pt idx="1132">
                  <c:v>0</c:v>
                </c:pt>
                <c:pt idx="1133">
                  <c:v>1.7777776426548819E-2</c:v>
                </c:pt>
                <c:pt idx="1134">
                  <c:v>5.4689084919819853E-3</c:v>
                </c:pt>
                <c:pt idx="1135">
                  <c:v>1.1706370530383597E-2</c:v>
                </c:pt>
                <c:pt idx="1136">
                  <c:v>5.6455369644181205E-3</c:v>
                </c:pt>
                <c:pt idx="1137">
                  <c:v>4.2585764693963638E-3</c:v>
                </c:pt>
                <c:pt idx="1138">
                  <c:v>-7.1162680467670074E-4</c:v>
                </c:pt>
                <c:pt idx="1139">
                  <c:v>4.7636442391181966E-3</c:v>
                </c:pt>
                <c:pt idx="1140">
                  <c:v>-1.6214878161280033E-2</c:v>
                </c:pt>
                <c:pt idx="1141">
                  <c:v>5.1776704143875203E-2</c:v>
                </c:pt>
                <c:pt idx="1142">
                  <c:v>-2.0172796389531706E-3</c:v>
                </c:pt>
                <c:pt idx="1143">
                  <c:v>1.3761625749758919E-2</c:v>
                </c:pt>
                <c:pt idx="1144">
                  <c:v>2.8314181818182393E-3</c:v>
                </c:pt>
                <c:pt idx="1145">
                  <c:v>5.0427551845815466E-4</c:v>
                </c:pt>
                <c:pt idx="1146">
                  <c:v>-1.0116240946034402E-2</c:v>
                </c:pt>
                <c:pt idx="1147">
                  <c:v>3.7392844081894519E-4</c:v>
                </c:pt>
                <c:pt idx="1148">
                  <c:v>8.3352216398659262E-3</c:v>
                </c:pt>
                <c:pt idx="1149">
                  <c:v>-1.7507867713453527E-3</c:v>
                </c:pt>
                <c:pt idx="1150">
                  <c:v>0</c:v>
                </c:pt>
                <c:pt idx="1151">
                  <c:v>6.8239491924582509E-3</c:v>
                </c:pt>
                <c:pt idx="1152">
                  <c:v>7.3680315107631927E-3</c:v>
                </c:pt>
                <c:pt idx="1153">
                  <c:v>9.8824283526087915E-3</c:v>
                </c:pt>
                <c:pt idx="1154">
                  <c:v>1.7496063995979837E-3</c:v>
                </c:pt>
                <c:pt idx="1155">
                  <c:v>2.3882376282440471E-3</c:v>
                </c:pt>
                <c:pt idx="1156">
                  <c:v>-3.0622828687173749E-3</c:v>
                </c:pt>
                <c:pt idx="1157">
                  <c:v>4.7663250070559748E-3</c:v>
                </c:pt>
                <c:pt idx="1158">
                  <c:v>-6.1987345238838053E-3</c:v>
                </c:pt>
                <c:pt idx="1159">
                  <c:v>3.0858990154601358E-3</c:v>
                </c:pt>
                <c:pt idx="1160">
                  <c:v>-5.5216526615042578E-3</c:v>
                </c:pt>
                <c:pt idx="1161">
                  <c:v>2.1115863960605003E-3</c:v>
                </c:pt>
                <c:pt idx="1162">
                  <c:v>6.6172976253215364E-4</c:v>
                </c:pt>
                <c:pt idx="1163">
                  <c:v>3.5672794088330002E-4</c:v>
                </c:pt>
                <c:pt idx="1164">
                  <c:v>8.8644800331819985E-4</c:v>
                </c:pt>
                <c:pt idx="1165">
                  <c:v>3.7740138020429942E-3</c:v>
                </c:pt>
                <c:pt idx="1166">
                  <c:v>1.0471988390601437E-3</c:v>
                </c:pt>
                <c:pt idx="1167">
                  <c:v>3.794090713277961E-3</c:v>
                </c:pt>
                <c:pt idx="1168">
                  <c:v>-2.259797235875841E-3</c:v>
                </c:pt>
                <c:pt idx="1169">
                  <c:v>1.0655322403809973E-3</c:v>
                </c:pt>
                <c:pt idx="1170">
                  <c:v>-3.6470245568433978E-3</c:v>
                </c:pt>
                <c:pt idx="1171">
                  <c:v>-7.4540536169782736E-3</c:v>
                </c:pt>
                <c:pt idx="1172">
                  <c:v>2.0800086296138484E-3</c:v>
                </c:pt>
                <c:pt idx="1173">
                  <c:v>1.6000311853211406E-3</c:v>
                </c:pt>
                <c:pt idx="1174">
                  <c:v>-1.054190697987129E-3</c:v>
                </c:pt>
                <c:pt idx="1175">
                  <c:v>8.8659664506455756E-4</c:v>
                </c:pt>
                <c:pt idx="1176">
                  <c:v>-4.0384440104990742E-3</c:v>
                </c:pt>
                <c:pt idx="1177">
                  <c:v>-2.1426186206418299E-2</c:v>
                </c:pt>
                <c:pt idx="1178">
                  <c:v>1.4810232413983849E-2</c:v>
                </c:pt>
                <c:pt idx="1179">
                  <c:v>-9.189881936213248E-3</c:v>
                </c:pt>
                <c:pt idx="1180">
                  <c:v>-4.7926576882376479E-3</c:v>
                </c:pt>
                <c:pt idx="1181">
                  <c:v>1.6415481795091887E-2</c:v>
                </c:pt>
                <c:pt idx="1182">
                  <c:v>1.0425434342360982E-3</c:v>
                </c:pt>
                <c:pt idx="1183">
                  <c:v>-5.5864925668811473E-3</c:v>
                </c:pt>
                <c:pt idx="1184">
                  <c:v>-2.160448244375183E-3</c:v>
                </c:pt>
                <c:pt idx="1185">
                  <c:v>1.6598607620945342E-2</c:v>
                </c:pt>
                <c:pt idx="1186">
                  <c:v>1.051497519560105E-3</c:v>
                </c:pt>
                <c:pt idx="1187">
                  <c:v>-6.7626961416917142E-3</c:v>
                </c:pt>
                <c:pt idx="1188">
                  <c:v>-9.2617545690415384E-3</c:v>
                </c:pt>
                <c:pt idx="1189">
                  <c:v>1.8289005273566316E-2</c:v>
                </c:pt>
                <c:pt idx="1190">
                  <c:v>1.3869043228714887E-3</c:v>
                </c:pt>
                <c:pt idx="1191">
                  <c:v>-1.0961719106556939E-2</c:v>
                </c:pt>
                <c:pt idx="1192">
                  <c:v>3.5104261983806896E-3</c:v>
                </c:pt>
                <c:pt idx="1193">
                  <c:v>-3.1524440143300414E-3</c:v>
                </c:pt>
                <c:pt idx="1194">
                  <c:v>-3.1041904336089228E-3</c:v>
                </c:pt>
                <c:pt idx="1195">
                  <c:v>6.9526179189533304E-3</c:v>
                </c:pt>
                <c:pt idx="1196">
                  <c:v>1.6926293804205295E-3</c:v>
                </c:pt>
                <c:pt idx="1197">
                  <c:v>1.0710952443015187E-3</c:v>
                </c:pt>
                <c:pt idx="1198">
                  <c:v>4.1389739669705841E-3</c:v>
                </c:pt>
                <c:pt idx="1199">
                  <c:v>-1.4744555803720406E-2</c:v>
                </c:pt>
                <c:pt idx="1200">
                  <c:v>-1.3664643069826287E-3</c:v>
                </c:pt>
                <c:pt idx="1201">
                  <c:v>-3.3706802492880429E-3</c:v>
                </c:pt>
                <c:pt idx="1202">
                  <c:v>8.7305742829540869E-3</c:v>
                </c:pt>
                <c:pt idx="1203">
                  <c:v>-3.4399892059550326E-3</c:v>
                </c:pt>
                <c:pt idx="1204">
                  <c:v>7.6680151115639953E-3</c:v>
                </c:pt>
                <c:pt idx="1205">
                  <c:v>-2.2604458766920322E-3</c:v>
                </c:pt>
                <c:pt idx="1206">
                  <c:v>-4.9184663213644253E-3</c:v>
                </c:pt>
                <c:pt idx="1207">
                  <c:v>4.1231492409171372E-2</c:v>
                </c:pt>
                <c:pt idx="1208">
                  <c:v>2.2214951999767155E-2</c:v>
                </c:pt>
                <c:pt idx="1209">
                  <c:v>-1.8030734254881488E-4</c:v>
                </c:pt>
                <c:pt idx="1210">
                  <c:v>-5.8860020646300092E-3</c:v>
                </c:pt>
                <c:pt idx="1211">
                  <c:v>-8.8260819220745065E-3</c:v>
                </c:pt>
                <c:pt idx="1212">
                  <c:v>-3.7631137468920523E-3</c:v>
                </c:pt>
                <c:pt idx="1213">
                  <c:v>8.5127301978132528E-4</c:v>
                </c:pt>
                <c:pt idx="1214">
                  <c:v>-2.0858857728094224E-3</c:v>
                </c:pt>
                <c:pt idx="1215">
                  <c:v>-6.117526273531025E-3</c:v>
                </c:pt>
                <c:pt idx="1216">
                  <c:v>-3.7658550580279126E-3</c:v>
                </c:pt>
                <c:pt idx="1217">
                  <c:v>-8.4823392298091736E-3</c:v>
                </c:pt>
                <c:pt idx="1218">
                  <c:v>2.87629416155071E-2</c:v>
                </c:pt>
                <c:pt idx="1219">
                  <c:v>8.0860952978338205E-4</c:v>
                </c:pt>
                <c:pt idx="1220">
                  <c:v>-5.0368755273184785E-3</c:v>
                </c:pt>
                <c:pt idx="1221">
                  <c:v>-2.4684165884825419E-2</c:v>
                </c:pt>
                <c:pt idx="1222">
                  <c:v>5.4222053939224869E-3</c:v>
                </c:pt>
                <c:pt idx="1223">
                  <c:v>-1.5397554396131623E-2</c:v>
                </c:pt>
                <c:pt idx="1224">
                  <c:v>1.9580431010936088E-2</c:v>
                </c:pt>
                <c:pt idx="1225">
                  <c:v>1.314970516937735E-2</c:v>
                </c:pt>
                <c:pt idx="1226">
                  <c:v>1.6449694674335463E-2</c:v>
                </c:pt>
                <c:pt idx="1227">
                  <c:v>-4.7935564951294904E-3</c:v>
                </c:pt>
                <c:pt idx="1228">
                  <c:v>8.4099670434269504E-3</c:v>
                </c:pt>
                <c:pt idx="1229">
                  <c:v>4.1379831085477225E-3</c:v>
                </c:pt>
                <c:pt idx="1230">
                  <c:v>-1.1690792882422078E-2</c:v>
                </c:pt>
                <c:pt idx="1231">
                  <c:v>2.1405957494777601E-3</c:v>
                </c:pt>
                <c:pt idx="1232">
                  <c:v>1.3353216365188424E-3</c:v>
                </c:pt>
                <c:pt idx="1233">
                  <c:v>7.8627192582213373E-3</c:v>
                </c:pt>
                <c:pt idx="1234">
                  <c:v>-1.3679735688414617E-2</c:v>
                </c:pt>
                <c:pt idx="1235">
                  <c:v>-1.7772432417730702E-2</c:v>
                </c:pt>
                <c:pt idx="1236">
                  <c:v>8.7009100454928123E-4</c:v>
                </c:pt>
                <c:pt idx="1237">
                  <c:v>1.6261241777165251E-2</c:v>
                </c:pt>
                <c:pt idx="1238">
                  <c:v>-4.4863588614714282E-3</c:v>
                </c:pt>
                <c:pt idx="1239">
                  <c:v>2.3422327770729563E-2</c:v>
                </c:pt>
                <c:pt idx="1240">
                  <c:v>-5.9056265912051809E-3</c:v>
                </c:pt>
                <c:pt idx="1241">
                  <c:v>1.5621041794167529E-2</c:v>
                </c:pt>
                <c:pt idx="1242">
                  <c:v>3.226483046830814E-3</c:v>
                </c:pt>
                <c:pt idx="1243">
                  <c:v>1.290269946171063E-2</c:v>
                </c:pt>
                <c:pt idx="1244">
                  <c:v>-4.5657609207880555E-3</c:v>
                </c:pt>
                <c:pt idx="1245">
                  <c:v>-1.805708112221635E-3</c:v>
                </c:pt>
                <c:pt idx="1246">
                  <c:v>-4.4727938826087613E-3</c:v>
                </c:pt>
                <c:pt idx="1247">
                  <c:v>2.1026029605951162E-2</c:v>
                </c:pt>
                <c:pt idx="1248">
                  <c:v>-1.3102624915540418E-3</c:v>
                </c:pt>
                <c:pt idx="1249">
                  <c:v>1.701707963237567E-4</c:v>
                </c:pt>
                <c:pt idx="1250">
                  <c:v>0</c:v>
                </c:pt>
                <c:pt idx="1251">
                  <c:v>-4.8944026273321003E-3</c:v>
                </c:pt>
                <c:pt idx="1252">
                  <c:v>6.819872779807877E-4</c:v>
                </c:pt>
                <c:pt idx="1253">
                  <c:v>-4.6610761150772517E-3</c:v>
                </c:pt>
                <c:pt idx="1254">
                  <c:v>-1.4041486917954812E-3</c:v>
                </c:pt>
                <c:pt idx="1255">
                  <c:v>-1.2135394438261771E-2</c:v>
                </c:pt>
                <c:pt idx="1256">
                  <c:v>6.9998905663737464E-3</c:v>
                </c:pt>
                <c:pt idx="1257">
                  <c:v>-4.4727938826087613E-3</c:v>
                </c:pt>
                <c:pt idx="1258">
                  <c:v>0</c:v>
                </c:pt>
                <c:pt idx="1259">
                  <c:v>8.6324721743188775E-3</c:v>
                </c:pt>
                <c:pt idx="1260">
                  <c:v>-3.1621719745846791E-3</c:v>
                </c:pt>
                <c:pt idx="1261">
                  <c:v>-3.4355149778392784E-4</c:v>
                </c:pt>
                <c:pt idx="1262">
                  <c:v>9.0828069812795859E-3</c:v>
                </c:pt>
                <c:pt idx="1263">
                  <c:v>-9.237884264706793E-3</c:v>
                </c:pt>
                <c:pt idx="1264">
                  <c:v>1.4617053480448651E-3</c:v>
                </c:pt>
                <c:pt idx="1265">
                  <c:v>-2.750834606133604E-3</c:v>
                </c:pt>
                <c:pt idx="1266">
                  <c:v>-4.8363155279383647E-4</c:v>
                </c:pt>
                <c:pt idx="1267">
                  <c:v>-3.198910607640233E-3</c:v>
                </c:pt>
                <c:pt idx="1268">
                  <c:v>7.0192199620767465E-3</c:v>
                </c:pt>
                <c:pt idx="1269">
                  <c:v>3.5341588390200513E-3</c:v>
                </c:pt>
                <c:pt idx="1270">
                  <c:v>8.7594195396636307E-3</c:v>
                </c:pt>
                <c:pt idx="1271">
                  <c:v>2.5921403650843132E-3</c:v>
                </c:pt>
                <c:pt idx="1272">
                  <c:v>9.2311372834628386E-3</c:v>
                </c:pt>
                <c:pt idx="1273">
                  <c:v>2.3255401841301464E-2</c:v>
                </c:pt>
                <c:pt idx="1274">
                  <c:v>-9.9459528507716138E-3</c:v>
                </c:pt>
                <c:pt idx="1275">
                  <c:v>-7.4259261201798819E-3</c:v>
                </c:pt>
                <c:pt idx="1276">
                  <c:v>-1.6640676421096776E-2</c:v>
                </c:pt>
                <c:pt idx="1277">
                  <c:v>-6.4994478901746608E-3</c:v>
                </c:pt>
                <c:pt idx="1278">
                  <c:v>8.0254641574585388E-3</c:v>
                </c:pt>
                <c:pt idx="1279">
                  <c:v>-5.6158062150874247E-4</c:v>
                </c:pt>
                <c:pt idx="1280">
                  <c:v>-3.376122718659827E-3</c:v>
                </c:pt>
                <c:pt idx="1281">
                  <c:v>-1.3944102259995333E-3</c:v>
                </c:pt>
                <c:pt idx="1282">
                  <c:v>1.1288985450304365E-2</c:v>
                </c:pt>
                <c:pt idx="1283">
                  <c:v>-9.4437338026610331E-4</c:v>
                </c:pt>
                <c:pt idx="1284">
                  <c:v>1.1188798428721421E-2</c:v>
                </c:pt>
                <c:pt idx="1285">
                  <c:v>3.7387547071594564E-3</c:v>
                </c:pt>
                <c:pt idx="1286">
                  <c:v>-6.320704595166902E-4</c:v>
                </c:pt>
                <c:pt idx="1287">
                  <c:v>-1.3258158461204299E-4</c:v>
                </c:pt>
                <c:pt idx="1288">
                  <c:v>1.4913789864027256E-3</c:v>
                </c:pt>
                <c:pt idx="1289">
                  <c:v>-1.9368458583457595E-3</c:v>
                </c:pt>
                <c:pt idx="1290">
                  <c:v>-2.0479583334456698E-3</c:v>
                </c:pt>
                <c:pt idx="1291">
                  <c:v>3.9848041917913664E-3</c:v>
                </c:pt>
                <c:pt idx="1292">
                  <c:v>0</c:v>
                </c:pt>
                <c:pt idx="1293">
                  <c:v>-6.0011058666671778E-3</c:v>
                </c:pt>
                <c:pt idx="1294">
                  <c:v>-3.8768359141300906E-3</c:v>
                </c:pt>
                <c:pt idx="1295">
                  <c:v>1.4394541201828912E-2</c:v>
                </c:pt>
                <c:pt idx="1296">
                  <c:v>-1.395751758274448E-2</c:v>
                </c:pt>
                <c:pt idx="1297">
                  <c:v>3.7385906353267998E-3</c:v>
                </c:pt>
                <c:pt idx="1298">
                  <c:v>3.1916736844359169E-4</c:v>
                </c:pt>
                <c:pt idx="1299">
                  <c:v>2.032087901725447E-3</c:v>
                </c:pt>
                <c:pt idx="1300">
                  <c:v>9.1054512960797862E-3</c:v>
                </c:pt>
                <c:pt idx="1301">
                  <c:v>-4.0144194034430905E-3</c:v>
                </c:pt>
                <c:pt idx="1302">
                  <c:v>3.109454189593941E-3</c:v>
                </c:pt>
                <c:pt idx="1303">
                  <c:v>-3.4212710336190407E-3</c:v>
                </c:pt>
                <c:pt idx="1304">
                  <c:v>-4.614033736202337E-3</c:v>
                </c:pt>
                <c:pt idx="1305">
                  <c:v>5.2578963920471376E-3</c:v>
                </c:pt>
                <c:pt idx="1306">
                  <c:v>-1.7376847059536978E-3</c:v>
                </c:pt>
                <c:pt idx="1307">
                  <c:v>3.590710702167503E-3</c:v>
                </c:pt>
                <c:pt idx="1308">
                  <c:v>9.2438238156059276E-4</c:v>
                </c:pt>
                <c:pt idx="1309">
                  <c:v>-1.1151095399887468E-2</c:v>
                </c:pt>
                <c:pt idx="1310">
                  <c:v>1.2633054760263294E-2</c:v>
                </c:pt>
                <c:pt idx="1311">
                  <c:v>-2.4063417419364175E-3</c:v>
                </c:pt>
                <c:pt idx="1312">
                  <c:v>1.6656365871665539E-3</c:v>
                </c:pt>
                <c:pt idx="1313">
                  <c:v>1.8600013288050203E-3</c:v>
                </c:pt>
                <c:pt idx="1314">
                  <c:v>2.8918893377899105E-3</c:v>
                </c:pt>
                <c:pt idx="1315">
                  <c:v>2.7528886210576847E-3</c:v>
                </c:pt>
                <c:pt idx="1316">
                  <c:v>3.7255325381367515E-3</c:v>
                </c:pt>
                <c:pt idx="1317">
                  <c:v>2.2306738446321831E-3</c:v>
                </c:pt>
                <c:pt idx="1318">
                  <c:v>-4.7440525520136868E-3</c:v>
                </c:pt>
                <c:pt idx="1319">
                  <c:v>2.7870623574929349E-3</c:v>
                </c:pt>
                <c:pt idx="1320">
                  <c:v>-2.624772090119258E-3</c:v>
                </c:pt>
                <c:pt idx="1321">
                  <c:v>2.6247720901191201E-3</c:v>
                </c:pt>
                <c:pt idx="1322">
                  <c:v>-7.4947069013422756E-4</c:v>
                </c:pt>
                <c:pt idx="1323">
                  <c:v>-2.3321237483825081E-3</c:v>
                </c:pt>
                <c:pt idx="1324">
                  <c:v>-7.5178468677807888E-4</c:v>
                </c:pt>
                <c:pt idx="1325">
                  <c:v>-3.8195463992662664E-3</c:v>
                </c:pt>
                <c:pt idx="1326">
                  <c:v>-4.2967697157778794E-3</c:v>
                </c:pt>
                <c:pt idx="1327">
                  <c:v>8.1163161150440352E-3</c:v>
                </c:pt>
                <c:pt idx="1328">
                  <c:v>-1.3442394166580495E-3</c:v>
                </c:pt>
                <c:pt idx="1329">
                  <c:v>-5.4220819777099517E-3</c:v>
                </c:pt>
                <c:pt idx="1330">
                  <c:v>7.0744707755671446E-3</c:v>
                </c:pt>
                <c:pt idx="1331">
                  <c:v>1.3680163056441512E-2</c:v>
                </c:pt>
                <c:pt idx="1332">
                  <c:v>1.6874451000398829E-2</c:v>
                </c:pt>
                <c:pt idx="1333">
                  <c:v>5.7569937055445214E-3</c:v>
                </c:pt>
                <c:pt idx="1334">
                  <c:v>-1.3589318723163622E-3</c:v>
                </c:pt>
                <c:pt idx="1335">
                  <c:v>6.4871399796194475E-3</c:v>
                </c:pt>
                <c:pt idx="1336">
                  <c:v>2.7785861534914942E-3</c:v>
                </c:pt>
                <c:pt idx="1337">
                  <c:v>1.3762487915899629E-2</c:v>
                </c:pt>
                <c:pt idx="1338">
                  <c:v>-1.5734773530600285E-3</c:v>
                </c:pt>
                <c:pt idx="1339">
                  <c:v>-3.1718658078809464E-3</c:v>
                </c:pt>
                <c:pt idx="1340">
                  <c:v>-3.9340036181079573E-3</c:v>
                </c:pt>
                <c:pt idx="1341">
                  <c:v>2.7536782164751567E-3</c:v>
                </c:pt>
                <c:pt idx="1342">
                  <c:v>-8.6667037842199095E-4</c:v>
                </c:pt>
                <c:pt idx="1343">
                  <c:v>1.4546243315522696E-3</c:v>
                </c:pt>
                <c:pt idx="1344">
                  <c:v>3.9050813240348206E-3</c:v>
                </c:pt>
                <c:pt idx="1345">
                  <c:v>-1.2329854630490912E-2</c:v>
                </c:pt>
                <c:pt idx="1346">
                  <c:v>-1.2102706151259548E-3</c:v>
                </c:pt>
                <c:pt idx="1347">
                  <c:v>7.6801040188174507E-4</c:v>
                </c:pt>
                <c:pt idx="1348">
                  <c:v>1.9963548948657983E-2</c:v>
                </c:pt>
                <c:pt idx="1349">
                  <c:v>-2.8230938426016757E-2</c:v>
                </c:pt>
                <c:pt idx="1350">
                  <c:v>3.3557511582458172E-3</c:v>
                </c:pt>
                <c:pt idx="1351">
                  <c:v>-2.8351246356043546E-4</c:v>
                </c:pt>
                <c:pt idx="1352">
                  <c:v>1.1189053399439007E-2</c:v>
                </c:pt>
                <c:pt idx="1353">
                  <c:v>3.3718262056817026E-3</c:v>
                </c:pt>
                <c:pt idx="1354">
                  <c:v>1.3011537672973136E-3</c:v>
                </c:pt>
                <c:pt idx="1355">
                  <c:v>1.2253751590506122E-2</c:v>
                </c:pt>
                <c:pt idx="1356">
                  <c:v>4.8815876749756289E-3</c:v>
                </c:pt>
                <c:pt idx="1357">
                  <c:v>6.4063689020832943E-3</c:v>
                </c:pt>
                <c:pt idx="1358">
                  <c:v>-8.1131521400068674E-3</c:v>
                </c:pt>
                <c:pt idx="1359">
                  <c:v>3.7171722189645994E-3</c:v>
                </c:pt>
                <c:pt idx="1360">
                  <c:v>2.329342867282732E-2</c:v>
                </c:pt>
                <c:pt idx="1361">
                  <c:v>7.3336836957922941E-3</c:v>
                </c:pt>
                <c:pt idx="1362">
                  <c:v>3.3107376064902471E-3</c:v>
                </c:pt>
                <c:pt idx="1363">
                  <c:v>-1.80614136998E-3</c:v>
                </c:pt>
                <c:pt idx="1364">
                  <c:v>-6.0971882760921759E-3</c:v>
                </c:pt>
                <c:pt idx="1365">
                  <c:v>-2.2909401292707129E-2</c:v>
                </c:pt>
                <c:pt idx="1366">
                  <c:v>-7.6795859053798545E-3</c:v>
                </c:pt>
                <c:pt idx="1367">
                  <c:v>1.2407683210317972E-2</c:v>
                </c:pt>
                <c:pt idx="1368">
                  <c:v>-5.4262079357291684E-3</c:v>
                </c:pt>
                <c:pt idx="1369">
                  <c:v>-5.2763837905699263E-3</c:v>
                </c:pt>
                <c:pt idx="1370">
                  <c:v>1.4171341500840453E-3</c:v>
                </c:pt>
                <c:pt idx="1371">
                  <c:v>1.2370781015751342E-2</c:v>
                </c:pt>
                <c:pt idx="1372">
                  <c:v>-1.3647515244228884E-2</c:v>
                </c:pt>
                <c:pt idx="1373">
                  <c:v>5.1359838689632835E-3</c:v>
                </c:pt>
                <c:pt idx="1374">
                  <c:v>-1.3812851405788535E-4</c:v>
                </c:pt>
                <c:pt idx="1375">
                  <c:v>1.3437527309464134E-2</c:v>
                </c:pt>
                <c:pt idx="1376">
                  <c:v>-9.5925841969880157E-3</c:v>
                </c:pt>
                <c:pt idx="1377">
                  <c:v>-1.8903045183857773E-2</c:v>
                </c:pt>
                <c:pt idx="1378">
                  <c:v>8.5053884869543007E-3</c:v>
                </c:pt>
                <c:pt idx="1379">
                  <c:v>-1.894646927805255E-2</c:v>
                </c:pt>
                <c:pt idx="1380">
                  <c:v>6.3992295544954402E-3</c:v>
                </c:pt>
                <c:pt idx="1381">
                  <c:v>-1.1091286576881186E-2</c:v>
                </c:pt>
                <c:pt idx="1382">
                  <c:v>1.3237396668844159E-2</c:v>
                </c:pt>
                <c:pt idx="1383">
                  <c:v>-7.4139260944076973E-3</c:v>
                </c:pt>
                <c:pt idx="1384">
                  <c:v>1.2934988031680908E-2</c:v>
                </c:pt>
                <c:pt idx="1385">
                  <c:v>7.4093820011456347E-3</c:v>
                </c:pt>
                <c:pt idx="1386">
                  <c:v>1.5115049709763079E-4</c:v>
                </c:pt>
                <c:pt idx="1387">
                  <c:v>1.6468686116535264E-2</c:v>
                </c:pt>
                <c:pt idx="1388">
                  <c:v>8.6877250333183276E-3</c:v>
                </c:pt>
                <c:pt idx="1389">
                  <c:v>1.3958343224410029E-2</c:v>
                </c:pt>
                <c:pt idx="1390">
                  <c:v>7.7984713287716431E-3</c:v>
                </c:pt>
                <c:pt idx="1391">
                  <c:v>-6.8115233377670189E-4</c:v>
                </c:pt>
                <c:pt idx="1392">
                  <c:v>7.6134581542932969E-3</c:v>
                </c:pt>
                <c:pt idx="1393">
                  <c:v>4.8487157255772623E-3</c:v>
                </c:pt>
                <c:pt idx="1394">
                  <c:v>-5.7985272010712095E-3</c:v>
                </c:pt>
                <c:pt idx="1395">
                  <c:v>-2.5910833040103456E-3</c:v>
                </c:pt>
                <c:pt idx="1396">
                  <c:v>7.9707684869003322E-3</c:v>
                </c:pt>
                <c:pt idx="1397">
                  <c:v>-1.8494097681444057E-3</c:v>
                </c:pt>
                <c:pt idx="1398">
                  <c:v>-1.2117930341404197E-2</c:v>
                </c:pt>
                <c:pt idx="1399">
                  <c:v>-1.6469823226243866E-3</c:v>
                </c:pt>
                <c:pt idx="1400">
                  <c:v>-4.643733741022834E-3</c:v>
                </c:pt>
                <c:pt idx="1401">
                  <c:v>-1.6724093943905549E-3</c:v>
                </c:pt>
                <c:pt idx="1402">
                  <c:v>-4.397014709709459E-3</c:v>
                </c:pt>
                <c:pt idx="1403">
                  <c:v>-1.5178394321715492E-3</c:v>
                </c:pt>
                <c:pt idx="1404">
                  <c:v>7.3217264259001482E-3</c:v>
                </c:pt>
                <c:pt idx="1405">
                  <c:v>-3.9056794679413406E-3</c:v>
                </c:pt>
                <c:pt idx="1406">
                  <c:v>5.4139527662788135E-3</c:v>
                </c:pt>
                <c:pt idx="1407">
                  <c:v>-4.4142823935600555E-3</c:v>
                </c:pt>
                <c:pt idx="1408">
                  <c:v>-1.47497087998262E-2</c:v>
                </c:pt>
                <c:pt idx="1409">
                  <c:v>1.5148394796259207E-2</c:v>
                </c:pt>
                <c:pt idx="1410">
                  <c:v>1.4931232363845956E-2</c:v>
                </c:pt>
                <c:pt idx="1411">
                  <c:v>2.6225893997675141E-4</c:v>
                </c:pt>
                <c:pt idx="1412">
                  <c:v>5.8716691967710972E-3</c:v>
                </c:pt>
                <c:pt idx="1413">
                  <c:v>-1.7106495330559787E-2</c:v>
                </c:pt>
                <c:pt idx="1414">
                  <c:v>1.2412643322803126E-3</c:v>
                </c:pt>
                <c:pt idx="1415">
                  <c:v>-4.7292333370157645E-3</c:v>
                </c:pt>
                <c:pt idx="1416">
                  <c:v>1.3895779240250343E-2</c:v>
                </c:pt>
                <c:pt idx="1417">
                  <c:v>-5.9843372768496042E-3</c:v>
                </c:pt>
                <c:pt idx="1418">
                  <c:v>-4.207253546099164E-4</c:v>
                </c:pt>
                <c:pt idx="1419">
                  <c:v>1.7458971761488836E-3</c:v>
                </c:pt>
                <c:pt idx="1420">
                  <c:v>1.4299567015602365E-4</c:v>
                </c:pt>
                <c:pt idx="1421">
                  <c:v>3.0264093847463982E-3</c:v>
                </c:pt>
                <c:pt idx="1422">
                  <c:v>1.3067761758979597E-2</c:v>
                </c:pt>
                <c:pt idx="1423">
                  <c:v>1.059602521788445E-2</c:v>
                </c:pt>
                <c:pt idx="1424">
                  <c:v>-1.1543285200119326E-2</c:v>
                </c:pt>
                <c:pt idx="1425">
                  <c:v>-4.4653597701273806E-3</c:v>
                </c:pt>
                <c:pt idx="1426">
                  <c:v>-2.865847341566934E-3</c:v>
                </c:pt>
                <c:pt idx="1427">
                  <c:v>1.2719776308606557E-2</c:v>
                </c:pt>
                <c:pt idx="1428">
                  <c:v>-4.8591074242224962E-3</c:v>
                </c:pt>
                <c:pt idx="1429">
                  <c:v>1.0443730652239963E-2</c:v>
                </c:pt>
                <c:pt idx="1430">
                  <c:v>-1.0205956489258185E-3</c:v>
                </c:pt>
                <c:pt idx="1431">
                  <c:v>7.0704711732446478E-3</c:v>
                </c:pt>
                <c:pt idx="1432">
                  <c:v>-5.9062337405632369E-3</c:v>
                </c:pt>
                <c:pt idx="1433">
                  <c:v>7.2408932834616309E-3</c:v>
                </c:pt>
                <c:pt idx="1434">
                  <c:v>-2.0243067824990348E-3</c:v>
                </c:pt>
                <c:pt idx="1435">
                  <c:v>3.7699336257466004E-3</c:v>
                </c:pt>
                <c:pt idx="1436">
                  <c:v>-6.6693410331014613E-3</c:v>
                </c:pt>
                <c:pt idx="1437">
                  <c:v>-9.8286643484332744E-3</c:v>
                </c:pt>
                <c:pt idx="1438">
                  <c:v>2.7370541732623967E-3</c:v>
                </c:pt>
                <c:pt idx="1439">
                  <c:v>-1.5614413411300094E-2</c:v>
                </c:pt>
                <c:pt idx="1440">
                  <c:v>0</c:v>
                </c:pt>
                <c:pt idx="1441">
                  <c:v>8.0374666919298433E-3</c:v>
                </c:pt>
                <c:pt idx="1442">
                  <c:v>2.8932231956330399E-4</c:v>
                </c:pt>
                <c:pt idx="1443">
                  <c:v>8.3395781875405684E-3</c:v>
                </c:pt>
                <c:pt idx="1444">
                  <c:v>1.6238375889608323E-3</c:v>
                </c:pt>
                <c:pt idx="1445">
                  <c:v>-4.7114459367813381E-3</c:v>
                </c:pt>
                <c:pt idx="1446">
                  <c:v>5.7867320446696735E-3</c:v>
                </c:pt>
                <c:pt idx="1447">
                  <c:v>1.6979202051153396E-2</c:v>
                </c:pt>
                <c:pt idx="1448">
                  <c:v>3.6261005398193196E-4</c:v>
                </c:pt>
                <c:pt idx="1449">
                  <c:v>3.8819565065440357E-3</c:v>
                </c:pt>
                <c:pt idx="1450">
                  <c:v>0</c:v>
                </c:pt>
                <c:pt idx="1451">
                  <c:v>1.6351653618617214E-3</c:v>
                </c:pt>
                <c:pt idx="1452">
                  <c:v>9.1393486936315483E-3</c:v>
                </c:pt>
                <c:pt idx="1453">
                  <c:v>4.8227420002440761E-3</c:v>
                </c:pt>
                <c:pt idx="1454">
                  <c:v>2.0346456004454658E-3</c:v>
                </c:pt>
                <c:pt idx="1455">
                  <c:v>-7.7980777079346853E-4</c:v>
                </c:pt>
                <c:pt idx="1456">
                  <c:v>2.6279886532671888E-4</c:v>
                </c:pt>
                <c:pt idx="1457">
                  <c:v>3.8404363886195441E-3</c:v>
                </c:pt>
                <c:pt idx="1458">
                  <c:v>1.149416460982031E-2</c:v>
                </c:pt>
                <c:pt idx="1459">
                  <c:v>2.5598009550464721E-4</c:v>
                </c:pt>
                <c:pt idx="1460">
                  <c:v>3.8797391430902748E-4</c:v>
                </c:pt>
                <c:pt idx="1461">
                  <c:v>-2.89002811542708E-3</c:v>
                </c:pt>
                <c:pt idx="1462">
                  <c:v>1.585177409998393E-3</c:v>
                </c:pt>
                <c:pt idx="1463">
                  <c:v>6.2158431126096592E-2</c:v>
                </c:pt>
                <c:pt idx="1464">
                  <c:v>1.0000071985214684E-3</c:v>
                </c:pt>
                <c:pt idx="1465">
                  <c:v>-8.5118942805029255E-3</c:v>
                </c:pt>
                <c:pt idx="1466">
                  <c:v>0</c:v>
                </c:pt>
                <c:pt idx="1467">
                  <c:v>1.0404382187305728E-2</c:v>
                </c:pt>
                <c:pt idx="1468">
                  <c:v>1.0706072913235231E-3</c:v>
                </c:pt>
                <c:pt idx="1469">
                  <c:v>3.9320486479765245E-3</c:v>
                </c:pt>
                <c:pt idx="1470">
                  <c:v>-2.5123606120135366E-3</c:v>
                </c:pt>
                <c:pt idx="1471">
                  <c:v>3.5776282424991386E-3</c:v>
                </c:pt>
                <c:pt idx="1472">
                  <c:v>-5.5918132657777186E-3</c:v>
                </c:pt>
                <c:pt idx="1473">
                  <c:v>-2.6104228890982102E-3</c:v>
                </c:pt>
                <c:pt idx="1474">
                  <c:v>7.2012905962533496E-4</c:v>
                </c:pt>
                <c:pt idx="1475">
                  <c:v>1.4141835254649663E-3</c:v>
                </c:pt>
                <c:pt idx="1476">
                  <c:v>-7.8204350749760711E-3</c:v>
                </c:pt>
                <c:pt idx="1477">
                  <c:v>2.6732878246218967E-3</c:v>
                </c:pt>
                <c:pt idx="1478">
                  <c:v>-9.6616590207089532E-3</c:v>
                </c:pt>
                <c:pt idx="1479">
                  <c:v>1.5470255569865281E-3</c:v>
                </c:pt>
                <c:pt idx="1480">
                  <c:v>1.4332388005400288E-2</c:v>
                </c:pt>
                <c:pt idx="1481">
                  <c:v>-7.3327041307574108E-3</c:v>
                </c:pt>
                <c:pt idx="1482">
                  <c:v>1.8385470670534397E-3</c:v>
                </c:pt>
                <c:pt idx="1483">
                  <c:v>7.2793911058997409E-3</c:v>
                </c:pt>
                <c:pt idx="1484">
                  <c:v>1.1970859595445959E-2</c:v>
                </c:pt>
                <c:pt idx="1485">
                  <c:v>-1.8340661469740963E-2</c:v>
                </c:pt>
                <c:pt idx="1486">
                  <c:v>9.9589478657360064E-3</c:v>
                </c:pt>
                <c:pt idx="1487">
                  <c:v>1.0393952194398966E-3</c:v>
                </c:pt>
                <c:pt idx="1488">
                  <c:v>-3.8454124379022014E-2</c:v>
                </c:pt>
                <c:pt idx="1489">
                  <c:v>6.2595126853038415E-3</c:v>
                </c:pt>
                <c:pt idx="1490">
                  <c:v>1.4497527880372554E-2</c:v>
                </c:pt>
                <c:pt idx="1491">
                  <c:v>-3.5226181880098316E-3</c:v>
                </c:pt>
                <c:pt idx="1492">
                  <c:v>2.0066176636237065E-2</c:v>
                </c:pt>
                <c:pt idx="1493">
                  <c:v>1.2609848696861914E-2</c:v>
                </c:pt>
                <c:pt idx="1494">
                  <c:v>4.0857984863395744E-3</c:v>
                </c:pt>
                <c:pt idx="1495">
                  <c:v>-2.6520357277324317E-3</c:v>
                </c:pt>
                <c:pt idx="1496">
                  <c:v>-7.8010100805650613E-3</c:v>
                </c:pt>
                <c:pt idx="1497">
                  <c:v>2.5213138006483365E-2</c:v>
                </c:pt>
                <c:pt idx="1498">
                  <c:v>-5.4417478054811846E-3</c:v>
                </c:pt>
                <c:pt idx="1499">
                  <c:v>-6.3551329920521231E-3</c:v>
                </c:pt>
                <c:pt idx="1500">
                  <c:v>-3.6533264451087096E-3</c:v>
                </c:pt>
                <c:pt idx="1501">
                  <c:v>-2.4865904114175844E-4</c:v>
                </c:pt>
                <c:pt idx="1502">
                  <c:v>1.2623059063624728E-4</c:v>
                </c:pt>
                <c:pt idx="1503">
                  <c:v>-1.2579682443213073E-3</c:v>
                </c:pt>
                <c:pt idx="1504">
                  <c:v>3.6079944776716559E-3</c:v>
                </c:pt>
                <c:pt idx="1505">
                  <c:v>1.2465931192879326E-4</c:v>
                </c:pt>
                <c:pt idx="1506">
                  <c:v>-2.1188010802966071E-3</c:v>
                </c:pt>
                <c:pt idx="1507">
                  <c:v>4.7845505646655836E-3</c:v>
                </c:pt>
                <c:pt idx="1508">
                  <c:v>4.6355309371143606E-3</c:v>
                </c:pt>
                <c:pt idx="1509">
                  <c:v>8.7772423858470169E-3</c:v>
                </c:pt>
                <c:pt idx="1510">
                  <c:v>1.2316554904846858E-2</c:v>
                </c:pt>
                <c:pt idx="1511">
                  <c:v>1.0140630236323846E-3</c:v>
                </c:pt>
                <c:pt idx="1512">
                  <c:v>-6.6777149042589158E-4</c:v>
                </c:pt>
                <c:pt idx="1513">
                  <c:v>-4.5394371905812291E-3</c:v>
                </c:pt>
                <c:pt idx="1514">
                  <c:v>2.9477079675732268E-3</c:v>
                </c:pt>
                <c:pt idx="1515">
                  <c:v>1.7136344701780267E-2</c:v>
                </c:pt>
                <c:pt idx="1516">
                  <c:v>-1.4087345498837124E-2</c:v>
                </c:pt>
                <c:pt idx="1517">
                  <c:v>2.0069342938937619E-2</c:v>
                </c:pt>
                <c:pt idx="1518">
                  <c:v>-4.4312810839923549E-4</c:v>
                </c:pt>
                <c:pt idx="1519">
                  <c:v>-1.1146763259481018E-3</c:v>
                </c:pt>
                <c:pt idx="1520">
                  <c:v>1.7707445798500771E-2</c:v>
                </c:pt>
                <c:pt idx="1521">
                  <c:v>3.1936976667004719E-3</c:v>
                </c:pt>
                <c:pt idx="1522">
                  <c:v>-8.4830502708504996E-4</c:v>
                </c:pt>
                <c:pt idx="1523">
                  <c:v>5.5070078467837321E-3</c:v>
                </c:pt>
                <c:pt idx="1524">
                  <c:v>1.8584862441150461E-2</c:v>
                </c:pt>
                <c:pt idx="1525">
                  <c:v>-1.515790344116613E-3</c:v>
                </c:pt>
                <c:pt idx="1526">
                  <c:v>-1.2639109583490708E-2</c:v>
                </c:pt>
                <c:pt idx="1527">
                  <c:v>2.4201873728946281E-2</c:v>
                </c:pt>
                <c:pt idx="1528">
                  <c:v>-7.9653614971989979E-3</c:v>
                </c:pt>
                <c:pt idx="1529">
                  <c:v>-2.6635535750515207E-2</c:v>
                </c:pt>
                <c:pt idx="1530">
                  <c:v>-4.2059743593223974E-2</c:v>
                </c:pt>
                <c:pt idx="1531">
                  <c:v>3.714384606331194E-2</c:v>
                </c:pt>
                <c:pt idx="1532">
                  <c:v>-1.8991880448025435E-2</c:v>
                </c:pt>
                <c:pt idx="1533">
                  <c:v>-5.2693572223260321E-2</c:v>
                </c:pt>
                <c:pt idx="1534">
                  <c:v>3.6586535708272284E-2</c:v>
                </c:pt>
                <c:pt idx="1535">
                  <c:v>1.091693699042943E-2</c:v>
                </c:pt>
                <c:pt idx="1536">
                  <c:v>7.6188983915013208E-3</c:v>
                </c:pt>
                <c:pt idx="1537">
                  <c:v>1.5534408714730637E-2</c:v>
                </c:pt>
                <c:pt idx="1538">
                  <c:v>2.0154795036025078E-2</c:v>
                </c:pt>
                <c:pt idx="1539">
                  <c:v>-7.159272813990235E-3</c:v>
                </c:pt>
                <c:pt idx="1540">
                  <c:v>7.816429089577746E-3</c:v>
                </c:pt>
                <c:pt idx="1541">
                  <c:v>-1.3373826949389205E-2</c:v>
                </c:pt>
                <c:pt idx="1542">
                  <c:v>2.6596009860771117E-3</c:v>
                </c:pt>
                <c:pt idx="1543">
                  <c:v>2.5088596361753718E-2</c:v>
                </c:pt>
                <c:pt idx="1544">
                  <c:v>1.4329428608950139E-2</c:v>
                </c:pt>
                <c:pt idx="1545">
                  <c:v>-1.2895991859264285E-2</c:v>
                </c:pt>
                <c:pt idx="1546">
                  <c:v>-4.5745430654034122E-3</c:v>
                </c:pt>
                <c:pt idx="1547">
                  <c:v>-9.817268657966163E-3</c:v>
                </c:pt>
                <c:pt idx="1548">
                  <c:v>2.1312087878369366E-3</c:v>
                </c:pt>
                <c:pt idx="1549">
                  <c:v>6.3286506619903461E-3</c:v>
                </c:pt>
                <c:pt idx="1550">
                  <c:v>-3.4223270498116884E-3</c:v>
                </c:pt>
                <c:pt idx="1551">
                  <c:v>5.7725501765998975E-3</c:v>
                </c:pt>
                <c:pt idx="1552">
                  <c:v>6.0523188397236709E-3</c:v>
                </c:pt>
                <c:pt idx="1553">
                  <c:v>2.2100626748069938E-2</c:v>
                </c:pt>
                <c:pt idx="1554">
                  <c:v>2.3773928909076275E-3</c:v>
                </c:pt>
                <c:pt idx="1555">
                  <c:v>-2.467598852437683E-2</c:v>
                </c:pt>
                <c:pt idx="1556">
                  <c:v>-5.9642323916734392E-3</c:v>
                </c:pt>
                <c:pt idx="1557">
                  <c:v>3.5034190135043975E-3</c:v>
                </c:pt>
                <c:pt idx="1558">
                  <c:v>4.4694019888609987E-3</c:v>
                </c:pt>
                <c:pt idx="1559">
                  <c:v>-1.8257749552097201E-2</c:v>
                </c:pt>
                <c:pt idx="1560">
                  <c:v>2.5849149232585562E-3</c:v>
                </c:pt>
                <c:pt idx="1561">
                  <c:v>-6.9997744967152439E-3</c:v>
                </c:pt>
                <c:pt idx="1562">
                  <c:v>-2.95292045428029E-2</c:v>
                </c:pt>
                <c:pt idx="1563">
                  <c:v>-2.9487138318275073E-2</c:v>
                </c:pt>
                <c:pt idx="1564">
                  <c:v>7.2942033439098594E-2</c:v>
                </c:pt>
                <c:pt idx="1565">
                  <c:v>-4.7018239274165145E-2</c:v>
                </c:pt>
                <c:pt idx="1566">
                  <c:v>-8.9132132867380739E-4</c:v>
                </c:pt>
                <c:pt idx="1567">
                  <c:v>2.0828301010362978E-2</c:v>
                </c:pt>
                <c:pt idx="1568">
                  <c:v>-3.0628589220784541E-2</c:v>
                </c:pt>
                <c:pt idx="1569">
                  <c:v>1.3359619186908388E-2</c:v>
                </c:pt>
                <c:pt idx="1570">
                  <c:v>2.8813233053863612E-2</c:v>
                </c:pt>
                <c:pt idx="1571">
                  <c:v>5.33901910825671E-4</c:v>
                </c:pt>
                <c:pt idx="1572">
                  <c:v>-2.354888207180492E-2</c:v>
                </c:pt>
                <c:pt idx="1573">
                  <c:v>5.9482897678533354E-3</c:v>
                </c:pt>
                <c:pt idx="1574">
                  <c:v>2.297951202569707E-2</c:v>
                </c:pt>
                <c:pt idx="1575">
                  <c:v>-1.1027808933114161E-2</c:v>
                </c:pt>
                <c:pt idx="1576">
                  <c:v>1.8570631516007838E-2</c:v>
                </c:pt>
                <c:pt idx="1577">
                  <c:v>-5.3857108193028011E-3</c:v>
                </c:pt>
                <c:pt idx="1578">
                  <c:v>1.1644195880744598E-2</c:v>
                </c:pt>
                <c:pt idx="1579">
                  <c:v>1.9977286031873723E-2</c:v>
                </c:pt>
                <c:pt idx="1580">
                  <c:v>3.8604592432222289E-3</c:v>
                </c:pt>
                <c:pt idx="1581">
                  <c:v>-3.4568635467146433E-3</c:v>
                </c:pt>
                <c:pt idx="1582">
                  <c:v>-1.1615984475557161E-2</c:v>
                </c:pt>
                <c:pt idx="1583">
                  <c:v>3.6808465619676506E-3</c:v>
                </c:pt>
                <c:pt idx="1584">
                  <c:v>-2.3659536615837147E-2</c:v>
                </c:pt>
                <c:pt idx="1585">
                  <c:v>-8.727243851499103E-3</c:v>
                </c:pt>
                <c:pt idx="1586">
                  <c:v>2.0866923580331678E-2</c:v>
                </c:pt>
                <c:pt idx="1587">
                  <c:v>1.6426852050369548E-2</c:v>
                </c:pt>
                <c:pt idx="1588">
                  <c:v>-2.4273807669086014E-2</c:v>
                </c:pt>
                <c:pt idx="1589">
                  <c:v>1.568596594375345E-2</c:v>
                </c:pt>
                <c:pt idx="1590">
                  <c:v>-1.579624777137302E-2</c:v>
                </c:pt>
                <c:pt idx="1591">
                  <c:v>5.9835631029698079E-3</c:v>
                </c:pt>
                <c:pt idx="1592">
                  <c:v>1.1502973594959321E-2</c:v>
                </c:pt>
                <c:pt idx="1593">
                  <c:v>1.1071868451647062E-2</c:v>
                </c:pt>
                <c:pt idx="1594">
                  <c:v>-4.2516785426038404E-3</c:v>
                </c:pt>
                <c:pt idx="1595">
                  <c:v>1.1715387565465455E-2</c:v>
                </c:pt>
                <c:pt idx="1596">
                  <c:v>9.941816441187197E-3</c:v>
                </c:pt>
                <c:pt idx="1597">
                  <c:v>-2.1341794670542819E-3</c:v>
                </c:pt>
                <c:pt idx="1598">
                  <c:v>3.3666979299255E-3</c:v>
                </c:pt>
                <c:pt idx="1599">
                  <c:v>-7.2303332157814468E-3</c:v>
                </c:pt>
                <c:pt idx="1600">
                  <c:v>2.5531928763389547E-3</c:v>
                </c:pt>
                <c:pt idx="1601">
                  <c:v>-1.0041905943294698E-2</c:v>
                </c:pt>
                <c:pt idx="1602">
                  <c:v>1.8799399778436636E-3</c:v>
                </c:pt>
                <c:pt idx="1603">
                  <c:v>1.2763488333424791E-2</c:v>
                </c:pt>
                <c:pt idx="1604">
                  <c:v>-1.0175629151788421E-3</c:v>
                </c:pt>
                <c:pt idx="1605">
                  <c:v>1.1857857227501005E-2</c:v>
                </c:pt>
                <c:pt idx="1606">
                  <c:v>-3.587333827697897E-3</c:v>
                </c:pt>
                <c:pt idx="1607">
                  <c:v>5.0907027247961453E-4</c:v>
                </c:pt>
                <c:pt idx="1608">
                  <c:v>-3.5525757560111271E-3</c:v>
                </c:pt>
                <c:pt idx="1609">
                  <c:v>9.5472495845567284E-3</c:v>
                </c:pt>
                <c:pt idx="1610">
                  <c:v>-1.1410853012267549E-3</c:v>
                </c:pt>
                <c:pt idx="1611">
                  <c:v>1.9510153121876535E-2</c:v>
                </c:pt>
                <c:pt idx="1612">
                  <c:v>8.7208150207973741E-3</c:v>
                </c:pt>
                <c:pt idx="1613">
                  <c:v>5.2089845590555404E-3</c:v>
                </c:pt>
                <c:pt idx="1614">
                  <c:v>2.970090199137753E-3</c:v>
                </c:pt>
                <c:pt idx="1615">
                  <c:v>-1.600773016858896E-2</c:v>
                </c:pt>
                <c:pt idx="1616">
                  <c:v>7.418256096631928E-3</c:v>
                </c:pt>
                <c:pt idx="1617">
                  <c:v>-5.7305295335617944E-3</c:v>
                </c:pt>
                <c:pt idx="1618">
                  <c:v>2.6017550347372472E-3</c:v>
                </c:pt>
                <c:pt idx="1619">
                  <c:v>-4.579001458187482E-3</c:v>
                </c:pt>
                <c:pt idx="1620">
                  <c:v>5.6817252975374108E-3</c:v>
                </c:pt>
                <c:pt idx="1621">
                  <c:v>-1.278151040789092E-2</c:v>
                </c:pt>
                <c:pt idx="1622">
                  <c:v>7.1952404802677651E-3</c:v>
                </c:pt>
                <c:pt idx="1623">
                  <c:v>0</c:v>
                </c:pt>
                <c:pt idx="1624">
                  <c:v>1.0006045694920087E-2</c:v>
                </c:pt>
                <c:pt idx="1625">
                  <c:v>-7.2142979602483224E-3</c:v>
                </c:pt>
                <c:pt idx="1626">
                  <c:v>-7.1644568810722044E-3</c:v>
                </c:pt>
                <c:pt idx="1627">
                  <c:v>-2.0379243794066353E-2</c:v>
                </c:pt>
                <c:pt idx="1628">
                  <c:v>6.9822056675708701E-3</c:v>
                </c:pt>
                <c:pt idx="1629">
                  <c:v>-1.5653786891749226E-2</c:v>
                </c:pt>
                <c:pt idx="1630">
                  <c:v>1.1119004671763705E-2</c:v>
                </c:pt>
                <c:pt idx="1631">
                  <c:v>-2.0932766308960293E-4</c:v>
                </c:pt>
                <c:pt idx="1632">
                  <c:v>1.413860238715986E-2</c:v>
                </c:pt>
                <c:pt idx="1633">
                  <c:v>-9.6795419847737554E-3</c:v>
                </c:pt>
                <c:pt idx="1634">
                  <c:v>7.1266352763546606E-3</c:v>
                </c:pt>
                <c:pt idx="1635">
                  <c:v>1.3914490133856684E-2</c:v>
                </c:pt>
                <c:pt idx="1636">
                  <c:v>6.8149450092273144E-3</c:v>
                </c:pt>
                <c:pt idx="1637">
                  <c:v>2.7341835384932524E-3</c:v>
                </c:pt>
                <c:pt idx="1638">
                  <c:v>-1.4432459497354406E-3</c:v>
                </c:pt>
                <c:pt idx="1639">
                  <c:v>2.1466860828860429E-2</c:v>
                </c:pt>
                <c:pt idx="1640">
                  <c:v>1.1963884115894092E-2</c:v>
                </c:pt>
                <c:pt idx="1641">
                  <c:v>-4.9655296882549511E-3</c:v>
                </c:pt>
                <c:pt idx="1642">
                  <c:v>9.5087493786034372E-3</c:v>
                </c:pt>
                <c:pt idx="1643">
                  <c:v>-7.429236306430183E-3</c:v>
                </c:pt>
                <c:pt idx="1644">
                  <c:v>-6.9735211265425099E-3</c:v>
                </c:pt>
                <c:pt idx="1645">
                  <c:v>1.735805953776217E-2</c:v>
                </c:pt>
                <c:pt idx="1646">
                  <c:v>1.6304429508177704E-2</c:v>
                </c:pt>
                <c:pt idx="1647">
                  <c:v>-2.9163794105649451E-3</c:v>
                </c:pt>
                <c:pt idx="1648">
                  <c:v>2.8971358291225133E-2</c:v>
                </c:pt>
                <c:pt idx="1649">
                  <c:v>-1.1013701226902912E-2</c:v>
                </c:pt>
                <c:pt idx="1650">
                  <c:v>-1.7778858589592914E-2</c:v>
                </c:pt>
                <c:pt idx="1651">
                  <c:v>-2.1555436394152291E-2</c:v>
                </c:pt>
                <c:pt idx="1652">
                  <c:v>6.2099998335946342E-3</c:v>
                </c:pt>
                <c:pt idx="1653">
                  <c:v>1.8782565149405184E-3</c:v>
                </c:pt>
                <c:pt idx="1654">
                  <c:v>1.2413795204403631E-2</c:v>
                </c:pt>
                <c:pt idx="1655">
                  <c:v>4.4543945397292903E-3</c:v>
                </c:pt>
                <c:pt idx="1656">
                  <c:v>8.5092072772648337E-4</c:v>
                </c:pt>
                <c:pt idx="1657">
                  <c:v>6.5652868331407847E-3</c:v>
                </c:pt>
                <c:pt idx="1658">
                  <c:v>5.7509992492230299E-3</c:v>
                </c:pt>
                <c:pt idx="1659">
                  <c:v>1.6983898665267367E-3</c:v>
                </c:pt>
                <c:pt idx="1660">
                  <c:v>-6.3789827992982032E-3</c:v>
                </c:pt>
                <c:pt idx="1661">
                  <c:v>-6.8546709595092604E-3</c:v>
                </c:pt>
                <c:pt idx="1662">
                  <c:v>1.2199345872212074E-2</c:v>
                </c:pt>
                <c:pt idx="1663">
                  <c:v>-1.3544269483528631E-2</c:v>
                </c:pt>
                <c:pt idx="1664">
                  <c:v>-1.8803782584705039E-4</c:v>
                </c:pt>
                <c:pt idx="1665">
                  <c:v>-5.6432572001229183E-4</c:v>
                </c:pt>
                <c:pt idx="1666">
                  <c:v>-6.8267790360976759E-3</c:v>
                </c:pt>
                <c:pt idx="1667">
                  <c:v>-8.5065137526194705E-3</c:v>
                </c:pt>
                <c:pt idx="1668">
                  <c:v>1.0379322715695891E-2</c:v>
                </c:pt>
                <c:pt idx="1669">
                  <c:v>4.7558855497077538E-3</c:v>
                </c:pt>
                <c:pt idx="1670">
                  <c:v>7.5095949309700082E-3</c:v>
                </c:pt>
                <c:pt idx="1671">
                  <c:v>1.1252055544722042E-2</c:v>
                </c:pt>
                <c:pt idx="1672">
                  <c:v>5.9800037671176457E-3</c:v>
                </c:pt>
                <c:pt idx="1673">
                  <c:v>1.591352267546382E-2</c:v>
                </c:pt>
                <c:pt idx="1674">
                  <c:v>-6.4692901259225805E-4</c:v>
                </c:pt>
                <c:pt idx="1675">
                  <c:v>3.1450899375543512E-3</c:v>
                </c:pt>
                <c:pt idx="1676">
                  <c:v>-5.3744903521789717E-3</c:v>
                </c:pt>
                <c:pt idx="1677">
                  <c:v>-2.9414312280126417E-2</c:v>
                </c:pt>
                <c:pt idx="1678">
                  <c:v>2.2958743233574574E-3</c:v>
                </c:pt>
                <c:pt idx="1679">
                  <c:v>-4.7053363107112164E-3</c:v>
                </c:pt>
                <c:pt idx="1680">
                  <c:v>1.0733835967516989E-2</c:v>
                </c:pt>
                <c:pt idx="1681">
                  <c:v>1.6788609728639478E-2</c:v>
                </c:pt>
                <c:pt idx="1682">
                  <c:v>4.3013285713236291E-3</c:v>
                </c:pt>
                <c:pt idx="1683">
                  <c:v>1.0559820328321314E-2</c:v>
                </c:pt>
                <c:pt idx="1684">
                  <c:v>4.1346307836310457E-3</c:v>
                </c:pt>
                <c:pt idx="1685">
                  <c:v>-1.080100649669267E-2</c:v>
                </c:pt>
                <c:pt idx="1686">
                  <c:v>9.4184202763120672E-3</c:v>
                </c:pt>
                <c:pt idx="1687">
                  <c:v>-1.3407249242887108E-2</c:v>
                </c:pt>
                <c:pt idx="1688">
                  <c:v>1.6527112695358843E-2</c:v>
                </c:pt>
                <c:pt idx="1689">
                  <c:v>6.1360788921301862E-3</c:v>
                </c:pt>
                <c:pt idx="1690">
                  <c:v>3.4536560661490448E-3</c:v>
                </c:pt>
                <c:pt idx="1691">
                  <c:v>-1.93481233151613E-3</c:v>
                </c:pt>
                <c:pt idx="1692">
                  <c:v>-3.9089334737518544E-3</c:v>
                </c:pt>
                <c:pt idx="1693">
                  <c:v>3.5643676000576946E-3</c:v>
                </c:pt>
                <c:pt idx="1694">
                  <c:v>-2.6083149501853891E-4</c:v>
                </c:pt>
                <c:pt idx="1695">
                  <c:v>1.0841470161984664E-2</c:v>
                </c:pt>
                <c:pt idx="1696">
                  <c:v>-4.0541032850609903E-3</c:v>
                </c:pt>
                <c:pt idx="1697">
                  <c:v>1.8505496185167338E-4</c:v>
                </c:pt>
                <c:pt idx="1698">
                  <c:v>-2.1008135006495465E-2</c:v>
                </c:pt>
                <c:pt idx="1699">
                  <c:v>-5.6471095011559501E-3</c:v>
                </c:pt>
                <c:pt idx="1700">
                  <c:v>-1.1650320288156827E-2</c:v>
                </c:pt>
                <c:pt idx="1701">
                  <c:v>1.2666498501179266E-2</c:v>
                </c:pt>
                <c:pt idx="1702">
                  <c:v>-5.5952295963720519E-2</c:v>
                </c:pt>
                <c:pt idx="1703">
                  <c:v>-2.4463405556351555E-3</c:v>
                </c:pt>
                <c:pt idx="1704">
                  <c:v>3.4294602462432849E-2</c:v>
                </c:pt>
                <c:pt idx="1705">
                  <c:v>-1.8113095527921182E-2</c:v>
                </c:pt>
                <c:pt idx="1706">
                  <c:v>3.0933969761073293E-2</c:v>
                </c:pt>
                <c:pt idx="1707">
                  <c:v>-2.6242066745839079E-3</c:v>
                </c:pt>
                <c:pt idx="1708">
                  <c:v>-2.0223332749365129E-2</c:v>
                </c:pt>
                <c:pt idx="1709">
                  <c:v>1.4329462250926692E-3</c:v>
                </c:pt>
                <c:pt idx="1710">
                  <c:v>9.1575373922277957E-3</c:v>
                </c:pt>
                <c:pt idx="1711">
                  <c:v>-1.3955171377069798E-2</c:v>
                </c:pt>
                <c:pt idx="1712">
                  <c:v>-5.5085251334621006E-2</c:v>
                </c:pt>
                <c:pt idx="1713">
                  <c:v>5.6621425578870753E-2</c:v>
                </c:pt>
                <c:pt idx="1714">
                  <c:v>-1.2385867746389079E-2</c:v>
                </c:pt>
                <c:pt idx="1715">
                  <c:v>-2.941483683347761E-2</c:v>
                </c:pt>
                <c:pt idx="1716">
                  <c:v>-1.2031645084813912E-3</c:v>
                </c:pt>
                <c:pt idx="1717">
                  <c:v>2.9172417348551954E-2</c:v>
                </c:pt>
                <c:pt idx="1718">
                  <c:v>-8.5073470344937431E-3</c:v>
                </c:pt>
                <c:pt idx="1719">
                  <c:v>2.3457155737886841E-3</c:v>
                </c:pt>
                <c:pt idx="1720">
                  <c:v>1.2863456286134098E-2</c:v>
                </c:pt>
                <c:pt idx="1721">
                  <c:v>2.0097325306963768E-3</c:v>
                </c:pt>
                <c:pt idx="1722">
                  <c:v>3.8589061286600605E-2</c:v>
                </c:pt>
                <c:pt idx="1723">
                  <c:v>-1.9526512245607737E-3</c:v>
                </c:pt>
                <c:pt idx="1724">
                  <c:v>-1.9661336972072396E-2</c:v>
                </c:pt>
                <c:pt idx="1725">
                  <c:v>-2.5118117093158115E-2</c:v>
                </c:pt>
                <c:pt idx="1726">
                  <c:v>6.877682193271651E-4</c:v>
                </c:pt>
                <c:pt idx="1727">
                  <c:v>-1.4495894751029484E-2</c:v>
                </c:pt>
                <c:pt idx="1728">
                  <c:v>2.2148955345664443E-2</c:v>
                </c:pt>
                <c:pt idx="1729">
                  <c:v>9.1442595157978125E-3</c:v>
                </c:pt>
                <c:pt idx="1730">
                  <c:v>-3.4261786852993421E-2</c:v>
                </c:pt>
                <c:pt idx="1731">
                  <c:v>-2.8208568676012381E-2</c:v>
                </c:pt>
                <c:pt idx="1732">
                  <c:v>1.353874356052079E-2</c:v>
                </c:pt>
                <c:pt idx="1733">
                  <c:v>-3.6431897455062377E-4</c:v>
                </c:pt>
                <c:pt idx="1734">
                  <c:v>3.240892875550587E-2</c:v>
                </c:pt>
                <c:pt idx="1735">
                  <c:v>6.4069354230067745E-3</c:v>
                </c:pt>
                <c:pt idx="1736">
                  <c:v>3.6352791840172587E-2</c:v>
                </c:pt>
                <c:pt idx="1737">
                  <c:v>-8.3318235188785186E-3</c:v>
                </c:pt>
                <c:pt idx="1738">
                  <c:v>6.2099183613520213E-3</c:v>
                </c:pt>
                <c:pt idx="1739">
                  <c:v>1.0773053809377523E-2</c:v>
                </c:pt>
                <c:pt idx="1740">
                  <c:v>-3.2321693169027943E-2</c:v>
                </c:pt>
                <c:pt idx="1741">
                  <c:v>6.286172162401623E-3</c:v>
                </c:pt>
                <c:pt idx="1742">
                  <c:v>-4.0977251125627383E-2</c:v>
                </c:pt>
                <c:pt idx="1743">
                  <c:v>2.6247570516686834E-2</c:v>
                </c:pt>
                <c:pt idx="1744">
                  <c:v>9.1276433846268264E-3</c:v>
                </c:pt>
                <c:pt idx="1745">
                  <c:v>4.5522193879193153E-3</c:v>
                </c:pt>
                <c:pt idx="1746">
                  <c:v>3.2430991255522337E-3</c:v>
                </c:pt>
                <c:pt idx="1747">
                  <c:v>-3.1762770566211046E-2</c:v>
                </c:pt>
                <c:pt idx="1748">
                  <c:v>-2.9934235461704831E-2</c:v>
                </c:pt>
                <c:pt idx="1749">
                  <c:v>1.0491975528018336E-2</c:v>
                </c:pt>
                <c:pt idx="1750">
                  <c:v>-2.697349958112486E-3</c:v>
                </c:pt>
                <c:pt idx="1751">
                  <c:v>-2.1226981658124911E-2</c:v>
                </c:pt>
                <c:pt idx="1752">
                  <c:v>-3.2956766428769629E-2</c:v>
                </c:pt>
                <c:pt idx="1753">
                  <c:v>-4.2651095630224942E-2</c:v>
                </c:pt>
                <c:pt idx="1754">
                  <c:v>6.6067149565398373E-2</c:v>
                </c:pt>
                <c:pt idx="1755">
                  <c:v>6.2066694857066049E-3</c:v>
                </c:pt>
                <c:pt idx="1756">
                  <c:v>-7.918402877539206E-3</c:v>
                </c:pt>
                <c:pt idx="1757">
                  <c:v>1.1823926113087826E-2</c:v>
                </c:pt>
                <c:pt idx="1758">
                  <c:v>-4.5096660371974706E-3</c:v>
                </c:pt>
                <c:pt idx="1759">
                  <c:v>-3.7503847481369708E-2</c:v>
                </c:pt>
                <c:pt idx="1760">
                  <c:v>4.5555248290102671E-2</c:v>
                </c:pt>
                <c:pt idx="1761">
                  <c:v>1.2803586336743032E-3</c:v>
                </c:pt>
                <c:pt idx="1762">
                  <c:v>7.1340911517680386E-3</c:v>
                </c:pt>
                <c:pt idx="1763">
                  <c:v>1.4374701585092348E-2</c:v>
                </c:pt>
                <c:pt idx="1764">
                  <c:v>-6.4737233908326369E-3</c:v>
                </c:pt>
                <c:pt idx="1765">
                  <c:v>-7.9009781942597813E-3</c:v>
                </c:pt>
                <c:pt idx="1766">
                  <c:v>-7.234921023274765E-3</c:v>
                </c:pt>
                <c:pt idx="1767">
                  <c:v>2.8261023742281965E-2</c:v>
                </c:pt>
                <c:pt idx="1768">
                  <c:v>3.5428334097862761E-3</c:v>
                </c:pt>
                <c:pt idx="1769">
                  <c:v>7.1502195528302297E-3</c:v>
                </c:pt>
                <c:pt idx="1770">
                  <c:v>1.5102639729213121E-2</c:v>
                </c:pt>
                <c:pt idx="1771">
                  <c:v>-1.9306709314755439E-2</c:v>
                </c:pt>
                <c:pt idx="1772">
                  <c:v>9.8570409760422289E-3</c:v>
                </c:pt>
                <c:pt idx="1773">
                  <c:v>-4.9733247805617475E-3</c:v>
                </c:pt>
                <c:pt idx="1774">
                  <c:v>9.3282959756077512E-3</c:v>
                </c:pt>
                <c:pt idx="1775">
                  <c:v>-2.0021114102183254E-2</c:v>
                </c:pt>
                <c:pt idx="1776">
                  <c:v>-2.0377597021254107E-2</c:v>
                </c:pt>
                <c:pt idx="1777">
                  <c:v>3.2817384600897392E-2</c:v>
                </c:pt>
                <c:pt idx="1778">
                  <c:v>-1.8274706085012471E-2</c:v>
                </c:pt>
                <c:pt idx="1779">
                  <c:v>-1.6075430817514502E-2</c:v>
                </c:pt>
                <c:pt idx="1780">
                  <c:v>2.8312658298117074E-2</c:v>
                </c:pt>
                <c:pt idx="1781">
                  <c:v>1.4083932921772405E-2</c:v>
                </c:pt>
                <c:pt idx="1782">
                  <c:v>-1.1353299296705822E-2</c:v>
                </c:pt>
                <c:pt idx="1783">
                  <c:v>-7.3591446952158916E-3</c:v>
                </c:pt>
                <c:pt idx="1784">
                  <c:v>3.9358998984485288E-3</c:v>
                </c:pt>
                <c:pt idx="1785">
                  <c:v>-4.1345137358318419E-3</c:v>
                </c:pt>
                <c:pt idx="1786">
                  <c:v>1.5829269143310658E-2</c:v>
                </c:pt>
                <c:pt idx="1787">
                  <c:v>-7.8434880734404094E-4</c:v>
                </c:pt>
                <c:pt idx="1788">
                  <c:v>8.8358961524562273E-4</c:v>
                </c:pt>
                <c:pt idx="1789">
                  <c:v>1.2024272039215874E-2</c:v>
                </c:pt>
                <c:pt idx="1790">
                  <c:v>-4.707497757703501E-4</c:v>
                </c:pt>
                <c:pt idx="1791">
                  <c:v>-4.8872924676124623E-3</c:v>
                </c:pt>
                <c:pt idx="1792">
                  <c:v>2.0769756009910434E-2</c:v>
                </c:pt>
                <c:pt idx="1793">
                  <c:v>1.4140710458649388E-2</c:v>
                </c:pt>
                <c:pt idx="1794">
                  <c:v>5.4682296201959005E-3</c:v>
                </c:pt>
                <c:pt idx="1795">
                  <c:v>6.9157417076037642E-3</c:v>
                </c:pt>
                <c:pt idx="1796">
                  <c:v>-1.6655927289782777E-3</c:v>
                </c:pt>
                <c:pt idx="1797">
                  <c:v>-1.2816648316578121E-3</c:v>
                </c:pt>
                <c:pt idx="1798">
                  <c:v>4.4223295851693722E-3</c:v>
                </c:pt>
                <c:pt idx="1799">
                  <c:v>-2.3028165621204358E-3</c:v>
                </c:pt>
                <c:pt idx="1800">
                  <c:v>-5.1700667073986762E-3</c:v>
                </c:pt>
                <c:pt idx="1801">
                  <c:v>4.5392217905511968E-4</c:v>
                </c:pt>
                <c:pt idx="1802">
                  <c:v>-1.2242663054064034E-2</c:v>
                </c:pt>
                <c:pt idx="1803">
                  <c:v>1.1096232246241644E-3</c:v>
                </c:pt>
                <c:pt idx="1804">
                  <c:v>2.089903646026911E-2</c:v>
                </c:pt>
                <c:pt idx="1805">
                  <c:v>6.82080602811291E-3</c:v>
                </c:pt>
                <c:pt idx="1806">
                  <c:v>7.8638821370470065E-3</c:v>
                </c:pt>
                <c:pt idx="1807">
                  <c:v>8.2079474134946957E-4</c:v>
                </c:pt>
                <c:pt idx="1808">
                  <c:v>1.1284225281454395E-2</c:v>
                </c:pt>
                <c:pt idx="1809">
                  <c:v>1.4308260119903205E-2</c:v>
                </c:pt>
                <c:pt idx="1810">
                  <c:v>7.0961804868603293E-4</c:v>
                </c:pt>
                <c:pt idx="1811">
                  <c:v>-1.1410244401914046E-3</c:v>
                </c:pt>
                <c:pt idx="1812">
                  <c:v>2.2822788625395465E-2</c:v>
                </c:pt>
                <c:pt idx="1813">
                  <c:v>-2.6786043677976001E-2</c:v>
                </c:pt>
                <c:pt idx="1814">
                  <c:v>5.1940686678493145E-3</c:v>
                </c:pt>
                <c:pt idx="1815">
                  <c:v>2.0091674995089161E-3</c:v>
                </c:pt>
                <c:pt idx="1816">
                  <c:v>-9.5797039407220317E-3</c:v>
                </c:pt>
                <c:pt idx="1817">
                  <c:v>1.3289879499328468E-3</c:v>
                </c:pt>
                <c:pt idx="1818">
                  <c:v>8.5105365368884373E-3</c:v>
                </c:pt>
                <c:pt idx="1819">
                  <c:v>9.1579732907711223E-3</c:v>
                </c:pt>
                <c:pt idx="1820">
                  <c:v>1.4635511905965305E-3</c:v>
                </c:pt>
                <c:pt idx="1821">
                  <c:v>6.6608608532643188E-3</c:v>
                </c:pt>
                <c:pt idx="1822">
                  <c:v>-5.1817475200204698E-3</c:v>
                </c:pt>
                <c:pt idx="1823">
                  <c:v>4.4859360128194029E-3</c:v>
                </c:pt>
                <c:pt idx="1824">
                  <c:v>3.4356239298800499E-4</c:v>
                </c:pt>
                <c:pt idx="1825">
                  <c:v>-5.5200694823878699E-3</c:v>
                </c:pt>
                <c:pt idx="1826">
                  <c:v>7.6580726283651023E-3</c:v>
                </c:pt>
                <c:pt idx="1827">
                  <c:v>1.1331346436375032E-3</c:v>
                </c:pt>
                <c:pt idx="1828">
                  <c:v>5.0352353188981144E-3</c:v>
                </c:pt>
                <c:pt idx="1829">
                  <c:v>7.7710597436313374E-4</c:v>
                </c:pt>
                <c:pt idx="1830">
                  <c:v>-2.2194076129330997E-3</c:v>
                </c:pt>
                <c:pt idx="1831">
                  <c:v>8.3365393757668434E-3</c:v>
                </c:pt>
                <c:pt idx="1832">
                  <c:v>1.2868482161267887E-2</c:v>
                </c:pt>
                <c:pt idx="1833">
                  <c:v>3.1807404075989702E-3</c:v>
                </c:pt>
                <c:pt idx="1834">
                  <c:v>1.3734849233922821E-2</c:v>
                </c:pt>
                <c:pt idx="1835">
                  <c:v>-3.5428126470111059E-3</c:v>
                </c:pt>
                <c:pt idx="1836">
                  <c:v>3.2506291106433348E-2</c:v>
                </c:pt>
                <c:pt idx="1837">
                  <c:v>5.7177736617001762E-3</c:v>
                </c:pt>
                <c:pt idx="1838">
                  <c:v>-9.5205166171579054E-4</c:v>
                </c:pt>
                <c:pt idx="1839">
                  <c:v>6.5887937159761793E-3</c:v>
                </c:pt>
                <c:pt idx="1840">
                  <c:v>-2.1252005429458997E-2</c:v>
                </c:pt>
                <c:pt idx="1841">
                  <c:v>-1.3046754413626235E-2</c:v>
                </c:pt>
                <c:pt idx="1842">
                  <c:v>2.0938143272151915E-2</c:v>
                </c:pt>
                <c:pt idx="1843">
                  <c:v>-5.7869675609028507E-3</c:v>
                </c:pt>
                <c:pt idx="1844">
                  <c:v>-2.0589575055901241E-2</c:v>
                </c:pt>
                <c:pt idx="1845">
                  <c:v>-8.4158082591853403E-5</c:v>
                </c:pt>
                <c:pt idx="1846">
                  <c:v>0</c:v>
                </c:pt>
                <c:pt idx="1847">
                  <c:v>1.2586777529175853E-2</c:v>
                </c:pt>
                <c:pt idx="1848">
                  <c:v>-3.0161773127956978E-2</c:v>
                </c:pt>
                <c:pt idx="1849">
                  <c:v>1.1242868129359091E-2</c:v>
                </c:pt>
                <c:pt idx="1850">
                  <c:v>1.402847156786859E-2</c:v>
                </c:pt>
                <c:pt idx="1851">
                  <c:v>2.2756214595863987E-2</c:v>
                </c:pt>
                <c:pt idx="1852">
                  <c:v>-6.798958020971249E-3</c:v>
                </c:pt>
                <c:pt idx="1853">
                  <c:v>-1.4546824991110084E-2</c:v>
                </c:pt>
                <c:pt idx="1854">
                  <c:v>5.3399113804156635E-3</c:v>
                </c:pt>
                <c:pt idx="1855">
                  <c:v>6.1446031263222281E-3</c:v>
                </c:pt>
                <c:pt idx="1856">
                  <c:v>-1.1726399879273994E-2</c:v>
                </c:pt>
                <c:pt idx="1857">
                  <c:v>3.919916981317711E-4</c:v>
                </c:pt>
                <c:pt idx="1858">
                  <c:v>-4.7541401531823839E-4</c:v>
                </c:pt>
                <c:pt idx="1859">
                  <c:v>-9.5981691547617608E-3</c:v>
                </c:pt>
                <c:pt idx="1860">
                  <c:v>6.2555569689866919E-3</c:v>
                </c:pt>
                <c:pt idx="1861">
                  <c:v>-1.6508236383654212E-2</c:v>
                </c:pt>
                <c:pt idx="1862">
                  <c:v>-3.1579888286259822E-2</c:v>
                </c:pt>
                <c:pt idx="1863">
                  <c:v>2.7256064310116193E-2</c:v>
                </c:pt>
                <c:pt idx="1864">
                  <c:v>2.1560029900901521E-2</c:v>
                </c:pt>
                <c:pt idx="1865">
                  <c:v>1.5627457636421441E-2</c:v>
                </c:pt>
                <c:pt idx="1866">
                  <c:v>2.761327656959375E-2</c:v>
                </c:pt>
                <c:pt idx="1867">
                  <c:v>9.0190200876480494E-3</c:v>
                </c:pt>
                <c:pt idx="1868">
                  <c:v>-3.801832319894755E-3</c:v>
                </c:pt>
                <c:pt idx="1869">
                  <c:v>-4.5045121211045409E-3</c:v>
                </c:pt>
                <c:pt idx="1870">
                  <c:v>6.136775556539251E-3</c:v>
                </c:pt>
                <c:pt idx="1871">
                  <c:v>1.0257675269951397E-3</c:v>
                </c:pt>
                <c:pt idx="1872">
                  <c:v>3.0076165307298024E-3</c:v>
                </c:pt>
                <c:pt idx="1873">
                  <c:v>1.7274245843162058E-2</c:v>
                </c:pt>
                <c:pt idx="1874">
                  <c:v>4.0183327102437895E-3</c:v>
                </c:pt>
                <c:pt idx="1875">
                  <c:v>9.1959463466021862E-3</c:v>
                </c:pt>
                <c:pt idx="1876">
                  <c:v>1.5370427328120946E-4</c:v>
                </c:pt>
                <c:pt idx="1877">
                  <c:v>5.8538845602384886E-3</c:v>
                </c:pt>
                <c:pt idx="1878">
                  <c:v>-3.2013414398269026E-2</c:v>
                </c:pt>
                <c:pt idx="1879">
                  <c:v>3.8499588944870024E-3</c:v>
                </c:pt>
                <c:pt idx="1880">
                  <c:v>1.5311353413142348E-3</c:v>
                </c:pt>
                <c:pt idx="1881">
                  <c:v>-1.3032795808813409E-3</c:v>
                </c:pt>
                <c:pt idx="1882">
                  <c:v>1.2654493469280416E-2</c:v>
                </c:pt>
                <c:pt idx="1883">
                  <c:v>6.5721547274296601E-3</c:v>
                </c:pt>
                <c:pt idx="1884">
                  <c:v>6.3761028465540706E-3</c:v>
                </c:pt>
                <c:pt idx="1885">
                  <c:v>-2.8450175819157309E-3</c:v>
                </c:pt>
                <c:pt idx="1886">
                  <c:v>-7.5286746175296112E-4</c:v>
                </c:pt>
                <c:pt idx="1887">
                  <c:v>-3.6648691333165417E-3</c:v>
                </c:pt>
                <c:pt idx="1888">
                  <c:v>1.0092064642526781E-2</c:v>
                </c:pt>
                <c:pt idx="1889">
                  <c:v>4.0312955866382639E-3</c:v>
                </c:pt>
                <c:pt idx="1890">
                  <c:v>3.636298630162467E-3</c:v>
                </c:pt>
                <c:pt idx="1891">
                  <c:v>0</c:v>
                </c:pt>
                <c:pt idx="1892">
                  <c:v>-1.3188345460196448E-2</c:v>
                </c:pt>
                <c:pt idx="1893">
                  <c:v>-5.7907786835837173E-3</c:v>
                </c:pt>
                <c:pt idx="1894">
                  <c:v>9.8803558790395399E-4</c:v>
                </c:pt>
                <c:pt idx="1895">
                  <c:v>1.4262973047803843E-3</c:v>
                </c:pt>
                <c:pt idx="1896">
                  <c:v>1.3141417139995868E-2</c:v>
                </c:pt>
                <c:pt idx="1897">
                  <c:v>6.2987440257627047E-3</c:v>
                </c:pt>
                <c:pt idx="1898">
                  <c:v>1.0066505337499506E-2</c:v>
                </c:pt>
                <c:pt idx="1899">
                  <c:v>-3.747119106068994E-3</c:v>
                </c:pt>
                <c:pt idx="1900">
                  <c:v>8.254993115828729E-3</c:v>
                </c:pt>
                <c:pt idx="1901">
                  <c:v>-2.243933563942954E-3</c:v>
                </c:pt>
                <c:pt idx="1902">
                  <c:v>-4.8254517890979759E-3</c:v>
                </c:pt>
                <c:pt idx="1903">
                  <c:v>-2.9359488052661399E-2</c:v>
                </c:pt>
                <c:pt idx="1904">
                  <c:v>1.2814687221244632E-2</c:v>
                </c:pt>
                <c:pt idx="1905">
                  <c:v>-8.36850595654017E-3</c:v>
                </c:pt>
                <c:pt idx="1906">
                  <c:v>-3.4932618111648037E-2</c:v>
                </c:pt>
                <c:pt idx="1907">
                  <c:v>1.871734541001879E-2</c:v>
                </c:pt>
                <c:pt idx="1908">
                  <c:v>4.2730775767958491E-3</c:v>
                </c:pt>
                <c:pt idx="1909">
                  <c:v>2.6406936810361617E-2</c:v>
                </c:pt>
                <c:pt idx="1910">
                  <c:v>-8.630781707524661E-3</c:v>
                </c:pt>
                <c:pt idx="1911">
                  <c:v>-1.3916480751875083E-2</c:v>
                </c:pt>
                <c:pt idx="1912">
                  <c:v>2.040033769123864E-2</c:v>
                </c:pt>
                <c:pt idx="1913">
                  <c:v>-3.0433762466010154E-2</c:v>
                </c:pt>
                <c:pt idx="1914">
                  <c:v>-2.3044193892784609E-3</c:v>
                </c:pt>
                <c:pt idx="1915">
                  <c:v>1.8080300288100828E-2</c:v>
                </c:pt>
                <c:pt idx="1916">
                  <c:v>1.6653231472233708E-2</c:v>
                </c:pt>
                <c:pt idx="1917">
                  <c:v>-8.4027711917266396E-3</c:v>
                </c:pt>
                <c:pt idx="1918">
                  <c:v>1.1195635691359895E-2</c:v>
                </c:pt>
                <c:pt idx="1919">
                  <c:v>-7.3965114801071369E-3</c:v>
                </c:pt>
                <c:pt idx="1920">
                  <c:v>-3.2274468174135137E-2</c:v>
                </c:pt>
                <c:pt idx="1921">
                  <c:v>1.5326927319912467E-2</c:v>
                </c:pt>
                <c:pt idx="1922">
                  <c:v>2.1738214036649884E-3</c:v>
                </c:pt>
                <c:pt idx="1923">
                  <c:v>-1.337772151922697E-3</c:v>
                </c:pt>
                <c:pt idx="1924">
                  <c:v>1.8643841233503159E-2</c:v>
                </c:pt>
                <c:pt idx="1925">
                  <c:v>-1.938611269501298E-3</c:v>
                </c:pt>
                <c:pt idx="1926">
                  <c:v>-1.3314021445672375E-2</c:v>
                </c:pt>
                <c:pt idx="1927">
                  <c:v>1.1600355495732623E-2</c:v>
                </c:pt>
                <c:pt idx="1928">
                  <c:v>1.75753307439959E-2</c:v>
                </c:pt>
                <c:pt idx="1929">
                  <c:v>-6.8995854382081587E-3</c:v>
                </c:pt>
                <c:pt idx="1930">
                  <c:v>-1.1491720154979859E-2</c:v>
                </c:pt>
                <c:pt idx="1931">
                  <c:v>-1.0491376503833069E-2</c:v>
                </c:pt>
                <c:pt idx="1932">
                  <c:v>3.0833269341620296E-4</c:v>
                </c:pt>
                <c:pt idx="1933">
                  <c:v>1.0183043810416863E-2</c:v>
                </c:pt>
                <c:pt idx="1934">
                  <c:v>-1.4047305075105356E-3</c:v>
                </c:pt>
                <c:pt idx="1935">
                  <c:v>-7.2765513386910761E-3</c:v>
                </c:pt>
                <c:pt idx="1936">
                  <c:v>7.7730131041478037E-3</c:v>
                </c:pt>
                <c:pt idx="1937">
                  <c:v>8.2660496137530806E-3</c:v>
                </c:pt>
                <c:pt idx="1938">
                  <c:v>1.8324629002643616E-2</c:v>
                </c:pt>
                <c:pt idx="1939">
                  <c:v>-1.1704962532164421E-2</c:v>
                </c:pt>
                <c:pt idx="1940">
                  <c:v>-2.1991769484566116E-3</c:v>
                </c:pt>
                <c:pt idx="1941">
                  <c:v>-1.2755265296415611E-2</c:v>
                </c:pt>
                <c:pt idx="1942">
                  <c:v>1.4367464111767109E-2</c:v>
                </c:pt>
                <c:pt idx="1943">
                  <c:v>1.263832740499318E-3</c:v>
                </c:pt>
                <c:pt idx="1944">
                  <c:v>-1.3083952262247641E-2</c:v>
                </c:pt>
                <c:pt idx="1945">
                  <c:v>9.4008455555753181E-3</c:v>
                </c:pt>
                <c:pt idx="1946">
                  <c:v>-1.4188192305423595E-2</c:v>
                </c:pt>
                <c:pt idx="1947">
                  <c:v>-1.7869201335653052E-2</c:v>
                </c:pt>
                <c:pt idx="1948">
                  <c:v>1.2097046624586686E-2</c:v>
                </c:pt>
                <c:pt idx="1949">
                  <c:v>1.3457403842223154E-2</c:v>
                </c:pt>
                <c:pt idx="1950">
                  <c:v>-7.3026409631616919E-3</c:v>
                </c:pt>
                <c:pt idx="1951">
                  <c:v>-1.0513580943439607E-2</c:v>
                </c:pt>
                <c:pt idx="1952">
                  <c:v>1.8628560385129625E-2</c:v>
                </c:pt>
                <c:pt idx="1953">
                  <c:v>6.2111296078181475E-3</c:v>
                </c:pt>
                <c:pt idx="1954">
                  <c:v>4.1845158936446979E-3</c:v>
                </c:pt>
                <c:pt idx="1955">
                  <c:v>-9.4675630353041487E-4</c:v>
                </c:pt>
                <c:pt idx="1956">
                  <c:v>1.4352652815580834E-2</c:v>
                </c:pt>
                <c:pt idx="1957">
                  <c:v>-8.2146986343897138E-3</c:v>
                </c:pt>
                <c:pt idx="1958">
                  <c:v>-5.1160968667656815E-3</c:v>
                </c:pt>
                <c:pt idx="1959">
                  <c:v>-1.6506897908568987E-2</c:v>
                </c:pt>
                <c:pt idx="1960">
                  <c:v>7.4466851302489711E-3</c:v>
                </c:pt>
                <c:pt idx="1961">
                  <c:v>-1.5064630954733123E-2</c:v>
                </c:pt>
                <c:pt idx="1962">
                  <c:v>6.3650521641776484E-3</c:v>
                </c:pt>
                <c:pt idx="1963">
                  <c:v>1.9583014525826212E-2</c:v>
                </c:pt>
                <c:pt idx="1964">
                  <c:v>5.6287220149467175E-3</c:v>
                </c:pt>
                <c:pt idx="1965">
                  <c:v>2.423526480851489E-2</c:v>
                </c:pt>
                <c:pt idx="1966">
                  <c:v>-9.4298255060913348E-3</c:v>
                </c:pt>
                <c:pt idx="1967">
                  <c:v>1.2335832811032371E-2</c:v>
                </c:pt>
                <c:pt idx="1968">
                  <c:v>-8.597127031722121E-3</c:v>
                </c:pt>
                <c:pt idx="1969">
                  <c:v>2.3533377813467356E-3</c:v>
                </c:pt>
                <c:pt idx="1970">
                  <c:v>5.8156837557423388E-3</c:v>
                </c:pt>
                <c:pt idx="1971">
                  <c:v>-6.3887096253993875E-4</c:v>
                </c:pt>
                <c:pt idx="1972">
                  <c:v>-2.763457241552855E-3</c:v>
                </c:pt>
                <c:pt idx="1973">
                  <c:v>1.4263157631744547E-3</c:v>
                </c:pt>
                <c:pt idx="1974">
                  <c:v>1.1783552813578048E-2</c:v>
                </c:pt>
                <c:pt idx="1975">
                  <c:v>9.8410004099103274E-4</c:v>
                </c:pt>
                <c:pt idx="1976">
                  <c:v>6.49085725829434E-3</c:v>
                </c:pt>
                <c:pt idx="1977">
                  <c:v>1.6820262398967098E-3</c:v>
                </c:pt>
                <c:pt idx="1978">
                  <c:v>5.0645967264530802E-3</c:v>
                </c:pt>
                <c:pt idx="1979">
                  <c:v>1.2798755460274772E-2</c:v>
                </c:pt>
                <c:pt idx="1980">
                  <c:v>2.515091869065773E-3</c:v>
                </c:pt>
                <c:pt idx="1981">
                  <c:v>2.7208891196247198E-4</c:v>
                </c:pt>
                <c:pt idx="1982">
                  <c:v>-1.6965308973382318E-3</c:v>
                </c:pt>
                <c:pt idx="1983">
                  <c:v>-9.5775068753455191E-4</c:v>
                </c:pt>
                <c:pt idx="1984">
                  <c:v>7.5509166065259139E-4</c:v>
                </c:pt>
                <c:pt idx="1985">
                  <c:v>1.0995843166571317E-2</c:v>
                </c:pt>
                <c:pt idx="1986">
                  <c:v>5.1778756821939343E-3</c:v>
                </c:pt>
                <c:pt idx="1987">
                  <c:v>1.8824763551068139E-3</c:v>
                </c:pt>
                <c:pt idx="1988">
                  <c:v>-6.0585383253932224E-3</c:v>
                </c:pt>
                <c:pt idx="1989">
                  <c:v>-1.2270263100481679E-2</c:v>
                </c:pt>
                <c:pt idx="1990">
                  <c:v>-1.6582069281241838E-3</c:v>
                </c:pt>
                <c:pt idx="1991">
                  <c:v>3.6207104825410033E-3</c:v>
                </c:pt>
                <c:pt idx="1992">
                  <c:v>5.5104298483261494E-4</c:v>
                </c:pt>
                <c:pt idx="1993">
                  <c:v>1.2046751774586332E-2</c:v>
                </c:pt>
                <c:pt idx="1994">
                  <c:v>-2.407437312223943E-3</c:v>
                </c:pt>
                <c:pt idx="1995">
                  <c:v>-1.5689855616549575E-3</c:v>
                </c:pt>
                <c:pt idx="1996">
                  <c:v>3.7145760252256469E-3</c:v>
                </c:pt>
                <c:pt idx="1997">
                  <c:v>9.9773510532256051E-3</c:v>
                </c:pt>
                <c:pt idx="1998">
                  <c:v>8.4928220005365453E-3</c:v>
                </c:pt>
                <c:pt idx="1999">
                  <c:v>6.5881321921446362E-3</c:v>
                </c:pt>
                <c:pt idx="2000">
                  <c:v>-5.5265143086497808E-3</c:v>
                </c:pt>
                <c:pt idx="2001">
                  <c:v>-2.1243639973759464E-3</c:v>
                </c:pt>
                <c:pt idx="2002">
                  <c:v>8.7726662982796858E-3</c:v>
                </c:pt>
                <c:pt idx="2003">
                  <c:v>1.0624580321037084E-2</c:v>
                </c:pt>
                <c:pt idx="2004">
                  <c:v>0</c:v>
                </c:pt>
                <c:pt idx="2005">
                  <c:v>-1.9929714606025734E-4</c:v>
                </c:pt>
                <c:pt idx="2006">
                  <c:v>8.3496465768216951E-3</c:v>
                </c:pt>
                <c:pt idx="2007">
                  <c:v>1.790510773788072E-3</c:v>
                </c:pt>
                <c:pt idx="2008">
                  <c:v>-8.7724496409065152E-3</c:v>
                </c:pt>
                <c:pt idx="2009">
                  <c:v>7.2293394935662449E-4</c:v>
                </c:pt>
                <c:pt idx="2010">
                  <c:v>1.8289707771454108E-2</c:v>
                </c:pt>
                <c:pt idx="2011">
                  <c:v>-1.2360189977021751E-2</c:v>
                </c:pt>
                <c:pt idx="2012">
                  <c:v>2.5802728866679767E-3</c:v>
                </c:pt>
                <c:pt idx="2013">
                  <c:v>-9.2990750269248551E-3</c:v>
                </c:pt>
                <c:pt idx="2014">
                  <c:v>1.6008135113260248E-2</c:v>
                </c:pt>
                <c:pt idx="2015">
                  <c:v>1.2240150221319178E-2</c:v>
                </c:pt>
                <c:pt idx="2016">
                  <c:v>-4.6810632074585912E-3</c:v>
                </c:pt>
                <c:pt idx="2017">
                  <c:v>1.2148532310925202E-2</c:v>
                </c:pt>
                <c:pt idx="2018">
                  <c:v>-7.2094844779191794E-3</c:v>
                </c:pt>
                <c:pt idx="2019">
                  <c:v>6.5882530748674634E-3</c:v>
                </c:pt>
                <c:pt idx="2020">
                  <c:v>1.8037038238526034E-2</c:v>
                </c:pt>
                <c:pt idx="2021">
                  <c:v>5.6404984423680483E-3</c:v>
                </c:pt>
                <c:pt idx="2022">
                  <c:v>-3.6102706172831366E-3</c:v>
                </c:pt>
                <c:pt idx="2023">
                  <c:v>-4.9160872363131951E-3</c:v>
                </c:pt>
                <c:pt idx="2024">
                  <c:v>6.2589252182747223E-3</c:v>
                </c:pt>
                <c:pt idx="2025">
                  <c:v>-1.0280225797791732E-2</c:v>
                </c:pt>
                <c:pt idx="2026">
                  <c:v>-1.6783494586558388E-2</c:v>
                </c:pt>
                <c:pt idx="2027">
                  <c:v>1.9384012991842416E-2</c:v>
                </c:pt>
                <c:pt idx="2028">
                  <c:v>1.5493784311600272E-2</c:v>
                </c:pt>
                <c:pt idx="2029">
                  <c:v>2.7874081739308044E-2</c:v>
                </c:pt>
                <c:pt idx="2030">
                  <c:v>-1.4886524939580552E-2</c:v>
                </c:pt>
                <c:pt idx="2031">
                  <c:v>2.4107787590782817E-2</c:v>
                </c:pt>
                <c:pt idx="2032">
                  <c:v>3.2384377783480786E-2</c:v>
                </c:pt>
                <c:pt idx="2033">
                  <c:v>-1.2487042687489769E-3</c:v>
                </c:pt>
                <c:pt idx="2034">
                  <c:v>2.0455245587038446E-2</c:v>
                </c:pt>
                <c:pt idx="2035">
                  <c:v>1.4395163890848317E-3</c:v>
                </c:pt>
                <c:pt idx="2036">
                  <c:v>2.5878970721355768E-2</c:v>
                </c:pt>
                <c:pt idx="2037">
                  <c:v>-2.2824735850757567E-2</c:v>
                </c:pt>
                <c:pt idx="2038">
                  <c:v>1.4896674792931916E-3</c:v>
                </c:pt>
                <c:pt idx="2039">
                  <c:v>-5.5393942761801877E-3</c:v>
                </c:pt>
                <c:pt idx="2040">
                  <c:v>9.0141998076491096E-3</c:v>
                </c:pt>
                <c:pt idx="2041">
                  <c:v>9.9338007718822903E-3</c:v>
                </c:pt>
                <c:pt idx="2042">
                  <c:v>3.0500833562157855E-3</c:v>
                </c:pt>
                <c:pt idx="2043">
                  <c:v>-1.5293425702932963E-2</c:v>
                </c:pt>
                <c:pt idx="2044">
                  <c:v>-3.2211466337707377E-2</c:v>
                </c:pt>
                <c:pt idx="2045">
                  <c:v>-4.4000450474761851E-2</c:v>
                </c:pt>
                <c:pt idx="2046">
                  <c:v>-1.6659567227324496E-2</c:v>
                </c:pt>
                <c:pt idx="2047">
                  <c:v>1.2361325454226985E-2</c:v>
                </c:pt>
                <c:pt idx="2048">
                  <c:v>-7.2990599915806947E-2</c:v>
                </c:pt>
                <c:pt idx="2049">
                  <c:v>2.3850505652217437E-2</c:v>
                </c:pt>
                <c:pt idx="2050">
                  <c:v>6.4450827915758638E-2</c:v>
                </c:pt>
                <c:pt idx="2051">
                  <c:v>-4.9224117426983474E-2</c:v>
                </c:pt>
                <c:pt idx="2052">
                  <c:v>3.618403249704872E-2</c:v>
                </c:pt>
                <c:pt idx="2053">
                  <c:v>-2.5409513243650653E-2</c:v>
                </c:pt>
                <c:pt idx="2054">
                  <c:v>-2.8707975053232269E-2</c:v>
                </c:pt>
                <c:pt idx="2055">
                  <c:v>-7.0103004690099474E-2</c:v>
                </c:pt>
                <c:pt idx="2056">
                  <c:v>6.6003180658621236E-2</c:v>
                </c:pt>
                <c:pt idx="2057">
                  <c:v>-4.6311447172773496E-2</c:v>
                </c:pt>
                <c:pt idx="2058">
                  <c:v>-9.9593127059145456E-2</c:v>
                </c:pt>
                <c:pt idx="2059">
                  <c:v>0.13297171499172128</c:v>
                </c:pt>
                <c:pt idx="2060">
                  <c:v>-0.15954897976785201</c:v>
                </c:pt>
                <c:pt idx="2061">
                  <c:v>7.9225612262855002E-2</c:v>
                </c:pt>
                <c:pt idx="2062">
                  <c:v>-4.3022700482659472E-2</c:v>
                </c:pt>
                <c:pt idx="2063">
                  <c:v>1.616853074436405E-2</c:v>
                </c:pt>
                <c:pt idx="2064">
                  <c:v>-3.817433624706023E-2</c:v>
                </c:pt>
                <c:pt idx="2065">
                  <c:v>-1.0063217921846394E-2</c:v>
                </c:pt>
                <c:pt idx="2066">
                  <c:v>8.695706088843877E-2</c:v>
                </c:pt>
                <c:pt idx="2067">
                  <c:v>-9.5136234457379436E-3</c:v>
                </c:pt>
                <c:pt idx="2068">
                  <c:v>6.0583711588914117E-2</c:v>
                </c:pt>
                <c:pt idx="2069">
                  <c:v>-4.184808044089941E-2</c:v>
                </c:pt>
                <c:pt idx="2070">
                  <c:v>6.7798390487634724E-2</c:v>
                </c:pt>
                <c:pt idx="2071">
                  <c:v>-1.5696808779222787E-2</c:v>
                </c:pt>
                <c:pt idx="2072">
                  <c:v>-3.6230042306715671E-2</c:v>
                </c:pt>
                <c:pt idx="2073">
                  <c:v>2.0672448078470171E-2</c:v>
                </c:pt>
                <c:pt idx="2074">
                  <c:v>-9.3504020653878625E-3</c:v>
                </c:pt>
                <c:pt idx="2075">
                  <c:v>7.1644055297894443E-2</c:v>
                </c:pt>
                <c:pt idx="2076">
                  <c:v>-1.0592513095626185E-2</c:v>
                </c:pt>
                <c:pt idx="2077">
                  <c:v>9.727758723488909E-3</c:v>
                </c:pt>
                <c:pt idx="2078">
                  <c:v>5.683163629269371E-5</c:v>
                </c:pt>
                <c:pt idx="2079">
                  <c:v>2.2832212154163447E-3</c:v>
                </c:pt>
                <c:pt idx="2080">
                  <c:v>4.8355366485283789E-2</c:v>
                </c:pt>
                <c:pt idx="2081">
                  <c:v>-1.0499544328989523E-2</c:v>
                </c:pt>
                <c:pt idx="2082">
                  <c:v>2.9602441227702763E-2</c:v>
                </c:pt>
                <c:pt idx="2083">
                  <c:v>8.695579498424047E-3</c:v>
                </c:pt>
                <c:pt idx="2084">
                  <c:v>-2.0025316709070796E-2</c:v>
                </c:pt>
                <c:pt idx="2085">
                  <c:v>-4.2189623164648166E-2</c:v>
                </c:pt>
                <c:pt idx="2086">
                  <c:v>3.335342904407005E-2</c:v>
                </c:pt>
                <c:pt idx="2087">
                  <c:v>-1.2163864384446039E-2</c:v>
                </c:pt>
                <c:pt idx="2088">
                  <c:v>1.8202703728292993E-2</c:v>
                </c:pt>
                <c:pt idx="2089">
                  <c:v>-2.9190115235404944E-3</c:v>
                </c:pt>
                <c:pt idx="2090">
                  <c:v>-2.4713429167796064E-2</c:v>
                </c:pt>
                <c:pt idx="2091">
                  <c:v>4.4006632102474824E-2</c:v>
                </c:pt>
                <c:pt idx="2092">
                  <c:v>9.8812144481989182E-3</c:v>
                </c:pt>
                <c:pt idx="2093">
                  <c:v>-2.6135955807234587E-2</c:v>
                </c:pt>
                <c:pt idx="2094">
                  <c:v>2.4074231499304787E-2</c:v>
                </c:pt>
                <c:pt idx="2095">
                  <c:v>1.0710608485742876E-2</c:v>
                </c:pt>
                <c:pt idx="2096">
                  <c:v>9.7577989376669196E-3</c:v>
                </c:pt>
                <c:pt idx="2097">
                  <c:v>5.7922641503613693E-3</c:v>
                </c:pt>
                <c:pt idx="2098">
                  <c:v>5.9621555380424008E-3</c:v>
                </c:pt>
                <c:pt idx="2099">
                  <c:v>1.0920111772612883E-2</c:v>
                </c:pt>
                <c:pt idx="2100">
                  <c:v>-2.2845905193270385E-2</c:v>
                </c:pt>
                <c:pt idx="2101">
                  <c:v>-1.5179672380605391E-2</c:v>
                </c:pt>
                <c:pt idx="2102">
                  <c:v>4.2888339184030495E-3</c:v>
                </c:pt>
                <c:pt idx="2103">
                  <c:v>1.4403836161147843E-2</c:v>
                </c:pt>
                <c:pt idx="2104">
                  <c:v>9.6257821580511566E-3</c:v>
                </c:pt>
                <c:pt idx="2105">
                  <c:v>-7.0161432119653462E-3</c:v>
                </c:pt>
                <c:pt idx="2106">
                  <c:v>1.3832212306333691E-2</c:v>
                </c:pt>
                <c:pt idx="2107">
                  <c:v>-1.2118901965345052E-2</c:v>
                </c:pt>
                <c:pt idx="2108">
                  <c:v>4.4203404381829703E-4</c:v>
                </c:pt>
                <c:pt idx="2109">
                  <c:v>-1.0674575468195183E-2</c:v>
                </c:pt>
                <c:pt idx="2110">
                  <c:v>1.3277022403865343E-3</c:v>
                </c:pt>
                <c:pt idx="2111">
                  <c:v>-2.169875096001968E-3</c:v>
                </c:pt>
                <c:pt idx="2112">
                  <c:v>1.0076585688080283E-2</c:v>
                </c:pt>
                <c:pt idx="2113">
                  <c:v>-2.334744139412977E-3</c:v>
                </c:pt>
                <c:pt idx="2114">
                  <c:v>1.1383455078869587E-2</c:v>
                </c:pt>
                <c:pt idx="2115">
                  <c:v>2.4598047929572826E-3</c:v>
                </c:pt>
                <c:pt idx="2116">
                  <c:v>-1.334858894583087E-2</c:v>
                </c:pt>
                <c:pt idx="2117">
                  <c:v>2.3172179627676783E-2</c:v>
                </c:pt>
                <c:pt idx="2118">
                  <c:v>6.218061213267536E-3</c:v>
                </c:pt>
                <c:pt idx="2119">
                  <c:v>7.6268457253000788E-3</c:v>
                </c:pt>
                <c:pt idx="2120">
                  <c:v>3.6403641093924292E-2</c:v>
                </c:pt>
                <c:pt idx="2121">
                  <c:v>-5.5310158337811041E-2</c:v>
                </c:pt>
                <c:pt idx="2122">
                  <c:v>7.9290474684969893E-3</c:v>
                </c:pt>
                <c:pt idx="2123">
                  <c:v>6.4204526051138758E-3</c:v>
                </c:pt>
                <c:pt idx="2124">
                  <c:v>2.4209044822862409E-2</c:v>
                </c:pt>
                <c:pt idx="2125">
                  <c:v>3.4210249242937057E-3</c:v>
                </c:pt>
                <c:pt idx="2126">
                  <c:v>1.0691359818490731E-2</c:v>
                </c:pt>
                <c:pt idx="2127">
                  <c:v>-6.0664196667672698E-3</c:v>
                </c:pt>
                <c:pt idx="2128">
                  <c:v>2.7469966954298285E-2</c:v>
                </c:pt>
                <c:pt idx="2129">
                  <c:v>6.6597852458139279E-3</c:v>
                </c:pt>
                <c:pt idx="2130">
                  <c:v>-2.0387159182017708E-2</c:v>
                </c:pt>
                <c:pt idx="2131">
                  <c:v>1.2560322009983816E-2</c:v>
                </c:pt>
                <c:pt idx="2132">
                  <c:v>-2.0183536552660013E-2</c:v>
                </c:pt>
                <c:pt idx="2133">
                  <c:v>1.065106307071529E-2</c:v>
                </c:pt>
                <c:pt idx="2134">
                  <c:v>2.5176458849136725E-2</c:v>
                </c:pt>
                <c:pt idx="2135">
                  <c:v>5.8687348451808563E-3</c:v>
                </c:pt>
                <c:pt idx="2136">
                  <c:v>7.6104869333954387E-3</c:v>
                </c:pt>
                <c:pt idx="2137">
                  <c:v>2.1291566091426514E-2</c:v>
                </c:pt>
                <c:pt idx="2138">
                  <c:v>-1.1689421397819599E-2</c:v>
                </c:pt>
                <c:pt idx="2139">
                  <c:v>2.1793939475034798E-2</c:v>
                </c:pt>
                <c:pt idx="2140">
                  <c:v>6.8644473492652305E-3</c:v>
                </c:pt>
                <c:pt idx="2141">
                  <c:v>-3.0418052695890215E-3</c:v>
                </c:pt>
                <c:pt idx="2142">
                  <c:v>-3.1239257243272017E-2</c:v>
                </c:pt>
                <c:pt idx="2143">
                  <c:v>6.1068586393063775E-3</c:v>
                </c:pt>
                <c:pt idx="2144">
                  <c:v>-1.4982323663950638E-3</c:v>
                </c:pt>
                <c:pt idx="2145">
                  <c:v>-2.0081746241850544E-2</c:v>
                </c:pt>
                <c:pt idx="2146">
                  <c:v>-4.9892752510942639E-3</c:v>
                </c:pt>
                <c:pt idx="2147">
                  <c:v>4.2107681415082795E-2</c:v>
                </c:pt>
                <c:pt idx="2148">
                  <c:v>-1.3683731453411488E-2</c:v>
                </c:pt>
                <c:pt idx="2149">
                  <c:v>1.439592447307989E-2</c:v>
                </c:pt>
                <c:pt idx="2150">
                  <c:v>-4.4517602400852577E-2</c:v>
                </c:pt>
                <c:pt idx="2151">
                  <c:v>-6.1533585677044662E-3</c:v>
                </c:pt>
                <c:pt idx="2152">
                  <c:v>1.2493553943566809E-2</c:v>
                </c:pt>
                <c:pt idx="2153">
                  <c:v>-8.8999237359751373E-3</c:v>
                </c:pt>
                <c:pt idx="2154">
                  <c:v>9.9552736161008706E-3</c:v>
                </c:pt>
                <c:pt idx="2155">
                  <c:v>-8.0543212216831596E-4</c:v>
                </c:pt>
                <c:pt idx="2156">
                  <c:v>5.5128781595656018E-3</c:v>
                </c:pt>
                <c:pt idx="2157">
                  <c:v>5.4700981441156975E-2</c:v>
                </c:pt>
                <c:pt idx="2158">
                  <c:v>-1.5114198416320942E-2</c:v>
                </c:pt>
                <c:pt idx="2159">
                  <c:v>-1.580696323233861E-3</c:v>
                </c:pt>
                <c:pt idx="2160">
                  <c:v>1.5897492499162266E-2</c:v>
                </c:pt>
                <c:pt idx="2161">
                  <c:v>-1.8087270828274868E-2</c:v>
                </c:pt>
                <c:pt idx="2162">
                  <c:v>-2.0136500791179502E-2</c:v>
                </c:pt>
                <c:pt idx="2163">
                  <c:v>-2.3684453478093965E-2</c:v>
                </c:pt>
                <c:pt idx="2164">
                  <c:v>2.8167894700740787E-2</c:v>
                </c:pt>
                <c:pt idx="2165">
                  <c:v>-2.2890251287709272E-3</c:v>
                </c:pt>
                <c:pt idx="2166">
                  <c:v>8.7641988111372855E-4</c:v>
                </c:pt>
                <c:pt idx="2167">
                  <c:v>6.5883385025299014E-3</c:v>
                </c:pt>
                <c:pt idx="2168">
                  <c:v>5.827729190318702E-3</c:v>
                </c:pt>
                <c:pt idx="2169">
                  <c:v>-6.1590851066935758E-3</c:v>
                </c:pt>
                <c:pt idx="2170">
                  <c:v>2.3006268495640466E-2</c:v>
                </c:pt>
                <c:pt idx="2171">
                  <c:v>-7.2919188131017644E-3</c:v>
                </c:pt>
                <c:pt idx="2172">
                  <c:v>3.0920942929290218E-3</c:v>
                </c:pt>
                <c:pt idx="2173">
                  <c:v>1.2944727551134811E-2</c:v>
                </c:pt>
                <c:pt idx="2174">
                  <c:v>2.1399759482801563E-2</c:v>
                </c:pt>
                <c:pt idx="2175">
                  <c:v>2.4294193491924493E-2</c:v>
                </c:pt>
                <c:pt idx="2176">
                  <c:v>1.028363968047466E-2</c:v>
                </c:pt>
                <c:pt idx="2177">
                  <c:v>-1.4982340124970855E-2</c:v>
                </c:pt>
                <c:pt idx="2178">
                  <c:v>7.788522495634837E-3</c:v>
                </c:pt>
                <c:pt idx="2179">
                  <c:v>1.908014028032708E-2</c:v>
                </c:pt>
                <c:pt idx="2180">
                  <c:v>-6.3970943078115211E-2</c:v>
                </c:pt>
                <c:pt idx="2181">
                  <c:v>-1.4185930582200334E-2</c:v>
                </c:pt>
                <c:pt idx="2182">
                  <c:v>-5.5524204528849173E-2</c:v>
                </c:pt>
                <c:pt idx="2183">
                  <c:v>4.1703716285831367E-2</c:v>
                </c:pt>
                <c:pt idx="2184">
                  <c:v>-2.8485089180353602E-2</c:v>
                </c:pt>
                <c:pt idx="2185">
                  <c:v>-6.58238819853855E-3</c:v>
                </c:pt>
                <c:pt idx="2186">
                  <c:v>6.7793434726526958E-3</c:v>
                </c:pt>
                <c:pt idx="2187">
                  <c:v>1.6193651656253021E-2</c:v>
                </c:pt>
                <c:pt idx="2188">
                  <c:v>-1.7977764432543786E-2</c:v>
                </c:pt>
                <c:pt idx="2189">
                  <c:v>-1.0475506547231589E-2</c:v>
                </c:pt>
                <c:pt idx="2190">
                  <c:v>-1.2463544043062106E-2</c:v>
                </c:pt>
                <c:pt idx="2191">
                  <c:v>1.0713735461521155E-2</c:v>
                </c:pt>
                <c:pt idx="2192">
                  <c:v>2.3723047714556057E-2</c:v>
                </c:pt>
                <c:pt idx="2193">
                  <c:v>-3.3417623403128496E-2</c:v>
                </c:pt>
                <c:pt idx="2194">
                  <c:v>1.2787917760420714E-2</c:v>
                </c:pt>
                <c:pt idx="2195">
                  <c:v>2.2578128037474793E-2</c:v>
                </c:pt>
                <c:pt idx="2196">
                  <c:v>7.7212782334765391E-3</c:v>
                </c:pt>
                <c:pt idx="2197">
                  <c:v>-1.0450133808248396E-2</c:v>
                </c:pt>
                <c:pt idx="2198">
                  <c:v>1.4754659211045846E-2</c:v>
                </c:pt>
                <c:pt idx="2199">
                  <c:v>1.0107489476365085E-2</c:v>
                </c:pt>
                <c:pt idx="2200">
                  <c:v>-2.9964955760948833E-2</c:v>
                </c:pt>
                <c:pt idx="2201">
                  <c:v>2.0089216567296116E-2</c:v>
                </c:pt>
                <c:pt idx="2202">
                  <c:v>-2.1458404027618071E-2</c:v>
                </c:pt>
                <c:pt idx="2203">
                  <c:v>1.8817216278735008E-2</c:v>
                </c:pt>
                <c:pt idx="2204">
                  <c:v>3.6021316174724171E-3</c:v>
                </c:pt>
                <c:pt idx="2205">
                  <c:v>2.4579318515776664E-2</c:v>
                </c:pt>
                <c:pt idx="2206">
                  <c:v>2.5494651652065617E-2</c:v>
                </c:pt>
                <c:pt idx="2207">
                  <c:v>6.6539126384151694E-3</c:v>
                </c:pt>
                <c:pt idx="2208">
                  <c:v>-9.1447375163306623E-3</c:v>
                </c:pt>
                <c:pt idx="2209">
                  <c:v>-5.3733061071619915E-3</c:v>
                </c:pt>
                <c:pt idx="2210">
                  <c:v>0</c:v>
                </c:pt>
                <c:pt idx="2211">
                  <c:v>-2.5122168042512865E-2</c:v>
                </c:pt>
                <c:pt idx="2212">
                  <c:v>2.0219519201705163E-3</c:v>
                </c:pt>
                <c:pt idx="2213">
                  <c:v>7.1009864659517805E-4</c:v>
                </c:pt>
                <c:pt idx="2214">
                  <c:v>4.2967873727217616E-4</c:v>
                </c:pt>
                <c:pt idx="2215">
                  <c:v>6.207284836536018E-3</c:v>
                </c:pt>
                <c:pt idx="2216">
                  <c:v>-2.8858309873432776E-2</c:v>
                </c:pt>
                <c:pt idx="2217">
                  <c:v>1.49370610173498E-2</c:v>
                </c:pt>
                <c:pt idx="2218">
                  <c:v>-5.0729207269764001E-2</c:v>
                </c:pt>
                <c:pt idx="2219">
                  <c:v>9.95463749465526E-3</c:v>
                </c:pt>
                <c:pt idx="2220">
                  <c:v>-1.0999114915747777E-2</c:v>
                </c:pt>
                <c:pt idx="2221">
                  <c:v>-6.9692484744355296E-4</c:v>
                </c:pt>
                <c:pt idx="2222">
                  <c:v>2.0081515814187403E-2</c:v>
                </c:pt>
                <c:pt idx="2223">
                  <c:v>4.7000864239182601E-2</c:v>
                </c:pt>
                <c:pt idx="2224">
                  <c:v>3.1482316545983137E-2</c:v>
                </c:pt>
                <c:pt idx="2225">
                  <c:v>1.944392850799869E-3</c:v>
                </c:pt>
                <c:pt idx="2226">
                  <c:v>-2.4198532045193129E-2</c:v>
                </c:pt>
                <c:pt idx="2227">
                  <c:v>-3.4298959324996985E-2</c:v>
                </c:pt>
                <c:pt idx="2228">
                  <c:v>2.5823099458102784E-2</c:v>
                </c:pt>
                <c:pt idx="2229">
                  <c:v>-5.0566640195037517E-3</c:v>
                </c:pt>
                <c:pt idx="2230">
                  <c:v>4.8650444986368313E-3</c:v>
                </c:pt>
                <c:pt idx="2231">
                  <c:v>3.3767011231301391E-3</c:v>
                </c:pt>
                <c:pt idx="2232">
                  <c:v>-1.2859688496900534E-2</c:v>
                </c:pt>
                <c:pt idx="2233">
                  <c:v>-1.3257544022716179E-2</c:v>
                </c:pt>
                <c:pt idx="2234">
                  <c:v>6.3317943438702248E-3</c:v>
                </c:pt>
                <c:pt idx="2235">
                  <c:v>-9.5619584150942773E-3</c:v>
                </c:pt>
                <c:pt idx="2236">
                  <c:v>-1.348166648629467E-3</c:v>
                </c:pt>
                <c:pt idx="2237">
                  <c:v>1.7642392201346935E-2</c:v>
                </c:pt>
                <c:pt idx="2238">
                  <c:v>4.8374144996383662E-5</c:v>
                </c:pt>
                <c:pt idx="2239">
                  <c:v>6.4033855745939932E-3</c:v>
                </c:pt>
                <c:pt idx="2240">
                  <c:v>-5.4653899153667808E-3</c:v>
                </c:pt>
                <c:pt idx="2241">
                  <c:v>9.9636806716932261E-3</c:v>
                </c:pt>
                <c:pt idx="2242">
                  <c:v>-3.8880614689685766E-3</c:v>
                </c:pt>
                <c:pt idx="2243">
                  <c:v>-5.2737022885790998E-3</c:v>
                </c:pt>
                <c:pt idx="2244">
                  <c:v>5.6964654490511434E-4</c:v>
                </c:pt>
                <c:pt idx="2245">
                  <c:v>-3.3305900520514949E-4</c:v>
                </c:pt>
                <c:pt idx="2246">
                  <c:v>7.9869057260738719E-3</c:v>
                </c:pt>
                <c:pt idx="2247">
                  <c:v>-1.966068130840103E-2</c:v>
                </c:pt>
                <c:pt idx="2248">
                  <c:v>-6.0161460716439798E-3</c:v>
                </c:pt>
                <c:pt idx="2249">
                  <c:v>1.2826228297625426E-2</c:v>
                </c:pt>
                <c:pt idx="2250">
                  <c:v>4.43876143563316E-3</c:v>
                </c:pt>
                <c:pt idx="2251">
                  <c:v>-3.2848020236040456E-4</c:v>
                </c:pt>
                <c:pt idx="2252">
                  <c:v>2.3784843082611012E-2</c:v>
                </c:pt>
                <c:pt idx="2253">
                  <c:v>6.3670387639783545E-4</c:v>
                </c:pt>
                <c:pt idx="2254">
                  <c:v>-3.8310512794195333E-3</c:v>
                </c:pt>
                <c:pt idx="2255">
                  <c:v>1.8187862128755422E-2</c:v>
                </c:pt>
                <c:pt idx="2256">
                  <c:v>6.0191040961449045E-3</c:v>
                </c:pt>
                <c:pt idx="2257">
                  <c:v>-1.3122595912510584E-2</c:v>
                </c:pt>
                <c:pt idx="2258">
                  <c:v>7.8375459184488565E-3</c:v>
                </c:pt>
                <c:pt idx="2259">
                  <c:v>9.792967211634555E-3</c:v>
                </c:pt>
                <c:pt idx="2260">
                  <c:v>-3.6444011761707232E-3</c:v>
                </c:pt>
                <c:pt idx="2261">
                  <c:v>-1.0971576818485896E-2</c:v>
                </c:pt>
                <c:pt idx="2262">
                  <c:v>3.3264567602301742E-3</c:v>
                </c:pt>
                <c:pt idx="2263">
                  <c:v>-2.1489724062542057E-2</c:v>
                </c:pt>
                <c:pt idx="2264">
                  <c:v>9.2150144746101054E-4</c:v>
                </c:pt>
                <c:pt idx="2265">
                  <c:v>-2.6274768758900918E-2</c:v>
                </c:pt>
                <c:pt idx="2266">
                  <c:v>2.8044139196721544E-2</c:v>
                </c:pt>
                <c:pt idx="2267">
                  <c:v>6.1329304658865654E-3</c:v>
                </c:pt>
                <c:pt idx="2268">
                  <c:v>-9.7604235944098294E-3</c:v>
                </c:pt>
                <c:pt idx="2269">
                  <c:v>-1.1818489021614011E-2</c:v>
                </c:pt>
                <c:pt idx="2270">
                  <c:v>6.510274120831514E-3</c:v>
                </c:pt>
                <c:pt idx="2271">
                  <c:v>-1.5532280982322807E-2</c:v>
                </c:pt>
                <c:pt idx="2272">
                  <c:v>-1.7061988724998052E-3</c:v>
                </c:pt>
                <c:pt idx="2273">
                  <c:v>1.7702223035471448E-2</c:v>
                </c:pt>
                <c:pt idx="2274">
                  <c:v>3.5769484548245425E-2</c:v>
                </c:pt>
                <c:pt idx="2275">
                  <c:v>2.8368421414175834E-3</c:v>
                </c:pt>
                <c:pt idx="2276">
                  <c:v>4.3867568477616086E-3</c:v>
                </c:pt>
                <c:pt idx="2277">
                  <c:v>1.5663720682509638E-2</c:v>
                </c:pt>
                <c:pt idx="2278">
                  <c:v>1.2207975822713001E-2</c:v>
                </c:pt>
                <c:pt idx="2279">
                  <c:v>2.3838337624778028E-3</c:v>
                </c:pt>
                <c:pt idx="2280">
                  <c:v>2.5624380684365827E-2</c:v>
                </c:pt>
                <c:pt idx="2281">
                  <c:v>-2.9567894805796979E-2</c:v>
                </c:pt>
                <c:pt idx="2282">
                  <c:v>3.2568251565343695E-2</c:v>
                </c:pt>
                <c:pt idx="2283">
                  <c:v>-5.9157674194691473E-4</c:v>
                </c:pt>
                <c:pt idx="2284">
                  <c:v>1.4455561825546472E-2</c:v>
                </c:pt>
                <c:pt idx="2285">
                  <c:v>-4.1253708729689217E-3</c:v>
                </c:pt>
                <c:pt idx="2286">
                  <c:v>7.8628450455425671E-4</c:v>
                </c:pt>
                <c:pt idx="2287">
                  <c:v>1.131335331021825E-3</c:v>
                </c:pt>
                <c:pt idx="2288">
                  <c:v>5.3914450657377181E-3</c:v>
                </c:pt>
                <c:pt idx="2289">
                  <c:v>-3.9375319292769091E-3</c:v>
                </c:pt>
                <c:pt idx="2290">
                  <c:v>6.8868865657103198E-3</c:v>
                </c:pt>
                <c:pt idx="2291">
                  <c:v>2.0669854110678073E-3</c:v>
                </c:pt>
                <c:pt idx="2292">
                  <c:v>-5.3007173374345516E-3</c:v>
                </c:pt>
                <c:pt idx="2293">
                  <c:v>4.3417277938123892E-3</c:v>
                </c:pt>
                <c:pt idx="2294">
                  <c:v>-1.6539871832408398E-3</c:v>
                </c:pt>
                <c:pt idx="2295">
                  <c:v>-1.1680848558848423E-2</c:v>
                </c:pt>
                <c:pt idx="2296">
                  <c:v>-2.7193273690049567E-2</c:v>
                </c:pt>
                <c:pt idx="2297">
                  <c:v>-5.247085658595772E-3</c:v>
                </c:pt>
                <c:pt idx="2298">
                  <c:v>5.4187281233628835E-3</c:v>
                </c:pt>
                <c:pt idx="2299">
                  <c:v>-2.4010185179027605E-2</c:v>
                </c:pt>
                <c:pt idx="2300">
                  <c:v>1.4725724225692757E-2</c:v>
                </c:pt>
                <c:pt idx="2301">
                  <c:v>1.9420562989221419E-2</c:v>
                </c:pt>
                <c:pt idx="2302">
                  <c:v>-1.3049211094276075E-2</c:v>
                </c:pt>
                <c:pt idx="2303">
                  <c:v>-2.7278099274256101E-2</c:v>
                </c:pt>
                <c:pt idx="2304">
                  <c:v>-3.6897057381628153E-3</c:v>
                </c:pt>
                <c:pt idx="2305">
                  <c:v>2.1259572182065187E-2</c:v>
                </c:pt>
                <c:pt idx="2306">
                  <c:v>-1.8323059610025335E-2</c:v>
                </c:pt>
                <c:pt idx="2307">
                  <c:v>2.7638409357770576E-2</c:v>
                </c:pt>
                <c:pt idx="2308">
                  <c:v>-5.8008142079507951E-3</c:v>
                </c:pt>
                <c:pt idx="2309">
                  <c:v>2.0057210535912726E-2</c:v>
                </c:pt>
                <c:pt idx="2310">
                  <c:v>-5.7972695256563499E-3</c:v>
                </c:pt>
                <c:pt idx="2311">
                  <c:v>-4.0271867229996084E-3</c:v>
                </c:pt>
                <c:pt idx="2312">
                  <c:v>1.2289444465404691E-2</c:v>
                </c:pt>
                <c:pt idx="2313">
                  <c:v>-2.8524610930534054E-3</c:v>
                </c:pt>
                <c:pt idx="2314">
                  <c:v>-2.6984054964127955E-2</c:v>
                </c:pt>
                <c:pt idx="2315">
                  <c:v>-1.6162650789980429E-3</c:v>
                </c:pt>
                <c:pt idx="2316">
                  <c:v>2.4205725252318254E-2</c:v>
                </c:pt>
                <c:pt idx="2317">
                  <c:v>6.6867721658591074E-3</c:v>
                </c:pt>
                <c:pt idx="2318">
                  <c:v>-8.9461257961535763E-3</c:v>
                </c:pt>
                <c:pt idx="2319">
                  <c:v>-1.3371130014044991E-2</c:v>
                </c:pt>
                <c:pt idx="2320">
                  <c:v>1.7683989086831633E-2</c:v>
                </c:pt>
                <c:pt idx="2321">
                  <c:v>-5.2557650910668502E-3</c:v>
                </c:pt>
                <c:pt idx="2322">
                  <c:v>-1.4500597693433079E-2</c:v>
                </c:pt>
                <c:pt idx="2323">
                  <c:v>1.6775213490699593E-2</c:v>
                </c:pt>
                <c:pt idx="2324">
                  <c:v>2.7491493373192767E-2</c:v>
                </c:pt>
                <c:pt idx="2325">
                  <c:v>2.7410830247951039E-2</c:v>
                </c:pt>
                <c:pt idx="2326">
                  <c:v>-4.9142189325488668E-3</c:v>
                </c:pt>
                <c:pt idx="2327">
                  <c:v>8.1907672597757285E-3</c:v>
                </c:pt>
                <c:pt idx="2328">
                  <c:v>1.3342283754566652E-2</c:v>
                </c:pt>
                <c:pt idx="2329">
                  <c:v>1.0177647752584174E-2</c:v>
                </c:pt>
                <c:pt idx="2330">
                  <c:v>2.379939141265079E-4</c:v>
                </c:pt>
                <c:pt idx="2331">
                  <c:v>1.0036783822656794E-2</c:v>
                </c:pt>
                <c:pt idx="2332">
                  <c:v>-1.1259625689679425E-2</c:v>
                </c:pt>
                <c:pt idx="2333">
                  <c:v>1.5193006470054947E-2</c:v>
                </c:pt>
                <c:pt idx="2334">
                  <c:v>4.7535622123007146E-3</c:v>
                </c:pt>
                <c:pt idx="2335">
                  <c:v>-7.7171056537548447E-3</c:v>
                </c:pt>
                <c:pt idx="2336">
                  <c:v>-1.828708834641865E-3</c:v>
                </c:pt>
                <c:pt idx="2337">
                  <c:v>8.9399806465203478E-3</c:v>
                </c:pt>
                <c:pt idx="2338">
                  <c:v>-1.3209315252845301E-2</c:v>
                </c:pt>
                <c:pt idx="2339">
                  <c:v>1.5365678048610058E-2</c:v>
                </c:pt>
                <c:pt idx="2340">
                  <c:v>1.5086652361531675E-3</c:v>
                </c:pt>
                <c:pt idx="2341">
                  <c:v>1.6167195950481268E-3</c:v>
                </c:pt>
                <c:pt idx="2342">
                  <c:v>-2.8693236564314283E-2</c:v>
                </c:pt>
                <c:pt idx="2343">
                  <c:v>-8.0730140510327439E-3</c:v>
                </c:pt>
                <c:pt idx="2344">
                  <c:v>-1.3129776000923934E-3</c:v>
                </c:pt>
                <c:pt idx="2345">
                  <c:v>-1.2901140161257888E-3</c:v>
                </c:pt>
                <c:pt idx="2346">
                  <c:v>-1.6262200481011835E-2</c:v>
                </c:pt>
                <c:pt idx="2347">
                  <c:v>-5.3753353265797001E-3</c:v>
                </c:pt>
                <c:pt idx="2348">
                  <c:v>1.3163449435773616E-2</c:v>
                </c:pt>
                <c:pt idx="2349">
                  <c:v>1.0872777657013648E-2</c:v>
                </c:pt>
                <c:pt idx="2350">
                  <c:v>-2.1142401630011184E-2</c:v>
                </c:pt>
                <c:pt idx="2351">
                  <c:v>-3.8868471583093471E-3</c:v>
                </c:pt>
                <c:pt idx="2352">
                  <c:v>-2.9744610982166589E-2</c:v>
                </c:pt>
                <c:pt idx="2353">
                  <c:v>1.673629060820668E-2</c:v>
                </c:pt>
                <c:pt idx="2354">
                  <c:v>2.0841836432271648E-2</c:v>
                </c:pt>
                <c:pt idx="2355">
                  <c:v>-1.2051212243245683E-2</c:v>
                </c:pt>
                <c:pt idx="2356">
                  <c:v>-8.591038223078518E-3</c:v>
                </c:pt>
                <c:pt idx="2357">
                  <c:v>2.4808804790638042E-3</c:v>
                </c:pt>
                <c:pt idx="2358">
                  <c:v>1.3688413864307625E-2</c:v>
                </c:pt>
                <c:pt idx="2359">
                  <c:v>-5.3285647667100913E-3</c:v>
                </c:pt>
                <c:pt idx="2360">
                  <c:v>2.2600723601513151E-2</c:v>
                </c:pt>
                <c:pt idx="2361">
                  <c:v>3.7585323276632791E-3</c:v>
                </c:pt>
                <c:pt idx="2362">
                  <c:v>-9.1271691035480092E-4</c:v>
                </c:pt>
                <c:pt idx="2363">
                  <c:v>-8.6733737369960387E-3</c:v>
                </c:pt>
                <c:pt idx="2364">
                  <c:v>1.4446097939072385E-3</c:v>
                </c:pt>
                <c:pt idx="2365">
                  <c:v>-9.1444029935996273E-3</c:v>
                </c:pt>
                <c:pt idx="2366">
                  <c:v>-4.1215911590401327E-4</c:v>
                </c:pt>
                <c:pt idx="2367">
                  <c:v>-6.4878189740926635E-3</c:v>
                </c:pt>
                <c:pt idx="2368">
                  <c:v>2.0464286876513995E-2</c:v>
                </c:pt>
                <c:pt idx="2369">
                  <c:v>1.2048879464034112E-2</c:v>
                </c:pt>
                <c:pt idx="2370">
                  <c:v>-4.9334211568515442E-3</c:v>
                </c:pt>
                <c:pt idx="2371">
                  <c:v>4.0526409803765956E-3</c:v>
                </c:pt>
                <c:pt idx="2372">
                  <c:v>1.4260469658008786E-2</c:v>
                </c:pt>
                <c:pt idx="2373">
                  <c:v>2.5387979740566797E-3</c:v>
                </c:pt>
                <c:pt idx="2374">
                  <c:v>7.7324893646812907E-3</c:v>
                </c:pt>
                <c:pt idx="2375">
                  <c:v>-5.9053490482542676E-3</c:v>
                </c:pt>
                <c:pt idx="2376">
                  <c:v>-3.8256540878572323E-3</c:v>
                </c:pt>
                <c:pt idx="2377">
                  <c:v>1.3551258273655848E-2</c:v>
                </c:pt>
                <c:pt idx="2378">
                  <c:v>-5.6009028673666434E-3</c:v>
                </c:pt>
                <c:pt idx="2379">
                  <c:v>1.22416291087185E-2</c:v>
                </c:pt>
                <c:pt idx="2380">
                  <c:v>1.0899704877426966E-2</c:v>
                </c:pt>
                <c:pt idx="2381">
                  <c:v>-8.7305242113588151E-4</c:v>
                </c:pt>
                <c:pt idx="2382">
                  <c:v>5.2887028149302042E-3</c:v>
                </c:pt>
                <c:pt idx="2383">
                  <c:v>-6.2363419441108948E-3</c:v>
                </c:pt>
                <c:pt idx="2384">
                  <c:v>1.3872095733852344E-2</c:v>
                </c:pt>
                <c:pt idx="2385">
                  <c:v>9.9065076110778586E-3</c:v>
                </c:pt>
                <c:pt idx="2386">
                  <c:v>-1.8571376941690541E-3</c:v>
                </c:pt>
                <c:pt idx="2387">
                  <c:v>2.5626291778804897E-3</c:v>
                </c:pt>
                <c:pt idx="2388">
                  <c:v>2.2053582503505444E-2</c:v>
                </c:pt>
                <c:pt idx="2389">
                  <c:v>3.7088548914691486E-5</c:v>
                </c:pt>
                <c:pt idx="2390">
                  <c:v>8.1446157701780993E-3</c:v>
                </c:pt>
                <c:pt idx="2391">
                  <c:v>-9.0276966665670862E-3</c:v>
                </c:pt>
                <c:pt idx="2392">
                  <c:v>1.8913622329682219E-3</c:v>
                </c:pt>
                <c:pt idx="2393">
                  <c:v>-2.2552105642080875E-3</c:v>
                </c:pt>
                <c:pt idx="2394">
                  <c:v>1.312580405598994E-2</c:v>
                </c:pt>
                <c:pt idx="2395">
                  <c:v>5.4569148035081977E-3</c:v>
                </c:pt>
                <c:pt idx="2396">
                  <c:v>-5.2773463902088856E-3</c:v>
                </c:pt>
                <c:pt idx="2397">
                  <c:v>-1.0081994962451567E-3</c:v>
                </c:pt>
                <c:pt idx="2398">
                  <c:v>-1.3378360601240121E-2</c:v>
                </c:pt>
                <c:pt idx="2399">
                  <c:v>8.3146862559208001E-3</c:v>
                </c:pt>
                <c:pt idx="2400">
                  <c:v>7.3901642101242377E-3</c:v>
                </c:pt>
                <c:pt idx="2401">
                  <c:v>1.66936062269014E-2</c:v>
                </c:pt>
                <c:pt idx="2402">
                  <c:v>1.2268732022905137E-2</c:v>
                </c:pt>
                <c:pt idx="2403">
                  <c:v>-2.1246126660691275E-3</c:v>
                </c:pt>
                <c:pt idx="2404">
                  <c:v>-8.7379300951958925E-3</c:v>
                </c:pt>
                <c:pt idx="2405">
                  <c:v>-1.1183169598045386E-3</c:v>
                </c:pt>
                <c:pt idx="2406">
                  <c:v>9.7814641875036234E-4</c:v>
                </c:pt>
                <c:pt idx="2407">
                  <c:v>-5.5687759815111785E-3</c:v>
                </c:pt>
                <c:pt idx="2408">
                  <c:v>-3.108901968104942E-4</c:v>
                </c:pt>
                <c:pt idx="2409">
                  <c:v>8.0518980214167157E-3</c:v>
                </c:pt>
                <c:pt idx="2410">
                  <c:v>-2.1362888056171226E-3</c:v>
                </c:pt>
                <c:pt idx="2411">
                  <c:v>1.0440486279818679E-2</c:v>
                </c:pt>
                <c:pt idx="2412">
                  <c:v>-2.1343730182423279E-4</c:v>
                </c:pt>
                <c:pt idx="2413">
                  <c:v>-3.8925395894993139E-3</c:v>
                </c:pt>
                <c:pt idx="2414">
                  <c:v>-6.5825426477914275E-3</c:v>
                </c:pt>
                <c:pt idx="2415">
                  <c:v>1.7887743048318238E-3</c:v>
                </c:pt>
                <c:pt idx="2416">
                  <c:v>9.9093974522321791E-3</c:v>
                </c:pt>
                <c:pt idx="2417">
                  <c:v>1.0455865017324772E-2</c:v>
                </c:pt>
                <c:pt idx="2418">
                  <c:v>5.9285558623792438E-3</c:v>
                </c:pt>
                <c:pt idx="2419">
                  <c:v>-5.1306605763124158E-3</c:v>
                </c:pt>
                <c:pt idx="2420">
                  <c:v>-6.1641677185918613E-3</c:v>
                </c:pt>
                <c:pt idx="2421">
                  <c:v>2.057433762832234E-2</c:v>
                </c:pt>
                <c:pt idx="2422">
                  <c:v>2.5214250328472423E-2</c:v>
                </c:pt>
                <c:pt idx="2423">
                  <c:v>9.5862397555078786E-4</c:v>
                </c:pt>
                <c:pt idx="2424">
                  <c:v>-6.6414388098554548E-3</c:v>
                </c:pt>
                <c:pt idx="2425">
                  <c:v>-2.0296498938225664E-3</c:v>
                </c:pt>
                <c:pt idx="2426">
                  <c:v>-9.7567755104363742E-3</c:v>
                </c:pt>
                <c:pt idx="2427">
                  <c:v>2.1146882537276318E-3</c:v>
                </c:pt>
                <c:pt idx="2428">
                  <c:v>1.2852403566668632E-2</c:v>
                </c:pt>
                <c:pt idx="2429">
                  <c:v>-5.6426162715901866E-3</c:v>
                </c:pt>
                <c:pt idx="2430">
                  <c:v>-1.6343763868998108E-4</c:v>
                </c:pt>
                <c:pt idx="2431">
                  <c:v>-2.2636321855961615E-3</c:v>
                </c:pt>
                <c:pt idx="2432">
                  <c:v>-3.0716985642308516E-5</c:v>
                </c:pt>
                <c:pt idx="2433">
                  <c:v>-3.2134252994733682E-3</c:v>
                </c:pt>
                <c:pt idx="2434">
                  <c:v>9.9292115773954386E-5</c:v>
                </c:pt>
                <c:pt idx="2435">
                  <c:v>-9.8746015632952579E-3</c:v>
                </c:pt>
                <c:pt idx="2436">
                  <c:v>-5.2139062856630851E-3</c:v>
                </c:pt>
                <c:pt idx="2437">
                  <c:v>4.3352719174302775E-3</c:v>
                </c:pt>
                <c:pt idx="2438">
                  <c:v>9.3553913991038171E-3</c:v>
                </c:pt>
                <c:pt idx="2439">
                  <c:v>1.6629678464382402E-2</c:v>
                </c:pt>
                <c:pt idx="2440">
                  <c:v>1.3242959664096397E-3</c:v>
                </c:pt>
                <c:pt idx="2441">
                  <c:v>-1.7693443494697703E-2</c:v>
                </c:pt>
                <c:pt idx="2442">
                  <c:v>-1.8745294438777215E-2</c:v>
                </c:pt>
                <c:pt idx="2443">
                  <c:v>1.7028645731781155E-3</c:v>
                </c:pt>
                <c:pt idx="2444">
                  <c:v>1.2752177325766613E-2</c:v>
                </c:pt>
                <c:pt idx="2445">
                  <c:v>3.2545836006591532E-3</c:v>
                </c:pt>
                <c:pt idx="2446">
                  <c:v>-7.0363197117483025E-4</c:v>
                </c:pt>
                <c:pt idx="2447">
                  <c:v>-1.745662100861077E-2</c:v>
                </c:pt>
                <c:pt idx="2448">
                  <c:v>-3.6844109529266408E-2</c:v>
                </c:pt>
                <c:pt idx="2449">
                  <c:v>1.6987556809077017E-3</c:v>
                </c:pt>
                <c:pt idx="2450">
                  <c:v>-7.3481801359410338E-3</c:v>
                </c:pt>
                <c:pt idx="2451">
                  <c:v>2.5110802134473247E-2</c:v>
                </c:pt>
                <c:pt idx="2452">
                  <c:v>-2.0908863062799897E-2</c:v>
                </c:pt>
                <c:pt idx="2453">
                  <c:v>1.9770522568990721E-2</c:v>
                </c:pt>
                <c:pt idx="2454">
                  <c:v>1.4933269810786146E-2</c:v>
                </c:pt>
                <c:pt idx="2455">
                  <c:v>5.9121188485507861E-3</c:v>
                </c:pt>
                <c:pt idx="2456">
                  <c:v>0</c:v>
                </c:pt>
                <c:pt idx="2457">
                  <c:v>-2.114696879019697E-3</c:v>
                </c:pt>
                <c:pt idx="2458">
                  <c:v>-4.5551306387498752E-3</c:v>
                </c:pt>
                <c:pt idx="2459">
                  <c:v>1.1618017341009295E-2</c:v>
                </c:pt>
                <c:pt idx="2460">
                  <c:v>2.1522441582236221E-2</c:v>
                </c:pt>
                <c:pt idx="2461">
                  <c:v>4.7618008674305068E-3</c:v>
                </c:pt>
                <c:pt idx="2462">
                  <c:v>1.0121928384792244E-2</c:v>
                </c:pt>
                <c:pt idx="2463">
                  <c:v>3.0590561493787911E-3</c:v>
                </c:pt>
                <c:pt idx="2464">
                  <c:v>-2.6778336914280126E-3</c:v>
                </c:pt>
                <c:pt idx="2465">
                  <c:v>1.0824038040165216E-2</c:v>
                </c:pt>
                <c:pt idx="2466">
                  <c:v>-5.1563171221153791E-3</c:v>
                </c:pt>
                <c:pt idx="2467">
                  <c:v>-3.3167194912104101E-3</c:v>
                </c:pt>
                <c:pt idx="2468">
                  <c:v>6.3672986947972809E-3</c:v>
                </c:pt>
                <c:pt idx="2469">
                  <c:v>4.1256483860960591E-2</c:v>
                </c:pt>
                <c:pt idx="2470">
                  <c:v>3.6571701534278377E-3</c:v>
                </c:pt>
                <c:pt idx="2471">
                  <c:v>2.2156345391999576E-2</c:v>
                </c:pt>
                <c:pt idx="2472">
                  <c:v>-6.7983256753441764E-3</c:v>
                </c:pt>
                <c:pt idx="2473">
                  <c:v>1.1331741814251952E-2</c:v>
                </c:pt>
                <c:pt idx="2474">
                  <c:v>2.6222107831723237E-3</c:v>
                </c:pt>
                <c:pt idx="2475">
                  <c:v>7.3033756893747994E-3</c:v>
                </c:pt>
                <c:pt idx="2476">
                  <c:v>-1.1340104987910367E-3</c:v>
                </c:pt>
                <c:pt idx="2477">
                  <c:v>2.7456980216203864E-3</c:v>
                </c:pt>
                <c:pt idx="2478">
                  <c:v>-3.0729967243711062E-3</c:v>
                </c:pt>
                <c:pt idx="2479">
                  <c:v>-1.5449215045839331E-2</c:v>
                </c:pt>
                <c:pt idx="2480">
                  <c:v>4.9125069930387394E-3</c:v>
                </c:pt>
                <c:pt idx="2481">
                  <c:v>1.2834709620241119E-2</c:v>
                </c:pt>
                <c:pt idx="2482">
                  <c:v>-1.9401196738208337E-3</c:v>
                </c:pt>
                <c:pt idx="2483">
                  <c:v>1.0162812783693411E-2</c:v>
                </c:pt>
                <c:pt idx="2484">
                  <c:v>6.8394694511748476E-4</c:v>
                </c:pt>
                <c:pt idx="2485">
                  <c:v>6.3269782256411382E-3</c:v>
                </c:pt>
                <c:pt idx="2486">
                  <c:v>5.3576990870401308E-3</c:v>
                </c:pt>
                <c:pt idx="2487">
                  <c:v>-9.5933723866070651E-3</c:v>
                </c:pt>
                <c:pt idx="2488">
                  <c:v>-6.356957782059993E-3</c:v>
                </c:pt>
                <c:pt idx="2489">
                  <c:v>6.8336406068869159E-4</c:v>
                </c:pt>
                <c:pt idx="2490">
                  <c:v>-2.4648058285782655E-2</c:v>
                </c:pt>
                <c:pt idx="2491">
                  <c:v>2.087004956385129E-2</c:v>
                </c:pt>
                <c:pt idx="2492">
                  <c:v>-1.8110492697682366E-2</c:v>
                </c:pt>
                <c:pt idx="2493">
                  <c:v>-1.5497595384667438E-3</c:v>
                </c:pt>
                <c:pt idx="2494">
                  <c:v>-1.7887784616207199E-3</c:v>
                </c:pt>
                <c:pt idx="2495">
                  <c:v>-1.9874805538730573E-2</c:v>
                </c:pt>
                <c:pt idx="2496">
                  <c:v>9.8200979107200652E-3</c:v>
                </c:pt>
                <c:pt idx="2497">
                  <c:v>2.6401203186124156E-2</c:v>
                </c:pt>
                <c:pt idx="2498">
                  <c:v>1.5008645314142004E-4</c:v>
                </c:pt>
                <c:pt idx="2499">
                  <c:v>-5.6052150729764922E-3</c:v>
                </c:pt>
                <c:pt idx="2500">
                  <c:v>2.794173482577824E-2</c:v>
                </c:pt>
                <c:pt idx="2501">
                  <c:v>-9.1982131871263667E-3</c:v>
                </c:pt>
                <c:pt idx="2502">
                  <c:v>-3.3137704857807974E-2</c:v>
                </c:pt>
                <c:pt idx="2503">
                  <c:v>1.9043360627425426E-2</c:v>
                </c:pt>
                <c:pt idx="2504">
                  <c:v>-2.9566037292595333E-2</c:v>
                </c:pt>
                <c:pt idx="2505">
                  <c:v>-3.4002825735062045E-3</c:v>
                </c:pt>
                <c:pt idx="2506">
                  <c:v>-1.2084267320266982E-2</c:v>
                </c:pt>
                <c:pt idx="2507">
                  <c:v>2.2793072764342493E-2</c:v>
                </c:pt>
                <c:pt idx="2508">
                  <c:v>1.7903970873377344E-2</c:v>
                </c:pt>
                <c:pt idx="2509">
                  <c:v>4.4761635708126402E-3</c:v>
                </c:pt>
                <c:pt idx="2510">
                  <c:v>2.2906333327126806E-2</c:v>
                </c:pt>
                <c:pt idx="2511">
                  <c:v>-3.4933170383556699E-3</c:v>
                </c:pt>
                <c:pt idx="2512">
                  <c:v>2.0302502138408174E-3</c:v>
                </c:pt>
                <c:pt idx="2513">
                  <c:v>-7.7073471458106108E-3</c:v>
                </c:pt>
                <c:pt idx="2514">
                  <c:v>-8.870860598300943E-3</c:v>
                </c:pt>
                <c:pt idx="2515">
                  <c:v>-4.6903512016477104E-3</c:v>
                </c:pt>
                <c:pt idx="2516">
                  <c:v>-1.7299265993892348E-2</c:v>
                </c:pt>
                <c:pt idx="2517">
                  <c:v>-3.9128915887478168E-2</c:v>
                </c:pt>
                <c:pt idx="2518">
                  <c:v>-7.956703565346928E-3</c:v>
                </c:pt>
                <c:pt idx="2519">
                  <c:v>5.16304448093066E-4</c:v>
                </c:pt>
                <c:pt idx="2520">
                  <c:v>7.3151937216333045E-4</c:v>
                </c:pt>
                <c:pt idx="2521">
                  <c:v>2.2630124667068967E-3</c:v>
                </c:pt>
                <c:pt idx="2522">
                  <c:v>1.0378568919965143E-2</c:v>
                </c:pt>
                <c:pt idx="2523">
                  <c:v>-4.3239725609749112E-2</c:v>
                </c:pt>
                <c:pt idx="2524">
                  <c:v>1.7573139323522696E-2</c:v>
                </c:pt>
                <c:pt idx="2525">
                  <c:v>-2.4629444854048957E-2</c:v>
                </c:pt>
                <c:pt idx="2526">
                  <c:v>2.2110830613056038E-3</c:v>
                </c:pt>
                <c:pt idx="2527">
                  <c:v>-5.6916624151215891E-3</c:v>
                </c:pt>
                <c:pt idx="2528">
                  <c:v>-1.8650351924827259E-2</c:v>
                </c:pt>
                <c:pt idx="2529">
                  <c:v>1.1533926779183712E-3</c:v>
                </c:pt>
                <c:pt idx="2530">
                  <c:v>-2.6970110656903232E-2</c:v>
                </c:pt>
                <c:pt idx="2531">
                  <c:v>2.8118716887401141E-2</c:v>
                </c:pt>
                <c:pt idx="2532">
                  <c:v>1.0483833846805927E-2</c:v>
                </c:pt>
                <c:pt idx="2533">
                  <c:v>2.7684129419344318E-2</c:v>
                </c:pt>
                <c:pt idx="2534">
                  <c:v>8.8008202444947638E-3</c:v>
                </c:pt>
                <c:pt idx="2535">
                  <c:v>-7.1779831164511991E-3</c:v>
                </c:pt>
                <c:pt idx="2536">
                  <c:v>1.5103735849755572E-2</c:v>
                </c:pt>
                <c:pt idx="2537">
                  <c:v>-3.9713614416177698E-2</c:v>
                </c:pt>
                <c:pt idx="2538">
                  <c:v>1.5446971206055508E-2</c:v>
                </c:pt>
                <c:pt idx="2539">
                  <c:v>-1.6448712411298055E-2</c:v>
                </c:pt>
                <c:pt idx="2540">
                  <c:v>1.1924851959970726E-2</c:v>
                </c:pt>
                <c:pt idx="2541">
                  <c:v>2.1610052430492955E-2</c:v>
                </c:pt>
                <c:pt idx="2542">
                  <c:v>-2.8780456427576328E-2</c:v>
                </c:pt>
                <c:pt idx="2543">
                  <c:v>-2.4592529385522088E-2</c:v>
                </c:pt>
                <c:pt idx="2544">
                  <c:v>-1.3910140514835487E-4</c:v>
                </c:pt>
                <c:pt idx="2545">
                  <c:v>1.8377086958297106E-2</c:v>
                </c:pt>
                <c:pt idx="2546">
                  <c:v>-1.1650055553615074E-3</c:v>
                </c:pt>
                <c:pt idx="2547">
                  <c:v>-2.9716028170690564E-2</c:v>
                </c:pt>
                <c:pt idx="2548">
                  <c:v>-9.6780827561490663E-3</c:v>
                </c:pt>
                <c:pt idx="2549">
                  <c:v>-7.4343495256111729E-4</c:v>
                </c:pt>
                <c:pt idx="2550">
                  <c:v>-2.6217582425906546E-2</c:v>
                </c:pt>
                <c:pt idx="2551">
                  <c:v>4.982445898138723E-2</c:v>
                </c:pt>
                <c:pt idx="2552">
                  <c:v>9.1952285067093721E-3</c:v>
                </c:pt>
                <c:pt idx="2553">
                  <c:v>4.967085305794974E-3</c:v>
                </c:pt>
                <c:pt idx="2554">
                  <c:v>-1.2939717867056586E-2</c:v>
                </c:pt>
                <c:pt idx="2555">
                  <c:v>1.7606034054184917E-2</c:v>
                </c:pt>
                <c:pt idx="2556">
                  <c:v>-1.4324235027119561E-2</c:v>
                </c:pt>
                <c:pt idx="2557">
                  <c:v>-2.06910803933988E-2</c:v>
                </c:pt>
                <c:pt idx="2558">
                  <c:v>-3.8500702286704776E-2</c:v>
                </c:pt>
                <c:pt idx="2559">
                  <c:v>-1.1039965964103924E-2</c:v>
                </c:pt>
                <c:pt idx="2560">
                  <c:v>4.4842524524498058E-2</c:v>
                </c:pt>
                <c:pt idx="2561">
                  <c:v>-1.0140349224903191E-2</c:v>
                </c:pt>
                <c:pt idx="2562">
                  <c:v>-1.9522827335195309E-2</c:v>
                </c:pt>
                <c:pt idx="2563">
                  <c:v>-1.3036392016609713E-2</c:v>
                </c:pt>
                <c:pt idx="2564">
                  <c:v>3.8007772021776555E-2</c:v>
                </c:pt>
                <c:pt idx="2565">
                  <c:v>2.4895213623112363E-2</c:v>
                </c:pt>
                <c:pt idx="2566">
                  <c:v>2.8199750581801701E-3</c:v>
                </c:pt>
                <c:pt idx="2567">
                  <c:v>1.749464086135688E-2</c:v>
                </c:pt>
                <c:pt idx="2568">
                  <c:v>-4.2380975973844437E-3</c:v>
                </c:pt>
                <c:pt idx="2569">
                  <c:v>1.6246500327929753E-2</c:v>
                </c:pt>
                <c:pt idx="2570">
                  <c:v>-1.5145122125810683E-2</c:v>
                </c:pt>
                <c:pt idx="2571">
                  <c:v>1.5276432825632841E-2</c:v>
                </c:pt>
                <c:pt idx="2572">
                  <c:v>-1.3880515268549932E-3</c:v>
                </c:pt>
                <c:pt idx="2573">
                  <c:v>2.2861090424470369E-2</c:v>
                </c:pt>
                <c:pt idx="2574">
                  <c:v>1.5047418635480125E-2</c:v>
                </c:pt>
                <c:pt idx="2575">
                  <c:v>-4.9265351044465522E-3</c:v>
                </c:pt>
                <c:pt idx="2576">
                  <c:v>-1.7848242824791801E-2</c:v>
                </c:pt>
                <c:pt idx="2577">
                  <c:v>3.5998567112273008E-3</c:v>
                </c:pt>
                <c:pt idx="2578">
                  <c:v>1.7774922613473212E-2</c:v>
                </c:pt>
                <c:pt idx="2579">
                  <c:v>-1.3070926773947621E-2</c:v>
                </c:pt>
                <c:pt idx="2580">
                  <c:v>-3.7291780101579013E-2</c:v>
                </c:pt>
                <c:pt idx="2581">
                  <c:v>6.2260484545387726E-3</c:v>
                </c:pt>
                <c:pt idx="2582">
                  <c:v>-1.4708865163186733E-2</c:v>
                </c:pt>
                <c:pt idx="2583">
                  <c:v>-4.0231632115238482E-2</c:v>
                </c:pt>
                <c:pt idx="2584">
                  <c:v>-1.1275614751179552E-2</c:v>
                </c:pt>
                <c:pt idx="2585">
                  <c:v>1.9525088757275245E-2</c:v>
                </c:pt>
                <c:pt idx="2586">
                  <c:v>-2.7462158958647731E-2</c:v>
                </c:pt>
                <c:pt idx="2587">
                  <c:v>2.4556299955293013E-3</c:v>
                </c:pt>
                <c:pt idx="2588">
                  <c:v>1.6897019248412672E-2</c:v>
                </c:pt>
                <c:pt idx="2589">
                  <c:v>3.7144470774307103E-3</c:v>
                </c:pt>
                <c:pt idx="2590">
                  <c:v>-1.9579126269654235E-2</c:v>
                </c:pt>
                <c:pt idx="2591">
                  <c:v>-2.44397970542303E-2</c:v>
                </c:pt>
                <c:pt idx="2592">
                  <c:v>2.4129842213991805E-2</c:v>
                </c:pt>
                <c:pt idx="2593">
                  <c:v>-3.8129660774488996E-2</c:v>
                </c:pt>
                <c:pt idx="2594">
                  <c:v>4.6989205091610073E-2</c:v>
                </c:pt>
                <c:pt idx="2595">
                  <c:v>2.2384246126147377E-2</c:v>
                </c:pt>
                <c:pt idx="2596">
                  <c:v>-4.2710089757455209E-2</c:v>
                </c:pt>
                <c:pt idx="2597">
                  <c:v>2.4729953310273257E-2</c:v>
                </c:pt>
                <c:pt idx="2598">
                  <c:v>-9.4996528720434764E-3</c:v>
                </c:pt>
                <c:pt idx="2599">
                  <c:v>2.8684466154068246E-2</c:v>
                </c:pt>
                <c:pt idx="2600">
                  <c:v>-4.4527353425339283E-2</c:v>
                </c:pt>
                <c:pt idx="2601">
                  <c:v>-9.4986777816213393E-3</c:v>
                </c:pt>
                <c:pt idx="2602">
                  <c:v>-3.7641863449026133E-2</c:v>
                </c:pt>
                <c:pt idx="2603">
                  <c:v>1.8422658264104008E-2</c:v>
                </c:pt>
                <c:pt idx="2604">
                  <c:v>-3.377056166610206E-2</c:v>
                </c:pt>
                <c:pt idx="2605">
                  <c:v>-2.0159484379492432E-2</c:v>
                </c:pt>
                <c:pt idx="2606">
                  <c:v>2.2334029720338031E-2</c:v>
                </c:pt>
                <c:pt idx="2607">
                  <c:v>1.4614300713165977E-3</c:v>
                </c:pt>
                <c:pt idx="2608">
                  <c:v>2.0135285619163303E-2</c:v>
                </c:pt>
                <c:pt idx="2609">
                  <c:v>-4.6596578576474715E-2</c:v>
                </c:pt>
                <c:pt idx="2610">
                  <c:v>-3.7054084911637931E-3</c:v>
                </c:pt>
                <c:pt idx="2611">
                  <c:v>-2.2945611217913618E-3</c:v>
                </c:pt>
                <c:pt idx="2612">
                  <c:v>3.1532933789058651E-2</c:v>
                </c:pt>
                <c:pt idx="2613">
                  <c:v>-3.9579908350554065E-3</c:v>
                </c:pt>
                <c:pt idx="2614">
                  <c:v>1.1111616687230421E-2</c:v>
                </c:pt>
                <c:pt idx="2615">
                  <c:v>1.2792757935047895E-2</c:v>
                </c:pt>
                <c:pt idx="2616">
                  <c:v>2.7230352520329022E-2</c:v>
                </c:pt>
                <c:pt idx="2617">
                  <c:v>-5.0330929286674314E-3</c:v>
                </c:pt>
                <c:pt idx="2618">
                  <c:v>2.0230271600786957E-3</c:v>
                </c:pt>
                <c:pt idx="2619">
                  <c:v>7.8914804409938172E-3</c:v>
                </c:pt>
                <c:pt idx="2620">
                  <c:v>-1.6741862283366927E-2</c:v>
                </c:pt>
                <c:pt idx="2621">
                  <c:v>-4.7093526943075151E-3</c:v>
                </c:pt>
                <c:pt idx="2622">
                  <c:v>1.3855901427012568E-2</c:v>
                </c:pt>
                <c:pt idx="2623">
                  <c:v>-7.6949941050274738E-3</c:v>
                </c:pt>
                <c:pt idx="2624">
                  <c:v>-2.1005831818681098E-2</c:v>
                </c:pt>
                <c:pt idx="2625">
                  <c:v>-4.5585643328179173E-2</c:v>
                </c:pt>
                <c:pt idx="2626">
                  <c:v>-4.3339146294876188E-2</c:v>
                </c:pt>
                <c:pt idx="2627">
                  <c:v>9.1620354038627755E-3</c:v>
                </c:pt>
                <c:pt idx="2628">
                  <c:v>2.9304165871511068E-2</c:v>
                </c:pt>
                <c:pt idx="2629">
                  <c:v>-2.7342513448176311E-2</c:v>
                </c:pt>
                <c:pt idx="2630">
                  <c:v>1.0877583247634486E-2</c:v>
                </c:pt>
                <c:pt idx="2631">
                  <c:v>2.4292956538785097E-2</c:v>
                </c:pt>
                <c:pt idx="2632">
                  <c:v>-2.4101738688862614E-3</c:v>
                </c:pt>
                <c:pt idx="2633">
                  <c:v>2.2389277807782867E-2</c:v>
                </c:pt>
                <c:pt idx="2634">
                  <c:v>3.357398754615485E-2</c:v>
                </c:pt>
                <c:pt idx="2635">
                  <c:v>-1.0548418707466232E-2</c:v>
                </c:pt>
                <c:pt idx="2636">
                  <c:v>-3.2262063296372295E-2</c:v>
                </c:pt>
                <c:pt idx="2637">
                  <c:v>1.4627831027483475E-2</c:v>
                </c:pt>
                <c:pt idx="2638">
                  <c:v>-1.3262757199037361E-2</c:v>
                </c:pt>
                <c:pt idx="2639">
                  <c:v>1.0645489608415762E-2</c:v>
                </c:pt>
                <c:pt idx="2640">
                  <c:v>1.2521083921312173E-2</c:v>
                </c:pt>
                <c:pt idx="2641">
                  <c:v>1.2696278694425632E-2</c:v>
                </c:pt>
                <c:pt idx="2642">
                  <c:v>8.1928519012641147E-3</c:v>
                </c:pt>
                <c:pt idx="2643">
                  <c:v>-2.7553003576502371E-3</c:v>
                </c:pt>
                <c:pt idx="2644">
                  <c:v>-1.1842771506936477E-2</c:v>
                </c:pt>
                <c:pt idx="2645">
                  <c:v>-4.1843116276440828E-2</c:v>
                </c:pt>
                <c:pt idx="2646">
                  <c:v>-3.7477780115090635E-3</c:v>
                </c:pt>
                <c:pt idx="2647">
                  <c:v>5.3611650452077162E-3</c:v>
                </c:pt>
                <c:pt idx="2648">
                  <c:v>1.0342478778585689E-2</c:v>
                </c:pt>
                <c:pt idx="2649">
                  <c:v>-9.6713364652003427E-3</c:v>
                </c:pt>
                <c:pt idx="2650">
                  <c:v>2.054967599850133E-2</c:v>
                </c:pt>
                <c:pt idx="2651">
                  <c:v>1.0508155872914975E-2</c:v>
                </c:pt>
                <c:pt idx="2652">
                  <c:v>9.7588595770827131E-3</c:v>
                </c:pt>
                <c:pt idx="2653">
                  <c:v>-1.7064510438746475E-2</c:v>
                </c:pt>
                <c:pt idx="2654">
                  <c:v>-5.8942436344738749E-3</c:v>
                </c:pt>
                <c:pt idx="2655">
                  <c:v>-2.7141068904783596E-2</c:v>
                </c:pt>
                <c:pt idx="2656">
                  <c:v>6.4713881754965563E-2</c:v>
                </c:pt>
                <c:pt idx="2657">
                  <c:v>2.8144481922628289E-2</c:v>
                </c:pt>
                <c:pt idx="2658">
                  <c:v>1.5539547614939007E-2</c:v>
                </c:pt>
                <c:pt idx="2659">
                  <c:v>-9.7803240570344483E-3</c:v>
                </c:pt>
                <c:pt idx="2660">
                  <c:v>-1.1533224056445055E-2</c:v>
                </c:pt>
                <c:pt idx="2661">
                  <c:v>2.745803869078724E-2</c:v>
                </c:pt>
                <c:pt idx="2662">
                  <c:v>4.1642820147636218E-3</c:v>
                </c:pt>
                <c:pt idx="2663">
                  <c:v>-2.6033512098213763E-3</c:v>
                </c:pt>
                <c:pt idx="2664">
                  <c:v>-9.2055563844125193E-3</c:v>
                </c:pt>
                <c:pt idx="2665">
                  <c:v>7.0405565959586382E-3</c:v>
                </c:pt>
                <c:pt idx="2666">
                  <c:v>2.4009761548290074E-2</c:v>
                </c:pt>
                <c:pt idx="2667">
                  <c:v>-7.4315251447686715E-3</c:v>
                </c:pt>
                <c:pt idx="2668">
                  <c:v>1.6899405142478466E-2</c:v>
                </c:pt>
                <c:pt idx="2669">
                  <c:v>5.3254914780271317E-3</c:v>
                </c:pt>
                <c:pt idx="2670">
                  <c:v>-2.5963856885812529E-3</c:v>
                </c:pt>
                <c:pt idx="2671">
                  <c:v>-2.6346333044869655E-3</c:v>
                </c:pt>
                <c:pt idx="2672">
                  <c:v>-3.9509600120832154E-3</c:v>
                </c:pt>
                <c:pt idx="2673">
                  <c:v>-1.3954381111325834E-2</c:v>
                </c:pt>
                <c:pt idx="2674">
                  <c:v>-2.9794137458336749E-2</c:v>
                </c:pt>
                <c:pt idx="2675">
                  <c:v>-4.7341589111602545E-3</c:v>
                </c:pt>
                <c:pt idx="2676">
                  <c:v>-2.347791534453152E-3</c:v>
                </c:pt>
                <c:pt idx="2677">
                  <c:v>1.1030138421377044E-2</c:v>
                </c:pt>
                <c:pt idx="2678">
                  <c:v>-3.934558570375199E-2</c:v>
                </c:pt>
                <c:pt idx="2679">
                  <c:v>-1.072566451890513E-2</c:v>
                </c:pt>
                <c:pt idx="2680">
                  <c:v>-8.5602554328940914E-3</c:v>
                </c:pt>
                <c:pt idx="2681">
                  <c:v>-5.7140347180946538E-3</c:v>
                </c:pt>
                <c:pt idx="2682">
                  <c:v>-4.1054504610029555E-3</c:v>
                </c:pt>
                <c:pt idx="2683">
                  <c:v>-1.6815344934772714E-2</c:v>
                </c:pt>
                <c:pt idx="2684">
                  <c:v>-1.1027235263011132E-2</c:v>
                </c:pt>
                <c:pt idx="2685">
                  <c:v>1.8933292390754523E-2</c:v>
                </c:pt>
                <c:pt idx="2686">
                  <c:v>1.6573281356473751E-3</c:v>
                </c:pt>
                <c:pt idx="2687">
                  <c:v>2.2718327699326385E-2</c:v>
                </c:pt>
                <c:pt idx="2688">
                  <c:v>8.2523603593257517E-3</c:v>
                </c:pt>
                <c:pt idx="2689">
                  <c:v>-5.6552391905706649E-2</c:v>
                </c:pt>
                <c:pt idx="2690">
                  <c:v>9.1777436067589366E-4</c:v>
                </c:pt>
                <c:pt idx="2691">
                  <c:v>-2.7499223526151386E-2</c:v>
                </c:pt>
                <c:pt idx="2692">
                  <c:v>-2.6162074113411445E-3</c:v>
                </c:pt>
                <c:pt idx="2693">
                  <c:v>-8.9165558004865298E-4</c:v>
                </c:pt>
                <c:pt idx="2694">
                  <c:v>-8.4980061894572578E-3</c:v>
                </c:pt>
                <c:pt idx="2695">
                  <c:v>-1.4537657126662485E-2</c:v>
                </c:pt>
                <c:pt idx="2696">
                  <c:v>8.4569704449707732E-3</c:v>
                </c:pt>
                <c:pt idx="2697">
                  <c:v>-1.2787397237280191E-2</c:v>
                </c:pt>
                <c:pt idx="2698">
                  <c:v>-1.9726409758863729E-3</c:v>
                </c:pt>
                <c:pt idx="2699">
                  <c:v>-4.3880474797639742E-3</c:v>
                </c:pt>
                <c:pt idx="2700">
                  <c:v>1.951600094970523E-2</c:v>
                </c:pt>
                <c:pt idx="2701">
                  <c:v>-1.4913347378596821E-2</c:v>
                </c:pt>
                <c:pt idx="2702">
                  <c:v>-1.9562666389088237E-2</c:v>
                </c:pt>
                <c:pt idx="2703">
                  <c:v>3.3100925492485535E-2</c:v>
                </c:pt>
                <c:pt idx="2704">
                  <c:v>3.3261455698727238E-2</c:v>
                </c:pt>
                <c:pt idx="2705">
                  <c:v>1.2769616600351768E-3</c:v>
                </c:pt>
                <c:pt idx="2706">
                  <c:v>-9.7121860649605641E-3</c:v>
                </c:pt>
                <c:pt idx="2707">
                  <c:v>-5.218862951677853E-2</c:v>
                </c:pt>
                <c:pt idx="2708">
                  <c:v>-2.1530232815237874E-2</c:v>
                </c:pt>
                <c:pt idx="2709">
                  <c:v>-1.6894838526947929E-2</c:v>
                </c:pt>
                <c:pt idx="2710">
                  <c:v>1.5091614368313597E-3</c:v>
                </c:pt>
                <c:pt idx="2711">
                  <c:v>3.6915909905354517E-2</c:v>
                </c:pt>
                <c:pt idx="2712">
                  <c:v>-2.4549244178668592E-2</c:v>
                </c:pt>
                <c:pt idx="2713">
                  <c:v>3.8493542595289323E-2</c:v>
                </c:pt>
                <c:pt idx="2714">
                  <c:v>4.0811226828693413E-3</c:v>
                </c:pt>
                <c:pt idx="2715">
                  <c:v>-8.5064890622507713E-3</c:v>
                </c:pt>
                <c:pt idx="2716">
                  <c:v>-1.3974735611379987E-3</c:v>
                </c:pt>
                <c:pt idx="2717">
                  <c:v>2.4965759489049878E-2</c:v>
                </c:pt>
                <c:pt idx="2718">
                  <c:v>2.0966490966125916E-2</c:v>
                </c:pt>
                <c:pt idx="2719">
                  <c:v>1.3699405233699927E-2</c:v>
                </c:pt>
                <c:pt idx="2720">
                  <c:v>-8.0298242425450098E-2</c:v>
                </c:pt>
                <c:pt idx="2721">
                  <c:v>-1.9955803215849811E-2</c:v>
                </c:pt>
                <c:pt idx="2722">
                  <c:v>3.9430407190052308E-2</c:v>
                </c:pt>
                <c:pt idx="2723">
                  <c:v>-1.5982080311356277E-2</c:v>
                </c:pt>
                <c:pt idx="2724">
                  <c:v>-1.719717224404824E-2</c:v>
                </c:pt>
                <c:pt idx="2725">
                  <c:v>-3.6025387654962299E-2</c:v>
                </c:pt>
                <c:pt idx="2726">
                  <c:v>-2.6936881264234182E-2</c:v>
                </c:pt>
                <c:pt idx="2727">
                  <c:v>3.2791817877251377E-2</c:v>
                </c:pt>
                <c:pt idx="2728">
                  <c:v>2.8847303367133481E-2</c:v>
                </c:pt>
                <c:pt idx="2729">
                  <c:v>4.3740111065962237E-3</c:v>
                </c:pt>
                <c:pt idx="2730">
                  <c:v>-1.9231491642351609E-2</c:v>
                </c:pt>
                <c:pt idx="2731">
                  <c:v>7.9060186820751305E-2</c:v>
                </c:pt>
                <c:pt idx="2732">
                  <c:v>1.6854869062251056E-2</c:v>
                </c:pt>
                <c:pt idx="2733">
                  <c:v>-2.2761913665774319E-2</c:v>
                </c:pt>
                <c:pt idx="2734">
                  <c:v>1.7454513091206365E-3</c:v>
                </c:pt>
                <c:pt idx="2735">
                  <c:v>1.8180981478016422E-3</c:v>
                </c:pt>
                <c:pt idx="2736">
                  <c:v>-2.0605334331374819E-4</c:v>
                </c:pt>
                <c:pt idx="2737">
                  <c:v>-1.906955490818136E-3</c:v>
                </c:pt>
                <c:pt idx="2738">
                  <c:v>3.432425456898629E-3</c:v>
                </c:pt>
                <c:pt idx="2739">
                  <c:v>1.2245153171687305E-2</c:v>
                </c:pt>
                <c:pt idx="2740">
                  <c:v>1.034144768146401E-2</c:v>
                </c:pt>
                <c:pt idx="2741">
                  <c:v>-3.5723451593782372E-4</c:v>
                </c:pt>
                <c:pt idx="2742">
                  <c:v>-2.3422648803524338E-2</c:v>
                </c:pt>
                <c:pt idx="2743">
                  <c:v>-5.9328836685651736E-3</c:v>
                </c:pt>
                <c:pt idx="2744">
                  <c:v>5.9803815603305097E-2</c:v>
                </c:pt>
                <c:pt idx="2745">
                  <c:v>-1.7743261718901919E-3</c:v>
                </c:pt>
                <c:pt idx="2746">
                  <c:v>1.3001517345552073E-3</c:v>
                </c:pt>
                <c:pt idx="2747">
                  <c:v>-1.9084679242068549E-2</c:v>
                </c:pt>
                <c:pt idx="2748">
                  <c:v>-2.0508677596013498E-2</c:v>
                </c:pt>
                <c:pt idx="2749">
                  <c:v>-3.0690221291146485E-3</c:v>
                </c:pt>
                <c:pt idx="2750">
                  <c:v>1.2322691370951412E-2</c:v>
                </c:pt>
                <c:pt idx="2751">
                  <c:v>-8.0311777350875642E-3</c:v>
                </c:pt>
                <c:pt idx="2752">
                  <c:v>2.847764655253553E-2</c:v>
                </c:pt>
                <c:pt idx="2753">
                  <c:v>1.7310749025480437E-2</c:v>
                </c:pt>
                <c:pt idx="2754">
                  <c:v>1.1663837696507971E-3</c:v>
                </c:pt>
                <c:pt idx="2755">
                  <c:v>-3.2437012694589352E-2</c:v>
                </c:pt>
                <c:pt idx="2756">
                  <c:v>-1.7499952493573296E-2</c:v>
                </c:pt>
                <c:pt idx="2757">
                  <c:v>-1.7481893176115794E-2</c:v>
                </c:pt>
                <c:pt idx="2758">
                  <c:v>5.606340981011179E-3</c:v>
                </c:pt>
                <c:pt idx="2759">
                  <c:v>1.081575237727604E-2</c:v>
                </c:pt>
                <c:pt idx="2760">
                  <c:v>-2.5859170734221733E-2</c:v>
                </c:pt>
                <c:pt idx="2761">
                  <c:v>2.2675843330417621E-3</c:v>
                </c:pt>
                <c:pt idx="2762">
                  <c:v>-7.4528667018431667E-3</c:v>
                </c:pt>
                <c:pt idx="2763">
                  <c:v>-1.0304569101676578E-2</c:v>
                </c:pt>
                <c:pt idx="2764">
                  <c:v>2.7257587763376976E-2</c:v>
                </c:pt>
                <c:pt idx="2765">
                  <c:v>-4.946444847516128E-3</c:v>
                </c:pt>
                <c:pt idx="2766">
                  <c:v>-1.0092016291397103E-3</c:v>
                </c:pt>
                <c:pt idx="2767">
                  <c:v>-4.4721003667446219E-2</c:v>
                </c:pt>
                <c:pt idx="2768">
                  <c:v>-3.0088529659989427E-2</c:v>
                </c:pt>
                <c:pt idx="2769">
                  <c:v>1.1708745685860618E-2</c:v>
                </c:pt>
                <c:pt idx="2770">
                  <c:v>9.6909351809812173E-3</c:v>
                </c:pt>
                <c:pt idx="2771">
                  <c:v>7.5879866359646357E-3</c:v>
                </c:pt>
                <c:pt idx="2772">
                  <c:v>2.9797574688442109E-2</c:v>
                </c:pt>
                <c:pt idx="2773">
                  <c:v>1.1546947777722248E-2</c:v>
                </c:pt>
                <c:pt idx="2774">
                  <c:v>3.0168630934299585E-3</c:v>
                </c:pt>
                <c:pt idx="2775">
                  <c:v>4.6753519083833194E-3</c:v>
                </c:pt>
                <c:pt idx="2776">
                  <c:v>-1.9066737094578179E-2</c:v>
                </c:pt>
                <c:pt idx="2777">
                  <c:v>-1.659790944364252E-2</c:v>
                </c:pt>
                <c:pt idx="2778">
                  <c:v>3.5118973940921186E-2</c:v>
                </c:pt>
                <c:pt idx="2779">
                  <c:v>9.7768376517621096E-3</c:v>
                </c:pt>
                <c:pt idx="2780">
                  <c:v>-2.2315726321065106E-3</c:v>
                </c:pt>
                <c:pt idx="2781">
                  <c:v>-5.9260368641917728E-3</c:v>
                </c:pt>
                <c:pt idx="2782">
                  <c:v>3.024872927719241E-2</c:v>
                </c:pt>
                <c:pt idx="2783">
                  <c:v>6.514431334127866E-4</c:v>
                </c:pt>
                <c:pt idx="2784">
                  <c:v>-2.2198010104362106E-2</c:v>
                </c:pt>
                <c:pt idx="2785">
                  <c:v>2.0792165577248112E-2</c:v>
                </c:pt>
                <c:pt idx="2786">
                  <c:v>1.9741504224050653E-2</c:v>
                </c:pt>
                <c:pt idx="2787">
                  <c:v>4.5815478049263059E-2</c:v>
                </c:pt>
                <c:pt idx="2788">
                  <c:v>-2.3907472480195736E-2</c:v>
                </c:pt>
                <c:pt idx="2789">
                  <c:v>-6.1404844067298485E-3</c:v>
                </c:pt>
                <c:pt idx="2790">
                  <c:v>4.1167904768307118E-2</c:v>
                </c:pt>
                <c:pt idx="2791">
                  <c:v>-3.1046472858734095E-3</c:v>
                </c:pt>
                <c:pt idx="2792">
                  <c:v>-1.1729035854950649E-2</c:v>
                </c:pt>
                <c:pt idx="2793">
                  <c:v>-1.9682842535421814E-3</c:v>
                </c:pt>
                <c:pt idx="2794">
                  <c:v>3.0759717852453242E-2</c:v>
                </c:pt>
                <c:pt idx="2795">
                  <c:v>3.1231616046878182E-3</c:v>
                </c:pt>
                <c:pt idx="2796">
                  <c:v>-8.0238896218212397E-3</c:v>
                </c:pt>
                <c:pt idx="2797">
                  <c:v>-2.6987675577542714E-2</c:v>
                </c:pt>
                <c:pt idx="2798">
                  <c:v>-1.5716803215305736E-2</c:v>
                </c:pt>
                <c:pt idx="2799">
                  <c:v>-2.1110754749183377E-2</c:v>
                </c:pt>
                <c:pt idx="2800">
                  <c:v>-4.6010192130286022E-3</c:v>
                </c:pt>
                <c:pt idx="2801">
                  <c:v>1.2876840327175246E-2</c:v>
                </c:pt>
                <c:pt idx="2802">
                  <c:v>-2.2024893814096811E-2</c:v>
                </c:pt>
                <c:pt idx="2803">
                  <c:v>3.7600593284103992E-3</c:v>
                </c:pt>
                <c:pt idx="2804">
                  <c:v>-2.9508184863123554E-3</c:v>
                </c:pt>
                <c:pt idx="2805">
                  <c:v>-1.271828462086144E-2</c:v>
                </c:pt>
                <c:pt idx="2806">
                  <c:v>1.946756685096707E-2</c:v>
                </c:pt>
                <c:pt idx="2807">
                  <c:v>1.650580446254481E-2</c:v>
                </c:pt>
                <c:pt idx="2808">
                  <c:v>6.1684599492507373E-3</c:v>
                </c:pt>
                <c:pt idx="2809">
                  <c:v>-1.0646355619758395E-2</c:v>
                </c:pt>
                <c:pt idx="2810">
                  <c:v>-1.7688130608688726E-3</c:v>
                </c:pt>
                <c:pt idx="2811">
                  <c:v>-5.4538631710244279E-3</c:v>
                </c:pt>
                <c:pt idx="2812">
                  <c:v>-1.4893293701165065E-2</c:v>
                </c:pt>
                <c:pt idx="2813">
                  <c:v>2.1217979575000715E-2</c:v>
                </c:pt>
                <c:pt idx="2814">
                  <c:v>2.668831625988206E-2</c:v>
                </c:pt>
                <c:pt idx="2815">
                  <c:v>1.7675773133584032E-2</c:v>
                </c:pt>
                <c:pt idx="2816">
                  <c:v>3.9740923910581316E-2</c:v>
                </c:pt>
                <c:pt idx="2817">
                  <c:v>1.1616346612937587E-2</c:v>
                </c:pt>
                <c:pt idx="2818">
                  <c:v>-2.6095421142100582E-2</c:v>
                </c:pt>
                <c:pt idx="2819">
                  <c:v>5.6746169283387856E-3</c:v>
                </c:pt>
                <c:pt idx="2820">
                  <c:v>-5.4549066843026942E-3</c:v>
                </c:pt>
                <c:pt idx="2821">
                  <c:v>1.952770808619347E-2</c:v>
                </c:pt>
                <c:pt idx="2822">
                  <c:v>1.0425236813889861E-2</c:v>
                </c:pt>
                <c:pt idx="2823">
                  <c:v>-1.5047732733712764E-2</c:v>
                </c:pt>
                <c:pt idx="2824">
                  <c:v>-4.1649648582575806E-3</c:v>
                </c:pt>
                <c:pt idx="2825">
                  <c:v>1.8995857030371086E-2</c:v>
                </c:pt>
                <c:pt idx="2826">
                  <c:v>1.2542501996493351E-2</c:v>
                </c:pt>
                <c:pt idx="2827">
                  <c:v>1.4851880914666502E-2</c:v>
                </c:pt>
                <c:pt idx="2828">
                  <c:v>-3.7205805584355897E-3</c:v>
                </c:pt>
                <c:pt idx="2829">
                  <c:v>-1.6944665118645536E-4</c:v>
                </c:pt>
                <c:pt idx="2830">
                  <c:v>-9.9344087060417377E-3</c:v>
                </c:pt>
                <c:pt idx="2831">
                  <c:v>2.5206374111040639E-2</c:v>
                </c:pt>
                <c:pt idx="2832">
                  <c:v>-7.6050771315181133E-3</c:v>
                </c:pt>
                <c:pt idx="2833">
                  <c:v>-2.29283315211938E-2</c:v>
                </c:pt>
                <c:pt idx="2834">
                  <c:v>2.3273643985035463E-3</c:v>
                </c:pt>
                <c:pt idx="2835">
                  <c:v>2.2151802801663848E-2</c:v>
                </c:pt>
                <c:pt idx="2836">
                  <c:v>-1.2846529156859621E-2</c:v>
                </c:pt>
                <c:pt idx="2837">
                  <c:v>9.2545901530071053E-3</c:v>
                </c:pt>
                <c:pt idx="2838">
                  <c:v>-1.4931327463608209E-3</c:v>
                </c:pt>
                <c:pt idx="2839">
                  <c:v>2.8123066724538795E-4</c:v>
                </c:pt>
                <c:pt idx="2840">
                  <c:v>-8.1489918902990198E-3</c:v>
                </c:pt>
                <c:pt idx="2841">
                  <c:v>-1.2162108557605962E-3</c:v>
                </c:pt>
                <c:pt idx="2842">
                  <c:v>-1.4066798933200363E-2</c:v>
                </c:pt>
                <c:pt idx="2843">
                  <c:v>-2.2797157344050027E-2</c:v>
                </c:pt>
                <c:pt idx="2844">
                  <c:v>6.9935058536735678E-2</c:v>
                </c:pt>
                <c:pt idx="2845">
                  <c:v>3.152351944313081E-2</c:v>
                </c:pt>
                <c:pt idx="2846">
                  <c:v>7.9375750106988364E-3</c:v>
                </c:pt>
                <c:pt idx="2847">
                  <c:v>-5.5423801987496734E-3</c:v>
                </c:pt>
                <c:pt idx="2848">
                  <c:v>-4.9119500765226884E-4</c:v>
                </c:pt>
                <c:pt idx="2849">
                  <c:v>-3.3152306382506617E-3</c:v>
                </c:pt>
                <c:pt idx="2850">
                  <c:v>3.3152306382505125E-3</c:v>
                </c:pt>
                <c:pt idx="2851">
                  <c:v>1.700744217118233E-2</c:v>
                </c:pt>
                <c:pt idx="2852">
                  <c:v>-6.4568530193808565E-3</c:v>
                </c:pt>
                <c:pt idx="2853">
                  <c:v>-5.3587995708640097E-3</c:v>
                </c:pt>
                <c:pt idx="2854">
                  <c:v>1.7147384065395486E-2</c:v>
                </c:pt>
                <c:pt idx="2855">
                  <c:v>-7.0662692932317497E-3</c:v>
                </c:pt>
                <c:pt idx="2856">
                  <c:v>-3.6848378851348442E-3</c:v>
                </c:pt>
                <c:pt idx="2857">
                  <c:v>1.5836873708324022E-3</c:v>
                </c:pt>
                <c:pt idx="2858">
                  <c:v>7.3412973073190904E-3</c:v>
                </c:pt>
                <c:pt idx="2859">
                  <c:v>9.4067919668925394E-3</c:v>
                </c:pt>
                <c:pt idx="2860">
                  <c:v>1.4289407587988233E-2</c:v>
                </c:pt>
                <c:pt idx="2861">
                  <c:v>-5.6233411434526909E-4</c:v>
                </c:pt>
                <c:pt idx="2862">
                  <c:v>8.8840258439923554E-3</c:v>
                </c:pt>
                <c:pt idx="2863">
                  <c:v>-1.8607923589270499E-2</c:v>
                </c:pt>
                <c:pt idx="2864">
                  <c:v>-4.4801227608374716E-3</c:v>
                </c:pt>
                <c:pt idx="2865">
                  <c:v>3.7734000579981442E-2</c:v>
                </c:pt>
                <c:pt idx="2866">
                  <c:v>2.1161203373139127E-2</c:v>
                </c:pt>
                <c:pt idx="2867">
                  <c:v>-5.0575478817690665E-3</c:v>
                </c:pt>
                <c:pt idx="2868">
                  <c:v>-8.5553062707773089E-3</c:v>
                </c:pt>
                <c:pt idx="2869">
                  <c:v>1.2682480111583511E-2</c:v>
                </c:pt>
                <c:pt idx="2870">
                  <c:v>8.4388942076530186E-3</c:v>
                </c:pt>
                <c:pt idx="2871">
                  <c:v>1.6094036023597876E-3</c:v>
                </c:pt>
                <c:pt idx="2872">
                  <c:v>-6.744226366220997E-3</c:v>
                </c:pt>
                <c:pt idx="2873">
                  <c:v>-3.1356496985015268E-2</c:v>
                </c:pt>
                <c:pt idx="2874">
                  <c:v>5.7957252775127843E-3</c:v>
                </c:pt>
                <c:pt idx="2875">
                  <c:v>4.691770406527458E-3</c:v>
                </c:pt>
                <c:pt idx="2876">
                  <c:v>1.5366296873910931E-2</c:v>
                </c:pt>
                <c:pt idx="2877">
                  <c:v>7.3292221481958937E-3</c:v>
                </c:pt>
                <c:pt idx="2878">
                  <c:v>9.0798798210875373E-3</c:v>
                </c:pt>
                <c:pt idx="2879">
                  <c:v>3.139851165101392E-2</c:v>
                </c:pt>
                <c:pt idx="2880">
                  <c:v>-1.6713138103579987E-2</c:v>
                </c:pt>
                <c:pt idx="2881">
                  <c:v>-1.2579343323549753E-2</c:v>
                </c:pt>
                <c:pt idx="2882">
                  <c:v>-1.3373279319027232E-2</c:v>
                </c:pt>
                <c:pt idx="2883">
                  <c:v>1.8269176851300056E-2</c:v>
                </c:pt>
                <c:pt idx="2884">
                  <c:v>-1.3905251841588051E-2</c:v>
                </c:pt>
                <c:pt idx="2885">
                  <c:v>-1.9345970758531113E-2</c:v>
                </c:pt>
                <c:pt idx="2886">
                  <c:v>1.8004321416661782E-2</c:v>
                </c:pt>
                <c:pt idx="2887">
                  <c:v>3.8147481268590313E-3</c:v>
                </c:pt>
                <c:pt idx="2888">
                  <c:v>-2.3825116899654141E-3</c:v>
                </c:pt>
                <c:pt idx="2889">
                  <c:v>1.6256624821518167E-2</c:v>
                </c:pt>
                <c:pt idx="2890">
                  <c:v>-7.5174311206165738E-3</c:v>
                </c:pt>
                <c:pt idx="2891">
                  <c:v>4.728075880927905E-4</c:v>
                </c:pt>
                <c:pt idx="2892">
                  <c:v>9.184239425794721E-3</c:v>
                </c:pt>
                <c:pt idx="2893">
                  <c:v>-1.194044037191775E-2</c:v>
                </c:pt>
                <c:pt idx="2894">
                  <c:v>-1.6113138143131832E-2</c:v>
                </c:pt>
                <c:pt idx="2895">
                  <c:v>1.9279888648144887E-3</c:v>
                </c:pt>
                <c:pt idx="2896">
                  <c:v>1.4128147596752377E-2</c:v>
                </c:pt>
                <c:pt idx="2897">
                  <c:v>1.605929540900497E-2</c:v>
                </c:pt>
                <c:pt idx="2898">
                  <c:v>7.5032963709185611E-3</c:v>
                </c:pt>
                <c:pt idx="2899">
                  <c:v>1.417264507237305E-3</c:v>
                </c:pt>
                <c:pt idx="2900">
                  <c:v>3.9027117782757491E-2</c:v>
                </c:pt>
                <c:pt idx="2901">
                  <c:v>-1.2342776958939865E-2</c:v>
                </c:pt>
                <c:pt idx="2902">
                  <c:v>-2.339198606774559E-2</c:v>
                </c:pt>
                <c:pt idx="2903">
                  <c:v>-8.9764474537602917E-3</c:v>
                </c:pt>
                <c:pt idx="2904">
                  <c:v>3.8887469336480202E-3</c:v>
                </c:pt>
                <c:pt idx="2905">
                  <c:v>1.6867943360488958E-2</c:v>
                </c:pt>
                <c:pt idx="2906">
                  <c:v>-3.8367775957023634E-2</c:v>
                </c:pt>
                <c:pt idx="2907">
                  <c:v>-2.1087821852209872E-2</c:v>
                </c:pt>
                <c:pt idx="2908">
                  <c:v>2.2865344741251223E-2</c:v>
                </c:pt>
                <c:pt idx="2909">
                  <c:v>-7.2676526682854421E-3</c:v>
                </c:pt>
                <c:pt idx="2910">
                  <c:v>1.2520467782196839E-3</c:v>
                </c:pt>
                <c:pt idx="2911">
                  <c:v>-2.6637193602620419E-2</c:v>
                </c:pt>
                <c:pt idx="2912">
                  <c:v>-2.564100003544084E-3</c:v>
                </c:pt>
                <c:pt idx="2913">
                  <c:v>3.4132258409697493E-3</c:v>
                </c:pt>
                <c:pt idx="2914">
                  <c:v>7.092075624404076E-3</c:v>
                </c:pt>
                <c:pt idx="2915">
                  <c:v>-1.2377624498189629E-2</c:v>
                </c:pt>
                <c:pt idx="2916">
                  <c:v>-1.1785257689278185E-2</c:v>
                </c:pt>
                <c:pt idx="2917">
                  <c:v>2.1702186889667346E-3</c:v>
                </c:pt>
                <c:pt idx="2918">
                  <c:v>-5.9637139101610366E-3</c:v>
                </c:pt>
                <c:pt idx="2919">
                  <c:v>9.3944528504834486E-3</c:v>
                </c:pt>
                <c:pt idx="2920">
                  <c:v>-6.7538403561532108E-3</c:v>
                </c:pt>
                <c:pt idx="2921">
                  <c:v>-2.4263339818636387E-3</c:v>
                </c:pt>
                <c:pt idx="2922">
                  <c:v>-1.1047700635116059E-2</c:v>
                </c:pt>
                <c:pt idx="2923">
                  <c:v>-1.2655707515753969E-3</c:v>
                </c:pt>
                <c:pt idx="2924">
                  <c:v>1.6921733824537676E-2</c:v>
                </c:pt>
                <c:pt idx="2925">
                  <c:v>1.8017655905315118E-3</c:v>
                </c:pt>
                <c:pt idx="2926">
                  <c:v>1.3983589586041057E-2</c:v>
                </c:pt>
                <c:pt idx="2927">
                  <c:v>-2.1733812234242363E-2</c:v>
                </c:pt>
                <c:pt idx="2928">
                  <c:v>9.3612266206020475E-3</c:v>
                </c:pt>
                <c:pt idx="2929">
                  <c:v>2.2229863349016066E-3</c:v>
                </c:pt>
                <c:pt idx="2930">
                  <c:v>1.444701096821977E-2</c:v>
                </c:pt>
                <c:pt idx="2931">
                  <c:v>1.1551460577879644E-3</c:v>
                </c:pt>
                <c:pt idx="2932">
                  <c:v>-3.1367461400519875E-3</c:v>
                </c:pt>
                <c:pt idx="2933">
                  <c:v>2.7436547166674215E-3</c:v>
                </c:pt>
                <c:pt idx="2934">
                  <c:v>1.4769371652229092E-2</c:v>
                </c:pt>
                <c:pt idx="2935">
                  <c:v>-2.0116829780372292E-3</c:v>
                </c:pt>
                <c:pt idx="2936">
                  <c:v>-8.9622221169521014E-3</c:v>
                </c:pt>
                <c:pt idx="2937">
                  <c:v>1.3126524138818372E-2</c:v>
                </c:pt>
                <c:pt idx="2938">
                  <c:v>1.091820471587914E-2</c:v>
                </c:pt>
                <c:pt idx="2939">
                  <c:v>-1.8424045130584616E-2</c:v>
                </c:pt>
                <c:pt idx="2940">
                  <c:v>1.284917833883863E-2</c:v>
                </c:pt>
                <c:pt idx="2941">
                  <c:v>7.8247543513112281E-3</c:v>
                </c:pt>
                <c:pt idx="2942">
                  <c:v>-2.5355639157524947E-2</c:v>
                </c:pt>
                <c:pt idx="2943">
                  <c:v>-3.5188173404428246E-3</c:v>
                </c:pt>
                <c:pt idx="2944">
                  <c:v>-1.2463432495042255E-3</c:v>
                </c:pt>
                <c:pt idx="2945">
                  <c:v>-2.4270032561062149E-2</c:v>
                </c:pt>
                <c:pt idx="2946">
                  <c:v>-3.8753932956792601E-3</c:v>
                </c:pt>
                <c:pt idx="2947">
                  <c:v>-7.9171401943653932E-3</c:v>
                </c:pt>
                <c:pt idx="2948">
                  <c:v>1.67047733348642E-3</c:v>
                </c:pt>
                <c:pt idx="2949">
                  <c:v>-1.7148590946270442E-2</c:v>
                </c:pt>
                <c:pt idx="2950">
                  <c:v>2.0774277100644107E-3</c:v>
                </c:pt>
                <c:pt idx="2951">
                  <c:v>2.7138545631982323E-3</c:v>
                </c:pt>
                <c:pt idx="2952">
                  <c:v>6.7046310835404159E-3</c:v>
                </c:pt>
                <c:pt idx="2953">
                  <c:v>1.8979723700956099E-2</c:v>
                </c:pt>
                <c:pt idx="2954">
                  <c:v>-2.6479698683840217E-2</c:v>
                </c:pt>
                <c:pt idx="2955">
                  <c:v>1.7599994515374393E-2</c:v>
                </c:pt>
                <c:pt idx="2956">
                  <c:v>1.2715605530496058E-3</c:v>
                </c:pt>
                <c:pt idx="2957">
                  <c:v>2.4434450447382468E-2</c:v>
                </c:pt>
                <c:pt idx="2958">
                  <c:v>7.7894816957242239E-3</c:v>
                </c:pt>
                <c:pt idx="2959">
                  <c:v>-4.340490954869802E-3</c:v>
                </c:pt>
                <c:pt idx="2960">
                  <c:v>1.2197322526125674E-2</c:v>
                </c:pt>
                <c:pt idx="2961">
                  <c:v>-3.8002787167410192E-3</c:v>
                </c:pt>
                <c:pt idx="2962">
                  <c:v>-1.0412643070698297E-2</c:v>
                </c:pt>
                <c:pt idx="2963">
                  <c:v>1.4868673451075646E-2</c:v>
                </c:pt>
                <c:pt idx="2964">
                  <c:v>-1.7435471924377457E-3</c:v>
                </c:pt>
                <c:pt idx="2965">
                  <c:v>-5.8909613864099285E-3</c:v>
                </c:pt>
                <c:pt idx="2966">
                  <c:v>3.6630636664273094E-3</c:v>
                </c:pt>
                <c:pt idx="2967">
                  <c:v>-1.4136842248444E-2</c:v>
                </c:pt>
                <c:pt idx="2968">
                  <c:v>8.0794405653637543E-3</c:v>
                </c:pt>
                <c:pt idx="2969">
                  <c:v>3.6687744344801806E-3</c:v>
                </c:pt>
                <c:pt idx="2970">
                  <c:v>3.0218778109862243E-2</c:v>
                </c:pt>
                <c:pt idx="2971">
                  <c:v>-3.8237722996499253E-2</c:v>
                </c:pt>
                <c:pt idx="2972">
                  <c:v>5.8358249723176273E-3</c:v>
                </c:pt>
                <c:pt idx="2973">
                  <c:v>2.2490949190969382E-2</c:v>
                </c:pt>
                <c:pt idx="2974">
                  <c:v>2.3675371644729069E-3</c:v>
                </c:pt>
                <c:pt idx="2975">
                  <c:v>2.3270006368178872E-2</c:v>
                </c:pt>
                <c:pt idx="2976">
                  <c:v>6.4753751432920911E-3</c:v>
                </c:pt>
                <c:pt idx="2977">
                  <c:v>1.2780517920755361E-2</c:v>
                </c:pt>
                <c:pt idx="2978">
                  <c:v>1.0520450329582525E-2</c:v>
                </c:pt>
                <c:pt idx="2979">
                  <c:v>1.1156028167006211E-2</c:v>
                </c:pt>
                <c:pt idx="2980">
                  <c:v>7.378995489160523E-3</c:v>
                </c:pt>
                <c:pt idx="2981">
                  <c:v>-6.933877294534015E-3</c:v>
                </c:pt>
                <c:pt idx="2982">
                  <c:v>2.4591029200151441E-2</c:v>
                </c:pt>
                <c:pt idx="2983">
                  <c:v>-8.1217440040952538E-3</c:v>
                </c:pt>
                <c:pt idx="2984">
                  <c:v>9.7452959548749926E-3</c:v>
                </c:pt>
                <c:pt idx="2985">
                  <c:v>4.0615779379539447E-4</c:v>
                </c:pt>
                <c:pt idx="2986">
                  <c:v>1.7431071381353535E-2</c:v>
                </c:pt>
                <c:pt idx="2987">
                  <c:v>-1.6948802911955031E-2</c:v>
                </c:pt>
                <c:pt idx="2988">
                  <c:v>2.0315039745792404E-2</c:v>
                </c:pt>
                <c:pt idx="2989">
                  <c:v>-1.1644037973765273E-2</c:v>
                </c:pt>
                <c:pt idx="2990">
                  <c:v>1.2732496685119029E-2</c:v>
                </c:pt>
                <c:pt idx="2991">
                  <c:v>-1.1151515013657907E-3</c:v>
                </c:pt>
                <c:pt idx="2992">
                  <c:v>3.1235533665937201E-3</c:v>
                </c:pt>
                <c:pt idx="2993">
                  <c:v>1.0745676804725143E-2</c:v>
                </c:pt>
                <c:pt idx="2994">
                  <c:v>-1.0112561671013253E-2</c:v>
                </c:pt>
                <c:pt idx="2995">
                  <c:v>1.5954561442959014E-4</c:v>
                </c:pt>
                <c:pt idx="2996">
                  <c:v>-1.1679273310060845E-2</c:v>
                </c:pt>
                <c:pt idx="2997">
                  <c:v>-1.4442112363552894E-2</c:v>
                </c:pt>
                <c:pt idx="2998">
                  <c:v>9.1122620960257649E-3</c:v>
                </c:pt>
                <c:pt idx="2999">
                  <c:v>-1.0037906187822998E-2</c:v>
                </c:pt>
                <c:pt idx="3000">
                  <c:v>5.8126871168183592E-3</c:v>
                </c:pt>
                <c:pt idx="3001">
                  <c:v>8.8015526676535564E-3</c:v>
                </c:pt>
                <c:pt idx="3002">
                  <c:v>-7.8568502600704308E-3</c:v>
                </c:pt>
                <c:pt idx="3003">
                  <c:v>8.2605905152276626E-3</c:v>
                </c:pt>
                <c:pt idx="3004">
                  <c:v>-2.6910946298167384E-5</c:v>
                </c:pt>
                <c:pt idx="3005">
                  <c:v>-2.2801594815669457E-2</c:v>
                </c:pt>
                <c:pt idx="3006">
                  <c:v>1.3030961533426833E-2</c:v>
                </c:pt>
                <c:pt idx="3007">
                  <c:v>5.1662891959369777E-3</c:v>
                </c:pt>
                <c:pt idx="3008">
                  <c:v>1.6343117176386239E-3</c:v>
                </c:pt>
                <c:pt idx="3009">
                  <c:v>-7.0941397987134436E-3</c:v>
                </c:pt>
                <c:pt idx="3010">
                  <c:v>7.8469151874790317E-3</c:v>
                </c:pt>
                <c:pt idx="3011">
                  <c:v>2.7822348262759042E-3</c:v>
                </c:pt>
                <c:pt idx="3012">
                  <c:v>2.097676427657572E-4</c:v>
                </c:pt>
                <c:pt idx="3013">
                  <c:v>-1.574330931903596E-3</c:v>
                </c:pt>
                <c:pt idx="3014">
                  <c:v>3.2267286946756281E-3</c:v>
                </c:pt>
                <c:pt idx="3015">
                  <c:v>2.0248269389148235E-3</c:v>
                </c:pt>
                <c:pt idx="3016">
                  <c:v>-1.3847651356582306E-2</c:v>
                </c:pt>
                <c:pt idx="3017">
                  <c:v>-7.2285951139760727E-4</c:v>
                </c:pt>
                <c:pt idx="3018">
                  <c:v>-7.205453930451044E-3</c:v>
                </c:pt>
                <c:pt idx="3019">
                  <c:v>-5.1764584594787507E-4</c:v>
                </c:pt>
                <c:pt idx="3020">
                  <c:v>1.8697054090111232E-2</c:v>
                </c:pt>
                <c:pt idx="3021">
                  <c:v>2.9292189518298865E-3</c:v>
                </c:pt>
                <c:pt idx="3022">
                  <c:v>1.840597351419198E-2</c:v>
                </c:pt>
                <c:pt idx="3023">
                  <c:v>4.8496560216616481E-3</c:v>
                </c:pt>
                <c:pt idx="3024">
                  <c:v>9.9327992954560337E-3</c:v>
                </c:pt>
                <c:pt idx="3025">
                  <c:v>4.6237861515591788E-3</c:v>
                </c:pt>
                <c:pt idx="3026">
                  <c:v>-2.0543890381174777E-3</c:v>
                </c:pt>
                <c:pt idx="3027">
                  <c:v>1.1233197442211884E-2</c:v>
                </c:pt>
                <c:pt idx="3028">
                  <c:v>1.2114703811722725E-2</c:v>
                </c:pt>
                <c:pt idx="3029">
                  <c:v>-5.4353675093737801E-3</c:v>
                </c:pt>
                <c:pt idx="3030">
                  <c:v>6.0113796518711932E-3</c:v>
                </c:pt>
                <c:pt idx="3031">
                  <c:v>9.1338152643076122E-3</c:v>
                </c:pt>
                <c:pt idx="3032">
                  <c:v>5.7222370737280972E-3</c:v>
                </c:pt>
                <c:pt idx="3033">
                  <c:v>-2.3268686476125384E-3</c:v>
                </c:pt>
                <c:pt idx="3034">
                  <c:v>1.4237292731538424E-2</c:v>
                </c:pt>
                <c:pt idx="3035">
                  <c:v>-2.7627387875469177E-3</c:v>
                </c:pt>
                <c:pt idx="3036">
                  <c:v>-2.7320347616210251E-2</c:v>
                </c:pt>
                <c:pt idx="3037">
                  <c:v>1.5476584698242596E-2</c:v>
                </c:pt>
                <c:pt idx="3038">
                  <c:v>1.8258720656776275E-2</c:v>
                </c:pt>
                <c:pt idx="3039">
                  <c:v>-1.3638475501387538E-2</c:v>
                </c:pt>
                <c:pt idx="3040">
                  <c:v>-3.9497267377134828E-4</c:v>
                </c:pt>
                <c:pt idx="3041">
                  <c:v>2.0891845676732589E-2</c:v>
                </c:pt>
                <c:pt idx="3042">
                  <c:v>1.4598291539199472E-4</c:v>
                </c:pt>
                <c:pt idx="3043">
                  <c:v>1.5428839553813066E-2</c:v>
                </c:pt>
                <c:pt idx="3044">
                  <c:v>-1.2656779446428129E-2</c:v>
                </c:pt>
                <c:pt idx="3045">
                  <c:v>-2.1762195361281624E-2</c:v>
                </c:pt>
                <c:pt idx="3046">
                  <c:v>9.6187330749161505E-3</c:v>
                </c:pt>
                <c:pt idx="3047">
                  <c:v>-7.1818638387822729E-3</c:v>
                </c:pt>
                <c:pt idx="3048">
                  <c:v>-6.1680500032697851E-3</c:v>
                </c:pt>
                <c:pt idx="3049">
                  <c:v>-3.1482820768776658E-3</c:v>
                </c:pt>
                <c:pt idx="3050">
                  <c:v>-1.5166035989872542E-3</c:v>
                </c:pt>
                <c:pt idx="3051">
                  <c:v>2.3275945638459188E-2</c:v>
                </c:pt>
                <c:pt idx="3052">
                  <c:v>-3.1906148687150934E-3</c:v>
                </c:pt>
                <c:pt idx="3053">
                  <c:v>-6.8461247831651702E-3</c:v>
                </c:pt>
                <c:pt idx="3054">
                  <c:v>-1.4806296651459158E-4</c:v>
                </c:pt>
                <c:pt idx="3055">
                  <c:v>5.8965393464430009E-4</c:v>
                </c:pt>
                <c:pt idx="3056">
                  <c:v>1.4415550862703345E-2</c:v>
                </c:pt>
                <c:pt idx="3057">
                  <c:v>4.4875322121770127E-3</c:v>
                </c:pt>
                <c:pt idx="3058">
                  <c:v>-1.3974651727330836E-3</c:v>
                </c:pt>
                <c:pt idx="3059">
                  <c:v>-3.0016902994701989E-2</c:v>
                </c:pt>
                <c:pt idx="3060">
                  <c:v>-1.3920739022410665E-3</c:v>
                </c:pt>
                <c:pt idx="3061">
                  <c:v>1.7379927689412964E-2</c:v>
                </c:pt>
                <c:pt idx="3062">
                  <c:v>-7.1632908018985624E-3</c:v>
                </c:pt>
                <c:pt idx="3063">
                  <c:v>-4.1899762493746414E-3</c:v>
                </c:pt>
                <c:pt idx="3064">
                  <c:v>2.6247182748990846E-2</c:v>
                </c:pt>
                <c:pt idx="3065">
                  <c:v>-4.287058598541398E-4</c:v>
                </c:pt>
                <c:pt idx="3066">
                  <c:v>2.4083708133205043E-2</c:v>
                </c:pt>
                <c:pt idx="3067">
                  <c:v>-2.0912730419477017E-2</c:v>
                </c:pt>
                <c:pt idx="3068">
                  <c:v>2.1614275761031427E-3</c:v>
                </c:pt>
                <c:pt idx="3069">
                  <c:v>9.7501623688091513E-3</c:v>
                </c:pt>
                <c:pt idx="3070">
                  <c:v>9.0247895786194458E-3</c:v>
                </c:pt>
                <c:pt idx="3071">
                  <c:v>9.6891294286433737E-3</c:v>
                </c:pt>
                <c:pt idx="3072">
                  <c:v>-1.4672175660612593E-3</c:v>
                </c:pt>
                <c:pt idx="3073">
                  <c:v>-1.3809154506198433E-2</c:v>
                </c:pt>
                <c:pt idx="3074">
                  <c:v>-2.8649936898040278E-3</c:v>
                </c:pt>
                <c:pt idx="3075">
                  <c:v>-5.2482795197784373E-4</c:v>
                </c:pt>
                <c:pt idx="3076">
                  <c:v>-1.683693058160903E-3</c:v>
                </c:pt>
                <c:pt idx="3077">
                  <c:v>9.1105584065217168E-3</c:v>
                </c:pt>
                <c:pt idx="3078">
                  <c:v>-7.4030035558618349E-3</c:v>
                </c:pt>
                <c:pt idx="3079">
                  <c:v>-2.3507331778781599E-3</c:v>
                </c:pt>
                <c:pt idx="3080">
                  <c:v>-6.1297119763916285E-3</c:v>
                </c:pt>
                <c:pt idx="3081">
                  <c:v>1.8116865226526117E-2</c:v>
                </c:pt>
                <c:pt idx="3082">
                  <c:v>-2.0250057190136753E-3</c:v>
                </c:pt>
                <c:pt idx="3083">
                  <c:v>3.8076825904879573E-3</c:v>
                </c:pt>
                <c:pt idx="3084">
                  <c:v>-7.1070879672030674E-3</c:v>
                </c:pt>
                <c:pt idx="3085">
                  <c:v>1.097082840109162E-2</c:v>
                </c:pt>
                <c:pt idx="3086">
                  <c:v>-1.4192960602279101E-2</c:v>
                </c:pt>
                <c:pt idx="3087">
                  <c:v>-1.9770259189478202E-2</c:v>
                </c:pt>
                <c:pt idx="3088">
                  <c:v>2.2705399431219141E-3</c:v>
                </c:pt>
                <c:pt idx="3089">
                  <c:v>-6.6342257581951461E-3</c:v>
                </c:pt>
                <c:pt idx="3090">
                  <c:v>-1.8550243651893526E-2</c:v>
                </c:pt>
                <c:pt idx="3091">
                  <c:v>-1.2820287220412455E-2</c:v>
                </c:pt>
                <c:pt idx="3092">
                  <c:v>4.6002519507105594E-3</c:v>
                </c:pt>
                <c:pt idx="3093">
                  <c:v>1.6350846168913503E-2</c:v>
                </c:pt>
                <c:pt idx="3094">
                  <c:v>3.649944697435497E-3</c:v>
                </c:pt>
                <c:pt idx="3095">
                  <c:v>-2.4800110224712638E-2</c:v>
                </c:pt>
                <c:pt idx="3096">
                  <c:v>1.807606093450391E-2</c:v>
                </c:pt>
                <c:pt idx="3097">
                  <c:v>-1.0064110655316693E-2</c:v>
                </c:pt>
                <c:pt idx="3098">
                  <c:v>-3.2646917439651896E-2</c:v>
                </c:pt>
                <c:pt idx="3099">
                  <c:v>1.4307408282499486E-2</c:v>
                </c:pt>
                <c:pt idx="3100">
                  <c:v>7.3165612962969358E-3</c:v>
                </c:pt>
                <c:pt idx="3101">
                  <c:v>2.1928186766070838E-2</c:v>
                </c:pt>
                <c:pt idx="3102">
                  <c:v>1.677295096092029E-2</c:v>
                </c:pt>
                <c:pt idx="3103">
                  <c:v>-1.0206838851211894E-2</c:v>
                </c:pt>
                <c:pt idx="3104">
                  <c:v>2.9289852903370654E-3</c:v>
                </c:pt>
                <c:pt idx="3105">
                  <c:v>4.3262388682863157E-3</c:v>
                </c:pt>
                <c:pt idx="3106">
                  <c:v>5.848474732300944E-3</c:v>
                </c:pt>
                <c:pt idx="3107">
                  <c:v>-2.459243486932927E-3</c:v>
                </c:pt>
                <c:pt idx="3108">
                  <c:v>6.840763945298688E-3</c:v>
                </c:pt>
                <c:pt idx="3109">
                  <c:v>1.7331846257794294E-2</c:v>
                </c:pt>
                <c:pt idx="3110">
                  <c:v>-4.9496514880245212E-3</c:v>
                </c:pt>
                <c:pt idx="3111">
                  <c:v>-1.8567802854895787E-3</c:v>
                </c:pt>
                <c:pt idx="3112">
                  <c:v>1.2135348007108094E-2</c:v>
                </c:pt>
                <c:pt idx="3113">
                  <c:v>8.6590392985415338E-3</c:v>
                </c:pt>
                <c:pt idx="3114">
                  <c:v>3.4450617338805641E-3</c:v>
                </c:pt>
                <c:pt idx="3115">
                  <c:v>-8.2082430449958825E-3</c:v>
                </c:pt>
                <c:pt idx="3116">
                  <c:v>7.370842204145734E-3</c:v>
                </c:pt>
                <c:pt idx="3117">
                  <c:v>3.7330148260884762E-4</c:v>
                </c:pt>
                <c:pt idx="3118">
                  <c:v>-2.6768524445742788E-3</c:v>
                </c:pt>
                <c:pt idx="3119">
                  <c:v>-3.4370096952841434E-2</c:v>
                </c:pt>
                <c:pt idx="3120">
                  <c:v>1.1080842890672168E-3</c:v>
                </c:pt>
                <c:pt idx="3121">
                  <c:v>-3.8861062635757097E-3</c:v>
                </c:pt>
                <c:pt idx="3122">
                  <c:v>6.1468511947882004E-3</c:v>
                </c:pt>
                <c:pt idx="3123">
                  <c:v>1.8906205796823054E-2</c:v>
                </c:pt>
                <c:pt idx="3124">
                  <c:v>1.1995586495272376E-3</c:v>
                </c:pt>
                <c:pt idx="3125">
                  <c:v>-1.5784164923905992E-3</c:v>
                </c:pt>
                <c:pt idx="3126">
                  <c:v>9.4403810633279257E-3</c:v>
                </c:pt>
                <c:pt idx="3127">
                  <c:v>1.1179582799211848E-2</c:v>
                </c:pt>
                <c:pt idx="3128">
                  <c:v>1.9182000465021207E-2</c:v>
                </c:pt>
                <c:pt idx="3129">
                  <c:v>1.1782207956495038E-3</c:v>
                </c:pt>
                <c:pt idx="3130">
                  <c:v>2.2388848538574149E-3</c:v>
                </c:pt>
                <c:pt idx="3131">
                  <c:v>1.3020148780268035E-2</c:v>
                </c:pt>
                <c:pt idx="3132">
                  <c:v>-4.5371192004793979E-3</c:v>
                </c:pt>
                <c:pt idx="3133">
                  <c:v>-1.4358764462646975E-3</c:v>
                </c:pt>
                <c:pt idx="3134">
                  <c:v>9.1135648488797003E-3</c:v>
                </c:pt>
                <c:pt idx="3135">
                  <c:v>-4.7022275656934875E-3</c:v>
                </c:pt>
                <c:pt idx="3136">
                  <c:v>7.3010963145932369E-3</c:v>
                </c:pt>
                <c:pt idx="3137">
                  <c:v>2.6764969005814445E-3</c:v>
                </c:pt>
                <c:pt idx="3138">
                  <c:v>1.5262166107985788E-3</c:v>
                </c:pt>
                <c:pt idx="3139">
                  <c:v>-1.311282785323015E-2</c:v>
                </c:pt>
                <c:pt idx="3140">
                  <c:v>2.1643673769635354E-2</c:v>
                </c:pt>
                <c:pt idx="3141">
                  <c:v>5.5691158529452243E-3</c:v>
                </c:pt>
                <c:pt idx="3142">
                  <c:v>3.2381978195845248E-3</c:v>
                </c:pt>
                <c:pt idx="3143">
                  <c:v>1.463030889181921E-2</c:v>
                </c:pt>
                <c:pt idx="3144">
                  <c:v>-2.8293245054381985E-3</c:v>
                </c:pt>
                <c:pt idx="3145">
                  <c:v>-1.4473269164483838E-2</c:v>
                </c:pt>
                <c:pt idx="3146">
                  <c:v>1.4494798802184027E-2</c:v>
                </c:pt>
                <c:pt idx="3147">
                  <c:v>-2.5083716897060026E-2</c:v>
                </c:pt>
                <c:pt idx="3148">
                  <c:v>-2.5309334303043403E-3</c:v>
                </c:pt>
                <c:pt idx="3149">
                  <c:v>9.025870348215772E-4</c:v>
                </c:pt>
                <c:pt idx="3150">
                  <c:v>-9.828389226131079E-3</c:v>
                </c:pt>
                <c:pt idx="3151">
                  <c:v>-1.3436901643309159E-2</c:v>
                </c:pt>
                <c:pt idx="3152">
                  <c:v>-7.127490885080039E-3</c:v>
                </c:pt>
                <c:pt idx="3153">
                  <c:v>-7.4312360941452141E-3</c:v>
                </c:pt>
                <c:pt idx="3154">
                  <c:v>1.3249698802202399E-2</c:v>
                </c:pt>
                <c:pt idx="3155">
                  <c:v>4.3033773133732437E-3</c:v>
                </c:pt>
                <c:pt idx="3156">
                  <c:v>-3.6514494996150788E-2</c:v>
                </c:pt>
                <c:pt idx="3157">
                  <c:v>-2.4785473225495635E-2</c:v>
                </c:pt>
                <c:pt idx="3158">
                  <c:v>1.6286485609307677E-2</c:v>
                </c:pt>
                <c:pt idx="3159">
                  <c:v>3.4261457131079236E-3</c:v>
                </c:pt>
                <c:pt idx="3160">
                  <c:v>-8.9671653424231029E-3</c:v>
                </c:pt>
                <c:pt idx="3161">
                  <c:v>-1.0865431046309111E-2</c:v>
                </c:pt>
                <c:pt idx="3162">
                  <c:v>-2.9677141923212494E-3</c:v>
                </c:pt>
                <c:pt idx="3163">
                  <c:v>-2.0884246285557708E-2</c:v>
                </c:pt>
                <c:pt idx="3164">
                  <c:v>-3.3201024472804937E-2</c:v>
                </c:pt>
                <c:pt idx="3165">
                  <c:v>1.1223428347689251E-2</c:v>
                </c:pt>
                <c:pt idx="3166">
                  <c:v>-2.9559286591493393E-3</c:v>
                </c:pt>
                <c:pt idx="3167">
                  <c:v>1.0633106106016289E-2</c:v>
                </c:pt>
                <c:pt idx="3168">
                  <c:v>8.2369557689297972E-3</c:v>
                </c:pt>
                <c:pt idx="3169">
                  <c:v>1.9438176314374054E-3</c:v>
                </c:pt>
                <c:pt idx="3170">
                  <c:v>1.7542206901835528E-2</c:v>
                </c:pt>
                <c:pt idx="3171">
                  <c:v>6.8622674504931914E-3</c:v>
                </c:pt>
                <c:pt idx="3172">
                  <c:v>1.1754026555574719E-2</c:v>
                </c:pt>
                <c:pt idx="3173">
                  <c:v>-6.0991591790636153E-3</c:v>
                </c:pt>
                <c:pt idx="3174">
                  <c:v>7.2860154221892374E-3</c:v>
                </c:pt>
                <c:pt idx="3175">
                  <c:v>7.7264162150484667E-3</c:v>
                </c:pt>
                <c:pt idx="3176">
                  <c:v>-1.5532718609842266E-3</c:v>
                </c:pt>
                <c:pt idx="3177">
                  <c:v>-2.0461016931113421E-2</c:v>
                </c:pt>
                <c:pt idx="3178">
                  <c:v>2.9782958102230078E-3</c:v>
                </c:pt>
                <c:pt idx="3179">
                  <c:v>-7.9481870140668664E-3</c:v>
                </c:pt>
                <c:pt idx="3180">
                  <c:v>8.4536694320974475E-4</c:v>
                </c:pt>
                <c:pt idx="3181">
                  <c:v>-7.8586391441681225E-3</c:v>
                </c:pt>
                <c:pt idx="3182">
                  <c:v>6.1186822283440983E-3</c:v>
                </c:pt>
                <c:pt idx="3183">
                  <c:v>9.6838563091867936E-3</c:v>
                </c:pt>
                <c:pt idx="3184">
                  <c:v>-1.8632445533867583E-2</c:v>
                </c:pt>
                <c:pt idx="3185">
                  <c:v>-1.3199382353614628E-3</c:v>
                </c:pt>
                <c:pt idx="3186">
                  <c:v>-1.2480738008058513E-3</c:v>
                </c:pt>
                <c:pt idx="3187">
                  <c:v>-1.6515480425787401E-2</c:v>
                </c:pt>
                <c:pt idx="3188">
                  <c:v>9.9577893285387378E-3</c:v>
                </c:pt>
                <c:pt idx="3189">
                  <c:v>2.0685512878998811E-2</c:v>
                </c:pt>
                <c:pt idx="3190">
                  <c:v>2.1116959547230717E-2</c:v>
                </c:pt>
                <c:pt idx="3191">
                  <c:v>9.3170645532701171E-3</c:v>
                </c:pt>
                <c:pt idx="3192">
                  <c:v>8.3727473259183182E-3</c:v>
                </c:pt>
                <c:pt idx="3193">
                  <c:v>1.7391146990691372E-3</c:v>
                </c:pt>
                <c:pt idx="3194">
                  <c:v>8.7955708290900353E-3</c:v>
                </c:pt>
                <c:pt idx="3195">
                  <c:v>-1.002519302051989E-2</c:v>
                </c:pt>
                <c:pt idx="3196">
                  <c:v>1.8127565647296499E-2</c:v>
                </c:pt>
                <c:pt idx="3197">
                  <c:v>-7.8283940299284129E-3</c:v>
                </c:pt>
                <c:pt idx="3198">
                  <c:v>-4.0505496857907849E-3</c:v>
                </c:pt>
                <c:pt idx="3199">
                  <c:v>-1.0060982216619852E-2</c:v>
                </c:pt>
                <c:pt idx="3200">
                  <c:v>6.8267750823187215E-3</c:v>
                </c:pt>
                <c:pt idx="3201">
                  <c:v>-1.8544850068475784E-3</c:v>
                </c:pt>
                <c:pt idx="3202">
                  <c:v>-7.656171342102956E-3</c:v>
                </c:pt>
                <c:pt idx="3203">
                  <c:v>5.3116788925790977E-3</c:v>
                </c:pt>
                <c:pt idx="3204">
                  <c:v>-2.2584529713689992E-2</c:v>
                </c:pt>
                <c:pt idx="3205">
                  <c:v>-8.4985567961888293E-3</c:v>
                </c:pt>
                <c:pt idx="3206">
                  <c:v>-1.4158571123850489E-3</c:v>
                </c:pt>
                <c:pt idx="3207">
                  <c:v>-1.1529154510097706E-3</c:v>
                </c:pt>
                <c:pt idx="3208">
                  <c:v>-1.5794956933914424E-2</c:v>
                </c:pt>
                <c:pt idx="3209">
                  <c:v>1.2545690707546511E-2</c:v>
                </c:pt>
                <c:pt idx="3210">
                  <c:v>6.6080278214264493E-3</c:v>
                </c:pt>
                <c:pt idx="3211">
                  <c:v>-3.8887301225149135E-3</c:v>
                </c:pt>
                <c:pt idx="3212">
                  <c:v>1.153526269484376E-3</c:v>
                </c:pt>
                <c:pt idx="3213">
                  <c:v>6.7523172966243213E-3</c:v>
                </c:pt>
                <c:pt idx="3214">
                  <c:v>-9.5430923271628686E-4</c:v>
                </c:pt>
                <c:pt idx="3215">
                  <c:v>-6.2770776669568611E-3</c:v>
                </c:pt>
                <c:pt idx="3216">
                  <c:v>1.4413298339546853E-3</c:v>
                </c:pt>
                <c:pt idx="3217">
                  <c:v>3.449301498529241E-3</c:v>
                </c:pt>
                <c:pt idx="3218">
                  <c:v>1.4797648485748414E-3</c:v>
                </c:pt>
                <c:pt idx="3219">
                  <c:v>2.063300834302122E-2</c:v>
                </c:pt>
                <c:pt idx="3220">
                  <c:v>-6.8296894855142077E-3</c:v>
                </c:pt>
                <c:pt idx="3221">
                  <c:v>3.0673616447486255E-4</c:v>
                </c:pt>
                <c:pt idx="3222">
                  <c:v>8.0195265887459798E-3</c:v>
                </c:pt>
                <c:pt idx="3223">
                  <c:v>-3.6505076100803928E-3</c:v>
                </c:pt>
                <c:pt idx="3224">
                  <c:v>1.248579229135419E-2</c:v>
                </c:pt>
                <c:pt idx="3225">
                  <c:v>1.3422151807628848E-3</c:v>
                </c:pt>
                <c:pt idx="3226">
                  <c:v>-6.2437560430644787E-2</c:v>
                </c:pt>
                <c:pt idx="3227">
                  <c:v>9.844415329464359E-3</c:v>
                </c:pt>
                <c:pt idx="3228">
                  <c:v>-4.6647514695340436E-3</c:v>
                </c:pt>
                <c:pt idx="3229">
                  <c:v>7.3178033019771754E-3</c:v>
                </c:pt>
                <c:pt idx="3230">
                  <c:v>2.0972383619961333E-2</c:v>
                </c:pt>
                <c:pt idx="3231">
                  <c:v>1.2416013589840156E-2</c:v>
                </c:pt>
                <c:pt idx="3232">
                  <c:v>-6.815769712501028E-3</c:v>
                </c:pt>
                <c:pt idx="3233">
                  <c:v>-1.0778877258388199E-2</c:v>
                </c:pt>
                <c:pt idx="3234">
                  <c:v>1.193780856441874E-2</c:v>
                </c:pt>
                <c:pt idx="3235">
                  <c:v>5.1173363608285494E-3</c:v>
                </c:pt>
                <c:pt idx="3236">
                  <c:v>3.96525399962011E-3</c:v>
                </c:pt>
                <c:pt idx="3237">
                  <c:v>-2.8247264933234418E-2</c:v>
                </c:pt>
                <c:pt idx="3238">
                  <c:v>1.8284892321546358E-3</c:v>
                </c:pt>
                <c:pt idx="3239">
                  <c:v>4.8708810498834998E-3</c:v>
                </c:pt>
                <c:pt idx="3240">
                  <c:v>-5.5193949752797098E-3</c:v>
                </c:pt>
                <c:pt idx="3241">
                  <c:v>-4.3261338965792356E-3</c:v>
                </c:pt>
                <c:pt idx="3242">
                  <c:v>9.9534483640226559E-3</c:v>
                </c:pt>
                <c:pt idx="3243">
                  <c:v>4.2833791665618029E-3</c:v>
                </c:pt>
                <c:pt idx="3244">
                  <c:v>2.1730229857498513E-2</c:v>
                </c:pt>
                <c:pt idx="3245">
                  <c:v>-1.1751292717967056E-2</c:v>
                </c:pt>
                <c:pt idx="3246">
                  <c:v>1.1105205228955624E-3</c:v>
                </c:pt>
                <c:pt idx="3247">
                  <c:v>1.760262668697498E-2</c:v>
                </c:pt>
                <c:pt idx="3248">
                  <c:v>5.103342800221258E-4</c:v>
                </c:pt>
                <c:pt idx="3249">
                  <c:v>1.432181233961893E-2</c:v>
                </c:pt>
                <c:pt idx="3250">
                  <c:v>1.1817782189859459E-2</c:v>
                </c:pt>
                <c:pt idx="3251">
                  <c:v>2.1440105708975103E-3</c:v>
                </c:pt>
                <c:pt idx="3252">
                  <c:v>5.5081693688085664E-3</c:v>
                </c:pt>
                <c:pt idx="3253">
                  <c:v>-6.0493803415409345E-3</c:v>
                </c:pt>
                <c:pt idx="3254">
                  <c:v>1.2686202056882959E-2</c:v>
                </c:pt>
                <c:pt idx="3255">
                  <c:v>1.2687108707523317E-3</c:v>
                </c:pt>
                <c:pt idx="3256">
                  <c:v>-5.106887541648961E-3</c:v>
                </c:pt>
                <c:pt idx="3257">
                  <c:v>9.6122494321048465E-3</c:v>
                </c:pt>
                <c:pt idx="3258">
                  <c:v>6.3352124031293821E-3</c:v>
                </c:pt>
                <c:pt idx="3259">
                  <c:v>-3.8284655330873545E-2</c:v>
                </c:pt>
                <c:pt idx="3260">
                  <c:v>-8.2340298790001861E-4</c:v>
                </c:pt>
                <c:pt idx="3261">
                  <c:v>-9.8439850903452616E-4</c:v>
                </c:pt>
                <c:pt idx="3262">
                  <c:v>-3.0968654675452034E-3</c:v>
                </c:pt>
                <c:pt idx="3263">
                  <c:v>9.3302604638468636E-3</c:v>
                </c:pt>
                <c:pt idx="3264">
                  <c:v>-2.780818713948305E-3</c:v>
                </c:pt>
                <c:pt idx="3265">
                  <c:v>-1.7453012547246734E-2</c:v>
                </c:pt>
                <c:pt idx="3266">
                  <c:v>-1.3327918947873099E-2</c:v>
                </c:pt>
                <c:pt idx="3267">
                  <c:v>-7.8693114611669106E-3</c:v>
                </c:pt>
                <c:pt idx="3268">
                  <c:v>-6.9517468800784493E-3</c:v>
                </c:pt>
                <c:pt idx="3269">
                  <c:v>1.1331229526454522E-2</c:v>
                </c:pt>
                <c:pt idx="3270">
                  <c:v>1.057340677577758E-2</c:v>
                </c:pt>
                <c:pt idx="3271">
                  <c:v>-1.2890959721518212E-2</c:v>
                </c:pt>
                <c:pt idx="3272">
                  <c:v>5.1716313770938417E-3</c:v>
                </c:pt>
                <c:pt idx="3273">
                  <c:v>-1.3301757460344052E-2</c:v>
                </c:pt>
                <c:pt idx="3274">
                  <c:v>-4.209827539218081E-3</c:v>
                </c:pt>
                <c:pt idx="3275">
                  <c:v>-3.6500772941136213E-3</c:v>
                </c:pt>
                <c:pt idx="3276">
                  <c:v>2.5275104928999953E-2</c:v>
                </c:pt>
                <c:pt idx="3277">
                  <c:v>-4.066336151107945E-3</c:v>
                </c:pt>
                <c:pt idx="3278">
                  <c:v>1.0426401549097972E-2</c:v>
                </c:pt>
                <c:pt idx="3279">
                  <c:v>-1.236108515119177E-3</c:v>
                </c:pt>
                <c:pt idx="3280">
                  <c:v>4.0476543960597577E-2</c:v>
                </c:pt>
                <c:pt idx="3281">
                  <c:v>1.142332498144708E-3</c:v>
                </c:pt>
                <c:pt idx="3282">
                  <c:v>-5.9499260591469177E-3</c:v>
                </c:pt>
                <c:pt idx="3283">
                  <c:v>-2.1625663507153406E-2</c:v>
                </c:pt>
                <c:pt idx="3284">
                  <c:v>2.8671896910612688E-2</c:v>
                </c:pt>
                <c:pt idx="3285">
                  <c:v>-1.0949712000212162E-2</c:v>
                </c:pt>
                <c:pt idx="3286">
                  <c:v>-6.3801786285843556E-2</c:v>
                </c:pt>
                <c:pt idx="3287">
                  <c:v>1.6866453868067421E-4</c:v>
                </c:pt>
                <c:pt idx="3288">
                  <c:v>-1.0024539745451297E-2</c:v>
                </c:pt>
                <c:pt idx="3289">
                  <c:v>3.5224562408462663E-3</c:v>
                </c:pt>
                <c:pt idx="3290">
                  <c:v>2.2285211364244705E-3</c:v>
                </c:pt>
                <c:pt idx="3291">
                  <c:v>6.1029485899084931E-3</c:v>
                </c:pt>
                <c:pt idx="3292">
                  <c:v>-1.4705256691303348E-2</c:v>
                </c:pt>
                <c:pt idx="3293">
                  <c:v>6.0099697912124102E-3</c:v>
                </c:pt>
                <c:pt idx="3294">
                  <c:v>-1.8939859484906557E-3</c:v>
                </c:pt>
                <c:pt idx="3295">
                  <c:v>-5.8502506949169517E-3</c:v>
                </c:pt>
                <c:pt idx="3296">
                  <c:v>3.6604155172889801E-3</c:v>
                </c:pt>
                <c:pt idx="3297">
                  <c:v>-5.15282530167358E-3</c:v>
                </c:pt>
                <c:pt idx="3298">
                  <c:v>2.9581842198776473E-3</c:v>
                </c:pt>
                <c:pt idx="3299">
                  <c:v>1.24454245210562E-2</c:v>
                </c:pt>
                <c:pt idx="3300">
                  <c:v>3.2735617150155796E-3</c:v>
                </c:pt>
                <c:pt idx="3301">
                  <c:v>-1.9215963572431702E-2</c:v>
                </c:pt>
                <c:pt idx="3302">
                  <c:v>-1.0366869909726645E-2</c:v>
                </c:pt>
                <c:pt idx="3303">
                  <c:v>-1.5214160528267129E-2</c:v>
                </c:pt>
                <c:pt idx="3304">
                  <c:v>4.5886017600314973E-3</c:v>
                </c:pt>
                <c:pt idx="3305">
                  <c:v>-1.8176351770294481E-2</c:v>
                </c:pt>
                <c:pt idx="3306">
                  <c:v>1.1298124030447871E-2</c:v>
                </c:pt>
                <c:pt idx="3307">
                  <c:v>-2.1643662002385777E-2</c:v>
                </c:pt>
                <c:pt idx="3308">
                  <c:v>3.0884056351513414E-4</c:v>
                </c:pt>
                <c:pt idx="3309">
                  <c:v>3.1435031360360591E-2</c:v>
                </c:pt>
                <c:pt idx="3310">
                  <c:v>-1.035213716623464E-2</c:v>
                </c:pt>
                <c:pt idx="3311">
                  <c:v>-9.0610592102421551E-3</c:v>
                </c:pt>
                <c:pt idx="3312">
                  <c:v>-3.400588826385554E-2</c:v>
                </c:pt>
                <c:pt idx="3313">
                  <c:v>7.625458883061385E-4</c:v>
                </c:pt>
                <c:pt idx="3314">
                  <c:v>7.3849390254533617E-3</c:v>
                </c:pt>
                <c:pt idx="3315">
                  <c:v>-1.1810540938027794E-2</c:v>
                </c:pt>
                <c:pt idx="3316">
                  <c:v>2.5518437327532274E-2</c:v>
                </c:pt>
                <c:pt idx="3317">
                  <c:v>3.6023982068814872E-4</c:v>
                </c:pt>
                <c:pt idx="3318">
                  <c:v>-1.3416067172103214E-2</c:v>
                </c:pt>
                <c:pt idx="3319">
                  <c:v>1.1149543768397812E-2</c:v>
                </c:pt>
                <c:pt idx="3320">
                  <c:v>-2.5301436057094781E-3</c:v>
                </c:pt>
                <c:pt idx="3321">
                  <c:v>1.1361129784403443E-2</c:v>
                </c:pt>
                <c:pt idx="3322">
                  <c:v>4.6408528610601728E-3</c:v>
                </c:pt>
                <c:pt idx="3323">
                  <c:v>5.2775926820471525E-3</c:v>
                </c:pt>
                <c:pt idx="3324">
                  <c:v>-1.3220933088235803E-2</c:v>
                </c:pt>
                <c:pt idx="3325">
                  <c:v>1.5630007665987881E-3</c:v>
                </c:pt>
                <c:pt idx="3326">
                  <c:v>-3.0624452542713034E-2</c:v>
                </c:pt>
                <c:pt idx="3327">
                  <c:v>-9.0428757668499331E-3</c:v>
                </c:pt>
                <c:pt idx="3328">
                  <c:v>1.7952381606929239E-2</c:v>
                </c:pt>
                <c:pt idx="3329">
                  <c:v>-1.308335406730681E-4</c:v>
                </c:pt>
                <c:pt idx="3330">
                  <c:v>-2.3913751277569985E-2</c:v>
                </c:pt>
                <c:pt idx="3331">
                  <c:v>-3.6213794122753933E-2</c:v>
                </c:pt>
                <c:pt idx="3332">
                  <c:v>-5.5176397472896594E-3</c:v>
                </c:pt>
                <c:pt idx="3333">
                  <c:v>-9.2642643448515635E-3</c:v>
                </c:pt>
                <c:pt idx="3334">
                  <c:v>9.6524776638358664E-2</c:v>
                </c:pt>
                <c:pt idx="3335">
                  <c:v>-2.3684772146975341E-2</c:v>
                </c:pt>
                <c:pt idx="3336">
                  <c:v>1.8446872786182199E-2</c:v>
                </c:pt>
                <c:pt idx="3337">
                  <c:v>-1.6489324324636817E-3</c:v>
                </c:pt>
                <c:pt idx="3338">
                  <c:v>-5.3778861159995183E-3</c:v>
                </c:pt>
                <c:pt idx="3339">
                  <c:v>-3.7292725613748225E-2</c:v>
                </c:pt>
                <c:pt idx="3340">
                  <c:v>-1.0359983921511193E-2</c:v>
                </c:pt>
                <c:pt idx="3341">
                  <c:v>-2.3828338839030391E-2</c:v>
                </c:pt>
                <c:pt idx="3342">
                  <c:v>2.1214670049209856E-2</c:v>
                </c:pt>
                <c:pt idx="3343">
                  <c:v>2.0426770322138518E-2</c:v>
                </c:pt>
                <c:pt idx="3344">
                  <c:v>3.3901551675681416E-2</c:v>
                </c:pt>
                <c:pt idx="3345">
                  <c:v>1.1679526978167121E-2</c:v>
                </c:pt>
                <c:pt idx="3346">
                  <c:v>-1.7624300547992623E-3</c:v>
                </c:pt>
                <c:pt idx="3347">
                  <c:v>7.3357435434040783E-3</c:v>
                </c:pt>
                <c:pt idx="3348">
                  <c:v>3.0913492248099282E-3</c:v>
                </c:pt>
                <c:pt idx="3349">
                  <c:v>7.3486126553848397E-2</c:v>
                </c:pt>
                <c:pt idx="3350">
                  <c:v>2.2959599411533093E-2</c:v>
                </c:pt>
                <c:pt idx="3351">
                  <c:v>2.0425734337741314E-3</c:v>
                </c:pt>
                <c:pt idx="3352">
                  <c:v>-6.5786684335278952E-3</c:v>
                </c:pt>
                <c:pt idx="3353">
                  <c:v>9.2308402438027751E-5</c:v>
                </c:pt>
                <c:pt idx="3354">
                  <c:v>1.1061247347841878E-2</c:v>
                </c:pt>
                <c:pt idx="3355">
                  <c:v>1.2772267673115025E-3</c:v>
                </c:pt>
                <c:pt idx="3356">
                  <c:v>2.3717595041516697E-2</c:v>
                </c:pt>
                <c:pt idx="3357">
                  <c:v>-2.6714158662880427E-4</c:v>
                </c:pt>
                <c:pt idx="3358">
                  <c:v>8.4250232291931838E-3</c:v>
                </c:pt>
                <c:pt idx="3359">
                  <c:v>4.1939365122980522E-4</c:v>
                </c:pt>
                <c:pt idx="3360">
                  <c:v>2.5126748948330183E-3</c:v>
                </c:pt>
                <c:pt idx="3361">
                  <c:v>1.0075210618417079E-2</c:v>
                </c:pt>
                <c:pt idx="3362">
                  <c:v>-1.5266512604802495E-3</c:v>
                </c:pt>
                <c:pt idx="3363">
                  <c:v>-1.2297846975223624E-2</c:v>
                </c:pt>
                <c:pt idx="3364">
                  <c:v>5.0472319879030173E-3</c:v>
                </c:pt>
                <c:pt idx="3365">
                  <c:v>-1.0342176510575202E-2</c:v>
                </c:pt>
                <c:pt idx="3366">
                  <c:v>2.3077862821184108E-2</c:v>
                </c:pt>
                <c:pt idx="3367">
                  <c:v>-7.254538651160704E-3</c:v>
                </c:pt>
                <c:pt idx="3368">
                  <c:v>2.8819722143877146E-3</c:v>
                </c:pt>
                <c:pt idx="3369">
                  <c:v>3.6559929301866012E-3</c:v>
                </c:pt>
                <c:pt idx="3370">
                  <c:v>3.4911618081408594E-3</c:v>
                </c:pt>
                <c:pt idx="3371">
                  <c:v>2.1623032621133197E-3</c:v>
                </c:pt>
                <c:pt idx="3372">
                  <c:v>1.9420833862943819E-3</c:v>
                </c:pt>
                <c:pt idx="3373">
                  <c:v>8.1799608060967484E-3</c:v>
                </c:pt>
                <c:pt idx="3374">
                  <c:v>5.7565773108050828E-3</c:v>
                </c:pt>
                <c:pt idx="3375">
                  <c:v>5.0258288648259248E-3</c:v>
                </c:pt>
                <c:pt idx="3376">
                  <c:v>-3.878479328570745E-3</c:v>
                </c:pt>
                <c:pt idx="3377">
                  <c:v>3.6034547332919114E-3</c:v>
                </c:pt>
                <c:pt idx="3378">
                  <c:v>1.3137478884932047E-2</c:v>
                </c:pt>
                <c:pt idx="3379">
                  <c:v>-8.1985718657999838E-3</c:v>
                </c:pt>
                <c:pt idx="3380">
                  <c:v>8.7622403184230927E-3</c:v>
                </c:pt>
                <c:pt idx="3381">
                  <c:v>-2.2984192821627544E-3</c:v>
                </c:pt>
                <c:pt idx="3382">
                  <c:v>4.5915679449073828E-3</c:v>
                </c:pt>
                <c:pt idx="3383">
                  <c:v>-5.9312650388580251E-3</c:v>
                </c:pt>
                <c:pt idx="3384">
                  <c:v>1.7853909995764E-2</c:v>
                </c:pt>
                <c:pt idx="3385">
                  <c:v>8.4212318060332414E-3</c:v>
                </c:pt>
                <c:pt idx="3386">
                  <c:v>4.39749074864165E-3</c:v>
                </c:pt>
                <c:pt idx="3387">
                  <c:v>1.0467702580200092E-2</c:v>
                </c:pt>
                <c:pt idx="3388">
                  <c:v>-3.0400973695640823E-3</c:v>
                </c:pt>
                <c:pt idx="3389">
                  <c:v>2.9596840450329376E-3</c:v>
                </c:pt>
                <c:pt idx="3390">
                  <c:v>-1.0834298365843018E-2</c:v>
                </c:pt>
                <c:pt idx="3391">
                  <c:v>-1.9529269587524277E-3</c:v>
                </c:pt>
                <c:pt idx="3392">
                  <c:v>1.5657992666304153E-2</c:v>
                </c:pt>
                <c:pt idx="3393">
                  <c:v>-2.2477331451158352E-3</c:v>
                </c:pt>
                <c:pt idx="3394">
                  <c:v>-2.2125237820710877E-3</c:v>
                </c:pt>
                <c:pt idx="3395">
                  <c:v>1.3778426809218635E-2</c:v>
                </c:pt>
                <c:pt idx="3396">
                  <c:v>-4.0398466867537551E-3</c:v>
                </c:pt>
                <c:pt idx="3397">
                  <c:v>3.662424475942728E-3</c:v>
                </c:pt>
                <c:pt idx="3398">
                  <c:v>-5.9621998308118768E-4</c:v>
                </c:pt>
                <c:pt idx="3399">
                  <c:v>5.5509440341215939E-3</c:v>
                </c:pt>
                <c:pt idx="3400">
                  <c:v>-3.9547576249049837E-4</c:v>
                </c:pt>
                <c:pt idx="3401">
                  <c:v>1.1953116798728996E-2</c:v>
                </c:pt>
                <c:pt idx="3402">
                  <c:v>-3.2297556825181557E-3</c:v>
                </c:pt>
                <c:pt idx="3403">
                  <c:v>1.9605728794484891E-5</c:v>
                </c:pt>
                <c:pt idx="3404">
                  <c:v>-9.4354259928562771E-3</c:v>
                </c:pt>
                <c:pt idx="3405">
                  <c:v>1.1867794181265449E-3</c:v>
                </c:pt>
                <c:pt idx="3406">
                  <c:v>9.8550096838789375E-3</c:v>
                </c:pt>
                <c:pt idx="3407">
                  <c:v>5.5241749320338734E-3</c:v>
                </c:pt>
                <c:pt idx="3408">
                  <c:v>-2.3581928859426281E-3</c:v>
                </c:pt>
                <c:pt idx="3409">
                  <c:v>1.3657603892189231E-4</c:v>
                </c:pt>
                <c:pt idx="3410">
                  <c:v>1.306284975332303E-3</c:v>
                </c:pt>
                <c:pt idx="3411">
                  <c:v>3.8715498714990526E-2</c:v>
                </c:pt>
                <c:pt idx="3412">
                  <c:v>-1.7757484787532907E-2</c:v>
                </c:pt>
                <c:pt idx="3413">
                  <c:v>2.1760707673090265E-2</c:v>
                </c:pt>
                <c:pt idx="3414">
                  <c:v>-1.4839606898935459E-2</c:v>
                </c:pt>
                <c:pt idx="3415">
                  <c:v>-5.3387163822017046E-3</c:v>
                </c:pt>
                <c:pt idx="3416">
                  <c:v>-7.8410774857006864E-3</c:v>
                </c:pt>
                <c:pt idx="3417">
                  <c:v>2.3013204387992716E-3</c:v>
                </c:pt>
                <c:pt idx="3418">
                  <c:v>-5.1733554195073847E-4</c:v>
                </c:pt>
                <c:pt idx="3419">
                  <c:v>1.4215137416834164E-2</c:v>
                </c:pt>
                <c:pt idx="3420">
                  <c:v>-1.6498440562615617E-2</c:v>
                </c:pt>
                <c:pt idx="3421">
                  <c:v>3.6431309828070797E-3</c:v>
                </c:pt>
                <c:pt idx="3422">
                  <c:v>-4.4310243697106002E-3</c:v>
                </c:pt>
                <c:pt idx="3423">
                  <c:v>-5.9194018225152238E-3</c:v>
                </c:pt>
                <c:pt idx="3424">
                  <c:v>-1.4276635798202614E-2</c:v>
                </c:pt>
                <c:pt idx="3425">
                  <c:v>-7.9764871602762358E-3</c:v>
                </c:pt>
                <c:pt idx="3426">
                  <c:v>-2.9308112388423155E-3</c:v>
                </c:pt>
                <c:pt idx="3427">
                  <c:v>5.9122044339561313E-3</c:v>
                </c:pt>
                <c:pt idx="3428">
                  <c:v>-5.8725415683089253E-3</c:v>
                </c:pt>
                <c:pt idx="3429">
                  <c:v>-4.4122102782564454E-3</c:v>
                </c:pt>
                <c:pt idx="3430">
                  <c:v>9.3182537487059691E-3</c:v>
                </c:pt>
                <c:pt idx="3431">
                  <c:v>5.7065425722285946E-3</c:v>
                </c:pt>
                <c:pt idx="3432">
                  <c:v>-5.8052173697786275E-3</c:v>
                </c:pt>
                <c:pt idx="3433">
                  <c:v>-3.1033519337198886E-3</c:v>
                </c:pt>
                <c:pt idx="3434">
                  <c:v>4.5523371099014061E-4</c:v>
                </c:pt>
                <c:pt idx="3435">
                  <c:v>5.1711321958779078E-3</c:v>
                </c:pt>
                <c:pt idx="3436">
                  <c:v>-2.5864628147859225E-2</c:v>
                </c:pt>
                <c:pt idx="3437">
                  <c:v>6.4438402593897859E-3</c:v>
                </c:pt>
                <c:pt idx="3438">
                  <c:v>4.2142864933734724E-4</c:v>
                </c:pt>
                <c:pt idx="3439">
                  <c:v>3.9247932797739698E-3</c:v>
                </c:pt>
                <c:pt idx="3440">
                  <c:v>1.2782362083138793E-3</c:v>
                </c:pt>
                <c:pt idx="3441">
                  <c:v>1.7588567095604728E-2</c:v>
                </c:pt>
                <c:pt idx="3442">
                  <c:v>1.0651057521778771E-2</c:v>
                </c:pt>
                <c:pt idx="3443">
                  <c:v>-1.2339086658352013E-2</c:v>
                </c:pt>
                <c:pt idx="3444">
                  <c:v>1.923341711194247E-3</c:v>
                </c:pt>
                <c:pt idx="3445">
                  <c:v>-3.0830583985846176E-3</c:v>
                </c:pt>
                <c:pt idx="3446">
                  <c:v>1.8473215755626417E-2</c:v>
                </c:pt>
                <c:pt idx="3447">
                  <c:v>-6.7417291709534486E-3</c:v>
                </c:pt>
                <c:pt idx="3448">
                  <c:v>-1.0198587927461228E-2</c:v>
                </c:pt>
                <c:pt idx="3449">
                  <c:v>1.8050192269559011E-3</c:v>
                </c:pt>
                <c:pt idx="3450">
                  <c:v>-6.134626683067846E-3</c:v>
                </c:pt>
                <c:pt idx="3451">
                  <c:v>8.6992075270243534E-3</c:v>
                </c:pt>
                <c:pt idx="3452">
                  <c:v>6.1205188823731478E-3</c:v>
                </c:pt>
                <c:pt idx="3453">
                  <c:v>6.4888126564672617E-3</c:v>
                </c:pt>
                <c:pt idx="3454">
                  <c:v>3.3922511954726036E-3</c:v>
                </c:pt>
                <c:pt idx="3455">
                  <c:v>-7.668201175168525E-3</c:v>
                </c:pt>
                <c:pt idx="3456">
                  <c:v>3.1168655265446286E-3</c:v>
                </c:pt>
                <c:pt idx="3457">
                  <c:v>2.1455618819687983E-2</c:v>
                </c:pt>
                <c:pt idx="3458">
                  <c:v>-8.7217312169509571E-3</c:v>
                </c:pt>
                <c:pt idx="3459">
                  <c:v>1.6589918281101695E-3</c:v>
                </c:pt>
                <c:pt idx="3460">
                  <c:v>-4.6789295195854624E-3</c:v>
                </c:pt>
                <c:pt idx="3461">
                  <c:v>-2.2142268708887615E-2</c:v>
                </c:pt>
                <c:pt idx="3462">
                  <c:v>6.0292277353936686E-3</c:v>
                </c:pt>
                <c:pt idx="3463">
                  <c:v>-9.3419753393063647E-4</c:v>
                </c:pt>
                <c:pt idx="3464">
                  <c:v>-2.7263875534037593E-4</c:v>
                </c:pt>
                <c:pt idx="3465">
                  <c:v>-3.5510846650801801E-3</c:v>
                </c:pt>
                <c:pt idx="3466">
                  <c:v>3.8431947731934805E-3</c:v>
                </c:pt>
                <c:pt idx="3467">
                  <c:v>6.2307916284104932E-3</c:v>
                </c:pt>
                <c:pt idx="3468">
                  <c:v>1.6820536616067938E-3</c:v>
                </c:pt>
                <c:pt idx="3469">
                  <c:v>5.5480781881667701E-3</c:v>
                </c:pt>
                <c:pt idx="3470">
                  <c:v>3.8420900974708165E-5</c:v>
                </c:pt>
                <c:pt idx="3471">
                  <c:v>5.8419772151516447E-3</c:v>
                </c:pt>
                <c:pt idx="3472">
                  <c:v>1.4993694023049847E-2</c:v>
                </c:pt>
                <c:pt idx="3473">
                  <c:v>1.9654317966919119E-2</c:v>
                </c:pt>
                <c:pt idx="3474">
                  <c:v>-9.5974611010316089E-4</c:v>
                </c:pt>
                <c:pt idx="3475">
                  <c:v>-2.9590563432842814E-2</c:v>
                </c:pt>
                <c:pt idx="3476">
                  <c:v>-1.5236455242090181E-2</c:v>
                </c:pt>
                <c:pt idx="3477">
                  <c:v>-1.507479702586237E-3</c:v>
                </c:pt>
                <c:pt idx="3478">
                  <c:v>-5.2358171115765365E-3</c:v>
                </c:pt>
                <c:pt idx="3479">
                  <c:v>-1.4038547132903064E-2</c:v>
                </c:pt>
                <c:pt idx="3480">
                  <c:v>-2.0035322559120352E-2</c:v>
                </c:pt>
                <c:pt idx="3481">
                  <c:v>-5.6342564272209299E-4</c:v>
                </c:pt>
                <c:pt idx="3482">
                  <c:v>1.8308881829560569E-2</c:v>
                </c:pt>
                <c:pt idx="3483">
                  <c:v>5.2824658650805871E-3</c:v>
                </c:pt>
                <c:pt idx="3484">
                  <c:v>4.8243901302579498E-3</c:v>
                </c:pt>
                <c:pt idx="3485">
                  <c:v>-1.5476980563366001E-2</c:v>
                </c:pt>
                <c:pt idx="3486">
                  <c:v>1.3597059906317998E-2</c:v>
                </c:pt>
                <c:pt idx="3487">
                  <c:v>-5.2865983374461231E-3</c:v>
                </c:pt>
                <c:pt idx="3488">
                  <c:v>-2.73666806960986E-2</c:v>
                </c:pt>
                <c:pt idx="3489">
                  <c:v>-1.359982629189267E-2</c:v>
                </c:pt>
                <c:pt idx="3490">
                  <c:v>-1.8000589599925308E-2</c:v>
                </c:pt>
                <c:pt idx="3491">
                  <c:v>-1.3276719139525063E-2</c:v>
                </c:pt>
                <c:pt idx="3492">
                  <c:v>3.974131134208198E-3</c:v>
                </c:pt>
                <c:pt idx="3493">
                  <c:v>6.2882046129223565E-3</c:v>
                </c:pt>
                <c:pt idx="3494">
                  <c:v>1.7683761423380632E-2</c:v>
                </c:pt>
                <c:pt idx="3495">
                  <c:v>1.3319753757626425E-2</c:v>
                </c:pt>
                <c:pt idx="3496">
                  <c:v>-1.0768941875060578E-2</c:v>
                </c:pt>
                <c:pt idx="3497">
                  <c:v>6.6752914907268592E-3</c:v>
                </c:pt>
                <c:pt idx="3498">
                  <c:v>-2.5359671759571177E-2</c:v>
                </c:pt>
                <c:pt idx="3499">
                  <c:v>6.488855090952381E-3</c:v>
                </c:pt>
                <c:pt idx="3500">
                  <c:v>4.8132873010242813E-3</c:v>
                </c:pt>
                <c:pt idx="3501">
                  <c:v>1.6136998425424685E-2</c:v>
                </c:pt>
                <c:pt idx="3502">
                  <c:v>2.0345059101043159E-3</c:v>
                </c:pt>
                <c:pt idx="3503">
                  <c:v>-2.7737771190968898E-2</c:v>
                </c:pt>
                <c:pt idx="3504">
                  <c:v>1.0207670516877522E-2</c:v>
                </c:pt>
                <c:pt idx="3505">
                  <c:v>-1.0270360546049068E-2</c:v>
                </c:pt>
                <c:pt idx="3506">
                  <c:v>-7.7831200049445952E-3</c:v>
                </c:pt>
                <c:pt idx="3507">
                  <c:v>3.301061649250175E-3</c:v>
                </c:pt>
                <c:pt idx="3508">
                  <c:v>-5.6692319709297919E-4</c:v>
                </c:pt>
                <c:pt idx="3509">
                  <c:v>1.6373660249112808E-2</c:v>
                </c:pt>
                <c:pt idx="3510">
                  <c:v>4.0004177486467774E-3</c:v>
                </c:pt>
                <c:pt idx="3511">
                  <c:v>-2.0600724190560451E-3</c:v>
                </c:pt>
                <c:pt idx="3512">
                  <c:v>3.9721385463826718E-3</c:v>
                </c:pt>
                <c:pt idx="3513">
                  <c:v>2.4003211951340825E-3</c:v>
                </c:pt>
                <c:pt idx="3514">
                  <c:v>-6.3542170565724005E-4</c:v>
                </c:pt>
                <c:pt idx="3515">
                  <c:v>-1.2515261017451839E-3</c:v>
                </c:pt>
                <c:pt idx="3516">
                  <c:v>7.7982314280453015E-4</c:v>
                </c:pt>
                <c:pt idx="3517">
                  <c:v>-7.9497895768508298E-3</c:v>
                </c:pt>
                <c:pt idx="3518">
                  <c:v>-2.2330943826937916E-2</c:v>
                </c:pt>
                <c:pt idx="3519">
                  <c:v>-1.9031708999174405E-4</c:v>
                </c:pt>
                <c:pt idx="3520">
                  <c:v>1.1898895854702338E-2</c:v>
                </c:pt>
                <c:pt idx="3521">
                  <c:v>1.0312156082291911E-2</c:v>
                </c:pt>
                <c:pt idx="3522">
                  <c:v>-1.1148433858863474E-2</c:v>
                </c:pt>
                <c:pt idx="3523">
                  <c:v>2.4441462360174867E-3</c:v>
                </c:pt>
                <c:pt idx="3524">
                  <c:v>-4.3911995785705519E-3</c:v>
                </c:pt>
                <c:pt idx="3525">
                  <c:v>-1.3736566684124953E-2</c:v>
                </c:pt>
                <c:pt idx="3526">
                  <c:v>-2.4279457251365492E-2</c:v>
                </c:pt>
                <c:pt idx="3527">
                  <c:v>-5.9386227542532529E-3</c:v>
                </c:pt>
                <c:pt idx="3528">
                  <c:v>6.9829638264996829E-3</c:v>
                </c:pt>
                <c:pt idx="3529">
                  <c:v>-1.1680178284046685E-2</c:v>
                </c:pt>
                <c:pt idx="3530">
                  <c:v>-2.3169637554241191E-2</c:v>
                </c:pt>
                <c:pt idx="3531">
                  <c:v>1.5705433122423392E-2</c:v>
                </c:pt>
                <c:pt idx="3532">
                  <c:v>3.2300619613673955E-2</c:v>
                </c:pt>
                <c:pt idx="3533">
                  <c:v>9.2499297678758641E-3</c:v>
                </c:pt>
                <c:pt idx="3534">
                  <c:v>2.1665445788558332E-2</c:v>
                </c:pt>
                <c:pt idx="3535">
                  <c:v>2.1824766252281289E-3</c:v>
                </c:pt>
                <c:pt idx="3536">
                  <c:v>-0.10528438819273024</c:v>
                </c:pt>
                <c:pt idx="3537">
                  <c:v>-7.4323962463650724E-3</c:v>
                </c:pt>
                <c:pt idx="3538">
                  <c:v>-1.6212898767266753E-2</c:v>
                </c:pt>
                <c:pt idx="3539">
                  <c:v>-2.9142468295565205E-2</c:v>
                </c:pt>
                <c:pt idx="3540">
                  <c:v>7.2207728325165083E-3</c:v>
                </c:pt>
                <c:pt idx="3541">
                  <c:v>-5.0811810850003587E-2</c:v>
                </c:pt>
                <c:pt idx="3542">
                  <c:v>1.8797498663988291E-2</c:v>
                </c:pt>
                <c:pt idx="3543">
                  <c:v>3.0588829636318773E-2</c:v>
                </c:pt>
                <c:pt idx="3544">
                  <c:v>-7.9819080997138006E-4</c:v>
                </c:pt>
                <c:pt idx="3545">
                  <c:v>-2.1770831965960063E-2</c:v>
                </c:pt>
                <c:pt idx="3546">
                  <c:v>-6.276300976498732E-3</c:v>
                </c:pt>
                <c:pt idx="3547">
                  <c:v>-1.2948853843771802E-3</c:v>
                </c:pt>
                <c:pt idx="3548">
                  <c:v>-1.1175540400305904E-2</c:v>
                </c:pt>
                <c:pt idx="3549">
                  <c:v>6.8804731172922937E-3</c:v>
                </c:pt>
                <c:pt idx="3550">
                  <c:v>-2.8569299937212644E-3</c:v>
                </c:pt>
                <c:pt idx="3551">
                  <c:v>-3.0916587609020186E-3</c:v>
                </c:pt>
                <c:pt idx="3552">
                  <c:v>-3.264969552508297E-2</c:v>
                </c:pt>
                <c:pt idx="3553">
                  <c:v>1.171358112375393E-2</c:v>
                </c:pt>
                <c:pt idx="3554">
                  <c:v>2.9384079613271614E-2</c:v>
                </c:pt>
                <c:pt idx="3555">
                  <c:v>2.7919052934204255E-3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C3-4361-9F25-11E6ED6F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3313361"/>
        <c:axId val="21004815"/>
      </c:lineChart>
      <c:catAx>
        <c:axId val="8331336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crossAx val="21004815"/>
        <c:crosses val="autoZero"/>
        <c:auto val="1"/>
        <c:lblAlgn val="ctr"/>
        <c:lblOffset val="100"/>
        <c:noMultiLvlLbl val="0"/>
      </c:catAx>
      <c:valAx>
        <c:axId val="21004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Log Return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331336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S&amp;P 500 Daily Logarithmic Returns (2012-2026)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'[1]MSFT Analysis'!$G$5:$G$3560</c:f>
              <c:numCache>
                <c:formatCode>General</c:formatCode>
                <c:ptCount val="3556"/>
                <c:pt idx="1">
                  <c:v>-2.5401851188711095E-3</c:v>
                </c:pt>
                <c:pt idx="2">
                  <c:v>2.2591283435529062E-3</c:v>
                </c:pt>
                <c:pt idx="3">
                  <c:v>8.8465194982314723E-3</c:v>
                </c:pt>
                <c:pt idx="4">
                  <c:v>3.0953044479032282E-4</c:v>
                </c:pt>
                <c:pt idx="5">
                  <c:v>2.3338676271165535E-3</c:v>
                </c:pt>
                <c:pt idx="6">
                  <c:v>-4.9601779332832637E-3</c:v>
                </c:pt>
                <c:pt idx="7">
                  <c:v>3.5465972840967364E-3</c:v>
                </c:pt>
                <c:pt idx="8">
                  <c:v>1.104669323633066E-2</c:v>
                </c:pt>
                <c:pt idx="9">
                  <c:v>4.9265315806270226E-3</c:v>
                </c:pt>
                <c:pt idx="10">
                  <c:v>6.6923208119318213E-4</c:v>
                </c:pt>
                <c:pt idx="11">
                  <c:v>4.7123563413351943E-4</c:v>
                </c:pt>
                <c:pt idx="12">
                  <c:v>-1.026362395993147E-3</c:v>
                </c:pt>
                <c:pt idx="13">
                  <c:v>8.6416691016175592E-3</c:v>
                </c:pt>
                <c:pt idx="14">
                  <c:v>-5.7705048401983719E-3</c:v>
                </c:pt>
                <c:pt idx="15">
                  <c:v>-1.5940734220098644E-3</c:v>
                </c:pt>
                <c:pt idx="16">
                  <c:v>-2.5253499086551E-3</c:v>
                </c:pt>
                <c:pt idx="17">
                  <c:v>-4.5706973394398057E-4</c:v>
                </c:pt>
                <c:pt idx="18">
                  <c:v>8.860289331437619E-3</c:v>
                </c:pt>
                <c:pt idx="19">
                  <c:v>1.0944925478258915E-3</c:v>
                </c:pt>
                <c:pt idx="20">
                  <c:v>1.4499737264160701E-2</c:v>
                </c:pt>
                <c:pt idx="21">
                  <c:v>-4.2391317108323237E-4</c:v>
                </c:pt>
                <c:pt idx="22">
                  <c:v>2.0212685879011623E-3</c:v>
                </c:pt>
                <c:pt idx="23">
                  <c:v>2.1579461175579256E-3</c:v>
                </c:pt>
                <c:pt idx="24">
                  <c:v>1.4730323066491182E-3</c:v>
                </c:pt>
                <c:pt idx="25">
                  <c:v>-6.9101696706045917E-3</c:v>
                </c:pt>
                <c:pt idx="26">
                  <c:v>6.7770197880235375E-3</c:v>
                </c:pt>
                <c:pt idx="27">
                  <c:v>-9.3995055527716274E-4</c:v>
                </c:pt>
                <c:pt idx="28">
                  <c:v>-5.3977329957059358E-3</c:v>
                </c:pt>
                <c:pt idx="29">
                  <c:v>1.0965322528886171E-2</c:v>
                </c:pt>
                <c:pt idx="30">
                  <c:v>2.3462189950568782E-3</c:v>
                </c:pt>
                <c:pt idx="31">
                  <c:v>7.1967808528795797E-4</c:v>
                </c:pt>
                <c:pt idx="32">
                  <c:v>-3.34575126341362E-3</c:v>
                </c:pt>
                <c:pt idx="33">
                  <c:v>4.262957005584894E-3</c:v>
                </c:pt>
                <c:pt idx="34">
                  <c:v>1.6708196763969795E-3</c:v>
                </c:pt>
                <c:pt idx="35">
                  <c:v>1.3536603940939738E-3</c:v>
                </c:pt>
                <c:pt idx="36">
                  <c:v>3.3506493568948885E-3</c:v>
                </c:pt>
                <c:pt idx="37">
                  <c:v>-4.7482429432547935E-3</c:v>
                </c:pt>
                <c:pt idx="38">
                  <c:v>6.1392207480289963E-3</c:v>
                </c:pt>
                <c:pt idx="39">
                  <c:v>-3.2510634673347419E-3</c:v>
                </c:pt>
                <c:pt idx="40">
                  <c:v>-3.877164727582936E-3</c:v>
                </c:pt>
                <c:pt idx="41">
                  <c:v>-1.5489527433395317E-2</c:v>
                </c:pt>
                <c:pt idx="42">
                  <c:v>6.8769072088010284E-3</c:v>
                </c:pt>
                <c:pt idx="43">
                  <c:v>9.7700277612063294E-3</c:v>
                </c:pt>
                <c:pt idx="44">
                  <c:v>3.6247016059477617E-3</c:v>
                </c:pt>
                <c:pt idx="45">
                  <c:v>1.6046915379674782E-4</c:v>
                </c:pt>
                <c:pt idx="46">
                  <c:v>1.796914314001119E-2</c:v>
                </c:pt>
                <c:pt idx="47">
                  <c:v>-1.1970340792054287E-3</c:v>
                </c:pt>
                <c:pt idx="48">
                  <c:v>5.9495041200391232E-3</c:v>
                </c:pt>
                <c:pt idx="49">
                  <c:v>1.1187237741202927E-3</c:v>
                </c:pt>
                <c:pt idx="50">
                  <c:v>3.9660028103612023E-3</c:v>
                </c:pt>
                <c:pt idx="51">
                  <c:v>-3.0050426304927035E-3</c:v>
                </c:pt>
                <c:pt idx="52">
                  <c:v>-1.8729464492867856E-3</c:v>
                </c:pt>
                <c:pt idx="53">
                  <c:v>-7.2326448201014181E-3</c:v>
                </c:pt>
                <c:pt idx="54">
                  <c:v>3.1040675271881042E-3</c:v>
                </c:pt>
                <c:pt idx="55">
                  <c:v>1.3790282585130287E-2</c:v>
                </c:pt>
                <c:pt idx="56">
                  <c:v>-2.8207566873393645E-3</c:v>
                </c:pt>
                <c:pt idx="57">
                  <c:v>-4.9537726478604228E-3</c:v>
                </c:pt>
                <c:pt idx="58">
                  <c:v>-1.6092170290043855E-3</c:v>
                </c:pt>
                <c:pt idx="59">
                  <c:v>3.6916552995440582E-3</c:v>
                </c:pt>
                <c:pt idx="60">
                  <c:v>7.4765777930732918E-3</c:v>
                </c:pt>
                <c:pt idx="61">
                  <c:v>-3.9965877474346378E-3</c:v>
                </c:pt>
                <c:pt idx="62">
                  <c:v>-1.0254895475303529E-2</c:v>
                </c:pt>
                <c:pt idx="63">
                  <c:v>-6.2923664233309191E-4</c:v>
                </c:pt>
                <c:pt idx="64">
                  <c:v>-1.1423434105777059E-2</c:v>
                </c:pt>
                <c:pt idx="65">
                  <c:v>-1.7229035445361768E-2</c:v>
                </c:pt>
                <c:pt idx="66">
                  <c:v>7.4212931815645089E-3</c:v>
                </c:pt>
                <c:pt idx="67">
                  <c:v>1.3685325404961968E-2</c:v>
                </c:pt>
                <c:pt idx="68">
                  <c:v>-1.2553512960530443E-2</c:v>
                </c:pt>
                <c:pt idx="69">
                  <c:v>-5.036808959588716E-4</c:v>
                </c:pt>
                <c:pt idx="70">
                  <c:v>1.5367918875513488E-2</c:v>
                </c:pt>
                <c:pt idx="71">
                  <c:v>-4.0635232720984613E-3</c:v>
                </c:pt>
                <c:pt idx="72">
                  <c:v>-5.952096817443118E-3</c:v>
                </c:pt>
                <c:pt idx="73">
                  <c:v>1.1685932847406632E-3</c:v>
                </c:pt>
                <c:pt idx="74">
                  <c:v>-8.4430489857261516E-3</c:v>
                </c:pt>
                <c:pt idx="75">
                  <c:v>3.6729981305998567E-3</c:v>
                </c:pt>
                <c:pt idx="76">
                  <c:v>1.3552363677729872E-2</c:v>
                </c:pt>
                <c:pt idx="77">
                  <c:v>6.6579239517370777E-3</c:v>
                </c:pt>
                <c:pt idx="78">
                  <c:v>2.4114104160489723E-3</c:v>
                </c:pt>
                <c:pt idx="79">
                  <c:v>-3.8910971640511403E-3</c:v>
                </c:pt>
                <c:pt idx="80">
                  <c:v>5.6424983763752054E-3</c:v>
                </c:pt>
                <c:pt idx="81">
                  <c:v>-2.4998855665210461E-3</c:v>
                </c:pt>
                <c:pt idx="82">
                  <c:v>-7.688270722404974E-3</c:v>
                </c:pt>
                <c:pt idx="83">
                  <c:v>-1.6279016486759133E-2</c:v>
                </c:pt>
                <c:pt idx="84">
                  <c:v>3.5053383740709244E-4</c:v>
                </c:pt>
                <c:pt idx="85">
                  <c:v>-4.2878637386193951E-3</c:v>
                </c:pt>
                <c:pt idx="86">
                  <c:v>-6.7248165728184027E-3</c:v>
                </c:pt>
                <c:pt idx="87">
                  <c:v>2.5142221555989205E-3</c:v>
                </c:pt>
                <c:pt idx="88">
                  <c:v>-3.3931093490318499E-3</c:v>
                </c:pt>
                <c:pt idx="89">
                  <c:v>-1.1175044036911441E-2</c:v>
                </c:pt>
                <c:pt idx="90">
                  <c:v>-5.7624522046803815E-3</c:v>
                </c:pt>
                <c:pt idx="91">
                  <c:v>-4.4135550996594808E-3</c:v>
                </c:pt>
                <c:pt idx="92">
                  <c:v>-1.516574932256603E-2</c:v>
                </c:pt>
                <c:pt idx="93">
                  <c:v>-7.4151904335883496E-3</c:v>
                </c:pt>
                <c:pt idx="94">
                  <c:v>1.5908669197356163E-2</c:v>
                </c:pt>
                <c:pt idx="95">
                  <c:v>4.8620766582948318E-4</c:v>
                </c:pt>
                <c:pt idx="96">
                  <c:v>1.6922853300106668E-3</c:v>
                </c:pt>
                <c:pt idx="97">
                  <c:v>1.3790283825421373E-3</c:v>
                </c:pt>
                <c:pt idx="98">
                  <c:v>-2.167899276191806E-3</c:v>
                </c:pt>
                <c:pt idx="99">
                  <c:v>1.1017981539835837E-2</c:v>
                </c:pt>
                <c:pt idx="100">
                  <c:v>-1.4438555426152216E-2</c:v>
                </c:pt>
                <c:pt idx="101">
                  <c:v>-2.2792684195200048E-3</c:v>
                </c:pt>
                <c:pt idx="102">
                  <c:v>-2.4951359516333108E-2</c:v>
                </c:pt>
                <c:pt idx="103">
                  <c:v>1.0953673794903053E-4</c:v>
                </c:pt>
                <c:pt idx="104">
                  <c:v>5.7105566157771509E-3</c:v>
                </c:pt>
                <c:pt idx="105">
                  <c:v>2.2787772335250183E-2</c:v>
                </c:pt>
                <c:pt idx="106">
                  <c:v>-1.0645902098176338E-4</c:v>
                </c:pt>
                <c:pt idx="107">
                  <c:v>8.0813875904548593E-3</c:v>
                </c:pt>
                <c:pt idx="108">
                  <c:v>-1.2700439066485178E-2</c:v>
                </c:pt>
                <c:pt idx="109">
                  <c:v>1.1583390373813106E-2</c:v>
                </c:pt>
                <c:pt idx="110">
                  <c:v>-7.0479932229503646E-3</c:v>
                </c:pt>
                <c:pt idx="111">
                  <c:v>1.0756614732241909E-2</c:v>
                </c:pt>
                <c:pt idx="112">
                  <c:v>1.0284752736562524E-2</c:v>
                </c:pt>
                <c:pt idx="113">
                  <c:v>1.4436567200249713E-3</c:v>
                </c:pt>
                <c:pt idx="114">
                  <c:v>9.767870585814924E-3</c:v>
                </c:pt>
                <c:pt idx="115">
                  <c:v>-1.6877516747354983E-3</c:v>
                </c:pt>
                <c:pt idx="116">
                  <c:v>-2.2513258771434952E-2</c:v>
                </c:pt>
                <c:pt idx="117">
                  <c:v>7.1489819720210544E-3</c:v>
                </c:pt>
                <c:pt idx="118">
                  <c:v>-1.6083465459972662E-2</c:v>
                </c:pt>
                <c:pt idx="119">
                  <c:v>4.7613532585773716E-3</c:v>
                </c:pt>
                <c:pt idx="120">
                  <c:v>8.9447923523008708E-3</c:v>
                </c:pt>
                <c:pt idx="121">
                  <c:v>-2.112076068222122E-3</c:v>
                </c:pt>
                <c:pt idx="122">
                  <c:v>2.4614798034165282E-2</c:v>
                </c:pt>
                <c:pt idx="123">
                  <c:v>2.4563100993451855E-3</c:v>
                </c:pt>
                <c:pt idx="124">
                  <c:v>6.2127645053796339E-3</c:v>
                </c:pt>
                <c:pt idx="125">
                  <c:v>-4.6979952180121604E-3</c:v>
                </c:pt>
                <c:pt idx="126">
                  <c:v>-9.4774904376453764E-3</c:v>
                </c:pt>
                <c:pt idx="127">
                  <c:v>-1.6401076395319903E-3</c:v>
                </c:pt>
                <c:pt idx="128">
                  <c:v>-8.1591288327641839E-3</c:v>
                </c:pt>
                <c:pt idx="129">
                  <c:v>-1.490912885989825E-5</c:v>
                </c:pt>
                <c:pt idx="130">
                  <c:v>-4.9996180683616704E-3</c:v>
                </c:pt>
                <c:pt idx="131">
                  <c:v>1.636274497101934E-2</c:v>
                </c:pt>
                <c:pt idx="132">
                  <c:v>-2.316985120192678E-3</c:v>
                </c:pt>
                <c:pt idx="133">
                  <c:v>7.3823344056611782E-3</c:v>
                </c:pt>
                <c:pt idx="134">
                  <c:v>6.6582862145774472E-3</c:v>
                </c:pt>
                <c:pt idx="135">
                  <c:v>2.7134294953041031E-3</c:v>
                </c:pt>
                <c:pt idx="136">
                  <c:v>-1.011263852275059E-2</c:v>
                </c:pt>
                <c:pt idx="137">
                  <c:v>-8.9489683826660012E-3</c:v>
                </c:pt>
                <c:pt idx="138">
                  <c:v>-9.0820795122977943E-3</c:v>
                </c:pt>
                <c:pt idx="139">
                  <c:v>-3.1387788913235705E-4</c:v>
                </c:pt>
                <c:pt idx="140">
                  <c:v>1.6405659452859416E-2</c:v>
                </c:pt>
                <c:pt idx="141">
                  <c:v>1.8900849989626385E-2</c:v>
                </c:pt>
                <c:pt idx="142">
                  <c:v>-4.8353283011341573E-4</c:v>
                </c:pt>
                <c:pt idx="143">
                  <c:v>-4.3260985787338772E-3</c:v>
                </c:pt>
                <c:pt idx="144">
                  <c:v>-2.9041927884913225E-3</c:v>
                </c:pt>
                <c:pt idx="145">
                  <c:v>-7.532002677547946E-3</c:v>
                </c:pt>
                <c:pt idx="146">
                  <c:v>1.8861295205931709E-2</c:v>
                </c:pt>
                <c:pt idx="147">
                  <c:v>2.3265677120569918E-3</c:v>
                </c:pt>
                <c:pt idx="148">
                  <c:v>5.0937661557810326E-3</c:v>
                </c:pt>
                <c:pt idx="149">
                  <c:v>6.2063727884550447E-4</c:v>
                </c:pt>
                <c:pt idx="150">
                  <c:v>4.13544294347905E-4</c:v>
                </c:pt>
                <c:pt idx="151">
                  <c:v>2.1860889478816747E-3</c:v>
                </c:pt>
                <c:pt idx="152">
                  <c:v>-1.2526781188120387E-3</c:v>
                </c:pt>
                <c:pt idx="153">
                  <c:v>-1.2820330212278219E-4</c:v>
                </c:pt>
                <c:pt idx="154">
                  <c:v>1.1390090430037803E-3</c:v>
                </c:pt>
                <c:pt idx="155">
                  <c:v>7.0754343324954463E-3</c:v>
                </c:pt>
                <c:pt idx="156">
                  <c:v>1.8703665370596102E-3</c:v>
                </c:pt>
                <c:pt idx="157">
                  <c:v>-2.1154395355287849E-5</c:v>
                </c:pt>
                <c:pt idx="158">
                  <c:v>-3.5036944682847937E-3</c:v>
                </c:pt>
                <c:pt idx="159">
                  <c:v>2.2641562930589981E-4</c:v>
                </c:pt>
                <c:pt idx="160">
                  <c:v>-8.1049751636543699E-3</c:v>
                </c:pt>
                <c:pt idx="161">
                  <c:v>6.4339535401051222E-3</c:v>
                </c:pt>
                <c:pt idx="162">
                  <c:v>-4.8908941741975952E-4</c:v>
                </c:pt>
                <c:pt idx="163">
                  <c:v>-8.0858523276048809E-4</c:v>
                </c:pt>
                <c:pt idx="164">
                  <c:v>8.4403453494465283E-4</c:v>
                </c:pt>
                <c:pt idx="165">
                  <c:v>-7.836422697165871E-3</c:v>
                </c:pt>
                <c:pt idx="166">
                  <c:v>5.0604870542372508E-3</c:v>
                </c:pt>
                <c:pt idx="167">
                  <c:v>-1.1666288598383128E-3</c:v>
                </c:pt>
                <c:pt idx="168">
                  <c:v>-1.0682316087138285E-3</c:v>
                </c:pt>
                <c:pt idx="169">
                  <c:v>2.0229498271412946E-2</c:v>
                </c:pt>
                <c:pt idx="170">
                  <c:v>4.0417610177212364E-3</c:v>
                </c:pt>
                <c:pt idx="171">
                  <c:v>-6.1667443421586504E-3</c:v>
                </c:pt>
                <c:pt idx="172">
                  <c:v>3.1299804777848361E-3</c:v>
                </c:pt>
                <c:pt idx="173">
                  <c:v>2.0905056879527827E-3</c:v>
                </c:pt>
                <c:pt idx="174">
                  <c:v>1.617821963021452E-2</c:v>
                </c:pt>
                <c:pt idx="175">
                  <c:v>3.9511152790704966E-3</c:v>
                </c:pt>
                <c:pt idx="176">
                  <c:v>-3.1295294353358739E-3</c:v>
                </c:pt>
                <c:pt idx="177">
                  <c:v>-1.2805984266831857E-3</c:v>
                </c:pt>
                <c:pt idx="178">
                  <c:v>1.18478151903211E-3</c:v>
                </c:pt>
                <c:pt idx="179">
                  <c:v>-5.4085326052881347E-4</c:v>
                </c:pt>
                <c:pt idx="180">
                  <c:v>-7.5331888366289224E-5</c:v>
                </c:pt>
                <c:pt idx="181">
                  <c:v>-2.2351434037312782E-3</c:v>
                </c:pt>
                <c:pt idx="182">
                  <c:v>-1.0557355654258943E-2</c:v>
                </c:pt>
                <c:pt idx="183">
                  <c:v>-5.7532394483594748E-3</c:v>
                </c:pt>
                <c:pt idx="184">
                  <c:v>9.6026733646948151E-3</c:v>
                </c:pt>
                <c:pt idx="185">
                  <c:v>-4.4878218697084783E-3</c:v>
                </c:pt>
                <c:pt idx="186">
                  <c:v>2.6480349319839992E-3</c:v>
                </c:pt>
                <c:pt idx="187">
                  <c:v>8.7189996666161944E-4</c:v>
                </c:pt>
                <c:pt idx="188">
                  <c:v>3.6178640233520921E-3</c:v>
                </c:pt>
                <c:pt idx="189">
                  <c:v>7.1487982954376974E-3</c:v>
                </c:pt>
                <c:pt idx="190">
                  <c:v>-3.2166114302795205E-4</c:v>
                </c:pt>
                <c:pt idx="191">
                  <c:v>-3.4626904363913532E-3</c:v>
                </c:pt>
                <c:pt idx="192">
                  <c:v>-9.9401652318431739E-3</c:v>
                </c:pt>
                <c:pt idx="193">
                  <c:v>-6.2073100173509251E-3</c:v>
                </c:pt>
                <c:pt idx="194">
                  <c:v>1.954351929163438E-4</c:v>
                </c:pt>
                <c:pt idx="195">
                  <c:v>-2.9705448850503111E-3</c:v>
                </c:pt>
                <c:pt idx="196">
                  <c:v>8.0454434366606341E-3</c:v>
                </c:pt>
                <c:pt idx="197">
                  <c:v>1.0217529003082159E-2</c:v>
                </c:pt>
                <c:pt idx="198">
                  <c:v>4.1086129344168739E-3</c:v>
                </c:pt>
                <c:pt idx="199">
                  <c:v>-2.4466730272574805E-3</c:v>
                </c:pt>
                <c:pt idx="200">
                  <c:v>-1.6710127170061661E-2</c:v>
                </c:pt>
                <c:pt idx="201">
                  <c:v>4.3948225512983235E-4</c:v>
                </c:pt>
                <c:pt idx="202">
                  <c:v>-1.4549262064668257E-2</c:v>
                </c:pt>
                <c:pt idx="203">
                  <c:v>-3.0901628496863881E-3</c:v>
                </c:pt>
                <c:pt idx="204">
                  <c:v>2.9910856826463454E-3</c:v>
                </c:pt>
                <c:pt idx="205">
                  <c:v>-7.2922680414156456E-4</c:v>
                </c:pt>
                <c:pt idx="206">
                  <c:v>1.5580184869156202E-4</c:v>
                </c:pt>
                <c:pt idx="207">
                  <c:v>1.0867260747050345E-2</c:v>
                </c:pt>
                <c:pt idx="208">
                  <c:v>-9.4237076580922455E-3</c:v>
                </c:pt>
                <c:pt idx="209">
                  <c:v>2.1614299275310735E-3</c:v>
                </c:pt>
                <c:pt idx="210">
                  <c:v>7.822505758014995E-3</c:v>
                </c:pt>
                <c:pt idx="211">
                  <c:v>-2.3990494932418175E-2</c:v>
                </c:pt>
                <c:pt idx="212">
                  <c:v>-1.2279919394418561E-2</c:v>
                </c:pt>
                <c:pt idx="213">
                  <c:v>1.6972760624259981E-3</c:v>
                </c:pt>
                <c:pt idx="214">
                  <c:v>1.3044045411771709E-4</c:v>
                </c:pt>
                <c:pt idx="215">
                  <c:v>-3.9933835596909703E-3</c:v>
                </c:pt>
                <c:pt idx="216">
                  <c:v>-1.394884192572606E-2</c:v>
                </c:pt>
                <c:pt idx="217">
                  <c:v>-1.5947906895285239E-3</c:v>
                </c:pt>
                <c:pt idx="218">
                  <c:v>4.8282386725694085E-3</c:v>
                </c:pt>
                <c:pt idx="219">
                  <c:v>1.9667369768091868E-2</c:v>
                </c:pt>
                <c:pt idx="220">
                  <c:v>6.6313477760757589E-4</c:v>
                </c:pt>
                <c:pt idx="221">
                  <c:v>2.3175148199859131E-3</c:v>
                </c:pt>
                <c:pt idx="222">
                  <c:v>1.2942205804867957E-2</c:v>
                </c:pt>
                <c:pt idx="223">
                  <c:v>-2.0316547209315592E-3</c:v>
                </c:pt>
                <c:pt idx="224">
                  <c:v>-5.2402240238485368E-3</c:v>
                </c:pt>
                <c:pt idx="225">
                  <c:v>7.8252507809793547E-3</c:v>
                </c:pt>
                <c:pt idx="226">
                  <c:v>4.2606261459933554E-3</c:v>
                </c:pt>
                <c:pt idx="227">
                  <c:v>1.6242192307947768E-4</c:v>
                </c:pt>
                <c:pt idx="228">
                  <c:v>-4.7564535251138646E-3</c:v>
                </c:pt>
                <c:pt idx="229">
                  <c:v>-1.7113382080492271E-3</c:v>
                </c:pt>
                <c:pt idx="230">
                  <c:v>1.5836215685260085E-3</c:v>
                </c:pt>
                <c:pt idx="231">
                  <c:v>3.3011980873050694E-3</c:v>
                </c:pt>
                <c:pt idx="232">
                  <c:v>2.916658435379544E-3</c:v>
                </c:pt>
                <c:pt idx="233">
                  <c:v>3.3843095274054159E-4</c:v>
                </c:pt>
                <c:pt idx="234">
                  <c:v>6.52758967448202E-3</c:v>
                </c:pt>
                <c:pt idx="235">
                  <c:v>4.4812906866902318E-4</c:v>
                </c:pt>
                <c:pt idx="236">
                  <c:v>-6.3414692504306803E-3</c:v>
                </c:pt>
                <c:pt idx="237">
                  <c:v>-4.1439789908631845E-3</c:v>
                </c:pt>
                <c:pt idx="238">
                  <c:v>1.1800667190939215E-2</c:v>
                </c:pt>
                <c:pt idx="239">
                  <c:v>1.1421148426265303E-2</c:v>
                </c:pt>
                <c:pt idx="240">
                  <c:v>-7.6181593722409987E-3</c:v>
                </c:pt>
                <c:pt idx="241">
                  <c:v>5.4731860885176876E-3</c:v>
                </c:pt>
                <c:pt idx="242">
                  <c:v>-9.4230021072279815E-3</c:v>
                </c:pt>
                <c:pt idx="243">
                  <c:v>-2.4432858581227004E-3</c:v>
                </c:pt>
                <c:pt idx="244">
                  <c:v>-4.7989018809801616E-3</c:v>
                </c:pt>
                <c:pt idx="245">
                  <c:v>-1.2191986513380225E-3</c:v>
                </c:pt>
                <c:pt idx="246">
                  <c:v>-1.11115011894783E-2</c:v>
                </c:pt>
                <c:pt idx="247">
                  <c:v>1.6800106652478265E-2</c:v>
                </c:pt>
                <c:pt idx="248">
                  <c:v>2.5086044824864026E-2</c:v>
                </c:pt>
                <c:pt idx="249">
                  <c:v>-2.0877620279685176E-3</c:v>
                </c:pt>
                <c:pt idx="250">
                  <c:v>4.8533166109664457E-3</c:v>
                </c:pt>
                <c:pt idx="251">
                  <c:v>-3.1280332571486792E-3</c:v>
                </c:pt>
                <c:pt idx="252">
                  <c:v>-3.2476459151946561E-3</c:v>
                </c:pt>
                <c:pt idx="253">
                  <c:v>2.6523487451191913E-3</c:v>
                </c:pt>
                <c:pt idx="254">
                  <c:v>7.5687167942973159E-3</c:v>
                </c:pt>
                <c:pt idx="255">
                  <c:v>-4.7551601988409018E-5</c:v>
                </c:pt>
                <c:pt idx="256">
                  <c:v>-9.3110825592432821E-4</c:v>
                </c:pt>
                <c:pt idx="257">
                  <c:v>1.128093030996665E-3</c:v>
                </c:pt>
                <c:pt idx="258">
                  <c:v>1.969459797129973E-4</c:v>
                </c:pt>
                <c:pt idx="259">
                  <c:v>5.6271034223067872E-3</c:v>
                </c:pt>
                <c:pt idx="260">
                  <c:v>3.3974659565910057E-3</c:v>
                </c:pt>
                <c:pt idx="261">
                  <c:v>4.41827922681335E-3</c:v>
                </c:pt>
                <c:pt idx="262">
                  <c:v>1.5063419833833689E-3</c:v>
                </c:pt>
                <c:pt idx="263">
                  <c:v>6.689791044299383E-6</c:v>
                </c:pt>
                <c:pt idx="264">
                  <c:v>5.4306987208722545E-3</c:v>
                </c:pt>
                <c:pt idx="265">
                  <c:v>-1.8513960681661246E-3</c:v>
                </c:pt>
                <c:pt idx="266">
                  <c:v>5.0930622521802886E-3</c:v>
                </c:pt>
                <c:pt idx="267">
                  <c:v>-3.9072413320486547E-3</c:v>
                </c:pt>
                <c:pt idx="268">
                  <c:v>-2.5666081881304615E-3</c:v>
                </c:pt>
                <c:pt idx="269">
                  <c:v>1.0002474404177631E-2</c:v>
                </c:pt>
                <c:pt idx="270">
                  <c:v>-1.1605777551404992E-2</c:v>
                </c:pt>
                <c:pt idx="271">
                  <c:v>1.036258025857612E-2</c:v>
                </c:pt>
                <c:pt idx="272">
                  <c:v>5.4904893537455462E-4</c:v>
                </c:pt>
                <c:pt idx="273">
                  <c:v>-1.807043989846203E-3</c:v>
                </c:pt>
                <c:pt idx="274">
                  <c:v>5.6419689055853262E-3</c:v>
                </c:pt>
                <c:pt idx="275">
                  <c:v>-6.0627230072434325E-4</c:v>
                </c:pt>
                <c:pt idx="276">
                  <c:v>1.5939722256221329E-3</c:v>
                </c:pt>
                <c:pt idx="277">
                  <c:v>5.92152029303837E-4</c:v>
                </c:pt>
                <c:pt idx="278">
                  <c:v>6.9040115047624235E-4</c:v>
                </c:pt>
                <c:pt idx="279">
                  <c:v>-1.0456502891147328E-3</c:v>
                </c:pt>
                <c:pt idx="280">
                  <c:v>7.3097584169803118E-3</c:v>
                </c:pt>
                <c:pt idx="281">
                  <c:v>-1.248171740825915E-2</c:v>
                </c:pt>
                <c:pt idx="282">
                  <c:v>-6.3230670101523416E-3</c:v>
                </c:pt>
                <c:pt idx="283">
                  <c:v>8.7342587449727293E-3</c:v>
                </c:pt>
                <c:pt idx="284">
                  <c:v>-1.8479275284333255E-2</c:v>
                </c:pt>
                <c:pt idx="285">
                  <c:v>6.0908995959643225E-3</c:v>
                </c:pt>
                <c:pt idx="286">
                  <c:v>1.2645666418416045E-2</c:v>
                </c:pt>
                <c:pt idx="287">
                  <c:v>-8.644953634581831E-4</c:v>
                </c:pt>
                <c:pt idx="288">
                  <c:v>2.3212270716333073E-3</c:v>
                </c:pt>
                <c:pt idx="289">
                  <c:v>4.6001264007408333E-3</c:v>
                </c:pt>
                <c:pt idx="290">
                  <c:v>9.5204944895365129E-3</c:v>
                </c:pt>
                <c:pt idx="291">
                  <c:v>1.0839757653689358E-3</c:v>
                </c:pt>
                <c:pt idx="292">
                  <c:v>1.8148119521493281E-3</c:v>
                </c:pt>
                <c:pt idx="293">
                  <c:v>4.4711004109199912E-3</c:v>
                </c:pt>
                <c:pt idx="294">
                  <c:v>3.2438723173948535E-3</c:v>
                </c:pt>
                <c:pt idx="295">
                  <c:v>-2.4061516417888235E-3</c:v>
                </c:pt>
                <c:pt idx="296">
                  <c:v>1.3131640123256268E-3</c:v>
                </c:pt>
                <c:pt idx="297">
                  <c:v>5.5873772173025285E-3</c:v>
                </c:pt>
                <c:pt idx="298">
                  <c:v>-1.6197549581095975E-3</c:v>
                </c:pt>
                <c:pt idx="299">
                  <c:v>-5.5255858913691377E-3</c:v>
                </c:pt>
                <c:pt idx="300">
                  <c:v>-2.4254633815200036E-3</c:v>
                </c:pt>
                <c:pt idx="301">
                  <c:v>6.6751668015524457E-3</c:v>
                </c:pt>
                <c:pt idx="302">
                  <c:v>-8.3169804044007662E-3</c:v>
                </c:pt>
                <c:pt idx="303">
                  <c:v>7.1486659821265496E-3</c:v>
                </c:pt>
                <c:pt idx="304">
                  <c:v>-3.3455821309178592E-3</c:v>
                </c:pt>
                <c:pt idx="305">
                  <c:v>7.7549129435386119E-3</c:v>
                </c:pt>
                <c:pt idx="306">
                  <c:v>-5.8849494121564802E-4</c:v>
                </c:pt>
                <c:pt idx="307">
                  <c:v>4.0484851148155808E-3</c:v>
                </c:pt>
                <c:pt idx="308">
                  <c:v>-4.4836823364220995E-3</c:v>
                </c:pt>
                <c:pt idx="309">
                  <c:v>5.1589620297942326E-3</c:v>
                </c:pt>
                <c:pt idx="310">
                  <c:v>-1.0602095506201462E-2</c:v>
                </c:pt>
                <c:pt idx="311">
                  <c:v>4.0402538202902035E-3</c:v>
                </c:pt>
                <c:pt idx="312">
                  <c:v>-4.3041765503969041E-3</c:v>
                </c:pt>
                <c:pt idx="313">
                  <c:v>6.2830119890327149E-3</c:v>
                </c:pt>
                <c:pt idx="314">
                  <c:v>3.5380407825949659E-3</c:v>
                </c:pt>
                <c:pt idx="315">
                  <c:v>1.2115446292433605E-2</c:v>
                </c:pt>
                <c:pt idx="316">
                  <c:v>3.5459469426653589E-3</c:v>
                </c:pt>
                <c:pt idx="317">
                  <c:v>-2.8407860171352811E-3</c:v>
                </c:pt>
                <c:pt idx="318">
                  <c:v>-2.3234130479996954E-2</c:v>
                </c:pt>
                <c:pt idx="319">
                  <c:v>1.4205865503323178E-2</c:v>
                </c:pt>
                <c:pt idx="320">
                  <c:v>-1.4431354089724242E-2</c:v>
                </c:pt>
                <c:pt idx="321">
                  <c:v>-6.7235401752622328E-3</c:v>
                </c:pt>
                <c:pt idx="322">
                  <c:v>8.8089795490163252E-3</c:v>
                </c:pt>
                <c:pt idx="323">
                  <c:v>4.6507982154273889E-3</c:v>
                </c:pt>
                <c:pt idx="324">
                  <c:v>1.0365294248898439E-2</c:v>
                </c:pt>
                <c:pt idx="325">
                  <c:v>6.3339846780946741E-6</c:v>
                </c:pt>
                <c:pt idx="326">
                  <c:v>4.0266177447456745E-3</c:v>
                </c:pt>
                <c:pt idx="327">
                  <c:v>-1.8437840671979098E-3</c:v>
                </c:pt>
                <c:pt idx="328">
                  <c:v>7.1603183893662135E-3</c:v>
                </c:pt>
                <c:pt idx="329">
                  <c:v>2.4818418469955725E-3</c:v>
                </c:pt>
                <c:pt idx="330">
                  <c:v>-9.3514754188050771E-3</c:v>
                </c:pt>
                <c:pt idx="331">
                  <c:v>9.3639943536941335E-3</c:v>
                </c:pt>
                <c:pt idx="332">
                  <c:v>1.04795153331448E-2</c:v>
                </c:pt>
                <c:pt idx="333">
                  <c:v>1.9059883489792062E-3</c:v>
                </c:pt>
                <c:pt idx="334">
                  <c:v>5.2166631841068997E-3</c:v>
                </c:pt>
                <c:pt idx="335">
                  <c:v>4.1305507302880854E-3</c:v>
                </c:pt>
                <c:pt idx="336">
                  <c:v>-3.6939809321391258E-3</c:v>
                </c:pt>
                <c:pt idx="337">
                  <c:v>4.3124006751514296E-3</c:v>
                </c:pt>
                <c:pt idx="338">
                  <c:v>4.2846606096343147E-5</c:v>
                </c:pt>
                <c:pt idx="339">
                  <c:v>1.0091099634557102E-2</c:v>
                </c:pt>
                <c:pt idx="340">
                  <c:v>5.1010651178161831E-3</c:v>
                </c:pt>
                <c:pt idx="341">
                  <c:v>-5.0222965730849136E-3</c:v>
                </c:pt>
                <c:pt idx="342">
                  <c:v>1.0247411805593496E-2</c:v>
                </c:pt>
                <c:pt idx="343">
                  <c:v>-7.0790941716164719E-4</c:v>
                </c:pt>
                <c:pt idx="344">
                  <c:v>1.7209076486218429E-3</c:v>
                </c:pt>
                <c:pt idx="345">
                  <c:v>-8.3080390400197494E-3</c:v>
                </c:pt>
                <c:pt idx="346">
                  <c:v>-2.928135769918223E-3</c:v>
                </c:pt>
                <c:pt idx="347">
                  <c:v>-5.5149678226770488E-4</c:v>
                </c:pt>
                <c:pt idx="348">
                  <c:v>6.3209120130071905E-3</c:v>
                </c:pt>
                <c:pt idx="349">
                  <c:v>-7.072892060328735E-3</c:v>
                </c:pt>
                <c:pt idx="350">
                  <c:v>3.6635955678957278E-3</c:v>
                </c:pt>
                <c:pt idx="351">
                  <c:v>-1.4410550273650714E-2</c:v>
                </c:pt>
                <c:pt idx="352">
                  <c:v>5.9184070822181989E-3</c:v>
                </c:pt>
                <c:pt idx="353">
                  <c:v>-5.5260242096006633E-3</c:v>
                </c:pt>
                <c:pt idx="354">
                  <c:v>-1.3875566725247141E-2</c:v>
                </c:pt>
                <c:pt idx="355">
                  <c:v>8.4544332066969503E-3</c:v>
                </c:pt>
                <c:pt idx="356">
                  <c:v>1.2749947667659597E-2</c:v>
                </c:pt>
                <c:pt idx="357">
                  <c:v>-3.4690629921981507E-4</c:v>
                </c:pt>
                <c:pt idx="358">
                  <c:v>-1.020523152075696E-2</c:v>
                </c:pt>
                <c:pt idx="359">
                  <c:v>-8.404786017584211E-3</c:v>
                </c:pt>
                <c:pt idx="360">
                  <c:v>1.4676090161454946E-2</c:v>
                </c:pt>
                <c:pt idx="361">
                  <c:v>-5.902398007852176E-3</c:v>
                </c:pt>
                <c:pt idx="362">
                  <c:v>7.5388397237181716E-3</c:v>
                </c:pt>
                <c:pt idx="363">
                  <c:v>7.7609517888806018E-3</c:v>
                </c:pt>
                <c:pt idx="364">
                  <c:v>-1.3948298829170962E-2</c:v>
                </c:pt>
                <c:pt idx="365">
                  <c:v>-2.532835452574456E-2</c:v>
                </c:pt>
                <c:pt idx="366">
                  <c:v>2.6661484311964016E-3</c:v>
                </c:pt>
                <c:pt idx="367">
                  <c:v>-1.2219313502973374E-2</c:v>
                </c:pt>
                <c:pt idx="368">
                  <c:v>9.4524163829988878E-3</c:v>
                </c:pt>
                <c:pt idx="369">
                  <c:v>9.5448020236501563E-3</c:v>
                </c:pt>
                <c:pt idx="370">
                  <c:v>6.1807276592703957E-3</c:v>
                </c:pt>
                <c:pt idx="371">
                  <c:v>-4.2988374872954703E-3</c:v>
                </c:pt>
                <c:pt idx="372">
                  <c:v>5.3892420362545825E-3</c:v>
                </c:pt>
                <c:pt idx="373">
                  <c:v>-5.4505365172693261E-4</c:v>
                </c:pt>
                <c:pt idx="374">
                  <c:v>8.236595098241727E-4</c:v>
                </c:pt>
                <c:pt idx="375">
                  <c:v>1.0150057885384197E-2</c:v>
                </c:pt>
                <c:pt idx="376">
                  <c:v>5.2378380021182091E-3</c:v>
                </c:pt>
                <c:pt idx="377">
                  <c:v>7.2036706293219874E-3</c:v>
                </c:pt>
                <c:pt idx="378">
                  <c:v>1.8154641283901302E-4</c:v>
                </c:pt>
                <c:pt idx="379">
                  <c:v>1.3463198150456835E-2</c:v>
                </c:pt>
                <c:pt idx="380">
                  <c:v>3.0817767542262128E-3</c:v>
                </c:pt>
                <c:pt idx="381">
                  <c:v>1.3739002782673193E-3</c:v>
                </c:pt>
                <c:pt idx="382">
                  <c:v>-3.7156612435484218E-3</c:v>
                </c:pt>
                <c:pt idx="383">
                  <c:v>2.7701921402020061E-3</c:v>
                </c:pt>
                <c:pt idx="384">
                  <c:v>5.0203649363598224E-3</c:v>
                </c:pt>
                <c:pt idx="385">
                  <c:v>1.6087728890168559E-3</c:v>
                </c:pt>
                <c:pt idx="386">
                  <c:v>2.0309250638510861E-3</c:v>
                </c:pt>
                <c:pt idx="387">
                  <c:v>-1.8536452449211241E-3</c:v>
                </c:pt>
                <c:pt idx="388">
                  <c:v>-3.8184593198933806E-3</c:v>
                </c:pt>
                <c:pt idx="389">
                  <c:v>2.5531752308375314E-3</c:v>
                </c:pt>
                <c:pt idx="390">
                  <c:v>8.2793700580897325E-4</c:v>
                </c:pt>
                <c:pt idx="391">
                  <c:v>-3.7429936680698351E-3</c:v>
                </c:pt>
                <c:pt idx="392">
                  <c:v>3.7374417942905253E-4</c:v>
                </c:pt>
                <c:pt idx="393">
                  <c:v>-1.3643009906418412E-4</c:v>
                </c:pt>
                <c:pt idx="394">
                  <c:v>1.2462579504871753E-2</c:v>
                </c:pt>
                <c:pt idx="395">
                  <c:v>1.6390855232919159E-3</c:v>
                </c:pt>
                <c:pt idx="396">
                  <c:v>-1.480913754279429E-3</c:v>
                </c:pt>
                <c:pt idx="397">
                  <c:v>-5.7394613731720544E-3</c:v>
                </c:pt>
                <c:pt idx="398">
                  <c:v>-3.81314875241731E-3</c:v>
                </c:pt>
                <c:pt idx="399">
                  <c:v>3.8779527938558253E-3</c:v>
                </c:pt>
                <c:pt idx="400">
                  <c:v>-3.5763855287662917E-3</c:v>
                </c:pt>
                <c:pt idx="401">
                  <c:v>-1.1535425383448848E-3</c:v>
                </c:pt>
                <c:pt idx="402">
                  <c:v>2.7721724913956085E-3</c:v>
                </c:pt>
                <c:pt idx="403">
                  <c:v>-5.1900517442756379E-3</c:v>
                </c:pt>
                <c:pt idx="404">
                  <c:v>-1.4384523926260438E-2</c:v>
                </c:pt>
                <c:pt idx="405">
                  <c:v>-3.3100734140073594E-3</c:v>
                </c:pt>
                <c:pt idx="406">
                  <c:v>-5.9178400932658947E-3</c:v>
                </c:pt>
                <c:pt idx="407">
                  <c:v>3.8139634700918462E-3</c:v>
                </c:pt>
                <c:pt idx="408">
                  <c:v>-5.7964139652054766E-3</c:v>
                </c:pt>
                <c:pt idx="409">
                  <c:v>8.5824950407145766E-3</c:v>
                </c:pt>
                <c:pt idx="410">
                  <c:v>3.9392183354132132E-3</c:v>
                </c:pt>
                <c:pt idx="411">
                  <c:v>-4.047856913079035E-3</c:v>
                </c:pt>
                <c:pt idx="412">
                  <c:v>-1.6001509567328324E-2</c:v>
                </c:pt>
                <c:pt idx="413">
                  <c:v>2.7438892221566106E-3</c:v>
                </c:pt>
                <c:pt idx="414">
                  <c:v>1.9614259312179068E-3</c:v>
                </c:pt>
                <c:pt idx="415">
                  <c:v>-3.1793224259261555E-3</c:v>
                </c:pt>
                <c:pt idx="416">
                  <c:v>4.1555453751369511E-3</c:v>
                </c:pt>
                <c:pt idx="417">
                  <c:v>8.0842264234291927E-3</c:v>
                </c:pt>
                <c:pt idx="418">
                  <c:v>1.2091315073432651E-3</c:v>
                </c:pt>
                <c:pt idx="419">
                  <c:v>5.4376557675273835E-5</c:v>
                </c:pt>
                <c:pt idx="420">
                  <c:v>9.9433320560937486E-3</c:v>
                </c:pt>
                <c:pt idx="421">
                  <c:v>7.3189229171092005E-3</c:v>
                </c:pt>
                <c:pt idx="422">
                  <c:v>3.0476259239930587E-3</c:v>
                </c:pt>
                <c:pt idx="423">
                  <c:v>-3.3861650418574234E-3</c:v>
                </c:pt>
                <c:pt idx="424">
                  <c:v>2.7110335432424617E-3</c:v>
                </c:pt>
                <c:pt idx="425">
                  <c:v>5.6770168919803715E-3</c:v>
                </c:pt>
                <c:pt idx="426">
                  <c:v>4.2088494865901299E-3</c:v>
                </c:pt>
                <c:pt idx="427">
                  <c:v>1.2104115967809937E-2</c:v>
                </c:pt>
                <c:pt idx="428">
                  <c:v>-1.8446229845168335E-3</c:v>
                </c:pt>
                <c:pt idx="429">
                  <c:v>-7.2430937969337897E-3</c:v>
                </c:pt>
                <c:pt idx="430">
                  <c:v>-4.7307188688171364E-3</c:v>
                </c:pt>
                <c:pt idx="431">
                  <c:v>-2.6005674711671984E-3</c:v>
                </c:pt>
                <c:pt idx="432">
                  <c:v>-2.7432108029442847E-3</c:v>
                </c:pt>
                <c:pt idx="433">
                  <c:v>3.4793515156158698E-3</c:v>
                </c:pt>
                <c:pt idx="434">
                  <c:v>-4.0820957930202389E-3</c:v>
                </c:pt>
                <c:pt idx="435">
                  <c:v>-6.0475090187600816E-3</c:v>
                </c:pt>
                <c:pt idx="436">
                  <c:v>7.9667537209757739E-3</c:v>
                </c:pt>
                <c:pt idx="437">
                  <c:v>-6.6688898770376765E-4</c:v>
                </c:pt>
                <c:pt idx="438">
                  <c:v>-9.0199957444824265E-3</c:v>
                </c:pt>
                <c:pt idx="439">
                  <c:v>7.0284870655762189E-3</c:v>
                </c:pt>
                <c:pt idx="440">
                  <c:v>-8.5427446236556424E-3</c:v>
                </c:pt>
                <c:pt idx="441">
                  <c:v>-1.2408723348868085E-2</c:v>
                </c:pt>
                <c:pt idx="442">
                  <c:v>5.7369749599523064E-4</c:v>
                </c:pt>
                <c:pt idx="443">
                  <c:v>2.1595603003649867E-2</c:v>
                </c:pt>
                <c:pt idx="444">
                  <c:v>6.2666589042077387E-3</c:v>
                </c:pt>
                <c:pt idx="445">
                  <c:v>4.0664039111895159E-3</c:v>
                </c:pt>
                <c:pt idx="446">
                  <c:v>-7.0888155544114413E-3</c:v>
                </c:pt>
                <c:pt idx="447">
                  <c:v>1.3732816122981576E-2</c:v>
                </c:pt>
                <c:pt idx="448">
                  <c:v>6.7213230176509332E-3</c:v>
                </c:pt>
                <c:pt idx="449">
                  <c:v>6.5274195501484516E-3</c:v>
                </c:pt>
                <c:pt idx="450">
                  <c:v>9.1712618574313345E-5</c:v>
                </c:pt>
                <c:pt idx="451">
                  <c:v>5.7211107858845976E-3</c:v>
                </c:pt>
                <c:pt idx="452">
                  <c:v>-4.7357309912257808E-3</c:v>
                </c:pt>
                <c:pt idx="453">
                  <c:v>3.2528719960210105E-3</c:v>
                </c:pt>
                <c:pt idx="454">
                  <c:v>4.3851726383198801E-3</c:v>
                </c:pt>
                <c:pt idx="455">
                  <c:v>1.328835930998072E-3</c:v>
                </c:pt>
                <c:pt idx="456">
                  <c:v>5.568680457237637E-3</c:v>
                </c:pt>
                <c:pt idx="457">
                  <c:v>-4.8879104801314577E-3</c:v>
                </c:pt>
                <c:pt idx="458">
                  <c:v>-3.846759576849974E-3</c:v>
                </c:pt>
                <c:pt idx="459">
                  <c:v>2.8992283353028092E-3</c:v>
                </c:pt>
                <c:pt idx="460">
                  <c:v>3.5641773126337483E-3</c:v>
                </c:pt>
                <c:pt idx="461">
                  <c:v>-2.8094838497391963E-3</c:v>
                </c:pt>
                <c:pt idx="462">
                  <c:v>4.2564576101536706E-3</c:v>
                </c:pt>
                <c:pt idx="463">
                  <c:v>-1.327045548901987E-2</c:v>
                </c:pt>
                <c:pt idx="464">
                  <c:v>1.333823103901602E-2</c:v>
                </c:pt>
                <c:pt idx="465">
                  <c:v>7.2265352474504111E-4</c:v>
                </c:pt>
                <c:pt idx="466">
                  <c:v>-2.3731640314203425E-3</c:v>
                </c:pt>
                <c:pt idx="467">
                  <c:v>8.0627195734255634E-3</c:v>
                </c:pt>
                <c:pt idx="468">
                  <c:v>4.8255995473341796E-3</c:v>
                </c:pt>
                <c:pt idx="469">
                  <c:v>4.2131136773868576E-3</c:v>
                </c:pt>
                <c:pt idx="470">
                  <c:v>-3.7050389068854113E-3</c:v>
                </c:pt>
                <c:pt idx="471">
                  <c:v>-2.0450361935312332E-3</c:v>
                </c:pt>
                <c:pt idx="472">
                  <c:v>-3.642235986195912E-3</c:v>
                </c:pt>
                <c:pt idx="473">
                  <c:v>8.0957162744240488E-3</c:v>
                </c:pt>
                <c:pt idx="474">
                  <c:v>4.9491714942796741E-3</c:v>
                </c:pt>
                <c:pt idx="475">
                  <c:v>-1.2641245404365169E-3</c:v>
                </c:pt>
                <c:pt idx="476">
                  <c:v>1.4978239973848013E-4</c:v>
                </c:pt>
                <c:pt idx="477">
                  <c:v>2.4820094847459511E-3</c:v>
                </c:pt>
                <c:pt idx="478">
                  <c:v>-7.8604171175170024E-4</c:v>
                </c:pt>
                <c:pt idx="479">
                  <c:v>-2.7227046439559808E-3</c:v>
                </c:pt>
                <c:pt idx="480">
                  <c:v>-3.1979560353162999E-3</c:v>
                </c:pt>
                <c:pt idx="481">
                  <c:v>-1.3043625524062031E-3</c:v>
                </c:pt>
                <c:pt idx="482">
                  <c:v>-4.3489995429874546E-3</c:v>
                </c:pt>
                <c:pt idx="483">
                  <c:v>1.1175230224585924E-2</c:v>
                </c:pt>
                <c:pt idx="484">
                  <c:v>1.8154350128978636E-3</c:v>
                </c:pt>
                <c:pt idx="485">
                  <c:v>-3.1847248870443094E-3</c:v>
                </c:pt>
                <c:pt idx="486">
                  <c:v>-1.1381383944921048E-2</c:v>
                </c:pt>
                <c:pt idx="487">
                  <c:v>-3.777704817573199E-3</c:v>
                </c:pt>
                <c:pt idx="488">
                  <c:v>-1.0138503227667498E-4</c:v>
                </c:pt>
                <c:pt idx="489">
                  <c:v>6.3001000102775595E-3</c:v>
                </c:pt>
                <c:pt idx="490">
                  <c:v>-3.1057840714818681E-3</c:v>
                </c:pt>
                <c:pt idx="491">
                  <c:v>1.6510892525584176E-2</c:v>
                </c:pt>
                <c:pt idx="492">
                  <c:v>-5.8007045338986994E-4</c:v>
                </c:pt>
                <c:pt idx="493">
                  <c:v>4.8071714880478693E-3</c:v>
                </c:pt>
                <c:pt idx="494">
                  <c:v>5.3040046897099881E-3</c:v>
                </c:pt>
                <c:pt idx="495">
                  <c:v>2.9115282591196121E-3</c:v>
                </c:pt>
                <c:pt idx="496">
                  <c:v>4.7342647208743665E-3</c:v>
                </c:pt>
                <c:pt idx="497">
                  <c:v>-3.3664366586225631E-4</c:v>
                </c:pt>
                <c:pt idx="498">
                  <c:v>-1.7922752982837381E-4</c:v>
                </c:pt>
                <c:pt idx="499">
                  <c:v>3.9518351004493735E-3</c:v>
                </c:pt>
                <c:pt idx="500">
                  <c:v>-8.9014102804498407E-3</c:v>
                </c:pt>
                <c:pt idx="501">
                  <c:v>-3.3302851523223272E-4</c:v>
                </c:pt>
                <c:pt idx="502">
                  <c:v>-2.514940611652187E-3</c:v>
                </c:pt>
                <c:pt idx="503">
                  <c:v>6.0633534103130306E-3</c:v>
                </c:pt>
                <c:pt idx="504">
                  <c:v>-2.1222353203285233E-4</c:v>
                </c:pt>
                <c:pt idx="505">
                  <c:v>3.4824057245738698E-4</c:v>
                </c:pt>
                <c:pt idx="506">
                  <c:v>2.3040357971461523E-3</c:v>
                </c:pt>
                <c:pt idx="507">
                  <c:v>-1.2655942268644282E-2</c:v>
                </c:pt>
                <c:pt idx="508">
                  <c:v>1.075984662417709E-2</c:v>
                </c:pt>
                <c:pt idx="509">
                  <c:v>5.1528891483296332E-3</c:v>
                </c:pt>
                <c:pt idx="510">
                  <c:v>-1.3480337804588889E-3</c:v>
                </c:pt>
                <c:pt idx="511">
                  <c:v>-3.9027458285236156E-3</c:v>
                </c:pt>
                <c:pt idx="512">
                  <c:v>2.7698592046981876E-3</c:v>
                </c:pt>
                <c:pt idx="513">
                  <c:v>5.747344722354488E-4</c:v>
                </c:pt>
                <c:pt idx="514">
                  <c:v>-8.9293113410991373E-3</c:v>
                </c:pt>
                <c:pt idx="515">
                  <c:v>-2.109646461003822E-2</c:v>
                </c:pt>
                <c:pt idx="516">
                  <c:v>-4.8882329232613157E-3</c:v>
                </c:pt>
                <c:pt idx="517">
                  <c:v>6.121908511444599E-3</c:v>
                </c:pt>
                <c:pt idx="518">
                  <c:v>-1.0261676387288874E-2</c:v>
                </c:pt>
                <c:pt idx="519">
                  <c:v>1.1204049508506285E-2</c:v>
                </c:pt>
                <c:pt idx="520">
                  <c:v>-6.4863036975730442E-3</c:v>
                </c:pt>
                <c:pt idx="521">
                  <c:v>-2.3096632288166549E-2</c:v>
                </c:pt>
                <c:pt idx="522">
                  <c:v>7.6120799117127824E-3</c:v>
                </c:pt>
                <c:pt idx="523">
                  <c:v>-2.0303185904787225E-3</c:v>
                </c:pt>
                <c:pt idx="524">
                  <c:v>1.2363032529603139E-2</c:v>
                </c:pt>
                <c:pt idx="525">
                  <c:v>1.3214212922079903E-2</c:v>
                </c:pt>
                <c:pt idx="526">
                  <c:v>1.5680346623456046E-3</c:v>
                </c:pt>
                <c:pt idx="527">
                  <c:v>1.1001356953851574E-2</c:v>
                </c:pt>
                <c:pt idx="528">
                  <c:v>-2.6930401563143885E-4</c:v>
                </c:pt>
                <c:pt idx="529">
                  <c:v>5.7932413627504236E-3</c:v>
                </c:pt>
                <c:pt idx="530">
                  <c:v>4.7976627138052634E-3</c:v>
                </c:pt>
                <c:pt idx="531">
                  <c:v>1.1578007430249318E-3</c:v>
                </c:pt>
                <c:pt idx="532">
                  <c:v>-6.5458564679824966E-3</c:v>
                </c:pt>
                <c:pt idx="533">
                  <c:v>6.0133259028154577E-3</c:v>
                </c:pt>
                <c:pt idx="534">
                  <c:v>-1.9205507490625245E-3</c:v>
                </c:pt>
                <c:pt idx="535">
                  <c:v>6.167463480648212E-3</c:v>
                </c:pt>
                <c:pt idx="536">
                  <c:v>-1.3485959587527492E-3</c:v>
                </c:pt>
                <c:pt idx="537">
                  <c:v>2.1678571816661324E-5</c:v>
                </c:pt>
                <c:pt idx="538">
                  <c:v>4.9358788663713881E-3</c:v>
                </c:pt>
                <c:pt idx="539">
                  <c:v>2.778871606797594E-3</c:v>
                </c:pt>
                <c:pt idx="540">
                  <c:v>-7.4058818780435871E-3</c:v>
                </c:pt>
                <c:pt idx="541">
                  <c:v>1.5152293854515365E-2</c:v>
                </c:pt>
                <c:pt idx="542">
                  <c:v>-5.3365779740162576E-5</c:v>
                </c:pt>
                <c:pt idx="543">
                  <c:v>1.716949158601179E-3</c:v>
                </c:pt>
                <c:pt idx="544">
                  <c:v>5.3793938560730995E-4</c:v>
                </c:pt>
                <c:pt idx="545">
                  <c:v>-4.633562520154853E-4</c:v>
                </c:pt>
                <c:pt idx="546">
                  <c:v>-5.0950761792528144E-3</c:v>
                </c:pt>
                <c:pt idx="547">
                  <c:v>3.0515307410829926E-4</c:v>
                </c:pt>
                <c:pt idx="548">
                  <c:v>-1.1770099320208021E-2</c:v>
                </c:pt>
                <c:pt idx="549">
                  <c:v>-2.8257875816496739E-3</c:v>
                </c:pt>
                <c:pt idx="550">
                  <c:v>9.567743988496134E-3</c:v>
                </c:pt>
                <c:pt idx="551">
                  <c:v>7.1936586040894802E-3</c:v>
                </c:pt>
                <c:pt idx="552">
                  <c:v>-6.1505355930613122E-3</c:v>
                </c:pt>
                <c:pt idx="553">
                  <c:v>6.022339367196353E-3</c:v>
                </c:pt>
                <c:pt idx="554">
                  <c:v>-2.9369853639483641E-3</c:v>
                </c:pt>
                <c:pt idx="555">
                  <c:v>-4.8765389499373611E-3</c:v>
                </c:pt>
                <c:pt idx="556">
                  <c:v>4.3942419206480258E-3</c:v>
                </c:pt>
                <c:pt idx="557">
                  <c:v>-7.0249712006657423E-3</c:v>
                </c:pt>
                <c:pt idx="558">
                  <c:v>-1.9018808412744233E-3</c:v>
                </c:pt>
                <c:pt idx="559">
                  <c:v>4.6295129977681881E-3</c:v>
                </c:pt>
                <c:pt idx="560">
                  <c:v>7.8928870113299885E-3</c:v>
                </c:pt>
                <c:pt idx="561">
                  <c:v>7.0146594306005365E-3</c:v>
                </c:pt>
                <c:pt idx="562">
                  <c:v>2.8492612790418292E-3</c:v>
                </c:pt>
                <c:pt idx="563">
                  <c:v>-1.1270826423899496E-3</c:v>
                </c:pt>
                <c:pt idx="564">
                  <c:v>-1.2616514258563742E-2</c:v>
                </c:pt>
                <c:pt idx="565">
                  <c:v>-1.0808351829803234E-2</c:v>
                </c:pt>
                <c:pt idx="566">
                  <c:v>3.7435802443231501E-3</c:v>
                </c:pt>
                <c:pt idx="567">
                  <c:v>1.085898956046606E-2</c:v>
                </c:pt>
                <c:pt idx="568">
                  <c:v>-2.1105915074922734E-2</c:v>
                </c:pt>
                <c:pt idx="569">
                  <c:v>-9.5320514425906184E-3</c:v>
                </c:pt>
                <c:pt idx="570">
                  <c:v>8.1836838818938485E-3</c:v>
                </c:pt>
                <c:pt idx="571">
                  <c:v>6.7345821134063982E-3</c:v>
                </c:pt>
                <c:pt idx="572">
                  <c:v>1.0433825888179194E-2</c:v>
                </c:pt>
                <c:pt idx="573">
                  <c:v>1.3629682617378818E-3</c:v>
                </c:pt>
                <c:pt idx="574">
                  <c:v>3.767994738389568E-3</c:v>
                </c:pt>
                <c:pt idx="575">
                  <c:v>4.0837708429826225E-3</c:v>
                </c:pt>
                <c:pt idx="576">
                  <c:v>-2.2157486947723798E-3</c:v>
                </c:pt>
                <c:pt idx="577">
                  <c:v>1.715503883693198E-3</c:v>
                </c:pt>
                <c:pt idx="578">
                  <c:v>-8.1293656428790845E-3</c:v>
                </c:pt>
                <c:pt idx="579">
                  <c:v>3.2307955332088844E-3</c:v>
                </c:pt>
                <c:pt idx="580">
                  <c:v>4.7495126317660839E-3</c:v>
                </c:pt>
                <c:pt idx="581">
                  <c:v>2.9875523247041838E-3</c:v>
                </c:pt>
                <c:pt idx="582">
                  <c:v>-1.4332617611718807E-4</c:v>
                </c:pt>
                <c:pt idx="583">
                  <c:v>-1.3493343030381874E-3</c:v>
                </c:pt>
                <c:pt idx="584">
                  <c:v>1.8694572336087256E-3</c:v>
                </c:pt>
                <c:pt idx="585">
                  <c:v>-9.0289976403566084E-3</c:v>
                </c:pt>
                <c:pt idx="586">
                  <c:v>5.6007599828579776E-3</c:v>
                </c:pt>
                <c:pt idx="587">
                  <c:v>-1.3745926338061829E-3</c:v>
                </c:pt>
                <c:pt idx="588">
                  <c:v>1.5183361955399689E-3</c:v>
                </c:pt>
                <c:pt idx="589">
                  <c:v>9.6262329027441348E-3</c:v>
                </c:pt>
                <c:pt idx="590">
                  <c:v>4.2170739403580638E-4</c:v>
                </c:pt>
                <c:pt idx="591">
                  <c:v>-4.7121308116253539E-3</c:v>
                </c:pt>
                <c:pt idx="592">
                  <c:v>-9.4058756211604158E-3</c:v>
                </c:pt>
                <c:pt idx="593">
                  <c:v>3.7399575698852106E-3</c:v>
                </c:pt>
                <c:pt idx="594">
                  <c:v>3.8374297012765974E-3</c:v>
                </c:pt>
                <c:pt idx="595">
                  <c:v>-6.5196044560605956E-3</c:v>
                </c:pt>
                <c:pt idx="596">
                  <c:v>8.0833015659244594E-3</c:v>
                </c:pt>
                <c:pt idx="597">
                  <c:v>2.3594648720788379E-3</c:v>
                </c:pt>
                <c:pt idx="598">
                  <c:v>4.2393723425778601E-3</c:v>
                </c:pt>
                <c:pt idx="599">
                  <c:v>5.9699477493898685E-3</c:v>
                </c:pt>
                <c:pt idx="600">
                  <c:v>-1.1146902132564401E-3</c:v>
                </c:pt>
                <c:pt idx="601">
                  <c:v>5.3527587392555058E-3</c:v>
                </c:pt>
                <c:pt idx="602">
                  <c:v>1.8420236241803512E-3</c:v>
                </c:pt>
                <c:pt idx="603">
                  <c:v>7.2754866092336699E-4</c:v>
                </c:pt>
                <c:pt idx="604">
                  <c:v>-3.7929861387248808E-4</c:v>
                </c:pt>
                <c:pt idx="605">
                  <c:v>1.8898689985705139E-3</c:v>
                </c:pt>
                <c:pt idx="606">
                  <c:v>6.5041047829359376E-3</c:v>
                </c:pt>
                <c:pt idx="607">
                  <c:v>4.6170934741916929E-3</c:v>
                </c:pt>
                <c:pt idx="608">
                  <c:v>9.3829079027121039E-4</c:v>
                </c:pt>
                <c:pt idx="609">
                  <c:v>-2.4602389631178353E-4</c:v>
                </c:pt>
                <c:pt idx="610">
                  <c:v>-3.5432986633579717E-3</c:v>
                </c:pt>
                <c:pt idx="611">
                  <c:v>-7.1141239638480343E-3</c:v>
                </c:pt>
                <c:pt idx="612">
                  <c:v>3.1296339563013217E-3</c:v>
                </c:pt>
                <c:pt idx="613">
                  <c:v>8.3635786534210811E-4</c:v>
                </c:pt>
                <c:pt idx="614">
                  <c:v>2.1702325923407999E-3</c:v>
                </c:pt>
                <c:pt idx="615">
                  <c:v>7.6892481123617502E-3</c:v>
                </c:pt>
                <c:pt idx="616">
                  <c:v>1.2766632824317233E-3</c:v>
                </c:pt>
                <c:pt idx="617">
                  <c:v>1.7285560156963271E-3</c:v>
                </c:pt>
                <c:pt idx="618">
                  <c:v>-1.324678767336581E-4</c:v>
                </c:pt>
                <c:pt idx="619">
                  <c:v>-6.4561039462425959E-3</c:v>
                </c:pt>
                <c:pt idx="620">
                  <c:v>4.8855324556185036E-3</c:v>
                </c:pt>
                <c:pt idx="621">
                  <c:v>-1.179549508052484E-3</c:v>
                </c:pt>
                <c:pt idx="622">
                  <c:v>1.9090501895577705E-3</c:v>
                </c:pt>
                <c:pt idx="623">
                  <c:v>-3.7233595333743678E-4</c:v>
                </c:pt>
                <c:pt idx="624">
                  <c:v>6.6555901516330051E-3</c:v>
                </c:pt>
                <c:pt idx="625">
                  <c:v>6.5857132934445356E-4</c:v>
                </c:pt>
                <c:pt idx="626">
                  <c:v>5.464577266607205E-3</c:v>
                </c:pt>
                <c:pt idx="627">
                  <c:v>-3.9312809110307861E-3</c:v>
                </c:pt>
                <c:pt idx="628">
                  <c:v>-7.0737299445003425E-3</c:v>
                </c:pt>
                <c:pt idx="629">
                  <c:v>4.6335189363311338E-3</c:v>
                </c:pt>
                <c:pt idx="630">
                  <c:v>-4.1396779380016777E-3</c:v>
                </c:pt>
                <c:pt idx="631">
                  <c:v>1.4698966344172243E-3</c:v>
                </c:pt>
                <c:pt idx="632">
                  <c:v>4.8318457773097378E-3</c:v>
                </c:pt>
                <c:pt idx="633">
                  <c:v>-1.9339917631568573E-3</c:v>
                </c:pt>
                <c:pt idx="634">
                  <c:v>4.1923269614829216E-3</c:v>
                </c:pt>
                <c:pt idx="635">
                  <c:v>-1.1904630539099268E-2</c:v>
                </c:pt>
                <c:pt idx="636">
                  <c:v>1.0212621215764002E-2</c:v>
                </c:pt>
                <c:pt idx="637">
                  <c:v>-2.322963707646372E-3</c:v>
                </c:pt>
                <c:pt idx="638">
                  <c:v>5.0035988712575554E-3</c:v>
                </c:pt>
                <c:pt idx="639">
                  <c:v>1.7529106323480887E-3</c:v>
                </c:pt>
                <c:pt idx="640">
                  <c:v>4.8805155195559568E-4</c:v>
                </c:pt>
                <c:pt idx="641">
                  <c:v>-4.8609385938271771E-3</c:v>
                </c:pt>
                <c:pt idx="642">
                  <c:v>2.8807884462303611E-4</c:v>
                </c:pt>
                <c:pt idx="643">
                  <c:v>-4.538026355257783E-3</c:v>
                </c:pt>
                <c:pt idx="644">
                  <c:v>6.0913396397368385E-5</c:v>
                </c:pt>
                <c:pt idx="645">
                  <c:v>-2.0201982180386897E-2</c:v>
                </c:pt>
                <c:pt idx="646">
                  <c:v>-2.8632061512498972E-3</c:v>
                </c:pt>
                <c:pt idx="647">
                  <c:v>7.1633321677376247E-3</c:v>
                </c:pt>
                <c:pt idx="648">
                  <c:v>-9.7326638909587745E-3</c:v>
                </c:pt>
                <c:pt idx="649">
                  <c:v>1.5623169160183835E-5</c:v>
                </c:pt>
                <c:pt idx="650">
                  <c:v>-5.5720924051179815E-3</c:v>
                </c:pt>
                <c:pt idx="651">
                  <c:v>1.146541212583467E-2</c:v>
                </c:pt>
                <c:pt idx="652">
                  <c:v>2.7555846424938877E-3</c:v>
                </c:pt>
                <c:pt idx="653">
                  <c:v>-1.6379596859127999E-3</c:v>
                </c:pt>
                <c:pt idx="654">
                  <c:v>6.6847821518630762E-3</c:v>
                </c:pt>
                <c:pt idx="655">
                  <c:v>4.3363557532498454E-3</c:v>
                </c:pt>
                <c:pt idx="656">
                  <c:v>-6.1377306783057757E-5</c:v>
                </c:pt>
                <c:pt idx="657">
                  <c:v>8.4955181427630883E-3</c:v>
                </c:pt>
                <c:pt idx="658">
                  <c:v>4.9881975467810091E-3</c:v>
                </c:pt>
                <c:pt idx="659">
                  <c:v>2.4747310461941839E-3</c:v>
                </c:pt>
                <c:pt idx="660">
                  <c:v>2.9455546469971902E-3</c:v>
                </c:pt>
                <c:pt idx="661">
                  <c:v>-1.9945896478233741E-3</c:v>
                </c:pt>
                <c:pt idx="662">
                  <c:v>4.7763441463173689E-3</c:v>
                </c:pt>
                <c:pt idx="663">
                  <c:v>1.050541125247729E-3</c:v>
                </c:pt>
                <c:pt idx="664">
                  <c:v>4.9998250071612606E-5</c:v>
                </c:pt>
                <c:pt idx="665">
                  <c:v>-1.6913280954213741E-3</c:v>
                </c:pt>
                <c:pt idx="666">
                  <c:v>3.3149118755349209E-3</c:v>
                </c:pt>
                <c:pt idx="667">
                  <c:v>-5.4423128675924639E-4</c:v>
                </c:pt>
                <c:pt idx="668">
                  <c:v>-7.7941547787828132E-4</c:v>
                </c:pt>
                <c:pt idx="669">
                  <c:v>-1.5356260692695059E-3</c:v>
                </c:pt>
                <c:pt idx="670">
                  <c:v>5.0232793825961582E-3</c:v>
                </c:pt>
                <c:pt idx="671">
                  <c:v>-3.0778848267845093E-3</c:v>
                </c:pt>
                <c:pt idx="672">
                  <c:v>-6.5664725492672778E-3</c:v>
                </c:pt>
                <c:pt idx="673">
                  <c:v>3.6394434933185002E-3</c:v>
                </c:pt>
                <c:pt idx="674">
                  <c:v>8.8151184980712178E-4</c:v>
                </c:pt>
                <c:pt idx="675">
                  <c:v>-5.9804496107261707E-3</c:v>
                </c:pt>
                <c:pt idx="676">
                  <c:v>-7.103865355538411E-4</c:v>
                </c:pt>
                <c:pt idx="677">
                  <c:v>7.4565195560981042E-3</c:v>
                </c:pt>
                <c:pt idx="678">
                  <c:v>1.2948221428846019E-3</c:v>
                </c:pt>
                <c:pt idx="679">
                  <c:v>4.8792375757879137E-3</c:v>
                </c:pt>
                <c:pt idx="680">
                  <c:v>-4.7740293713845845E-4</c:v>
                </c:pt>
                <c:pt idx="681">
                  <c:v>-8.0456099735066993E-3</c:v>
                </c:pt>
                <c:pt idx="682">
                  <c:v>-5.7932403429418761E-3</c:v>
                </c:pt>
                <c:pt idx="683">
                  <c:v>7.8019621743095095E-3</c:v>
                </c:pt>
                <c:pt idx="684">
                  <c:v>-1.6300883863057503E-2</c:v>
                </c:pt>
                <c:pt idx="685">
                  <c:v>8.53926846933231E-3</c:v>
                </c:pt>
                <c:pt idx="686">
                  <c:v>-2.5500878576278762E-3</c:v>
                </c:pt>
                <c:pt idx="687">
                  <c:v>-2.7898116618691174E-3</c:v>
                </c:pt>
                <c:pt idx="688">
                  <c:v>-1.3337103869609681E-2</c:v>
                </c:pt>
                <c:pt idx="689">
                  <c:v>5.1383104720751194E-6</c:v>
                </c:pt>
                <c:pt idx="690">
                  <c:v>1.1103645698160249E-2</c:v>
                </c:pt>
                <c:pt idx="691">
                  <c:v>-1.5663462589335857E-3</c:v>
                </c:pt>
                <c:pt idx="692">
                  <c:v>-1.5241633339008961E-2</c:v>
                </c:pt>
                <c:pt idx="693">
                  <c:v>1.7310927441677434E-2</c:v>
                </c:pt>
                <c:pt idx="694">
                  <c:v>-2.0877820755941481E-2</c:v>
                </c:pt>
                <c:pt idx="695">
                  <c:v>-1.1517102846274005E-2</c:v>
                </c:pt>
                <c:pt idx="696">
                  <c:v>-1.6605025431830202E-2</c:v>
                </c:pt>
                <c:pt idx="697">
                  <c:v>1.5776404760320126E-3</c:v>
                </c:pt>
                <c:pt idx="698">
                  <c:v>-8.1333214869814974E-3</c:v>
                </c:pt>
                <c:pt idx="699">
                  <c:v>1.4495671456831241E-4</c:v>
                </c:pt>
                <c:pt idx="700">
                  <c:v>1.2801813443832692E-2</c:v>
                </c:pt>
                <c:pt idx="701">
                  <c:v>9.101116168173851E-3</c:v>
                </c:pt>
                <c:pt idx="702">
                  <c:v>1.9385360865204253E-2</c:v>
                </c:pt>
                <c:pt idx="703">
                  <c:v>-7.3260779688414726E-3</c:v>
                </c:pt>
                <c:pt idx="704">
                  <c:v>1.2228325652846546E-2</c:v>
                </c:pt>
                <c:pt idx="705">
                  <c:v>7.0286850120311814E-3</c:v>
                </c:pt>
                <c:pt idx="706">
                  <c:v>-1.502721736806668E-3</c:v>
                </c:pt>
                <c:pt idx="707">
                  <c:v>1.1868342458139376E-2</c:v>
                </c:pt>
                <c:pt idx="708">
                  <c:v>-1.3863160247666469E-3</c:v>
                </c:pt>
                <c:pt idx="709">
                  <c:v>6.2108096401566381E-3</c:v>
                </c:pt>
                <c:pt idx="710">
                  <c:v>1.1663102277224974E-2</c:v>
                </c:pt>
                <c:pt idx="711">
                  <c:v>-1.1893375899205164E-4</c:v>
                </c:pt>
                <c:pt idx="712">
                  <c:v>-2.8338120807535872E-3</c:v>
                </c:pt>
                <c:pt idx="713">
                  <c:v>5.6843254698454955E-3</c:v>
                </c:pt>
                <c:pt idx="714">
                  <c:v>3.7683963328125326E-3</c:v>
                </c:pt>
                <c:pt idx="715">
                  <c:v>3.4948426815119868E-4</c:v>
                </c:pt>
                <c:pt idx="716">
                  <c:v>3.1153438558825866E-3</c:v>
                </c:pt>
                <c:pt idx="717">
                  <c:v>6.9643008842389554E-4</c:v>
                </c:pt>
                <c:pt idx="718">
                  <c:v>-7.0133624589671954E-4</c:v>
                </c:pt>
                <c:pt idx="719">
                  <c:v>5.2972597729773947E-4</c:v>
                </c:pt>
                <c:pt idx="720">
                  <c:v>2.4024613086403535E-4</c:v>
                </c:pt>
                <c:pt idx="721">
                  <c:v>7.3508875830995222E-4</c:v>
                </c:pt>
                <c:pt idx="722">
                  <c:v>5.1207992441207693E-3</c:v>
                </c:pt>
                <c:pt idx="723">
                  <c:v>-1.5022487778296994E-3</c:v>
                </c:pt>
                <c:pt idx="724">
                  <c:v>1.9651497131154641E-3</c:v>
                </c:pt>
                <c:pt idx="725">
                  <c:v>5.2232126037382535E-3</c:v>
                </c:pt>
                <c:pt idx="726">
                  <c:v>2.8599722850845412E-3</c:v>
                </c:pt>
                <c:pt idx="727">
                  <c:v>-1.1507481131779239E-3</c:v>
                </c:pt>
                <c:pt idx="728">
                  <c:v>2.8020289550014527E-3</c:v>
                </c:pt>
                <c:pt idx="729">
                  <c:v>-2.5456552865591015E-3</c:v>
                </c:pt>
                <c:pt idx="730">
                  <c:v>-6.8527324708350058E-3</c:v>
                </c:pt>
                <c:pt idx="731">
                  <c:v>6.3641145965672059E-3</c:v>
                </c:pt>
                <c:pt idx="732">
                  <c:v>3.7576597991097705E-3</c:v>
                </c:pt>
                <c:pt idx="733">
                  <c:v>-1.1624963624507377E-3</c:v>
                </c:pt>
                <c:pt idx="734">
                  <c:v>1.6637374265151782E-3</c:v>
                </c:pt>
                <c:pt idx="735">
                  <c:v>-7.2829941231697731E-3</c:v>
                </c:pt>
                <c:pt idx="736">
                  <c:v>-2.3785657360814608E-4</c:v>
                </c:pt>
                <c:pt idx="737">
                  <c:v>-1.6486095225712944E-2</c:v>
                </c:pt>
                <c:pt idx="738">
                  <c:v>4.5254627925939775E-3</c:v>
                </c:pt>
                <c:pt idx="739">
                  <c:v>-1.6346465435817352E-2</c:v>
                </c:pt>
                <c:pt idx="740">
                  <c:v>-6.3628106729409261E-3</c:v>
                </c:pt>
                <c:pt idx="741">
                  <c:v>-8.5252524609650115E-3</c:v>
                </c:pt>
                <c:pt idx="742">
                  <c:v>2.0148061015694455E-2</c:v>
                </c:pt>
                <c:pt idx="743">
                  <c:v>2.3731391638557114E-2</c:v>
                </c:pt>
                <c:pt idx="744">
                  <c:v>4.5596756540114657E-3</c:v>
                </c:pt>
                <c:pt idx="745">
                  <c:v>3.8031565245638006E-3</c:v>
                </c:pt>
                <c:pt idx="746">
                  <c:v>1.7448949438961451E-3</c:v>
                </c:pt>
                <c:pt idx="747">
                  <c:v>-1.3928747275794275E-4</c:v>
                </c:pt>
                <c:pt idx="748">
                  <c:v>3.3040443422532773E-3</c:v>
                </c:pt>
                <c:pt idx="749">
                  <c:v>8.6138007977164255E-4</c:v>
                </c:pt>
                <c:pt idx="750">
                  <c:v>-4.9006072778080582E-3</c:v>
                </c:pt>
                <c:pt idx="751">
                  <c:v>-1.036428918775506E-2</c:v>
                </c:pt>
                <c:pt idx="752">
                  <c:v>-3.400451807075162E-4</c:v>
                </c:pt>
                <c:pt idx="753">
                  <c:v>-1.8447215507429587E-2</c:v>
                </c:pt>
                <c:pt idx="754">
                  <c:v>-8.9332691248878455E-3</c:v>
                </c:pt>
                <c:pt idx="755">
                  <c:v>1.1562716479232132E-2</c:v>
                </c:pt>
                <c:pt idx="756">
                  <c:v>1.7730232270553911E-2</c:v>
                </c:pt>
                <c:pt idx="757">
                  <c:v>-8.4394028943683176E-3</c:v>
                </c:pt>
                <c:pt idx="758">
                  <c:v>-8.1265930033877221E-3</c:v>
                </c:pt>
                <c:pt idx="759">
                  <c:v>-2.5818951027174481E-3</c:v>
                </c:pt>
                <c:pt idx="760">
                  <c:v>-5.8300241971988576E-3</c:v>
                </c:pt>
                <c:pt idx="761">
                  <c:v>-9.2909153471455157E-3</c:v>
                </c:pt>
                <c:pt idx="762">
                  <c:v>1.3334893478396E-2</c:v>
                </c:pt>
                <c:pt idx="763">
                  <c:v>1.5487500528907781E-3</c:v>
                </c:pt>
                <c:pt idx="764">
                  <c:v>4.7204915668688828E-3</c:v>
                </c:pt>
                <c:pt idx="765">
                  <c:v>1.5154358001382194E-2</c:v>
                </c:pt>
                <c:pt idx="766">
                  <c:v>-5.5067369293280901E-3</c:v>
                </c:pt>
                <c:pt idx="767">
                  <c:v>2.565158589374469E-3</c:v>
                </c:pt>
                <c:pt idx="768">
                  <c:v>-1.347826914874784E-2</c:v>
                </c:pt>
                <c:pt idx="769">
                  <c:v>-1.3587495823831957E-2</c:v>
                </c:pt>
                <c:pt idx="770">
                  <c:v>9.4895341296701297E-3</c:v>
                </c:pt>
                <c:pt idx="771">
                  <c:v>-1.3077094111243876E-2</c:v>
                </c:pt>
                <c:pt idx="772">
                  <c:v>1.2879177186226798E-2</c:v>
                </c:pt>
                <c:pt idx="773">
                  <c:v>1.4336212205417897E-2</c:v>
                </c:pt>
                <c:pt idx="774">
                  <c:v>-4.164697065034053E-3</c:v>
                </c:pt>
                <c:pt idx="775">
                  <c:v>1.0238806024834353E-2</c:v>
                </c:pt>
                <c:pt idx="776">
                  <c:v>-3.424003889146327E-3</c:v>
                </c:pt>
                <c:pt idx="777">
                  <c:v>-4.2562487923016503E-3</c:v>
                </c:pt>
                <c:pt idx="778">
                  <c:v>1.0618932294575799E-2</c:v>
                </c:pt>
                <c:pt idx="779">
                  <c:v>-2.900568511630124E-5</c:v>
                </c:pt>
                <c:pt idx="780">
                  <c:v>9.5983185809504629E-3</c:v>
                </c:pt>
                <c:pt idx="781">
                  <c:v>4.0664545328546334E-3</c:v>
                </c:pt>
                <c:pt idx="782">
                  <c:v>1.5962531949234387E-3</c:v>
                </c:pt>
                <c:pt idx="783">
                  <c:v>-3.1428422028125343E-4</c:v>
                </c:pt>
                <c:pt idx="784">
                  <c:v>-1.0626309930072469E-3</c:v>
                </c:pt>
                <c:pt idx="785">
                  <c:v>6.1077963032981041E-3</c:v>
                </c:pt>
                <c:pt idx="786">
                  <c:v>-3.0332041294573771E-4</c:v>
                </c:pt>
                <c:pt idx="787">
                  <c:v>2.7549400403308333E-3</c:v>
                </c:pt>
                <c:pt idx="788">
                  <c:v>-7.6607701401540612E-4</c:v>
                </c:pt>
                <c:pt idx="789">
                  <c:v>-1.477063185743682E-3</c:v>
                </c:pt>
                <c:pt idx="790">
                  <c:v>-2.9606876752680299E-3</c:v>
                </c:pt>
                <c:pt idx="791">
                  <c:v>6.1062889142892368E-3</c:v>
                </c:pt>
                <c:pt idx="792">
                  <c:v>-4.5489372363725104E-3</c:v>
                </c:pt>
                <c:pt idx="793">
                  <c:v>-4.3981612914209805E-3</c:v>
                </c:pt>
                <c:pt idx="794">
                  <c:v>1.1953606197183842E-3</c:v>
                </c:pt>
                <c:pt idx="795">
                  <c:v>-1.4275342485307393E-2</c:v>
                </c:pt>
                <c:pt idx="796">
                  <c:v>3.9366999468925627E-3</c:v>
                </c:pt>
                <c:pt idx="797">
                  <c:v>-1.7106870531886451E-2</c:v>
                </c:pt>
                <c:pt idx="798">
                  <c:v>-1.9194991693251124E-3</c:v>
                </c:pt>
                <c:pt idx="799">
                  <c:v>1.2522721054237218E-2</c:v>
                </c:pt>
                <c:pt idx="800">
                  <c:v>-6.0932131665859804E-3</c:v>
                </c:pt>
                <c:pt idx="801">
                  <c:v>1.3442889619502027E-2</c:v>
                </c:pt>
                <c:pt idx="802">
                  <c:v>-3.3257399856237396E-3</c:v>
                </c:pt>
                <c:pt idx="803">
                  <c:v>1.2085115625505266E-2</c:v>
                </c:pt>
                <c:pt idx="804">
                  <c:v>-4.8844984753110381E-3</c:v>
                </c:pt>
                <c:pt idx="805">
                  <c:v>8.9723452173247273E-3</c:v>
                </c:pt>
                <c:pt idx="806">
                  <c:v>-1.7471731581735757E-3</c:v>
                </c:pt>
                <c:pt idx="807">
                  <c:v>-6.1583828258348948E-3</c:v>
                </c:pt>
                <c:pt idx="808">
                  <c:v>-1.4665950218136469E-2</c:v>
                </c:pt>
                <c:pt idx="809">
                  <c:v>-2.380259551864185E-3</c:v>
                </c:pt>
                <c:pt idx="810">
                  <c:v>2.3657037582941712E-3</c:v>
                </c:pt>
                <c:pt idx="811">
                  <c:v>1.2162396804615399E-2</c:v>
                </c:pt>
                <c:pt idx="812">
                  <c:v>-8.8346389509214723E-3</c:v>
                </c:pt>
                <c:pt idx="813">
                  <c:v>-3.9732777015764314E-3</c:v>
                </c:pt>
                <c:pt idx="814">
                  <c:v>3.5234427543923289E-3</c:v>
                </c:pt>
                <c:pt idx="815">
                  <c:v>6.586997425284128E-3</c:v>
                </c:pt>
                <c:pt idx="816">
                  <c:v>-2.0640140117176337E-3</c:v>
                </c:pt>
                <c:pt idx="817">
                  <c:v>2.6790260911049436E-3</c:v>
                </c:pt>
                <c:pt idx="818">
                  <c:v>4.4475616557317519E-3</c:v>
                </c:pt>
                <c:pt idx="819">
                  <c:v>5.1893163356351961E-3</c:v>
                </c:pt>
                <c:pt idx="820">
                  <c:v>-4.5917462766684588E-3</c:v>
                </c:pt>
                <c:pt idx="821">
                  <c:v>1.6283576529126241E-3</c:v>
                </c:pt>
                <c:pt idx="822">
                  <c:v>5.1350866086935787E-3</c:v>
                </c:pt>
                <c:pt idx="823">
                  <c:v>-7.7879774665911791E-4</c:v>
                </c:pt>
                <c:pt idx="824">
                  <c:v>-1.1375675981876396E-2</c:v>
                </c:pt>
                <c:pt idx="825">
                  <c:v>9.1927622342074314E-3</c:v>
                </c:pt>
                <c:pt idx="826">
                  <c:v>-1.4817676241149391E-3</c:v>
                </c:pt>
                <c:pt idx="827">
                  <c:v>5.0746200095614369E-3</c:v>
                </c:pt>
                <c:pt idx="828">
                  <c:v>2.3549546644853884E-3</c:v>
                </c:pt>
                <c:pt idx="829">
                  <c:v>2.2502621405813723E-3</c:v>
                </c:pt>
                <c:pt idx="830">
                  <c:v>-4.1499038644162989E-3</c:v>
                </c:pt>
                <c:pt idx="831">
                  <c:v>2.7653627744773542E-3</c:v>
                </c:pt>
                <c:pt idx="832">
                  <c:v>-3.7473898615125326E-3</c:v>
                </c:pt>
                <c:pt idx="833">
                  <c:v>-1.0180511364075624E-2</c:v>
                </c:pt>
                <c:pt idx="834">
                  <c:v>1.0863762718014008E-2</c:v>
                </c:pt>
                <c:pt idx="835">
                  <c:v>2.9364562942421689E-3</c:v>
                </c:pt>
                <c:pt idx="836">
                  <c:v>-1.1907989281938557E-2</c:v>
                </c:pt>
                <c:pt idx="837">
                  <c:v>-4.4656528892180703E-3</c:v>
                </c:pt>
                <c:pt idx="838">
                  <c:v>3.7666635227395196E-3</c:v>
                </c:pt>
                <c:pt idx="839">
                  <c:v>1.336810183819619E-2</c:v>
                </c:pt>
                <c:pt idx="840">
                  <c:v>-5.102547415113407E-3</c:v>
                </c:pt>
                <c:pt idx="841">
                  <c:v>-2.9540151581351707E-3</c:v>
                </c:pt>
                <c:pt idx="842">
                  <c:v>-3.0493615635559612E-4</c:v>
                </c:pt>
                <c:pt idx="843">
                  <c:v>1.0721548914049037E-2</c:v>
                </c:pt>
                <c:pt idx="844">
                  <c:v>7.6817406925065615E-4</c:v>
                </c:pt>
                <c:pt idx="845">
                  <c:v>3.0433262041808752E-3</c:v>
                </c:pt>
                <c:pt idx="846">
                  <c:v>-6.4364124626619236E-4</c:v>
                </c:pt>
                <c:pt idx="847">
                  <c:v>-9.3095867249196713E-4</c:v>
                </c:pt>
                <c:pt idx="848">
                  <c:v>2.3351597649989828E-3</c:v>
                </c:pt>
                <c:pt idx="849">
                  <c:v>-2.2363806280129898E-3</c:v>
                </c:pt>
                <c:pt idx="850">
                  <c:v>-1.0335154142642595E-2</c:v>
                </c:pt>
                <c:pt idx="851">
                  <c:v>9.1209049217876367E-3</c:v>
                </c:pt>
                <c:pt idx="852">
                  <c:v>-1.2675915340863882E-3</c:v>
                </c:pt>
                <c:pt idx="853">
                  <c:v>-6.3384457913584413E-3</c:v>
                </c:pt>
                <c:pt idx="854">
                  <c:v>2.0573017741854285E-3</c:v>
                </c:pt>
                <c:pt idx="855">
                  <c:v>-1.0091607056388198E-3</c:v>
                </c:pt>
                <c:pt idx="856">
                  <c:v>2.1166434256780875E-3</c:v>
                </c:pt>
                <c:pt idx="857">
                  <c:v>-8.6605718154161154E-3</c:v>
                </c:pt>
                <c:pt idx="858">
                  <c:v>-1.4372106268171129E-3</c:v>
                </c:pt>
                <c:pt idx="859">
                  <c:v>-6.4955370983836944E-3</c:v>
                </c:pt>
                <c:pt idx="860">
                  <c:v>4.1832655565178788E-4</c:v>
                </c:pt>
                <c:pt idx="861">
                  <c:v>1.1970467999834084E-2</c:v>
                </c:pt>
                <c:pt idx="862">
                  <c:v>1.7370426241117387E-3</c:v>
                </c:pt>
                <c:pt idx="863">
                  <c:v>-7.018875011890289E-3</c:v>
                </c:pt>
                <c:pt idx="864">
                  <c:v>-4.6332055293856079E-3</c:v>
                </c:pt>
                <c:pt idx="865">
                  <c:v>5.6736790864062693E-3</c:v>
                </c:pt>
                <c:pt idx="866">
                  <c:v>1.9777309251246271E-3</c:v>
                </c:pt>
                <c:pt idx="867">
                  <c:v>9.853976761801558E-3</c:v>
                </c:pt>
                <c:pt idx="868">
                  <c:v>-5.3176152134035261E-3</c:v>
                </c:pt>
                <c:pt idx="869">
                  <c:v>6.0763173508369944E-3</c:v>
                </c:pt>
                <c:pt idx="870">
                  <c:v>6.3573541421357567E-4</c:v>
                </c:pt>
                <c:pt idx="871">
                  <c:v>-7.3805257559009111E-3</c:v>
                </c:pt>
                <c:pt idx="872">
                  <c:v>-2.977994976722945E-3</c:v>
                </c:pt>
                <c:pt idx="873">
                  <c:v>-3.9012322679491675E-4</c:v>
                </c:pt>
                <c:pt idx="874">
                  <c:v>-2.1086921949260151E-2</c:v>
                </c:pt>
                <c:pt idx="875">
                  <c:v>2.654858078183291E-3</c:v>
                </c:pt>
                <c:pt idx="876">
                  <c:v>6.9121861093133178E-3</c:v>
                </c:pt>
                <c:pt idx="877">
                  <c:v>-3.0812190316463852E-4</c:v>
                </c:pt>
                <c:pt idx="878">
                  <c:v>-3.8692233125439636E-3</c:v>
                </c:pt>
                <c:pt idx="879">
                  <c:v>6.0625230864869576E-3</c:v>
                </c:pt>
                <c:pt idx="880">
                  <c:v>-1.6792948927196509E-2</c:v>
                </c:pt>
                <c:pt idx="881">
                  <c:v>2.2596453237141356E-3</c:v>
                </c:pt>
                <c:pt idx="882">
                  <c:v>1.2262958517226932E-2</c:v>
                </c:pt>
                <c:pt idx="883">
                  <c:v>1.1005278427365045E-2</c:v>
                </c:pt>
                <c:pt idx="884">
                  <c:v>4.4433429011478572E-3</c:v>
                </c:pt>
                <c:pt idx="885">
                  <c:v>-7.3523311386536176E-4</c:v>
                </c:pt>
                <c:pt idx="886">
                  <c:v>7.9826687162939235E-3</c:v>
                </c:pt>
                <c:pt idx="887">
                  <c:v>1.1056405254354067E-3</c:v>
                </c:pt>
                <c:pt idx="888">
                  <c:v>7.7087234599653289E-4</c:v>
                </c:pt>
                <c:pt idx="889">
                  <c:v>-4.2707640446294944E-3</c:v>
                </c:pt>
                <c:pt idx="890">
                  <c:v>-2.3905372610337479E-3</c:v>
                </c:pt>
                <c:pt idx="891">
                  <c:v>-5.6922099476966175E-3</c:v>
                </c:pt>
                <c:pt idx="892">
                  <c:v>-1.0761020194054139E-2</c:v>
                </c:pt>
                <c:pt idx="893">
                  <c:v>-5.7917500692277806E-3</c:v>
                </c:pt>
                <c:pt idx="894">
                  <c:v>1.231002184803006E-2</c:v>
                </c:pt>
                <c:pt idx="895">
                  <c:v>7.2921105076044846E-3</c:v>
                </c:pt>
                <c:pt idx="896">
                  <c:v>2.8454898986964683E-5</c:v>
                </c:pt>
                <c:pt idx="897">
                  <c:v>-2.274201152523918E-3</c:v>
                </c:pt>
                <c:pt idx="898">
                  <c:v>-2.7606707871855756E-3</c:v>
                </c:pt>
                <c:pt idx="899">
                  <c:v>-2.2522532043250201E-3</c:v>
                </c:pt>
                <c:pt idx="900">
                  <c:v>3.1098289855839203E-3</c:v>
                </c:pt>
                <c:pt idx="901">
                  <c:v>-7.7831821886354671E-3</c:v>
                </c:pt>
                <c:pt idx="902">
                  <c:v>-2.8790276379214528E-3</c:v>
                </c:pt>
                <c:pt idx="903">
                  <c:v>1.2726901022967103E-2</c:v>
                </c:pt>
                <c:pt idx="904">
                  <c:v>-9.6031299685016367E-3</c:v>
                </c:pt>
                <c:pt idx="905">
                  <c:v>9.4961303213885308E-4</c:v>
                </c:pt>
                <c:pt idx="906">
                  <c:v>-1.275950900305485E-3</c:v>
                </c:pt>
                <c:pt idx="907">
                  <c:v>3.9042620368306804E-3</c:v>
                </c:pt>
                <c:pt idx="908">
                  <c:v>5.1979382552371483E-3</c:v>
                </c:pt>
                <c:pt idx="909">
                  <c:v>-2.6289735480122659E-3</c:v>
                </c:pt>
                <c:pt idx="910">
                  <c:v>-8.2892253214384998E-3</c:v>
                </c:pt>
                <c:pt idx="911">
                  <c:v>-2.1325899205105869E-2</c:v>
                </c:pt>
                <c:pt idx="912">
                  <c:v>-3.2369259548499681E-2</c:v>
                </c:pt>
                <c:pt idx="913">
                  <c:v>-4.0211416281175603E-2</c:v>
                </c:pt>
                <c:pt idx="914">
                  <c:v>-1.3614262532188859E-2</c:v>
                </c:pt>
                <c:pt idx="915">
                  <c:v>3.8291286558614003E-2</c:v>
                </c:pt>
                <c:pt idx="916">
                  <c:v>2.400724232625184E-2</c:v>
                </c:pt>
                <c:pt idx="917">
                  <c:v>6.0857080788743101E-4</c:v>
                </c:pt>
                <c:pt idx="918">
                  <c:v>-8.4271083533501261E-3</c:v>
                </c:pt>
                <c:pt idx="919">
                  <c:v>-3.00226098516122E-2</c:v>
                </c:pt>
                <c:pt idx="920">
                  <c:v>1.8127666183109615E-2</c:v>
                </c:pt>
                <c:pt idx="921">
                  <c:v>1.164105680449443E-3</c:v>
                </c:pt>
                <c:pt idx="922">
                  <c:v>-1.5448291002620419E-2</c:v>
                </c:pt>
                <c:pt idx="923">
                  <c:v>2.4773604592646017E-2</c:v>
                </c:pt>
                <c:pt idx="924">
                  <c:v>-1.3995038527950136E-2</c:v>
                </c:pt>
                <c:pt idx="925">
                  <c:v>5.2640755505400285E-3</c:v>
                </c:pt>
                <c:pt idx="926">
                  <c:v>4.4770015545705895E-3</c:v>
                </c:pt>
                <c:pt idx="927">
                  <c:v>-4.0980313248036339E-3</c:v>
                </c:pt>
                <c:pt idx="928">
                  <c:v>1.2749719911298718E-2</c:v>
                </c:pt>
                <c:pt idx="929">
                  <c:v>8.6676940705017226E-3</c:v>
                </c:pt>
                <c:pt idx="930">
                  <c:v>-2.5642905425419791E-3</c:v>
                </c:pt>
                <c:pt idx="931">
                  <c:v>-1.6296270451088189E-2</c:v>
                </c:pt>
                <c:pt idx="932">
                  <c:v>4.5554218905156504E-3</c:v>
                </c:pt>
                <c:pt idx="933">
                  <c:v>-1.2394939887069493E-2</c:v>
                </c:pt>
                <c:pt idx="934">
                  <c:v>-2.0507542933684945E-3</c:v>
                </c:pt>
                <c:pt idx="935">
                  <c:v>-3.3686417802160917E-3</c:v>
                </c:pt>
                <c:pt idx="936">
                  <c:v>-4.6588915786858695E-4</c:v>
                </c:pt>
                <c:pt idx="937">
                  <c:v>-2.6001239239395291E-2</c:v>
                </c:pt>
                <c:pt idx="938">
                  <c:v>1.2321224333906237E-3</c:v>
                </c:pt>
                <c:pt idx="939">
                  <c:v>1.8895865203796398E-2</c:v>
                </c:pt>
                <c:pt idx="940">
                  <c:v>1.9719818557877231E-3</c:v>
                </c:pt>
                <c:pt idx="941">
                  <c:v>1.421377260428928E-2</c:v>
                </c:pt>
                <c:pt idx="942">
                  <c:v>1.8124561438544923E-2</c:v>
                </c:pt>
                <c:pt idx="943">
                  <c:v>-3.5946869664685399E-3</c:v>
                </c:pt>
                <c:pt idx="944">
                  <c:v>8.0035640716168491E-3</c:v>
                </c:pt>
                <c:pt idx="945">
                  <c:v>8.7797314496566338E-3</c:v>
                </c:pt>
                <c:pt idx="946">
                  <c:v>7.2486796675928192E-4</c:v>
                </c:pt>
                <c:pt idx="947">
                  <c:v>1.2746911096436508E-3</c:v>
                </c:pt>
                <c:pt idx="948">
                  <c:v>-6.8488138094229302E-3</c:v>
                </c:pt>
                <c:pt idx="949">
                  <c:v>-4.7274552579458298E-3</c:v>
                </c:pt>
                <c:pt idx="950">
                  <c:v>1.4743553692310356E-2</c:v>
                </c:pt>
                <c:pt idx="951">
                  <c:v>4.5600613407668789E-3</c:v>
                </c:pt>
                <c:pt idx="952">
                  <c:v>2.7048493195005823E-4</c:v>
                </c:pt>
                <c:pt idx="953">
                  <c:v>-1.4220938665690213E-3</c:v>
                </c:pt>
                <c:pt idx="954">
                  <c:v>-5.8424102714401318E-3</c:v>
                </c:pt>
                <c:pt idx="955">
                  <c:v>1.6490813232663316E-2</c:v>
                </c:pt>
                <c:pt idx="956">
                  <c:v>1.0970005786788946E-2</c:v>
                </c:pt>
                <c:pt idx="957">
                  <c:v>-1.9149470559137484E-3</c:v>
                </c:pt>
                <c:pt idx="958">
                  <c:v>-2.5573668722574231E-3</c:v>
                </c:pt>
                <c:pt idx="959">
                  <c:v>1.177038977262058E-2</c:v>
                </c:pt>
                <c:pt idx="960">
                  <c:v>-4.4978659820061288E-4</c:v>
                </c:pt>
                <c:pt idx="961">
                  <c:v>-4.8215754142581276E-3</c:v>
                </c:pt>
                <c:pt idx="962">
                  <c:v>1.1803904793109323E-2</c:v>
                </c:pt>
                <c:pt idx="963">
                  <c:v>2.7243576169235862E-3</c:v>
                </c:pt>
                <c:pt idx="964">
                  <c:v>-3.5516762958985523E-3</c:v>
                </c:pt>
                <c:pt idx="965">
                  <c:v>-1.1327293322022361E-3</c:v>
                </c:pt>
                <c:pt idx="966">
                  <c:v>-3.4769107284318419E-4</c:v>
                </c:pt>
                <c:pt idx="967">
                  <c:v>-9.8713515026068524E-3</c:v>
                </c:pt>
                <c:pt idx="968">
                  <c:v>1.5095068126030056E-3</c:v>
                </c:pt>
                <c:pt idx="969">
                  <c:v>-3.2333213949674142E-3</c:v>
                </c:pt>
                <c:pt idx="970">
                  <c:v>-1.4089149017324396E-2</c:v>
                </c:pt>
                <c:pt idx="971">
                  <c:v>-1.1270674060276152E-2</c:v>
                </c:pt>
                <c:pt idx="972">
                  <c:v>1.4793350640956328E-2</c:v>
                </c:pt>
                <c:pt idx="973">
                  <c:v>-1.3402769799722193E-3</c:v>
                </c:pt>
                <c:pt idx="974">
                  <c:v>1.6033163805428428E-2</c:v>
                </c:pt>
                <c:pt idx="975">
                  <c:v>-1.1236981412047731E-3</c:v>
                </c:pt>
                <c:pt idx="976">
                  <c:v>3.8029879831690382E-3</c:v>
                </c:pt>
                <c:pt idx="977">
                  <c:v>-1.2357033585728208E-3</c:v>
                </c:pt>
                <c:pt idx="978">
                  <c:v>1.2213434858008502E-3</c:v>
                </c:pt>
                <c:pt idx="979">
                  <c:v>-1.2924813505752467E-4</c:v>
                </c:pt>
                <c:pt idx="980">
                  <c:v>5.9344626506564215E-4</c:v>
                </c:pt>
                <c:pt idx="981">
                  <c:v>-4.651706497517027E-3</c:v>
                </c:pt>
                <c:pt idx="982">
                  <c:v>1.0623952433730842E-2</c:v>
                </c:pt>
                <c:pt idx="983">
                  <c:v>-1.1056653069340215E-2</c:v>
                </c:pt>
                <c:pt idx="984">
                  <c:v>-1.4477878923262813E-2</c:v>
                </c:pt>
                <c:pt idx="985">
                  <c:v>2.0317941551718299E-2</c:v>
                </c:pt>
                <c:pt idx="986">
                  <c:v>-7.014104884478266E-3</c:v>
                </c:pt>
                <c:pt idx="987">
                  <c:v>-6.5110623052767533E-3</c:v>
                </c:pt>
                <c:pt idx="988">
                  <c:v>-7.7690413899379369E-3</c:v>
                </c:pt>
                <c:pt idx="989">
                  <c:v>2.2488637110527291E-3</c:v>
                </c:pt>
                <c:pt idx="990">
                  <c:v>-1.9613874846502764E-2</c:v>
                </c:pt>
                <c:pt idx="991">
                  <c:v>4.7443146166453133E-3</c:v>
                </c:pt>
                <c:pt idx="992">
                  <c:v>1.0562534400149612E-2</c:v>
                </c:pt>
                <c:pt idx="993">
                  <c:v>1.4410619402612932E-2</c:v>
                </c:pt>
                <c:pt idx="994">
                  <c:v>-1.515475083488926E-2</c:v>
                </c:pt>
                <c:pt idx="995">
                  <c:v>-1.7957512179647538E-2</c:v>
                </c:pt>
                <c:pt idx="996">
                  <c:v>7.748318994364429E-3</c:v>
                </c:pt>
                <c:pt idx="997">
                  <c:v>8.7781220393295094E-3</c:v>
                </c:pt>
                <c:pt idx="998">
                  <c:v>1.2341563236114893E-2</c:v>
                </c:pt>
                <c:pt idx="999">
                  <c:v>-1.599891742574954E-3</c:v>
                </c:pt>
                <c:pt idx="1000">
                  <c:v>-2.1809411946235105E-3</c:v>
                </c:pt>
                <c:pt idx="1001">
                  <c:v>1.0573612487139963E-2</c:v>
                </c:pt>
                <c:pt idx="1002">
                  <c:v>-7.2433991595191854E-3</c:v>
                </c:pt>
                <c:pt idx="1003">
                  <c:v>-9.4564043127839722E-3</c:v>
                </c:pt>
                <c:pt idx="1004">
                  <c:v>-1.5422087447211375E-2</c:v>
                </c:pt>
                <c:pt idx="1005">
                  <c:v>2.0102404911239561E-3</c:v>
                </c:pt>
                <c:pt idx="1006">
                  <c:v>-1.3202187278752919E-2</c:v>
                </c:pt>
                <c:pt idx="1007">
                  <c:v>-2.3985794022258523E-2</c:v>
                </c:pt>
                <c:pt idx="1008">
                  <c:v>-1.0897570278899054E-2</c:v>
                </c:pt>
                <c:pt idx="1009">
                  <c:v>8.5290069397867538E-4</c:v>
                </c:pt>
                <c:pt idx="1010">
                  <c:v>7.7725092573912389E-3</c:v>
                </c:pt>
                <c:pt idx="1011">
                  <c:v>-2.5282362871704309E-2</c:v>
                </c:pt>
                <c:pt idx="1012">
                  <c:v>1.6558094217956527E-2</c:v>
                </c:pt>
                <c:pt idx="1013">
                  <c:v>-2.1835767111975091E-2</c:v>
                </c:pt>
                <c:pt idx="1014">
                  <c:v>5.316801750062664E-4</c:v>
                </c:pt>
                <c:pt idx="1015">
                  <c:v>-1.1762765749513873E-2</c:v>
                </c:pt>
                <c:pt idx="1016">
                  <c:v>5.181970226003676E-3</c:v>
                </c:pt>
                <c:pt idx="1017">
                  <c:v>2.0080708854120791E-2</c:v>
                </c:pt>
                <c:pt idx="1018">
                  <c:v>-1.5761508958281073E-2</c:v>
                </c:pt>
                <c:pt idx="1019">
                  <c:v>1.4045211853838186E-2</c:v>
                </c:pt>
                <c:pt idx="1020">
                  <c:v>-1.0922893803811026E-2</c:v>
                </c:pt>
                <c:pt idx="1021">
                  <c:v>5.5133325226166194E-3</c:v>
                </c:pt>
                <c:pt idx="1022">
                  <c:v>2.4458648291019413E-2</c:v>
                </c:pt>
                <c:pt idx="1023">
                  <c:v>-4.4334239646468779E-4</c:v>
                </c:pt>
                <c:pt idx="1024">
                  <c:v>-1.8920981595370201E-2</c:v>
                </c:pt>
                <c:pt idx="1025">
                  <c:v>4.9796200980441394E-3</c:v>
                </c:pt>
                <c:pt idx="1026">
                  <c:v>1.525609102635925E-3</c:v>
                </c:pt>
                <c:pt idx="1027">
                  <c:v>-1.8654209739793221E-2</c:v>
                </c:pt>
                <c:pt idx="1028">
                  <c:v>-1.4255000337827674E-2</c:v>
                </c:pt>
                <c:pt idx="1029">
                  <c:v>-6.638511706025009E-4</c:v>
                </c:pt>
                <c:pt idx="1030">
                  <c:v>-1.8898131031094855E-4</c:v>
                </c:pt>
                <c:pt idx="1031">
                  <c:v>-1.2377431213466798E-2</c:v>
                </c:pt>
                <c:pt idx="1032">
                  <c:v>1.9329975470501772E-2</c:v>
                </c:pt>
                <c:pt idx="1033">
                  <c:v>1.6381776635361386E-2</c:v>
                </c:pt>
                <c:pt idx="1034">
                  <c:v>1.634611531802933E-2</c:v>
                </c:pt>
                <c:pt idx="1035">
                  <c:v>-4.6766370852842467E-3</c:v>
                </c:pt>
                <c:pt idx="1036">
                  <c:v>-2.607147233575974E-5</c:v>
                </c:pt>
                <c:pt idx="1037">
                  <c:v>1.4350746375528583E-2</c:v>
                </c:pt>
                <c:pt idx="1038">
                  <c:v>-1.2532587736590248E-2</c:v>
                </c:pt>
                <c:pt idx="1039">
                  <c:v>4.429944898265448E-3</c:v>
                </c:pt>
                <c:pt idx="1040">
                  <c:v>1.1284417050872818E-2</c:v>
                </c:pt>
                <c:pt idx="1041">
                  <c:v>-1.8719154129472615E-3</c:v>
                </c:pt>
                <c:pt idx="1042">
                  <c:v>-8.1540959183034733E-3</c:v>
                </c:pt>
                <c:pt idx="1043">
                  <c:v>2.3588387634097943E-2</c:v>
                </c:pt>
                <c:pt idx="1044">
                  <c:v>4.0859621010796536E-3</c:v>
                </c:pt>
                <c:pt idx="1045">
                  <c:v>3.4925974922729325E-3</c:v>
                </c:pt>
                <c:pt idx="1046">
                  <c:v>3.3004569962263434E-3</c:v>
                </c:pt>
                <c:pt idx="1047">
                  <c:v>8.8461303950758267E-4</c:v>
                </c:pt>
                <c:pt idx="1048">
                  <c:v>-1.1303756111464681E-2</c:v>
                </c:pt>
                <c:pt idx="1049">
                  <c:v>5.0396728076172173E-3</c:v>
                </c:pt>
                <c:pt idx="1050">
                  <c:v>1.5582470255186083E-4</c:v>
                </c:pt>
                <c:pt idx="1051">
                  <c:v>1.6262547567990299E-2</c:v>
                </c:pt>
                <c:pt idx="1052">
                  <c:v>-1.2618048449994732E-3</c:v>
                </c:pt>
                <c:pt idx="1053">
                  <c:v>-1.8386503245784805E-3</c:v>
                </c:pt>
                <c:pt idx="1054">
                  <c:v>5.5847689767839007E-3</c:v>
                </c:pt>
                <c:pt idx="1055">
                  <c:v>6.5735853667514303E-3</c:v>
                </c:pt>
                <c:pt idx="1056">
                  <c:v>4.3959123835568669E-3</c:v>
                </c:pt>
                <c:pt idx="1057">
                  <c:v>9.8508242181442169E-4</c:v>
                </c:pt>
                <c:pt idx="1058">
                  <c:v>-8.7774911765066258E-4</c:v>
                </c:pt>
                <c:pt idx="1059">
                  <c:v>-6.4064665305301419E-3</c:v>
                </c:pt>
                <c:pt idx="1060">
                  <c:v>-3.7813217888834326E-4</c:v>
                </c:pt>
                <c:pt idx="1061">
                  <c:v>5.4505413835056777E-4</c:v>
                </c:pt>
                <c:pt idx="1062">
                  <c:v>8.7780312721493121E-3</c:v>
                </c:pt>
                <c:pt idx="1063">
                  <c:v>4.3409084032825307E-3</c:v>
                </c:pt>
                <c:pt idx="1064">
                  <c:v>-2.041861276038347E-3</c:v>
                </c:pt>
                <c:pt idx="1065">
                  <c:v>6.3109401913092533E-3</c:v>
                </c:pt>
                <c:pt idx="1066">
                  <c:v>-3.2134091933979764E-3</c:v>
                </c:pt>
                <c:pt idx="1067">
                  <c:v>-1.0196376617517549E-2</c:v>
                </c:pt>
                <c:pt idx="1068">
                  <c:v>1.0452861947236771E-2</c:v>
                </c:pt>
                <c:pt idx="1069">
                  <c:v>-1.2048133236940891E-2</c:v>
                </c:pt>
                <c:pt idx="1070">
                  <c:v>2.782731266950438E-3</c:v>
                </c:pt>
                <c:pt idx="1071">
                  <c:v>-2.7435530304558238E-3</c:v>
                </c:pt>
                <c:pt idx="1072">
                  <c:v>9.6157633089034942E-3</c:v>
                </c:pt>
                <c:pt idx="1073">
                  <c:v>9.9900930750864061E-3</c:v>
                </c:pt>
                <c:pt idx="1074">
                  <c:v>1.7286084744860797E-4</c:v>
                </c:pt>
                <c:pt idx="1075">
                  <c:v>-9.8474612318046658E-4</c:v>
                </c:pt>
                <c:pt idx="1076">
                  <c:v>6.5196742612829879E-3</c:v>
                </c:pt>
                <c:pt idx="1077">
                  <c:v>3.0797566260183499E-3</c:v>
                </c:pt>
                <c:pt idx="1078">
                  <c:v>7.6132474175960086E-4</c:v>
                </c:pt>
                <c:pt idx="1079">
                  <c:v>-5.207599968700849E-3</c:v>
                </c:pt>
                <c:pt idx="1080">
                  <c:v>4.7811888913341718E-5</c:v>
                </c:pt>
                <c:pt idx="1081">
                  <c:v>-1.8136709785938731E-3</c:v>
                </c:pt>
                <c:pt idx="1082">
                  <c:v>1.8710422279640288E-3</c:v>
                </c:pt>
                <c:pt idx="1083">
                  <c:v>1.6480173786207935E-3</c:v>
                </c:pt>
                <c:pt idx="1084">
                  <c:v>-9.2737108991200311E-3</c:v>
                </c:pt>
                <c:pt idx="1085">
                  <c:v>-5.0759446457705557E-3</c:v>
                </c:pt>
                <c:pt idx="1086">
                  <c:v>7.779663181895582E-3</c:v>
                </c:pt>
                <c:pt idx="1087">
                  <c:v>-8.7145890251247322E-3</c:v>
                </c:pt>
                <c:pt idx="1088">
                  <c:v>-5.9545830446672615E-3</c:v>
                </c:pt>
                <c:pt idx="1089">
                  <c:v>-2.3892241230235656E-4</c:v>
                </c:pt>
                <c:pt idx="1090">
                  <c:v>3.1696056255198523E-3</c:v>
                </c:pt>
                <c:pt idx="1091">
                  <c:v>7.5318955023680417E-4</c:v>
                </c:pt>
                <c:pt idx="1092">
                  <c:v>1.2406388310731433E-2</c:v>
                </c:pt>
                <c:pt idx="1093">
                  <c:v>-9.6075554928176481E-3</c:v>
                </c:pt>
                <c:pt idx="1094">
                  <c:v>-1.6955023208444766E-4</c:v>
                </c:pt>
                <c:pt idx="1095">
                  <c:v>-8.5143749616302909E-3</c:v>
                </c:pt>
                <c:pt idx="1096">
                  <c:v>9.7490117600573523E-3</c:v>
                </c:pt>
                <c:pt idx="1097">
                  <c:v>-9.4558869991757388E-3</c:v>
                </c:pt>
                <c:pt idx="1098">
                  <c:v>2.0513622093808805E-4</c:v>
                </c:pt>
                <c:pt idx="1099">
                  <c:v>-3.7136112860127355E-3</c:v>
                </c:pt>
                <c:pt idx="1100">
                  <c:v>6.0014450623727053E-3</c:v>
                </c:pt>
                <c:pt idx="1101">
                  <c:v>-2.0876223328746188E-3</c:v>
                </c:pt>
                <c:pt idx="1102">
                  <c:v>1.3588628383570183E-2</c:v>
                </c:pt>
                <c:pt idx="1103">
                  <c:v>6.9505391897537305E-3</c:v>
                </c:pt>
                <c:pt idx="1104">
                  <c:v>-2.1049408780701167E-4</c:v>
                </c:pt>
                <c:pt idx="1105">
                  <c:v>4.2777137484011473E-3</c:v>
                </c:pt>
                <c:pt idx="1106">
                  <c:v>-1.0057174210022859E-3</c:v>
                </c:pt>
                <c:pt idx="1107">
                  <c:v>1.1343381543654862E-3</c:v>
                </c:pt>
                <c:pt idx="1108">
                  <c:v>2.8207287425610055E-3</c:v>
                </c:pt>
                <c:pt idx="1109">
                  <c:v>-2.916001771314822E-3</c:v>
                </c:pt>
                <c:pt idx="1110">
                  <c:v>4.8853143586385676E-3</c:v>
                </c:pt>
                <c:pt idx="1111">
                  <c:v>1.2886294463136218E-3</c:v>
                </c:pt>
                <c:pt idx="1112">
                  <c:v>3.3039911887868061E-3</c:v>
                </c:pt>
                <c:pt idx="1113">
                  <c:v>-1.7191710652795132E-3</c:v>
                </c:pt>
                <c:pt idx="1114">
                  <c:v>-9.2175742558201733E-3</c:v>
                </c:pt>
                <c:pt idx="1115">
                  <c:v>-8.1482943594018125E-3</c:v>
                </c:pt>
                <c:pt idx="1116">
                  <c:v>-1.80050982836035E-3</c:v>
                </c:pt>
                <c:pt idx="1117">
                  <c:v>-1.8423761246134855E-3</c:v>
                </c:pt>
                <c:pt idx="1118">
                  <c:v>3.1280978105988734E-3</c:v>
                </c:pt>
                <c:pt idx="1119">
                  <c:v>-3.2632746994190635E-3</c:v>
                </c:pt>
                <c:pt idx="1120">
                  <c:v>5.7913686336797431E-3</c:v>
                </c:pt>
                <c:pt idx="1121">
                  <c:v>2.7084373542945453E-3</c:v>
                </c:pt>
                <c:pt idx="1122">
                  <c:v>-1.6529523329488472E-3</c:v>
                </c:pt>
                <c:pt idx="1123">
                  <c:v>1.3275511311332405E-2</c:v>
                </c:pt>
                <c:pt idx="1124">
                  <c:v>-3.6580777234719343E-2</c:v>
                </c:pt>
                <c:pt idx="1125">
                  <c:v>-1.826224926163297E-2</c:v>
                </c:pt>
                <c:pt idx="1126">
                  <c:v>1.76141579169895E-2</c:v>
                </c:pt>
                <c:pt idx="1127">
                  <c:v>1.6889216752452151E-2</c:v>
                </c:pt>
                <c:pt idx="1128">
                  <c:v>1.3473821400287618E-2</c:v>
                </c:pt>
                <c:pt idx="1129">
                  <c:v>1.9467806929598444E-3</c:v>
                </c:pt>
                <c:pt idx="1130">
                  <c:v>-6.8710755834286629E-3</c:v>
                </c:pt>
                <c:pt idx="1131">
                  <c:v>5.3387197390260708E-3</c:v>
                </c:pt>
                <c:pt idx="1132">
                  <c:v>-8.7192063899741768E-4</c:v>
                </c:pt>
                <c:pt idx="1133">
                  <c:v>1.5138185866623861E-2</c:v>
                </c:pt>
                <c:pt idx="1134">
                  <c:v>3.4028145868032489E-3</c:v>
                </c:pt>
                <c:pt idx="1135">
                  <c:v>6.9848510963644384E-3</c:v>
                </c:pt>
                <c:pt idx="1136">
                  <c:v>1.3474052016275426E-4</c:v>
                </c:pt>
                <c:pt idx="1137">
                  <c:v>5.2453910425336123E-3</c:v>
                </c:pt>
                <c:pt idx="1138">
                  <c:v>-9.2937454238768344E-4</c:v>
                </c:pt>
                <c:pt idx="1139">
                  <c:v>2.3795068786033225E-3</c:v>
                </c:pt>
                <c:pt idx="1140">
                  <c:v>-1.4362676143070065E-3</c:v>
                </c:pt>
                <c:pt idx="1141">
                  <c:v>4.2612128673701335E-3</c:v>
                </c:pt>
                <c:pt idx="1142">
                  <c:v>-3.6190247858399653E-3</c:v>
                </c:pt>
                <c:pt idx="1143">
                  <c:v>4.5435772372509073E-3</c:v>
                </c:pt>
                <c:pt idx="1144">
                  <c:v>-3.0159962634030003E-3</c:v>
                </c:pt>
                <c:pt idx="1145">
                  <c:v>3.2275466775932843E-4</c:v>
                </c:pt>
                <c:pt idx="1146">
                  <c:v>-1.1993285198676762E-3</c:v>
                </c:pt>
                <c:pt idx="1147">
                  <c:v>1.6049295062452703E-3</c:v>
                </c:pt>
                <c:pt idx="1148">
                  <c:v>1.6299621902952422E-3</c:v>
                </c:pt>
                <c:pt idx="1149">
                  <c:v>-1.2705897060663312E-3</c:v>
                </c:pt>
                <c:pt idx="1150">
                  <c:v>-6.3819139077918741E-3</c:v>
                </c:pt>
                <c:pt idx="1151">
                  <c:v>3.1290382452996857E-3</c:v>
                </c:pt>
                <c:pt idx="1152">
                  <c:v>2.1256735230357668E-4</c:v>
                </c:pt>
                <c:pt idx="1153">
                  <c:v>8.5666436043246308E-3</c:v>
                </c:pt>
                <c:pt idx="1154">
                  <c:v>-9.0747435050471642E-4</c:v>
                </c:pt>
                <c:pt idx="1155">
                  <c:v>3.8967320664632022E-4</c:v>
                </c:pt>
                <c:pt idx="1156">
                  <c:v>-2.8687970506289257E-3</c:v>
                </c:pt>
                <c:pt idx="1157">
                  <c:v>4.7233927423996338E-3</c:v>
                </c:pt>
                <c:pt idx="1158">
                  <c:v>-7.9636787248911652E-4</c:v>
                </c:pt>
                <c:pt idx="1159">
                  <c:v>2.7890832400516256E-3</c:v>
                </c:pt>
                <c:pt idx="1160">
                  <c:v>-5.4941419708265955E-3</c:v>
                </c:pt>
                <c:pt idx="1161">
                  <c:v>1.8668145969237696E-3</c:v>
                </c:pt>
                <c:pt idx="1162">
                  <c:v>2.1971793405895896E-3</c:v>
                </c:pt>
                <c:pt idx="1163">
                  <c:v>-1.4413542987100584E-3</c:v>
                </c:pt>
                <c:pt idx="1164">
                  <c:v>-5.6337900636122971E-4</c:v>
                </c:pt>
                <c:pt idx="1165">
                  <c:v>1.9498626169790064E-3</c:v>
                </c:pt>
                <c:pt idx="1166">
                  <c:v>-5.254072980571481E-3</c:v>
                </c:pt>
                <c:pt idx="1167">
                  <c:v>-1.3661738453380294E-3</c:v>
                </c:pt>
                <c:pt idx="1168">
                  <c:v>-1.5800957333464785E-3</c:v>
                </c:pt>
                <c:pt idx="1169">
                  <c:v>5.2145001841601589E-3</c:v>
                </c:pt>
                <c:pt idx="1170">
                  <c:v>-1.9556990050680497E-3</c:v>
                </c:pt>
                <c:pt idx="1171">
                  <c:v>-2.3786147623904054E-3</c:v>
                </c:pt>
                <c:pt idx="1172">
                  <c:v>-4.1457364561137788E-5</c:v>
                </c:pt>
                <c:pt idx="1173">
                  <c:v>4.1923000419618493E-3</c:v>
                </c:pt>
                <c:pt idx="1174">
                  <c:v>2.9772423433708003E-3</c:v>
                </c:pt>
                <c:pt idx="1175">
                  <c:v>-1.4636466783063686E-4</c:v>
                </c:pt>
                <c:pt idx="1176">
                  <c:v>-2.2255507805430696E-3</c:v>
                </c:pt>
                <c:pt idx="1177">
                  <c:v>-2.4827747563078314E-2</c:v>
                </c:pt>
                <c:pt idx="1178">
                  <c:v>1.4570396678017971E-2</c:v>
                </c:pt>
                <c:pt idx="1179">
                  <c:v>-1.4941739368126835E-2</c:v>
                </c:pt>
                <c:pt idx="1180">
                  <c:v>-5.8784940521235899E-4</c:v>
                </c:pt>
                <c:pt idx="1181">
                  <c:v>1.0058521089340135E-2</c:v>
                </c:pt>
                <c:pt idx="1182">
                  <c:v>-3.7793821611113664E-3</c:v>
                </c:pt>
                <c:pt idx="1183">
                  <c:v>-1.869910337847447E-5</c:v>
                </c:pt>
                <c:pt idx="1184">
                  <c:v>2.991437033863788E-4</c:v>
                </c:pt>
                <c:pt idx="1185">
                  <c:v>1.0857950722306076E-2</c:v>
                </c:pt>
                <c:pt idx="1186">
                  <c:v>6.4788374909876233E-3</c:v>
                </c:pt>
                <c:pt idx="1187">
                  <c:v>-5.7532972898826128E-3</c:v>
                </c:pt>
                <c:pt idx="1188">
                  <c:v>-8.624922689932854E-3</c:v>
                </c:pt>
                <c:pt idx="1189">
                  <c:v>6.4235723182359062E-3</c:v>
                </c:pt>
                <c:pt idx="1190">
                  <c:v>5.2824909853757054E-3</c:v>
                </c:pt>
                <c:pt idx="1191">
                  <c:v>-9.365019283515956E-3</c:v>
                </c:pt>
                <c:pt idx="1192">
                  <c:v>7.9363291030870517E-3</c:v>
                </c:pt>
                <c:pt idx="1193">
                  <c:v>-3.2659915807079186E-3</c:v>
                </c:pt>
                <c:pt idx="1194">
                  <c:v>-4.9678998383077579E-3</c:v>
                </c:pt>
                <c:pt idx="1195">
                  <c:v>4.2874907334568115E-3</c:v>
                </c:pt>
                <c:pt idx="1196">
                  <c:v>4.8142577020570391E-4</c:v>
                </c:pt>
                <c:pt idx="1197">
                  <c:v>-3.2587738683275704E-3</c:v>
                </c:pt>
                <c:pt idx="1198">
                  <c:v>4.5953664043352545E-3</c:v>
                </c:pt>
                <c:pt idx="1199">
                  <c:v>-1.252460917831065E-2</c:v>
                </c:pt>
                <c:pt idx="1200">
                  <c:v>1.1459550215575632E-3</c:v>
                </c:pt>
                <c:pt idx="1201">
                  <c:v>-3.1041312647029852E-3</c:v>
                </c:pt>
                <c:pt idx="1202">
                  <c:v>2.0161621250175643E-4</c:v>
                </c:pt>
                <c:pt idx="1203">
                  <c:v>-3.0426272686303788E-3</c:v>
                </c:pt>
                <c:pt idx="1204">
                  <c:v>6.1414599634068111E-3</c:v>
                </c:pt>
                <c:pt idx="1205">
                  <c:v>2.1895995806570281E-3</c:v>
                </c:pt>
                <c:pt idx="1206">
                  <c:v>-1.3766939590792353E-3</c:v>
                </c:pt>
                <c:pt idx="1207">
                  <c:v>-8.4063047335106874E-5</c:v>
                </c:pt>
                <c:pt idx="1208">
                  <c:v>4.7385172845472385E-3</c:v>
                </c:pt>
                <c:pt idx="1209">
                  <c:v>-3.8048801401324552E-3</c:v>
                </c:pt>
                <c:pt idx="1210">
                  <c:v>-1.7419369788728072E-3</c:v>
                </c:pt>
                <c:pt idx="1211">
                  <c:v>-2.9912461712177669E-3</c:v>
                </c:pt>
                <c:pt idx="1212">
                  <c:v>-3.1130804936909326E-3</c:v>
                </c:pt>
                <c:pt idx="1213">
                  <c:v>-1.2227928604123579E-4</c:v>
                </c:pt>
                <c:pt idx="1214">
                  <c:v>-6.8100511662960534E-3</c:v>
                </c:pt>
                <c:pt idx="1215">
                  <c:v>-6.5468703977364399E-3</c:v>
                </c:pt>
                <c:pt idx="1216">
                  <c:v>-4.4331988718818317E-3</c:v>
                </c:pt>
                <c:pt idx="1217">
                  <c:v>-1.6675295681625661E-3</c:v>
                </c:pt>
                <c:pt idx="1218">
                  <c:v>2.1980157782961814E-2</c:v>
                </c:pt>
                <c:pt idx="1219">
                  <c:v>3.7648601743320194E-3</c:v>
                </c:pt>
                <c:pt idx="1220">
                  <c:v>1.1016142751234132E-2</c:v>
                </c:pt>
                <c:pt idx="1221">
                  <c:v>1.9488592414451842E-3</c:v>
                </c:pt>
                <c:pt idx="1222">
                  <c:v>-1.398914799700448E-3</c:v>
                </c:pt>
                <c:pt idx="1223">
                  <c:v>-1.155094545772426E-4</c:v>
                </c:pt>
                <c:pt idx="1224">
                  <c:v>7.4529817276226176E-3</c:v>
                </c:pt>
                <c:pt idx="1225">
                  <c:v>-1.5835388740046499E-3</c:v>
                </c:pt>
                <c:pt idx="1226">
                  <c:v>4.6653888648148147E-3</c:v>
                </c:pt>
                <c:pt idx="1227">
                  <c:v>-2.3895530273762948E-3</c:v>
                </c:pt>
                <c:pt idx="1228">
                  <c:v>7.4336884116068527E-3</c:v>
                </c:pt>
                <c:pt idx="1229">
                  <c:v>2.1630866034014736E-3</c:v>
                </c:pt>
                <c:pt idx="1230">
                  <c:v>8.0768484718235598E-4</c:v>
                </c:pt>
                <c:pt idx="1231">
                  <c:v>3.9066882037051285E-3</c:v>
                </c:pt>
                <c:pt idx="1232">
                  <c:v>-5.2683318269105429E-3</c:v>
                </c:pt>
                <c:pt idx="1233">
                  <c:v>1.3344289127455414E-3</c:v>
                </c:pt>
                <c:pt idx="1234">
                  <c:v>-2.6569970689346348E-3</c:v>
                </c:pt>
                <c:pt idx="1235">
                  <c:v>-3.5217319747589582E-3</c:v>
                </c:pt>
                <c:pt idx="1236">
                  <c:v>3.969856521291979E-4</c:v>
                </c:pt>
                <c:pt idx="1237">
                  <c:v>5.8044223683808216E-3</c:v>
                </c:pt>
                <c:pt idx="1238">
                  <c:v>3.4050755798857375E-3</c:v>
                </c:pt>
                <c:pt idx="1239">
                  <c:v>1.3077306345682039E-2</c:v>
                </c:pt>
                <c:pt idx="1240">
                  <c:v>2.1570846729904334E-3</c:v>
                </c:pt>
                <c:pt idx="1241">
                  <c:v>5.9213794812155249E-3</c:v>
                </c:pt>
                <c:pt idx="1242">
                  <c:v>-1.1380520171109239E-3</c:v>
                </c:pt>
                <c:pt idx="1243">
                  <c:v>6.5184787900044779E-3</c:v>
                </c:pt>
                <c:pt idx="1244">
                  <c:v>-8.1503213600785333E-3</c:v>
                </c:pt>
                <c:pt idx="1245">
                  <c:v>3.8757077378476596E-3</c:v>
                </c:pt>
                <c:pt idx="1246">
                  <c:v>-1.7521740727583343E-3</c:v>
                </c:pt>
                <c:pt idx="1247">
                  <c:v>1.9731900398514256E-3</c:v>
                </c:pt>
                <c:pt idx="1248">
                  <c:v>3.6309210492785509E-3</c:v>
                </c:pt>
                <c:pt idx="1249">
                  <c:v>-2.4603512457385653E-3</c:v>
                </c:pt>
                <c:pt idx="1250">
                  <c:v>-1.8647241237848297E-3</c:v>
                </c:pt>
                <c:pt idx="1251">
                  <c:v>1.2508980027710417E-3</c:v>
                </c:pt>
                <c:pt idx="1252">
                  <c:v>2.2459178098379177E-3</c:v>
                </c:pt>
                <c:pt idx="1253">
                  <c:v>-8.3916576362484015E-3</c:v>
                </c:pt>
                <c:pt idx="1254">
                  <c:v>-2.9338679703151362E-4</c:v>
                </c:pt>
                <c:pt idx="1255">
                  <c:v>-4.6478652506068445E-3</c:v>
                </c:pt>
                <c:pt idx="1256">
                  <c:v>8.4507670468079114E-3</c:v>
                </c:pt>
                <c:pt idx="1257">
                  <c:v>5.7059983723568549E-3</c:v>
                </c:pt>
                <c:pt idx="1258">
                  <c:v>-7.7096760248118474E-4</c:v>
                </c:pt>
                <c:pt idx="1259">
                  <c:v>3.5107977582784673E-3</c:v>
                </c:pt>
                <c:pt idx="1260">
                  <c:v>-3.5548710080266039E-3</c:v>
                </c:pt>
                <c:pt idx="1261">
                  <c:v>0</c:v>
                </c:pt>
                <c:pt idx="1262">
                  <c:v>2.8255693040190599E-3</c:v>
                </c:pt>
                <c:pt idx="1263">
                  <c:v>-2.1470565426564801E-3</c:v>
                </c:pt>
                <c:pt idx="1264">
                  <c:v>1.8481528138047062E-3</c:v>
                </c:pt>
                <c:pt idx="1265">
                  <c:v>-2.9719143156583245E-3</c:v>
                </c:pt>
                <c:pt idx="1266">
                  <c:v>1.7622003864136812E-3</c:v>
                </c:pt>
                <c:pt idx="1267">
                  <c:v>-3.6158590231882884E-3</c:v>
                </c:pt>
                <c:pt idx="1268">
                  <c:v>3.3605323797867037E-3</c:v>
                </c:pt>
                <c:pt idx="1269">
                  <c:v>-2.6937022929649501E-3</c:v>
                </c:pt>
                <c:pt idx="1270">
                  <c:v>6.5430889919335022E-3</c:v>
                </c:pt>
                <c:pt idx="1271">
                  <c:v>7.9940317900096345E-3</c:v>
                </c:pt>
                <c:pt idx="1272">
                  <c:v>-7.355741836108801E-4</c:v>
                </c:pt>
                <c:pt idx="1273">
                  <c:v>-8.6684371967846608E-4</c:v>
                </c:pt>
                <c:pt idx="1274">
                  <c:v>-6.027656215802972E-3</c:v>
                </c:pt>
                <c:pt idx="1275">
                  <c:v>-8.9039584633273847E-4</c:v>
                </c:pt>
                <c:pt idx="1276">
                  <c:v>2.983489915560355E-4</c:v>
                </c:pt>
                <c:pt idx="1277">
                  <c:v>5.7012544303699489E-4</c:v>
                </c:pt>
                <c:pt idx="1278">
                  <c:v>7.2385736758165571E-3</c:v>
                </c:pt>
                <c:pt idx="1279">
                  <c:v>-2.1176570774647531E-3</c:v>
                </c:pt>
                <c:pt idx="1280">
                  <c:v>2.267949521675034E-4</c:v>
                </c:pt>
                <c:pt idx="1281">
                  <c:v>6.9315026479685557E-4</c:v>
                </c:pt>
                <c:pt idx="1282">
                  <c:v>5.7359789123306989E-3</c:v>
                </c:pt>
                <c:pt idx="1283">
                  <c:v>3.559715435258431E-3</c:v>
                </c:pt>
                <c:pt idx="1284">
                  <c:v>5.2321757481008707E-3</c:v>
                </c:pt>
                <c:pt idx="1285">
                  <c:v>3.9992937743571818E-3</c:v>
                </c:pt>
                <c:pt idx="1286">
                  <c:v>4.9799220870501608E-3</c:v>
                </c:pt>
                <c:pt idx="1287">
                  <c:v>-8.644791200295176E-4</c:v>
                </c:pt>
                <c:pt idx="1288">
                  <c:v>1.6771742275309119E-3</c:v>
                </c:pt>
                <c:pt idx="1289">
                  <c:v>6.0298621810357042E-3</c:v>
                </c:pt>
                <c:pt idx="1290">
                  <c:v>-1.0828646208509895E-3</c:v>
                </c:pt>
                <c:pt idx="1291">
                  <c:v>4.1890311468295642E-4</c:v>
                </c:pt>
                <c:pt idx="1292">
                  <c:v>1.4922378935534736E-3</c:v>
                </c:pt>
                <c:pt idx="1293">
                  <c:v>1.0175023940541276E-3</c:v>
                </c:pt>
                <c:pt idx="1294">
                  <c:v>-2.5816606675474183E-3</c:v>
                </c:pt>
                <c:pt idx="1295">
                  <c:v>1.3581181939563836E-2</c:v>
                </c:pt>
                <c:pt idx="1296">
                  <c:v>-5.8771004764202996E-3</c:v>
                </c:pt>
                <c:pt idx="1297">
                  <c:v>5.0366839538305158E-4</c:v>
                </c:pt>
                <c:pt idx="1298">
                  <c:v>-3.2825982574175411E-3</c:v>
                </c:pt>
                <c:pt idx="1299">
                  <c:v>-2.9175558777588639E-3</c:v>
                </c:pt>
                <c:pt idx="1300">
                  <c:v>-2.2868650550458714E-3</c:v>
                </c:pt>
                <c:pt idx="1301">
                  <c:v>7.9951779378723649E-4</c:v>
                </c:pt>
                <c:pt idx="1302">
                  <c:v>3.2633480993077457E-3</c:v>
                </c:pt>
                <c:pt idx="1303">
                  <c:v>3.6661912266134326E-4</c:v>
                </c:pt>
                <c:pt idx="1304">
                  <c:v>-3.3847406821550332E-3</c:v>
                </c:pt>
                <c:pt idx="1305">
                  <c:v>8.3398543883171257E-3</c:v>
                </c:pt>
                <c:pt idx="1306">
                  <c:v>-1.6279814951152382E-3</c:v>
                </c:pt>
                <c:pt idx="1307">
                  <c:v>-1.315228474144621E-3</c:v>
                </c:pt>
                <c:pt idx="1308">
                  <c:v>-2.0119037369022092E-3</c:v>
                </c:pt>
                <c:pt idx="1309">
                  <c:v>-1.2485615265953647E-2</c:v>
                </c:pt>
                <c:pt idx="1310">
                  <c:v>1.8881319714754499E-3</c:v>
                </c:pt>
                <c:pt idx="1311">
                  <c:v>-1.0608362855033045E-3</c:v>
                </c:pt>
                <c:pt idx="1312">
                  <c:v>-8.4436053238891068E-4</c:v>
                </c:pt>
                <c:pt idx="1313">
                  <c:v>-1.0201534529525073E-3</c:v>
                </c:pt>
                <c:pt idx="1314">
                  <c:v>7.2253173808166449E-3</c:v>
                </c:pt>
                <c:pt idx="1315">
                  <c:v>1.0848148191858569E-3</c:v>
                </c:pt>
                <c:pt idx="1316">
                  <c:v>2.9307365363928895E-3</c:v>
                </c:pt>
                <c:pt idx="1317">
                  <c:v>-2.2575567952728324E-3</c:v>
                </c:pt>
                <c:pt idx="1318">
                  <c:v>-1.6435249677560892E-3</c:v>
                </c:pt>
                <c:pt idx="1319">
                  <c:v>5.5944057403117787E-4</c:v>
                </c:pt>
                <c:pt idx="1320">
                  <c:v>-3.0595532989129127E-3</c:v>
                </c:pt>
                <c:pt idx="1321">
                  <c:v>1.9276336842417722E-3</c:v>
                </c:pt>
                <c:pt idx="1322">
                  <c:v>-8.2749318857336135E-4</c:v>
                </c:pt>
                <c:pt idx="1323">
                  <c:v>6.8750400569067267E-4</c:v>
                </c:pt>
                <c:pt idx="1324">
                  <c:v>-1.4349580253540969E-3</c:v>
                </c:pt>
                <c:pt idx="1325">
                  <c:v>-3.7669958202624669E-3</c:v>
                </c:pt>
                <c:pt idx="1326">
                  <c:v>-6.8380284760690994E-3</c:v>
                </c:pt>
                <c:pt idx="1327">
                  <c:v>8.5764405680456898E-3</c:v>
                </c:pt>
                <c:pt idx="1328">
                  <c:v>-2.9075736718455298E-3</c:v>
                </c:pt>
                <c:pt idx="1329">
                  <c:v>-1.7178170006366042E-3</c:v>
                </c:pt>
                <c:pt idx="1330">
                  <c:v>7.5287796425385226E-3</c:v>
                </c:pt>
                <c:pt idx="1331">
                  <c:v>-3.039625852145616E-3</c:v>
                </c:pt>
                <c:pt idx="1332">
                  <c:v>1.0781752773837281E-2</c:v>
                </c:pt>
                <c:pt idx="1333">
                  <c:v>6.0721281060621066E-3</c:v>
                </c:pt>
                <c:pt idx="1334">
                  <c:v>-4.8575605114247193E-4</c:v>
                </c:pt>
                <c:pt idx="1335">
                  <c:v>5.5273837202107399E-4</c:v>
                </c:pt>
                <c:pt idx="1336">
                  <c:v>-1.9149508153329291E-3</c:v>
                </c:pt>
                <c:pt idx="1337">
                  <c:v>1.7307386358750435E-3</c:v>
                </c:pt>
                <c:pt idx="1338">
                  <c:v>1.1884089692428136E-3</c:v>
                </c:pt>
                <c:pt idx="1339">
                  <c:v>-1.2721529972957541E-3</c:v>
                </c:pt>
                <c:pt idx="1340">
                  <c:v>5.8187604333453274E-4</c:v>
                </c:pt>
                <c:pt idx="1341">
                  <c:v>4.0803513003330903E-3</c:v>
                </c:pt>
                <c:pt idx="1342">
                  <c:v>3.7510393509375765E-5</c:v>
                </c:pt>
                <c:pt idx="1343">
                  <c:v>-1.0257908036239289E-3</c:v>
                </c:pt>
                <c:pt idx="1344">
                  <c:v>1.1299789591918902E-3</c:v>
                </c:pt>
                <c:pt idx="1345">
                  <c:v>-2.1651757390083516E-3</c:v>
                </c:pt>
                <c:pt idx="1346">
                  <c:v>-1.4795189665720563E-3</c:v>
                </c:pt>
                <c:pt idx="1347">
                  <c:v>4.7650730024741666E-3</c:v>
                </c:pt>
                <c:pt idx="1348">
                  <c:v>-6.8707203842168071E-4</c:v>
                </c:pt>
                <c:pt idx="1349">
                  <c:v>-1.8345513143686251E-2</c:v>
                </c:pt>
                <c:pt idx="1350">
                  <c:v>3.6800634407031319E-3</c:v>
                </c:pt>
                <c:pt idx="1351">
                  <c:v>6.744699024732498E-3</c:v>
                </c:pt>
                <c:pt idx="1352">
                  <c:v>5.14684693721281E-3</c:v>
                </c:pt>
                <c:pt idx="1353">
                  <c:v>1.8362259042573701E-3</c:v>
                </c:pt>
                <c:pt idx="1354">
                  <c:v>2.4860459084413127E-3</c:v>
                </c:pt>
                <c:pt idx="1355">
                  <c:v>4.4320390592464875E-3</c:v>
                </c:pt>
                <c:pt idx="1356">
                  <c:v>3.1050179408999626E-4</c:v>
                </c:pt>
                <c:pt idx="1357">
                  <c:v>-1.205286007825416E-3</c:v>
                </c:pt>
                <c:pt idx="1358">
                  <c:v>-4.6013129062012688E-4</c:v>
                </c:pt>
                <c:pt idx="1359">
                  <c:v>7.5425917183000596E-3</c:v>
                </c:pt>
                <c:pt idx="1360">
                  <c:v>3.7008707032855424E-3</c:v>
                </c:pt>
                <c:pt idx="1361">
                  <c:v>-1.2184192007356274E-3</c:v>
                </c:pt>
                <c:pt idx="1362">
                  <c:v>-2.7829007381501205E-3</c:v>
                </c:pt>
                <c:pt idx="1363">
                  <c:v>1.5671051049044751E-3</c:v>
                </c:pt>
                <c:pt idx="1364">
                  <c:v>2.6710883611008482E-4</c:v>
                </c:pt>
                <c:pt idx="1365">
                  <c:v>-8.3032584781852277E-4</c:v>
                </c:pt>
                <c:pt idx="1366">
                  <c:v>-9.7919023038320948E-4</c:v>
                </c:pt>
                <c:pt idx="1367">
                  <c:v>4.501274608283941E-3</c:v>
                </c:pt>
                <c:pt idx="1368">
                  <c:v>-9.962549022444363E-4</c:v>
                </c:pt>
                <c:pt idx="1369">
                  <c:v>-2.2421257837553104E-3</c:v>
                </c:pt>
                <c:pt idx="1370">
                  <c:v>2.8362322694394307E-4</c:v>
                </c:pt>
                <c:pt idx="1371">
                  <c:v>8.3125589925565676E-3</c:v>
                </c:pt>
                <c:pt idx="1372">
                  <c:v>-6.7191883898731087E-3</c:v>
                </c:pt>
                <c:pt idx="1373">
                  <c:v>-5.8284627643293246E-4</c:v>
                </c:pt>
                <c:pt idx="1374">
                  <c:v>-4.5584186772818001E-4</c:v>
                </c:pt>
                <c:pt idx="1375">
                  <c:v>1.5596785299304831E-3</c:v>
                </c:pt>
                <c:pt idx="1376">
                  <c:v>3.157439383918202E-4</c:v>
                </c:pt>
                <c:pt idx="1377">
                  <c:v>-8.1055101118562012E-3</c:v>
                </c:pt>
                <c:pt idx="1378">
                  <c:v>8.7694772165970627E-3</c:v>
                </c:pt>
                <c:pt idx="1379">
                  <c:v>-8.6372206717718336E-3</c:v>
                </c:pt>
                <c:pt idx="1380">
                  <c:v>1.532073698797482E-3</c:v>
                </c:pt>
                <c:pt idx="1381">
                  <c:v>2.3081276913972876E-3</c:v>
                </c:pt>
                <c:pt idx="1382">
                  <c:v>1.4522119983846045E-3</c:v>
                </c:pt>
                <c:pt idx="1383">
                  <c:v>-9.4129712485487432E-3</c:v>
                </c:pt>
                <c:pt idx="1384">
                  <c:v>6.3827407569568501E-3</c:v>
                </c:pt>
                <c:pt idx="1385">
                  <c:v>9.2733607738550183E-4</c:v>
                </c:pt>
                <c:pt idx="1386">
                  <c:v>-7.8302730584169154E-4</c:v>
                </c:pt>
                <c:pt idx="1387">
                  <c:v>7.2790630263669361E-3</c:v>
                </c:pt>
                <c:pt idx="1388">
                  <c:v>1.8727975574500866E-3</c:v>
                </c:pt>
                <c:pt idx="1389">
                  <c:v>4.6626401441430309E-3</c:v>
                </c:pt>
                <c:pt idx="1390">
                  <c:v>-5.2862612116695394E-5</c:v>
                </c:pt>
                <c:pt idx="1391">
                  <c:v>5.9759135880759124E-4</c:v>
                </c:pt>
                <c:pt idx="1392">
                  <c:v>5.3582702920709109E-3</c:v>
                </c:pt>
                <c:pt idx="1393">
                  <c:v>-1.5361976712352472E-4</c:v>
                </c:pt>
                <c:pt idx="1394">
                  <c:v>-3.6797486863832021E-4</c:v>
                </c:pt>
                <c:pt idx="1395">
                  <c:v>-1.0642496123316407E-3</c:v>
                </c:pt>
                <c:pt idx="1396">
                  <c:v>2.9189192431246041E-3</c:v>
                </c:pt>
                <c:pt idx="1397">
                  <c:v>2.8254516874271819E-4</c:v>
                </c:pt>
                <c:pt idx="1398">
                  <c:v>-9.7309854748828207E-4</c:v>
                </c:pt>
                <c:pt idx="1399">
                  <c:v>-1.3420867417742238E-3</c:v>
                </c:pt>
                <c:pt idx="1400">
                  <c:v>-7.2839109727374364E-4</c:v>
                </c:pt>
                <c:pt idx="1401">
                  <c:v>2.4461011054493871E-3</c:v>
                </c:pt>
                <c:pt idx="1402">
                  <c:v>4.9253925160855719E-4</c:v>
                </c:pt>
                <c:pt idx="1403">
                  <c:v>-2.1859786914876496E-3</c:v>
                </c:pt>
                <c:pt idx="1404">
                  <c:v>1.887254323046072E-3</c:v>
                </c:pt>
                <c:pt idx="1405">
                  <c:v>1.6459116133836385E-3</c:v>
                </c:pt>
                <c:pt idx="1406">
                  <c:v>-2.41735609047731E-3</c:v>
                </c:pt>
                <c:pt idx="1407">
                  <c:v>-3.6371425392981165E-4</c:v>
                </c:pt>
                <c:pt idx="1408">
                  <c:v>-1.4580194485226952E-2</c:v>
                </c:pt>
                <c:pt idx="1409">
                  <c:v>1.2747131060238811E-3</c:v>
                </c:pt>
                <c:pt idx="1410">
                  <c:v>9.9936436037592596E-3</c:v>
                </c:pt>
                <c:pt idx="1411">
                  <c:v>-4.9894026935336125E-4</c:v>
                </c:pt>
                <c:pt idx="1412">
                  <c:v>1.4190955851406412E-3</c:v>
                </c:pt>
                <c:pt idx="1413">
                  <c:v>-1.5557302982010086E-2</c:v>
                </c:pt>
                <c:pt idx="1414">
                  <c:v>-1.8370697733361559E-3</c:v>
                </c:pt>
                <c:pt idx="1415">
                  <c:v>1.1619475876316547E-3</c:v>
                </c:pt>
                <c:pt idx="1416">
                  <c:v>9.8917395364131917E-3</c:v>
                </c:pt>
                <c:pt idx="1417">
                  <c:v>-3.459582133507087E-3</c:v>
                </c:pt>
                <c:pt idx="1418">
                  <c:v>-2.0765887523938203E-3</c:v>
                </c:pt>
                <c:pt idx="1419">
                  <c:v>1.671439670407706E-3</c:v>
                </c:pt>
                <c:pt idx="1420">
                  <c:v>4.869774552017658E-4</c:v>
                </c:pt>
                <c:pt idx="1421">
                  <c:v>8.4244280665693428E-4</c:v>
                </c:pt>
                <c:pt idx="1422">
                  <c:v>4.6045159851196751E-3</c:v>
                </c:pt>
                <c:pt idx="1423">
                  <c:v>5.704748858195643E-3</c:v>
                </c:pt>
                <c:pt idx="1424">
                  <c:v>1.9805188155972674E-3</c:v>
                </c:pt>
                <c:pt idx="1425">
                  <c:v>-7.5794785683446272E-3</c:v>
                </c:pt>
                <c:pt idx="1426">
                  <c:v>3.1238663821462308E-3</c:v>
                </c:pt>
                <c:pt idx="1427">
                  <c:v>-1.7847581700066779E-4</c:v>
                </c:pt>
                <c:pt idx="1428">
                  <c:v>-1.4898927557054817E-3</c:v>
                </c:pt>
                <c:pt idx="1429">
                  <c:v>1.0780904250841916E-2</c:v>
                </c:pt>
                <c:pt idx="1430">
                  <c:v>3.3583535924836664E-3</c:v>
                </c:pt>
                <c:pt idx="1431">
                  <c:v>7.5677951898545429E-4</c:v>
                </c:pt>
                <c:pt idx="1432">
                  <c:v>-1.1013239025146775E-3</c:v>
                </c:pt>
                <c:pt idx="1433">
                  <c:v>1.8455323152087293E-3</c:v>
                </c:pt>
                <c:pt idx="1434">
                  <c:v>1.454807314799407E-3</c:v>
                </c:pt>
                <c:pt idx="1435">
                  <c:v>1.1096653781502376E-3</c:v>
                </c:pt>
                <c:pt idx="1436">
                  <c:v>6.3411163685643339E-4</c:v>
                </c:pt>
                <c:pt idx="1437">
                  <c:v>-3.0506088934585734E-3</c:v>
                </c:pt>
                <c:pt idx="1438">
                  <c:v>6.4763475664636797E-4</c:v>
                </c:pt>
                <c:pt idx="1439">
                  <c:v>-2.2244992049246771E-3</c:v>
                </c:pt>
                <c:pt idx="1440">
                  <c:v>7.2093721869792582E-5</c:v>
                </c:pt>
                <c:pt idx="1441">
                  <c:v>4.0768420216074665E-3</c:v>
                </c:pt>
                <c:pt idx="1442">
                  <c:v>1.2038828664962132E-3</c:v>
                </c:pt>
                <c:pt idx="1443">
                  <c:v>3.6982437735080622E-3</c:v>
                </c:pt>
                <c:pt idx="1444">
                  <c:v>3.8665151329828713E-3</c:v>
                </c:pt>
                <c:pt idx="1445">
                  <c:v>2.1565266962995347E-3</c:v>
                </c:pt>
                <c:pt idx="1446">
                  <c:v>1.2459783329185144E-3</c:v>
                </c:pt>
                <c:pt idx="1447">
                  <c:v>5.6308733972806214E-3</c:v>
                </c:pt>
                <c:pt idx="1448">
                  <c:v>-1.0742150246923344E-3</c:v>
                </c:pt>
                <c:pt idx="1449">
                  <c:v>-1.8060255475314134E-3</c:v>
                </c:pt>
                <c:pt idx="1450">
                  <c:v>2.3197540709582955E-3</c:v>
                </c:pt>
                <c:pt idx="1451">
                  <c:v>1.8018446358107835E-3</c:v>
                </c:pt>
                <c:pt idx="1452">
                  <c:v>-1.6881541443298049E-3</c:v>
                </c:pt>
                <c:pt idx="1453">
                  <c:v>8.7772580623768782E-4</c:v>
                </c:pt>
                <c:pt idx="1454">
                  <c:v>1.7492339334793062E-3</c:v>
                </c:pt>
                <c:pt idx="1455">
                  <c:v>6.7226893288223496E-4</c:v>
                </c:pt>
                <c:pt idx="1456">
                  <c:v>7.4209767067105596E-4</c:v>
                </c:pt>
                <c:pt idx="1457">
                  <c:v>3.2790981212585998E-4</c:v>
                </c:pt>
                <c:pt idx="1458">
                  <c:v>5.103849469401585E-3</c:v>
                </c:pt>
                <c:pt idx="1459">
                  <c:v>-3.9804028670812871E-3</c:v>
                </c:pt>
                <c:pt idx="1460">
                  <c:v>1.6166388736675908E-3</c:v>
                </c:pt>
                <c:pt idx="1461">
                  <c:v>-4.6739631114622714E-3</c:v>
                </c:pt>
                <c:pt idx="1462">
                  <c:v>1.2701392021270566E-3</c:v>
                </c:pt>
                <c:pt idx="1463">
                  <c:v>8.0405453538159206E-3</c:v>
                </c:pt>
                <c:pt idx="1464">
                  <c:v>-3.1975812572382673E-3</c:v>
                </c:pt>
                <c:pt idx="1465">
                  <c:v>9.4403950998150389E-4</c:v>
                </c:pt>
                <c:pt idx="1466">
                  <c:v>1.5908062532808776E-3</c:v>
                </c:pt>
                <c:pt idx="1467">
                  <c:v>1.8995156292258536E-4</c:v>
                </c:pt>
                <c:pt idx="1468">
                  <c:v>3.0922932168462635E-3</c:v>
                </c:pt>
                <c:pt idx="1469">
                  <c:v>1.2705230741123081E-3</c:v>
                </c:pt>
                <c:pt idx="1470">
                  <c:v>-1.8912456610798272E-4</c:v>
                </c:pt>
                <c:pt idx="1471">
                  <c:v>1.442617636431107E-3</c:v>
                </c:pt>
                <c:pt idx="1472">
                  <c:v>-3.7690718494426323E-3</c:v>
                </c:pt>
                <c:pt idx="1473">
                  <c:v>-8.9802054450679157E-4</c:v>
                </c:pt>
                <c:pt idx="1474">
                  <c:v>9.8313581772029252E-4</c:v>
                </c:pt>
                <c:pt idx="1475">
                  <c:v>-2.3122919993494805E-3</c:v>
                </c:pt>
                <c:pt idx="1476">
                  <c:v>-5.5409989946132651E-3</c:v>
                </c:pt>
                <c:pt idx="1477">
                  <c:v>8.1627400224411704E-3</c:v>
                </c:pt>
                <c:pt idx="1478">
                  <c:v>-2.6294963926015349E-3</c:v>
                </c:pt>
                <c:pt idx="1479">
                  <c:v>1.2749493588078771E-3</c:v>
                </c:pt>
                <c:pt idx="1480">
                  <c:v>6.5197860056391329E-3</c:v>
                </c:pt>
                <c:pt idx="1481">
                  <c:v>-7.5056151295621967E-4</c:v>
                </c:pt>
                <c:pt idx="1482">
                  <c:v>2.0540443802283723E-3</c:v>
                </c:pt>
                <c:pt idx="1483">
                  <c:v>-3.8433157526338035E-4</c:v>
                </c:pt>
                <c:pt idx="1484">
                  <c:v>9.8002872957213879E-3</c:v>
                </c:pt>
                <c:pt idx="1485">
                  <c:v>-3.6930504444957223E-4</c:v>
                </c:pt>
                <c:pt idx="1486">
                  <c:v>8.1575831857880702E-3</c:v>
                </c:pt>
                <c:pt idx="1487">
                  <c:v>-2.0265423397495962E-3</c:v>
                </c:pt>
                <c:pt idx="1488">
                  <c:v>-1.052699437952113E-3</c:v>
                </c:pt>
                <c:pt idx="1489">
                  <c:v>-3.7464387216745616E-3</c:v>
                </c:pt>
                <c:pt idx="1490">
                  <c:v>-1.1409360251520882E-4</c:v>
                </c:pt>
                <c:pt idx="1491">
                  <c:v>2.9280818451754833E-3</c:v>
                </c:pt>
                <c:pt idx="1492">
                  <c:v>5.491194628844653E-3</c:v>
                </c:pt>
                <c:pt idx="1493">
                  <c:v>3.1968457929972233E-3</c:v>
                </c:pt>
                <c:pt idx="1494">
                  <c:v>1.5476797289272538E-3</c:v>
                </c:pt>
                <c:pt idx="1495">
                  <c:v>-4.7306532187143082E-4</c:v>
                </c:pt>
                <c:pt idx="1496">
                  <c:v>-4.0791347395288243E-3</c:v>
                </c:pt>
                <c:pt idx="1497">
                  <c:v>8.9342951949163939E-3</c:v>
                </c:pt>
                <c:pt idx="1498">
                  <c:v>5.3485331483242001E-3</c:v>
                </c:pt>
                <c:pt idx="1499">
                  <c:v>-3.2355197885935352E-3</c:v>
                </c:pt>
                <c:pt idx="1500">
                  <c:v>-8.2824699924951802E-4</c:v>
                </c:pt>
                <c:pt idx="1501">
                  <c:v>1.983661548850703E-3</c:v>
                </c:pt>
                <c:pt idx="1502">
                  <c:v>-4.5827892849429578E-4</c:v>
                </c:pt>
                <c:pt idx="1503">
                  <c:v>-1.0589429458703716E-3</c:v>
                </c:pt>
                <c:pt idx="1504">
                  <c:v>7.9058462627016842E-4</c:v>
                </c:pt>
                <c:pt idx="1505">
                  <c:v>1.8323481522244368E-3</c:v>
                </c:pt>
                <c:pt idx="1506">
                  <c:v>-5.1966579366681887E-3</c:v>
                </c:pt>
                <c:pt idx="1507">
                  <c:v>8.2690966618669728E-3</c:v>
                </c:pt>
                <c:pt idx="1508">
                  <c:v>6.3784333821309434E-3</c:v>
                </c:pt>
                <c:pt idx="1509">
                  <c:v>4.0205680372948248E-3</c:v>
                </c:pt>
                <c:pt idx="1510">
                  <c:v>7.0091779035817607E-3</c:v>
                </c:pt>
                <c:pt idx="1511">
                  <c:v>1.6609423836402202E-3</c:v>
                </c:pt>
                <c:pt idx="1512">
                  <c:v>1.3020551030292105E-3</c:v>
                </c:pt>
                <c:pt idx="1513">
                  <c:v>-1.112824506788398E-3</c:v>
                </c:pt>
                <c:pt idx="1514">
                  <c:v>7.0089974904075066E-3</c:v>
                </c:pt>
                <c:pt idx="1515">
                  <c:v>6.726951075669084E-3</c:v>
                </c:pt>
                <c:pt idx="1516">
                  <c:v>-3.5306886277954239E-3</c:v>
                </c:pt>
                <c:pt idx="1517">
                  <c:v>9.3709571605236092E-3</c:v>
                </c:pt>
                <c:pt idx="1518">
                  <c:v>-1.6176870607860264E-3</c:v>
                </c:pt>
                <c:pt idx="1519">
                  <c:v>4.3756410828246122E-3</c:v>
                </c:pt>
                <c:pt idx="1520">
                  <c:v>8.0343920983147674E-3</c:v>
                </c:pt>
                <c:pt idx="1521">
                  <c:v>2.1720359026722361E-3</c:v>
                </c:pt>
                <c:pt idx="1522">
                  <c:v>-5.6018758940720487E-4</c:v>
                </c:pt>
                <c:pt idx="1523">
                  <c:v>6.024531651585847E-4</c:v>
                </c:pt>
                <c:pt idx="1524">
                  <c:v>1.1771597314994501E-2</c:v>
                </c:pt>
                <c:pt idx="1525">
                  <c:v>-6.7547057606620409E-3</c:v>
                </c:pt>
                <c:pt idx="1526">
                  <c:v>-1.0958608318405548E-2</c:v>
                </c:pt>
                <c:pt idx="1527">
                  <c:v>4.8882088876100647E-4</c:v>
                </c:pt>
                <c:pt idx="1528">
                  <c:v>-6.4827068101673384E-4</c:v>
                </c:pt>
                <c:pt idx="1529">
                  <c:v>-2.1436645011316622E-2</c:v>
                </c:pt>
                <c:pt idx="1530">
                  <c:v>-4.1842561245182139E-2</c:v>
                </c:pt>
                <c:pt idx="1531">
                  <c:v>1.7290591086863923E-2</c:v>
                </c:pt>
                <c:pt idx="1532">
                  <c:v>-5.0141453066676256E-3</c:v>
                </c:pt>
                <c:pt idx="1533">
                  <c:v>-3.8259085020510716E-2</c:v>
                </c:pt>
                <c:pt idx="1534">
                  <c:v>1.4825626559634099E-2</c:v>
                </c:pt>
                <c:pt idx="1535">
                  <c:v>1.3818684318076369E-2</c:v>
                </c:pt>
                <c:pt idx="1536">
                  <c:v>2.6095439836837349E-3</c:v>
                </c:pt>
                <c:pt idx="1537">
                  <c:v>1.3313461230303598E-2</c:v>
                </c:pt>
                <c:pt idx="1538">
                  <c:v>1.1996836229864197E-2</c:v>
                </c:pt>
                <c:pt idx="1539">
                  <c:v>3.733924947562478E-4</c:v>
                </c:pt>
                <c:pt idx="1540">
                  <c:v>-5.8585314248203952E-3</c:v>
                </c:pt>
                <c:pt idx="1541">
                  <c:v>-5.5116898090027547E-3</c:v>
                </c:pt>
                <c:pt idx="1542">
                  <c:v>9.7312085292120475E-4</c:v>
                </c:pt>
                <c:pt idx="1543">
                  <c:v>1.590124602558474E-2</c:v>
                </c:pt>
                <c:pt idx="1544">
                  <c:v>1.1688421260557077E-2</c:v>
                </c:pt>
                <c:pt idx="1545">
                  <c:v>-1.2788286983879777E-2</c:v>
                </c:pt>
                <c:pt idx="1546">
                  <c:v>-1.1157824195769547E-2</c:v>
                </c:pt>
                <c:pt idx="1547">
                  <c:v>-1.3413907890662753E-2</c:v>
                </c:pt>
                <c:pt idx="1548">
                  <c:v>5.0587563087125835E-3</c:v>
                </c:pt>
                <c:pt idx="1549">
                  <c:v>1.0971639144904529E-2</c:v>
                </c:pt>
                <c:pt idx="1550">
                  <c:v>2.6353184422145334E-3</c:v>
                </c:pt>
                <c:pt idx="1551">
                  <c:v>-4.8396677706154348E-4</c:v>
                </c:pt>
                <c:pt idx="1552">
                  <c:v>4.453176811945213E-3</c:v>
                </c:pt>
                <c:pt idx="1553">
                  <c:v>1.7229511513169881E-2</c:v>
                </c:pt>
                <c:pt idx="1554">
                  <c:v>-1.2747798242772499E-3</c:v>
                </c:pt>
                <c:pt idx="1555">
                  <c:v>-6.3839245851629312E-3</c:v>
                </c:pt>
                <c:pt idx="1556">
                  <c:v>-5.7409415327189526E-3</c:v>
                </c:pt>
                <c:pt idx="1557">
                  <c:v>-7.8227193941249383E-4</c:v>
                </c:pt>
                <c:pt idx="1558">
                  <c:v>1.7020228353889482E-3</c:v>
                </c:pt>
                <c:pt idx="1559">
                  <c:v>-1.4306008195445936E-2</c:v>
                </c:pt>
                <c:pt idx="1560">
                  <c:v>1.4807014304161871E-3</c:v>
                </c:pt>
                <c:pt idx="1561">
                  <c:v>-1.8456884848011977E-3</c:v>
                </c:pt>
                <c:pt idx="1562">
                  <c:v>-2.5484890016140731E-2</c:v>
                </c:pt>
                <c:pt idx="1563">
                  <c:v>-2.1189833248420765E-2</c:v>
                </c:pt>
                <c:pt idx="1564">
                  <c:v>2.6795026112632157E-2</c:v>
                </c:pt>
                <c:pt idx="1565">
                  <c:v>-1.7427312133270447E-2</c:v>
                </c:pt>
                <c:pt idx="1566">
                  <c:v>-2.9208740450646013E-3</c:v>
                </c:pt>
                <c:pt idx="1567">
                  <c:v>1.3675733119263357E-2</c:v>
                </c:pt>
                <c:pt idx="1568">
                  <c:v>-2.2590592580476767E-2</c:v>
                </c:pt>
                <c:pt idx="1569">
                  <c:v>1.2535934603553565E-2</c:v>
                </c:pt>
                <c:pt idx="1570">
                  <c:v>1.1500105825438875E-2</c:v>
                </c:pt>
                <c:pt idx="1571">
                  <c:v>6.8393662400598977E-3</c:v>
                </c:pt>
                <c:pt idx="1572">
                  <c:v>-2.2164022802027339E-2</c:v>
                </c:pt>
                <c:pt idx="1573">
                  <c:v>3.3310173527511624E-3</c:v>
                </c:pt>
                <c:pt idx="1574">
                  <c:v>1.6588521255114928E-2</c:v>
                </c:pt>
                <c:pt idx="1575">
                  <c:v>-5.540619488903829E-3</c:v>
                </c:pt>
                <c:pt idx="1576">
                  <c:v>8.2168801872393362E-3</c:v>
                </c:pt>
                <c:pt idx="1577">
                  <c:v>-2.8908218745022159E-3</c:v>
                </c:pt>
                <c:pt idx="1578">
                  <c:v>8.0763223621077573E-3</c:v>
                </c:pt>
                <c:pt idx="1579">
                  <c:v>1.0605144127271393E-2</c:v>
                </c:pt>
                <c:pt idx="1580">
                  <c:v>8.310203745819628E-4</c:v>
                </c:pt>
                <c:pt idx="1581">
                  <c:v>-5.7425779413078446E-3</c:v>
                </c:pt>
                <c:pt idx="1582">
                  <c:v>-8.5731804710458409E-3</c:v>
                </c:pt>
                <c:pt idx="1583">
                  <c:v>5.6175251820395682E-5</c:v>
                </c:pt>
                <c:pt idx="1584">
                  <c:v>-1.3470895618345118E-2</c:v>
                </c:pt>
                <c:pt idx="1585">
                  <c:v>1.8354334726678417E-3</c:v>
                </c:pt>
                <c:pt idx="1586">
                  <c:v>1.0380129158368218E-2</c:v>
                </c:pt>
                <c:pt idx="1587">
                  <c:v>1.1130162199066156E-3</c:v>
                </c:pt>
                <c:pt idx="1588">
                  <c:v>-8.2212439071443575E-3</c:v>
                </c:pt>
                <c:pt idx="1589">
                  <c:v>2.5458022179105093E-3</c:v>
                </c:pt>
                <c:pt idx="1590">
                  <c:v>-7.2319031675897134E-3</c:v>
                </c:pt>
                <c:pt idx="1591">
                  <c:v>-2.2562397993906034E-3</c:v>
                </c:pt>
                <c:pt idx="1592">
                  <c:v>1.2729831933829549E-2</c:v>
                </c:pt>
                <c:pt idx="1593">
                  <c:v>3.451995069662222E-3</c:v>
                </c:pt>
                <c:pt idx="1594">
                  <c:v>-2.6569121971978244E-4</c:v>
                </c:pt>
                <c:pt idx="1595">
                  <c:v>9.6356042161504785E-3</c:v>
                </c:pt>
                <c:pt idx="1596">
                  <c:v>9.3270009795039417E-3</c:v>
                </c:pt>
                <c:pt idx="1597">
                  <c:v>1.7061751151760478E-3</c:v>
                </c:pt>
                <c:pt idx="1598">
                  <c:v>8.8313169348161837E-4</c:v>
                </c:pt>
                <c:pt idx="1599">
                  <c:v>-6.8656799596488963E-3</c:v>
                </c:pt>
                <c:pt idx="1600">
                  <c:v>4.0523361876279775E-3</c:v>
                </c:pt>
                <c:pt idx="1601">
                  <c:v>-8.562100552650634E-4</c:v>
                </c:pt>
                <c:pt idx="1602">
                  <c:v>-2.6356975373117938E-3</c:v>
                </c:pt>
                <c:pt idx="1603">
                  <c:v>7.3595901759010559E-3</c:v>
                </c:pt>
                <c:pt idx="1604">
                  <c:v>-3.1406635129493403E-3</c:v>
                </c:pt>
                <c:pt idx="1605">
                  <c:v>3.2431094088002069E-3</c:v>
                </c:pt>
                <c:pt idx="1606">
                  <c:v>-2.0252522464269634E-3</c:v>
                </c:pt>
                <c:pt idx="1607">
                  <c:v>-2.3600281824850003E-3</c:v>
                </c:pt>
                <c:pt idx="1608">
                  <c:v>-1.1631583739263906E-2</c:v>
                </c:pt>
                <c:pt idx="1609">
                  <c:v>1.2615911702766044E-2</c:v>
                </c:pt>
                <c:pt idx="1610">
                  <c:v>-6.9033368781207007E-3</c:v>
                </c:pt>
                <c:pt idx="1611">
                  <c:v>1.079076407564197E-2</c:v>
                </c:pt>
                <c:pt idx="1612">
                  <c:v>4.4695950894616818E-3</c:v>
                </c:pt>
                <c:pt idx="1613">
                  <c:v>7.0237116833561891E-4</c:v>
                </c:pt>
                <c:pt idx="1614">
                  <c:v>8.5308831756656898E-3</c:v>
                </c:pt>
                <c:pt idx="1615">
                  <c:v>-7.1445069721093465E-4</c:v>
                </c:pt>
                <c:pt idx="1616">
                  <c:v>3.1210606659344705E-3</c:v>
                </c:pt>
                <c:pt idx="1617">
                  <c:v>1.0681475490628696E-3</c:v>
                </c:pt>
                <c:pt idx="1618">
                  <c:v>1.7418322369011133E-3</c:v>
                </c:pt>
                <c:pt idx="1619">
                  <c:v>-4.0341772794630594E-3</c:v>
                </c:pt>
                <c:pt idx="1620">
                  <c:v>2.4684618120292836E-3</c:v>
                </c:pt>
                <c:pt idx="1621">
                  <c:v>-1.0175922059649557E-3</c:v>
                </c:pt>
                <c:pt idx="1622">
                  <c:v>-2.1284228000868419E-3</c:v>
                </c:pt>
                <c:pt idx="1623">
                  <c:v>-4.0315497659651062E-3</c:v>
                </c:pt>
                <c:pt idx="1624">
                  <c:v>1.7106973363122029E-3</c:v>
                </c:pt>
                <c:pt idx="1625">
                  <c:v>-6.3657076922923536E-3</c:v>
                </c:pt>
                <c:pt idx="1626">
                  <c:v>1.8602493447316098E-3</c:v>
                </c:pt>
                <c:pt idx="1627">
                  <c:v>-1.3819790665146471E-2</c:v>
                </c:pt>
                <c:pt idx="1628">
                  <c:v>2.2021541473088704E-3</c:v>
                </c:pt>
                <c:pt idx="1629">
                  <c:v>-8.6415213868015241E-3</c:v>
                </c:pt>
                <c:pt idx="1630">
                  <c:v>6.1596150392206625E-3</c:v>
                </c:pt>
                <c:pt idx="1631">
                  <c:v>7.5809434912754855E-4</c:v>
                </c:pt>
                <c:pt idx="1632">
                  <c:v>3.0633182696388058E-3</c:v>
                </c:pt>
                <c:pt idx="1633">
                  <c:v>-4.959632808581322E-3</c:v>
                </c:pt>
                <c:pt idx="1634">
                  <c:v>8.5838066940842651E-3</c:v>
                </c:pt>
                <c:pt idx="1635">
                  <c:v>8.4455320847041989E-3</c:v>
                </c:pt>
                <c:pt idx="1636">
                  <c:v>8.7843436152737018E-3</c:v>
                </c:pt>
                <c:pt idx="1637">
                  <c:v>3.4671897996766143E-3</c:v>
                </c:pt>
                <c:pt idx="1638">
                  <c:v>-7.1194619539736125E-3</c:v>
                </c:pt>
                <c:pt idx="1639">
                  <c:v>8.7109846615288089E-3</c:v>
                </c:pt>
                <c:pt idx="1640">
                  <c:v>1.0786485794734959E-3</c:v>
                </c:pt>
                <c:pt idx="1641">
                  <c:v>-1.0286192765856391E-3</c:v>
                </c:pt>
                <c:pt idx="1642">
                  <c:v>3.9657825363438081E-3</c:v>
                </c:pt>
                <c:pt idx="1643">
                  <c:v>2.1581578355824118E-3</c:v>
                </c:pt>
                <c:pt idx="1644">
                  <c:v>-3.9607817464154278E-3</c:v>
                </c:pt>
                <c:pt idx="1645">
                  <c:v>-9.489291369751974E-4</c:v>
                </c:pt>
                <c:pt idx="1646">
                  <c:v>1.8363971848938719E-3</c:v>
                </c:pt>
                <c:pt idx="1647">
                  <c:v>4.7695465529177935E-3</c:v>
                </c:pt>
                <c:pt idx="1648">
                  <c:v>9.060376426541358E-3</c:v>
                </c:pt>
                <c:pt idx="1649">
                  <c:v>-3.0368580797846918E-3</c:v>
                </c:pt>
                <c:pt idx="1650">
                  <c:v>-6.5838795461225143E-3</c:v>
                </c:pt>
                <c:pt idx="1651">
                  <c:v>-5.7707999094024024E-3</c:v>
                </c:pt>
                <c:pt idx="1652">
                  <c:v>4.8728581939806326E-3</c:v>
                </c:pt>
                <c:pt idx="1653">
                  <c:v>-1.0409173801414606E-3</c:v>
                </c:pt>
                <c:pt idx="1654">
                  <c:v>4.914398127409042E-3</c:v>
                </c:pt>
                <c:pt idx="1655">
                  <c:v>4.6333873211502116E-3</c:v>
                </c:pt>
                <c:pt idx="1656">
                  <c:v>3.5320512931104955E-3</c:v>
                </c:pt>
                <c:pt idx="1657">
                  <c:v>2.8201845679715165E-3</c:v>
                </c:pt>
                <c:pt idx="1658">
                  <c:v>-2.6241438881196129E-4</c:v>
                </c:pt>
                <c:pt idx="1659">
                  <c:v>-1.4427591414417902E-3</c:v>
                </c:pt>
                <c:pt idx="1660">
                  <c:v>-7.1392952256226182E-3</c:v>
                </c:pt>
                <c:pt idx="1661">
                  <c:v>-4.0140031013779489E-3</c:v>
                </c:pt>
                <c:pt idx="1662">
                  <c:v>6.3689195466782979E-3</c:v>
                </c:pt>
                <c:pt idx="1663">
                  <c:v>-7.6312639158579937E-3</c:v>
                </c:pt>
                <c:pt idx="1664">
                  <c:v>7.8882767591131279E-3</c:v>
                </c:pt>
                <c:pt idx="1665">
                  <c:v>3.3176268652185398E-3</c:v>
                </c:pt>
                <c:pt idx="1666">
                  <c:v>2.4250166951827559E-3</c:v>
                </c:pt>
                <c:pt idx="1667">
                  <c:v>2.0664306891217009E-3</c:v>
                </c:pt>
                <c:pt idx="1668">
                  <c:v>-3.9826858501759574E-4</c:v>
                </c:pt>
                <c:pt idx="1669">
                  <c:v>-1.6926632005294403E-3</c:v>
                </c:pt>
                <c:pt idx="1670">
                  <c:v>6.1797194745907722E-3</c:v>
                </c:pt>
                <c:pt idx="1671">
                  <c:v>7.6411243957242277E-3</c:v>
                </c:pt>
                <c:pt idx="1672">
                  <c:v>2.6923196567344023E-4</c:v>
                </c:pt>
                <c:pt idx="1673">
                  <c:v>5.6852358046606769E-3</c:v>
                </c:pt>
                <c:pt idx="1674">
                  <c:v>-4.4401182457849643E-3</c:v>
                </c:pt>
                <c:pt idx="1675">
                  <c:v>1.3442134217546059E-4</c:v>
                </c:pt>
                <c:pt idx="1676">
                  <c:v>-1.6556752036839839E-3</c:v>
                </c:pt>
                <c:pt idx="1677">
                  <c:v>-2.8071067225424913E-3</c:v>
                </c:pt>
                <c:pt idx="1678">
                  <c:v>-3.6589741948485021E-3</c:v>
                </c:pt>
                <c:pt idx="1679">
                  <c:v>-2.2157571246540649E-3</c:v>
                </c:pt>
                <c:pt idx="1680">
                  <c:v>1.8960451407243311E-3</c:v>
                </c:pt>
                <c:pt idx="1681">
                  <c:v>3.7328621563787081E-3</c:v>
                </c:pt>
                <c:pt idx="1682">
                  <c:v>3.5659819551439804E-4</c:v>
                </c:pt>
                <c:pt idx="1683">
                  <c:v>5.2683486546839242E-3</c:v>
                </c:pt>
                <c:pt idx="1684">
                  <c:v>2.7542708586353852E-4</c:v>
                </c:pt>
                <c:pt idx="1685">
                  <c:v>-5.5853146174804991E-3</c:v>
                </c:pt>
                <c:pt idx="1686">
                  <c:v>5.354649595431229E-3</c:v>
                </c:pt>
                <c:pt idx="1687">
                  <c:v>1.2525249991826694E-3</c:v>
                </c:pt>
                <c:pt idx="1688">
                  <c:v>7.8099973940756514E-3</c:v>
                </c:pt>
                <c:pt idx="1689">
                  <c:v>-3.6857427018063469E-4</c:v>
                </c:pt>
                <c:pt idx="1690">
                  <c:v>-3.5219491222055663E-3</c:v>
                </c:pt>
                <c:pt idx="1691">
                  <c:v>-1.3059284486635185E-3</c:v>
                </c:pt>
                <c:pt idx="1692">
                  <c:v>-3.2946695026326335E-3</c:v>
                </c:pt>
                <c:pt idx="1693">
                  <c:v>2.7594661468949336E-3</c:v>
                </c:pt>
                <c:pt idx="1694">
                  <c:v>-6.8634415355334628E-6</c:v>
                </c:pt>
                <c:pt idx="1695">
                  <c:v>3.6344555873070567E-3</c:v>
                </c:pt>
                <c:pt idx="1696">
                  <c:v>-3.967154747124362E-4</c:v>
                </c:pt>
                <c:pt idx="1697">
                  <c:v>7.1124001534755626E-4</c:v>
                </c:pt>
                <c:pt idx="1698">
                  <c:v>-8.2030691043885728E-3</c:v>
                </c:pt>
                <c:pt idx="1699">
                  <c:v>-5.543301253226848E-3</c:v>
                </c:pt>
                <c:pt idx="1700">
                  <c:v>-3.951473188331464E-4</c:v>
                </c:pt>
                <c:pt idx="1701">
                  <c:v>-1.4189640475695234E-3</c:v>
                </c:pt>
                <c:pt idx="1702">
                  <c:v>-3.3416333989061714E-2</c:v>
                </c:pt>
                <c:pt idx="1703">
                  <c:v>-2.0787647463574973E-2</c:v>
                </c:pt>
                <c:pt idx="1704">
                  <c:v>1.4106320709680948E-2</c:v>
                </c:pt>
                <c:pt idx="1705">
                  <c:v>-5.922538841602318E-3</c:v>
                </c:pt>
                <c:pt idx="1706">
                  <c:v>2.1267870038650147E-2</c:v>
                </c:pt>
                <c:pt idx="1707">
                  <c:v>-2.5270816079308065E-4</c:v>
                </c:pt>
                <c:pt idx="1708">
                  <c:v>-1.4496515061645461E-2</c:v>
                </c:pt>
                <c:pt idx="1709">
                  <c:v>-3.6123513910236955E-4</c:v>
                </c:pt>
                <c:pt idx="1710">
                  <c:v>-4.3087439887895167E-3</c:v>
                </c:pt>
                <c:pt idx="1711">
                  <c:v>-5.5270973242133609E-3</c:v>
                </c:pt>
                <c:pt idx="1712">
                  <c:v>-3.135083200711912E-2</c:v>
                </c:pt>
                <c:pt idx="1713">
                  <c:v>1.8453729479332191E-2</c:v>
                </c:pt>
                <c:pt idx="1714">
                  <c:v>-1.7479090705260276E-2</c:v>
                </c:pt>
                <c:pt idx="1715">
                  <c:v>-6.5812303337732898E-3</c:v>
                </c:pt>
                <c:pt idx="1716">
                  <c:v>1.5545366655688744E-2</c:v>
                </c:pt>
                <c:pt idx="1717">
                  <c:v>1.0792838671999127E-2</c:v>
                </c:pt>
                <c:pt idx="1718">
                  <c:v>1.0502452503904892E-2</c:v>
                </c:pt>
                <c:pt idx="1719">
                  <c:v>-6.3366998101070391E-3</c:v>
                </c:pt>
                <c:pt idx="1720">
                  <c:v>5.5846938170283911E-3</c:v>
                </c:pt>
                <c:pt idx="1721">
                  <c:v>6.2398268627495259E-3</c:v>
                </c:pt>
                <c:pt idx="1722">
                  <c:v>2.0987099015788779E-2</c:v>
                </c:pt>
                <c:pt idx="1723">
                  <c:v>-2.5121349979599032E-3</c:v>
                </c:pt>
                <c:pt idx="1724">
                  <c:v>-9.2415615930208604E-3</c:v>
                </c:pt>
                <c:pt idx="1725">
                  <c:v>-1.9898136727593101E-2</c:v>
                </c:pt>
                <c:pt idx="1726">
                  <c:v>-1.4830044565126614E-3</c:v>
                </c:pt>
                <c:pt idx="1727">
                  <c:v>-7.5962428487097063E-3</c:v>
                </c:pt>
                <c:pt idx="1728">
                  <c:v>1.0538079545354202E-2</c:v>
                </c:pt>
                <c:pt idx="1729">
                  <c:v>2.2208125151236689E-3</c:v>
                </c:pt>
                <c:pt idx="1730">
                  <c:v>-1.6783146839093228E-2</c:v>
                </c:pt>
                <c:pt idx="1731">
                  <c:v>-1.8317962154308476E-2</c:v>
                </c:pt>
                <c:pt idx="1732">
                  <c:v>3.038654446444182E-3</c:v>
                </c:pt>
                <c:pt idx="1733">
                  <c:v>-6.5764677658551214E-3</c:v>
                </c:pt>
                <c:pt idx="1734">
                  <c:v>1.5413016366781477E-2</c:v>
                </c:pt>
                <c:pt idx="1735">
                  <c:v>3.2563952280602691E-3</c:v>
                </c:pt>
                <c:pt idx="1736">
                  <c:v>2.2714007938884229E-2</c:v>
                </c:pt>
                <c:pt idx="1737">
                  <c:v>-2.1854981435022809E-3</c:v>
                </c:pt>
                <c:pt idx="1738">
                  <c:v>8.1375938558372295E-3</c:v>
                </c:pt>
                <c:pt idx="1739">
                  <c:v>1.0881931492828126E-2</c:v>
                </c:pt>
                <c:pt idx="1740">
                  <c:v>-3.2900208542344787E-2</c:v>
                </c:pt>
                <c:pt idx="1741">
                  <c:v>-1.5233481015795478E-3</c:v>
                </c:pt>
                <c:pt idx="1742">
                  <c:v>-2.3596383238556007E-2</c:v>
                </c:pt>
                <c:pt idx="1743">
                  <c:v>1.7606440003852311E-3</c:v>
                </c:pt>
                <c:pt idx="1744">
                  <c:v>-3.564318930519869E-4</c:v>
                </c:pt>
                <c:pt idx="1745">
                  <c:v>5.4048563356254914E-3</c:v>
                </c:pt>
                <c:pt idx="1746">
                  <c:v>-1.999392643992198E-4</c:v>
                </c:pt>
                <c:pt idx="1747">
                  <c:v>-1.9271178750727643E-2</c:v>
                </c:pt>
                <c:pt idx="1748">
                  <c:v>-2.0992280594401735E-2</c:v>
                </c:pt>
                <c:pt idx="1749">
                  <c:v>8.6408358098435416E-5</c:v>
                </c:pt>
                <c:pt idx="1750">
                  <c:v>-1.5515478113209684E-2</c:v>
                </c:pt>
                <c:pt idx="1751">
                  <c:v>-1.5897793403096879E-2</c:v>
                </c:pt>
                <c:pt idx="1752">
                  <c:v>-2.0803200653483116E-2</c:v>
                </c:pt>
                <c:pt idx="1753">
                  <c:v>-2.7486565922407408E-2</c:v>
                </c:pt>
                <c:pt idx="1754">
                  <c:v>4.8403238994109442E-2</c:v>
                </c:pt>
                <c:pt idx="1755">
                  <c:v>8.5261777916688236E-3</c:v>
                </c:pt>
                <c:pt idx="1756">
                  <c:v>-1.2423185913211249E-3</c:v>
                </c:pt>
                <c:pt idx="1757">
                  <c:v>8.4565829777873986E-3</c:v>
                </c:pt>
                <c:pt idx="1758">
                  <c:v>1.2677203464647186E-3</c:v>
                </c:pt>
                <c:pt idx="1759">
                  <c:v>-2.5068276263535243E-2</c:v>
                </c:pt>
                <c:pt idx="1760">
                  <c:v>3.3759378318728883E-2</c:v>
                </c:pt>
                <c:pt idx="1761">
                  <c:v>6.9859758341247287E-3</c:v>
                </c:pt>
                <c:pt idx="1762">
                  <c:v>9.648598495866724E-3</c:v>
                </c:pt>
                <c:pt idx="1763">
                  <c:v>4.0896523041704267E-3</c:v>
                </c:pt>
                <c:pt idx="1764">
                  <c:v>4.508267632578381E-3</c:v>
                </c:pt>
                <c:pt idx="1765">
                  <c:v>-1.4635367547150111E-4</c:v>
                </c:pt>
                <c:pt idx="1766">
                  <c:v>-5.2714324201361554E-3</c:v>
                </c:pt>
                <c:pt idx="1767">
                  <c:v>1.06646417681244E-2</c:v>
                </c:pt>
                <c:pt idx="1768">
                  <c:v>2.2195019060886282E-3</c:v>
                </c:pt>
                <c:pt idx="1769">
                  <c:v>7.5627828542582029E-3</c:v>
                </c:pt>
                <c:pt idx="1770">
                  <c:v>1.3096912647036883E-2</c:v>
                </c:pt>
                <c:pt idx="1771">
                  <c:v>-1.4258454363476867E-2</c:v>
                </c:pt>
                <c:pt idx="1772">
                  <c:v>2.200471333308696E-3</c:v>
                </c:pt>
                <c:pt idx="1773">
                  <c:v>1.3747320396555432E-3</c:v>
                </c:pt>
                <c:pt idx="1774">
                  <c:v>8.4528936024961705E-3</c:v>
                </c:pt>
                <c:pt idx="1775">
                  <c:v>-7.8778091211158478E-3</c:v>
                </c:pt>
                <c:pt idx="1776">
                  <c:v>-1.4572709979783426E-3</c:v>
                </c:pt>
                <c:pt idx="1777">
                  <c:v>1.5429591679246102E-2</c:v>
                </c:pt>
                <c:pt idx="1778">
                  <c:v>8.560630907940894E-3</c:v>
                </c:pt>
                <c:pt idx="1779">
                  <c:v>8.9823187443282919E-4</c:v>
                </c:pt>
                <c:pt idx="1780">
                  <c:v>6.7533489353567532E-3</c:v>
                </c:pt>
                <c:pt idx="1781">
                  <c:v>4.697431279443067E-3</c:v>
                </c:pt>
                <c:pt idx="1782">
                  <c:v>-2.2269728784431774E-3</c:v>
                </c:pt>
                <c:pt idx="1783">
                  <c:v>-9.4011719208093036E-3</c:v>
                </c:pt>
                <c:pt idx="1784">
                  <c:v>6.7603388654662077E-4</c:v>
                </c:pt>
                <c:pt idx="1785">
                  <c:v>7.0879050825508596E-4</c:v>
                </c:pt>
                <c:pt idx="1786">
                  <c:v>1.2807878037835878E-2</c:v>
                </c:pt>
                <c:pt idx="1787">
                  <c:v>3.0194138361176875E-3</c:v>
                </c:pt>
                <c:pt idx="1788">
                  <c:v>-2.6551456286969719E-3</c:v>
                </c:pt>
                <c:pt idx="1789">
                  <c:v>1.0819962367806283E-2</c:v>
                </c:pt>
                <c:pt idx="1790">
                  <c:v>1.4976529973075329E-3</c:v>
                </c:pt>
                <c:pt idx="1791">
                  <c:v>1.7755546082880141E-3</c:v>
                </c:pt>
                <c:pt idx="1792">
                  <c:v>-3.5326446287138233E-3</c:v>
                </c:pt>
                <c:pt idx="1793">
                  <c:v>6.3906244381742427E-3</c:v>
                </c:pt>
                <c:pt idx="1794">
                  <c:v>1.2310380564024776E-3</c:v>
                </c:pt>
                <c:pt idx="1795">
                  <c:v>-7.9069630113047843E-4</c:v>
                </c:pt>
                <c:pt idx="1796">
                  <c:v>-5.4419042278991056E-4</c:v>
                </c:pt>
                <c:pt idx="1797">
                  <c:v>-2.8295460586895897E-3</c:v>
                </c:pt>
                <c:pt idx="1798">
                  <c:v>6.8716739803607518E-3</c:v>
                </c:pt>
                <c:pt idx="1799">
                  <c:v>-3.8881492742662512E-3</c:v>
                </c:pt>
                <c:pt idx="1800">
                  <c:v>-1.1321175028613038E-3</c:v>
                </c:pt>
                <c:pt idx="1801">
                  <c:v>-6.5454909924979043E-3</c:v>
                </c:pt>
                <c:pt idx="1802">
                  <c:v>-8.1589038889600621E-3</c:v>
                </c:pt>
                <c:pt idx="1803">
                  <c:v>-2.1340139198386563E-3</c:v>
                </c:pt>
                <c:pt idx="1804">
                  <c:v>1.455954294099511E-2</c:v>
                </c:pt>
                <c:pt idx="1805">
                  <c:v>2.9489762744178273E-3</c:v>
                </c:pt>
                <c:pt idx="1806">
                  <c:v>6.9255815470474699E-3</c:v>
                </c:pt>
                <c:pt idx="1807">
                  <c:v>-8.6842017060344712E-4</c:v>
                </c:pt>
                <c:pt idx="1808">
                  <c:v>4.972519373935739E-3</c:v>
                </c:pt>
                <c:pt idx="1809">
                  <c:v>3.6991105620370161E-3</c:v>
                </c:pt>
                <c:pt idx="1810">
                  <c:v>-1.3061489628502955E-4</c:v>
                </c:pt>
                <c:pt idx="1811">
                  <c:v>-2.9486656918281009E-3</c:v>
                </c:pt>
                <c:pt idx="1812">
                  <c:v>1.0794049627223466E-2</c:v>
                </c:pt>
                <c:pt idx="1813">
                  <c:v>-1.9156854235052909E-2</c:v>
                </c:pt>
                <c:pt idx="1814">
                  <c:v>-8.3942516810502456E-4</c:v>
                </c:pt>
                <c:pt idx="1815">
                  <c:v>7.1571051948916761E-3</c:v>
                </c:pt>
                <c:pt idx="1816">
                  <c:v>-4.6551989086819415E-3</c:v>
                </c:pt>
                <c:pt idx="1817">
                  <c:v>3.5831172994041961E-3</c:v>
                </c:pt>
                <c:pt idx="1818">
                  <c:v>6.7117196856877198E-3</c:v>
                </c:pt>
                <c:pt idx="1819">
                  <c:v>1.1502181500052781E-2</c:v>
                </c:pt>
                <c:pt idx="1820">
                  <c:v>1.7438524840564605E-5</c:v>
                </c:pt>
                <c:pt idx="1821">
                  <c:v>2.1461030004631186E-3</c:v>
                </c:pt>
                <c:pt idx="1822">
                  <c:v>2.0824685638528733E-3</c:v>
                </c:pt>
                <c:pt idx="1823">
                  <c:v>4.6256836918425713E-3</c:v>
                </c:pt>
                <c:pt idx="1824">
                  <c:v>1.0469016298636597E-3</c:v>
                </c:pt>
                <c:pt idx="1825">
                  <c:v>-6.0859527261046698E-3</c:v>
                </c:pt>
                <c:pt idx="1826">
                  <c:v>3.4718343144997492E-3</c:v>
                </c:pt>
                <c:pt idx="1827">
                  <c:v>3.8085148008697833E-5</c:v>
                </c:pt>
                <c:pt idx="1828">
                  <c:v>6.5876322869365339E-3</c:v>
                </c:pt>
                <c:pt idx="1829">
                  <c:v>-6.2962436214583303E-4</c:v>
                </c:pt>
                <c:pt idx="1830">
                  <c:v>5.0923505738616681E-4</c:v>
                </c:pt>
                <c:pt idx="1831">
                  <c:v>-2.2763638303940604E-3</c:v>
                </c:pt>
                <c:pt idx="1832">
                  <c:v>1.5778199046987368E-3</c:v>
                </c:pt>
                <c:pt idx="1833">
                  <c:v>1.0115259764941317E-3</c:v>
                </c:pt>
                <c:pt idx="1834">
                  <c:v>8.8023644018914056E-3</c:v>
                </c:pt>
                <c:pt idx="1835">
                  <c:v>-2.1941919046150143E-3</c:v>
                </c:pt>
                <c:pt idx="1836">
                  <c:v>-3.6901504155019838E-4</c:v>
                </c:pt>
                <c:pt idx="1837">
                  <c:v>4.6743634859040149E-3</c:v>
                </c:pt>
                <c:pt idx="1838">
                  <c:v>1.0708986882482718E-3</c:v>
                </c:pt>
                <c:pt idx="1839">
                  <c:v>9.5094813291652096E-4</c:v>
                </c:pt>
                <c:pt idx="1840">
                  <c:v>-7.5304126495015673E-3</c:v>
                </c:pt>
                <c:pt idx="1841">
                  <c:v>-2.1262580234037609E-3</c:v>
                </c:pt>
                <c:pt idx="1842">
                  <c:v>9.5921706414815368E-3</c:v>
                </c:pt>
                <c:pt idx="1843">
                  <c:v>-4.4810396666553265E-3</c:v>
                </c:pt>
                <c:pt idx="1844">
                  <c:v>-1.6649515009818341E-2</c:v>
                </c:pt>
                <c:pt idx="1845">
                  <c:v>-1.6066713268179022E-3</c:v>
                </c:pt>
                <c:pt idx="1846">
                  <c:v>-3.0260155887187833E-3</c:v>
                </c:pt>
                <c:pt idx="1847">
                  <c:v>3.7134177564540913E-3</c:v>
                </c:pt>
                <c:pt idx="1848">
                  <c:v>-2.4426544706444165E-2</c:v>
                </c:pt>
                <c:pt idx="1849">
                  <c:v>7.9840602076551824E-3</c:v>
                </c:pt>
                <c:pt idx="1850">
                  <c:v>5.8219770208102466E-3</c:v>
                </c:pt>
                <c:pt idx="1851">
                  <c:v>8.8559196487121624E-3</c:v>
                </c:pt>
                <c:pt idx="1852">
                  <c:v>-5.8544236531281706E-3</c:v>
                </c:pt>
                <c:pt idx="1853">
                  <c:v>-6.7722408534153554E-3</c:v>
                </c:pt>
                <c:pt idx="1854">
                  <c:v>8.4599047136238066E-3</c:v>
                </c:pt>
                <c:pt idx="1855">
                  <c:v>-2.8283616990028514E-3</c:v>
                </c:pt>
                <c:pt idx="1856">
                  <c:v>-1.1985681943016436E-2</c:v>
                </c:pt>
                <c:pt idx="1857">
                  <c:v>1.3526195784275823E-3</c:v>
                </c:pt>
                <c:pt idx="1858">
                  <c:v>-8.4108909346528385E-3</c:v>
                </c:pt>
                <c:pt idx="1859">
                  <c:v>-6.9359555174738127E-3</c:v>
                </c:pt>
                <c:pt idx="1860">
                  <c:v>2.0962411748005594E-3</c:v>
                </c:pt>
                <c:pt idx="1861">
                  <c:v>-1.3283188023120184E-2</c:v>
                </c:pt>
                <c:pt idx="1862">
                  <c:v>-2.7690315718501501E-3</c:v>
                </c:pt>
                <c:pt idx="1863">
                  <c:v>2.1205902322179549E-2</c:v>
                </c:pt>
                <c:pt idx="1864">
                  <c:v>8.1287685006414707E-3</c:v>
                </c:pt>
                <c:pt idx="1865">
                  <c:v>6.1168095558660623E-3</c:v>
                </c:pt>
                <c:pt idx="1866">
                  <c:v>1.0442945224567081E-2</c:v>
                </c:pt>
                <c:pt idx="1867">
                  <c:v>4.6492574289522378E-3</c:v>
                </c:pt>
                <c:pt idx="1868">
                  <c:v>-3.4993807146250003E-4</c:v>
                </c:pt>
                <c:pt idx="1869">
                  <c:v>-2.0396984988729416E-3</c:v>
                </c:pt>
                <c:pt idx="1870">
                  <c:v>4.0890781712417494E-3</c:v>
                </c:pt>
                <c:pt idx="1871">
                  <c:v>-1.612842169983723E-3</c:v>
                </c:pt>
                <c:pt idx="1872">
                  <c:v>9.3133570302482102E-4</c:v>
                </c:pt>
                <c:pt idx="1873">
                  <c:v>9.670462557011119E-3</c:v>
                </c:pt>
                <c:pt idx="1874">
                  <c:v>2.9807301410620332E-3</c:v>
                </c:pt>
                <c:pt idx="1875">
                  <c:v>9.4276151277163066E-3</c:v>
                </c:pt>
                <c:pt idx="1876">
                  <c:v>-1.2600261801485599E-3</c:v>
                </c:pt>
                <c:pt idx="1877">
                  <c:v>-1.7334348561240606E-3</c:v>
                </c:pt>
                <c:pt idx="1878">
                  <c:v>-9.5417023155633419E-3</c:v>
                </c:pt>
                <c:pt idx="1879">
                  <c:v>-1.2347459021461497E-3</c:v>
                </c:pt>
                <c:pt idx="1880">
                  <c:v>3.8159225573172161E-3</c:v>
                </c:pt>
                <c:pt idx="1881">
                  <c:v>5.7409118108132217E-3</c:v>
                </c:pt>
                <c:pt idx="1882">
                  <c:v>7.6429955755801899E-3</c:v>
                </c:pt>
                <c:pt idx="1883">
                  <c:v>2.9238703472561083E-3</c:v>
                </c:pt>
                <c:pt idx="1884">
                  <c:v>7.6430761271929189E-3</c:v>
                </c:pt>
                <c:pt idx="1885">
                  <c:v>-1.8074819954691978E-3</c:v>
                </c:pt>
                <c:pt idx="1886">
                  <c:v>-4.8471859933760311E-3</c:v>
                </c:pt>
                <c:pt idx="1887">
                  <c:v>1.2358159804265049E-3</c:v>
                </c:pt>
                <c:pt idx="1888">
                  <c:v>4.5004847673177414E-3</c:v>
                </c:pt>
                <c:pt idx="1889">
                  <c:v>2.2826717159195975E-3</c:v>
                </c:pt>
                <c:pt idx="1890">
                  <c:v>4.6094985236418001E-3</c:v>
                </c:pt>
                <c:pt idx="1891">
                  <c:v>1.7584401022740885E-4</c:v>
                </c:pt>
                <c:pt idx="1892">
                  <c:v>-3.4095813595054242E-3</c:v>
                </c:pt>
                <c:pt idx="1893">
                  <c:v>-6.5526262851549463E-3</c:v>
                </c:pt>
                <c:pt idx="1894">
                  <c:v>3.5755356654507981E-3</c:v>
                </c:pt>
                <c:pt idx="1895">
                  <c:v>-6.1958896877547841E-3</c:v>
                </c:pt>
                <c:pt idx="1896">
                  <c:v>2.8247279603128136E-3</c:v>
                </c:pt>
                <c:pt idx="1897">
                  <c:v>6.8241647017276323E-3</c:v>
                </c:pt>
                <c:pt idx="1898">
                  <c:v>4.6771636608934396E-3</c:v>
                </c:pt>
                <c:pt idx="1899">
                  <c:v>-5.276251069020221E-3</c:v>
                </c:pt>
                <c:pt idx="1900">
                  <c:v>7.3604742596646913E-3</c:v>
                </c:pt>
                <c:pt idx="1901">
                  <c:v>-1.6173767299502979E-3</c:v>
                </c:pt>
                <c:pt idx="1902">
                  <c:v>-2.5819723830935032E-3</c:v>
                </c:pt>
                <c:pt idx="1903">
                  <c:v>-1.0945190319276599E-2</c:v>
                </c:pt>
                <c:pt idx="1904">
                  <c:v>-9.0395867268047228E-3</c:v>
                </c:pt>
                <c:pt idx="1905">
                  <c:v>-7.3093853544549392E-3</c:v>
                </c:pt>
                <c:pt idx="1906">
                  <c:v>-3.0230162083586681E-2</c:v>
                </c:pt>
                <c:pt idx="1907">
                  <c:v>1.2933013700777157E-2</c:v>
                </c:pt>
                <c:pt idx="1908">
                  <c:v>7.6659588370266651E-4</c:v>
                </c:pt>
                <c:pt idx="1909">
                  <c:v>1.8588425780336086E-2</c:v>
                </c:pt>
                <c:pt idx="1910">
                  <c:v>-6.6385297600620738E-3</c:v>
                </c:pt>
                <c:pt idx="1911">
                  <c:v>-1.2393825636975902E-2</c:v>
                </c:pt>
                <c:pt idx="1912">
                  <c:v>1.5018305968787296E-2</c:v>
                </c:pt>
                <c:pt idx="1913">
                  <c:v>-2.9730363473091367E-2</c:v>
                </c:pt>
                <c:pt idx="1914">
                  <c:v>2.461236782690441E-3</c:v>
                </c:pt>
                <c:pt idx="1915">
                  <c:v>1.4323116131046663E-2</c:v>
                </c:pt>
                <c:pt idx="1916">
                  <c:v>1.2033185301994735E-2</c:v>
                </c:pt>
                <c:pt idx="1917">
                  <c:v>-7.9462520811493E-3</c:v>
                </c:pt>
                <c:pt idx="1918">
                  <c:v>8.2130062994995642E-3</c:v>
                </c:pt>
                <c:pt idx="1919">
                  <c:v>-5.0620962947638712E-4</c:v>
                </c:pt>
                <c:pt idx="1920">
                  <c:v>-2.6288935558066755E-2</c:v>
                </c:pt>
                <c:pt idx="1921">
                  <c:v>1.0923191173948981E-2</c:v>
                </c:pt>
                <c:pt idx="1922">
                  <c:v>-3.2083318806849889E-3</c:v>
                </c:pt>
                <c:pt idx="1923">
                  <c:v>6.52414118680143E-3</c:v>
                </c:pt>
                <c:pt idx="1924">
                  <c:v>1.260743543874108E-2</c:v>
                </c:pt>
                <c:pt idx="1925">
                  <c:v>6.4262082115234761E-4</c:v>
                </c:pt>
                <c:pt idx="1926">
                  <c:v>-6.9230294011075758E-3</c:v>
                </c:pt>
                <c:pt idx="1927">
                  <c:v>1.0783722026351545E-2</c:v>
                </c:pt>
                <c:pt idx="1928">
                  <c:v>1.2925922894213253E-2</c:v>
                </c:pt>
                <c:pt idx="1929">
                  <c:v>9.1020391827530893E-4</c:v>
                </c:pt>
                <c:pt idx="1930">
                  <c:v>-9.4004841318652159E-5</c:v>
                </c:pt>
                <c:pt idx="1931">
                  <c:v>3.2226552944139824E-4</c:v>
                </c:pt>
                <c:pt idx="1932">
                  <c:v>7.2036590507942328E-3</c:v>
                </c:pt>
                <c:pt idx="1933">
                  <c:v>2.8749707848360149E-3</c:v>
                </c:pt>
                <c:pt idx="1934">
                  <c:v>-7.2461844366199951E-4</c:v>
                </c:pt>
                <c:pt idx="1935">
                  <c:v>-3.1405356059661417E-3</c:v>
                </c:pt>
                <c:pt idx="1936">
                  <c:v>2.5784285879443072E-3</c:v>
                </c:pt>
                <c:pt idx="1937">
                  <c:v>3.4262353493549175E-4</c:v>
                </c:pt>
                <c:pt idx="1938">
                  <c:v>1.9955034655944141E-5</c:v>
                </c:pt>
                <c:pt idx="1939">
                  <c:v>-4.9076089603009186E-3</c:v>
                </c:pt>
                <c:pt idx="1940">
                  <c:v>-9.6927563433914354E-5</c:v>
                </c:pt>
                <c:pt idx="1941">
                  <c:v>-8.4520120896715845E-3</c:v>
                </c:pt>
                <c:pt idx="1942">
                  <c:v>6.1396789000371316E-3</c:v>
                </c:pt>
                <c:pt idx="1943">
                  <c:v>-2.4318711052058748E-3</c:v>
                </c:pt>
                <c:pt idx="1944">
                  <c:v>-5.3305084118475841E-3</c:v>
                </c:pt>
                <c:pt idx="1945">
                  <c:v>5.0349266847075358E-3</c:v>
                </c:pt>
                <c:pt idx="1946">
                  <c:v>-1.2334130226057026E-2</c:v>
                </c:pt>
                <c:pt idx="1947">
                  <c:v>-1.806544138860686E-2</c:v>
                </c:pt>
                <c:pt idx="1948">
                  <c:v>7.9403822367327143E-3</c:v>
                </c:pt>
                <c:pt idx="1949">
                  <c:v>1.41167416692291E-2</c:v>
                </c:pt>
                <c:pt idx="1950">
                  <c:v>-4.4883622575893614E-3</c:v>
                </c:pt>
                <c:pt idx="1951">
                  <c:v>-1.5683166513284146E-2</c:v>
                </c:pt>
                <c:pt idx="1952">
                  <c:v>9.063350218850439E-3</c:v>
                </c:pt>
                <c:pt idx="1953">
                  <c:v>6.3952088460510412E-3</c:v>
                </c:pt>
                <c:pt idx="1954">
                  <c:v>1.0879533213144676E-2</c:v>
                </c:pt>
                <c:pt idx="1955">
                  <c:v>-1.3880421740668583E-3</c:v>
                </c:pt>
                <c:pt idx="1956">
                  <c:v>9.906435272235942E-3</c:v>
                </c:pt>
                <c:pt idx="1957">
                  <c:v>-2.0015477739079852E-3</c:v>
                </c:pt>
                <c:pt idx="1958">
                  <c:v>2.759018658342625E-3</c:v>
                </c:pt>
                <c:pt idx="1959">
                  <c:v>-3.927045645713622E-3</c:v>
                </c:pt>
                <c:pt idx="1960">
                  <c:v>6.8481074978751595E-3</c:v>
                </c:pt>
                <c:pt idx="1961">
                  <c:v>-3.5750557426104746E-3</c:v>
                </c:pt>
                <c:pt idx="1962">
                  <c:v>2.8430935856431803E-3</c:v>
                </c:pt>
                <c:pt idx="1963">
                  <c:v>1.9185981834693214E-3</c:v>
                </c:pt>
                <c:pt idx="1964">
                  <c:v>4.0644263323678705E-3</c:v>
                </c:pt>
                <c:pt idx="1965">
                  <c:v>5.5658617746479786E-3</c:v>
                </c:pt>
                <c:pt idx="1966">
                  <c:v>-8.3274228806782234E-4</c:v>
                </c:pt>
                <c:pt idx="1967">
                  <c:v>3.2480476180495634E-3</c:v>
                </c:pt>
                <c:pt idx="1968">
                  <c:v>-3.0274515138039699E-3</c:v>
                </c:pt>
                <c:pt idx="1969">
                  <c:v>9.615978507102713E-3</c:v>
                </c:pt>
                <c:pt idx="1970">
                  <c:v>3.6972108027207482E-3</c:v>
                </c:pt>
                <c:pt idx="1971">
                  <c:v>-1.1864344814073249E-3</c:v>
                </c:pt>
                <c:pt idx="1972">
                  <c:v>7.0227918482797182E-4</c:v>
                </c:pt>
                <c:pt idx="1973">
                  <c:v>2.7264069235454487E-3</c:v>
                </c:pt>
                <c:pt idx="1974">
                  <c:v>2.5573557297830268E-3</c:v>
                </c:pt>
                <c:pt idx="1975">
                  <c:v>-1.9643733187996349E-3</c:v>
                </c:pt>
                <c:pt idx="1976">
                  <c:v>1.5633980380800601E-3</c:v>
                </c:pt>
                <c:pt idx="1977">
                  <c:v>7.1129737167743444E-4</c:v>
                </c:pt>
                <c:pt idx="1978">
                  <c:v>8.3674308309544126E-4</c:v>
                </c:pt>
                <c:pt idx="1979">
                  <c:v>7.666003452600061E-3</c:v>
                </c:pt>
                <c:pt idx="1980">
                  <c:v>5.0300442070485511E-4</c:v>
                </c:pt>
                <c:pt idx="1981">
                  <c:v>-5.9273880698187292E-4</c:v>
                </c:pt>
                <c:pt idx="1982">
                  <c:v>-3.7632657632212341E-3</c:v>
                </c:pt>
                <c:pt idx="1983">
                  <c:v>-1.5840312391350534E-3</c:v>
                </c:pt>
                <c:pt idx="1984">
                  <c:v>2.172573969691297E-3</c:v>
                </c:pt>
                <c:pt idx="1985">
                  <c:v>7.4792987268079824E-3</c:v>
                </c:pt>
                <c:pt idx="1986">
                  <c:v>2.1931231456042352E-3</c:v>
                </c:pt>
                <c:pt idx="1987">
                  <c:v>4.1657790039729458E-3</c:v>
                </c:pt>
                <c:pt idx="1988">
                  <c:v>-4.0193171713462017E-3</c:v>
                </c:pt>
                <c:pt idx="1989">
                  <c:v>-8.6685275462029671E-3</c:v>
                </c:pt>
                <c:pt idx="1990">
                  <c:v>-6.6601718383736989E-3</c:v>
                </c:pt>
                <c:pt idx="1991">
                  <c:v>6.3036386858473471E-3</c:v>
                </c:pt>
                <c:pt idx="1992">
                  <c:v>1.4991519920369975E-3</c:v>
                </c:pt>
                <c:pt idx="1993">
                  <c:v>9.0942520403683308E-3</c:v>
                </c:pt>
                <c:pt idx="1994">
                  <c:v>-3.1678491662223223E-3</c:v>
                </c:pt>
                <c:pt idx="1995">
                  <c:v>-1.0975548602935618E-3</c:v>
                </c:pt>
                <c:pt idx="1996">
                  <c:v>2.9039810658439487E-3</c:v>
                </c:pt>
                <c:pt idx="1997">
                  <c:v>8.538608499854607E-3</c:v>
                </c:pt>
                <c:pt idx="1998">
                  <c:v>7.2585315391421147E-5</c:v>
                </c:pt>
                <c:pt idx="1999">
                  <c:v>7.1223916512376051E-3</c:v>
                </c:pt>
                <c:pt idx="2000">
                  <c:v>3.3521461097710362E-4</c:v>
                </c:pt>
                <c:pt idx="2001">
                  <c:v>-4.3235386016704703E-4</c:v>
                </c:pt>
                <c:pt idx="2002">
                  <c:v>4.4493085995832623E-3</c:v>
                </c:pt>
                <c:pt idx="2003">
                  <c:v>4.9326414590377477E-3</c:v>
                </c:pt>
                <c:pt idx="2004">
                  <c:v>8.6575659030548003E-4</c:v>
                </c:pt>
                <c:pt idx="2005">
                  <c:v>-1.9542791796535865E-4</c:v>
                </c:pt>
                <c:pt idx="2006">
                  <c:v>5.1150531820716109E-3</c:v>
                </c:pt>
                <c:pt idx="2007">
                  <c:v>3.3950984041702139E-5</c:v>
                </c:pt>
                <c:pt idx="2008">
                  <c:v>-5.7976021775765895E-3</c:v>
                </c:pt>
                <c:pt idx="2009">
                  <c:v>2.9416937024937355E-3</c:v>
                </c:pt>
                <c:pt idx="2010">
                  <c:v>8.3438744546931679E-3</c:v>
                </c:pt>
                <c:pt idx="2011">
                  <c:v>-7.0849095780836013E-3</c:v>
                </c:pt>
                <c:pt idx="2012">
                  <c:v>3.527166358322553E-3</c:v>
                </c:pt>
                <c:pt idx="2013">
                  <c:v>-2.807144942889736E-3</c:v>
                </c:pt>
                <c:pt idx="2014">
                  <c:v>4.8904373587368467E-3</c:v>
                </c:pt>
                <c:pt idx="2015">
                  <c:v>6.6332440375756734E-3</c:v>
                </c:pt>
                <c:pt idx="2016">
                  <c:v>-2.8593073050462519E-3</c:v>
                </c:pt>
                <c:pt idx="2017">
                  <c:v>6.9520595923161831E-3</c:v>
                </c:pt>
                <c:pt idx="2018">
                  <c:v>-1.5156867317727837E-3</c:v>
                </c:pt>
                <c:pt idx="2019">
                  <c:v>1.8684086233433153E-3</c:v>
                </c:pt>
                <c:pt idx="2020">
                  <c:v>8.33174163220134E-3</c:v>
                </c:pt>
                <c:pt idx="2021">
                  <c:v>3.8547057177216299E-3</c:v>
                </c:pt>
                <c:pt idx="2022">
                  <c:v>-2.6554769371424261E-3</c:v>
                </c:pt>
                <c:pt idx="2023">
                  <c:v>2.8904605969510904E-4</c:v>
                </c:pt>
                <c:pt idx="2024">
                  <c:v>1.1403144471457103E-3</c:v>
                </c:pt>
                <c:pt idx="2025">
                  <c:v>-9.0832687899366753E-3</c:v>
                </c:pt>
                <c:pt idx="2026">
                  <c:v>-1.5855725118383686E-2</c:v>
                </c:pt>
                <c:pt idx="2027">
                  <c:v>1.0003350352589398E-2</c:v>
                </c:pt>
                <c:pt idx="2028">
                  <c:v>-8.6722329104840649E-4</c:v>
                </c:pt>
                <c:pt idx="2029">
                  <c:v>3.1294538629889324E-3</c:v>
                </c:pt>
                <c:pt idx="2030">
                  <c:v>-1.7864476392643731E-2</c:v>
                </c:pt>
                <c:pt idx="2031">
                  <c:v>7.2284558629105433E-3</c:v>
                </c:pt>
                <c:pt idx="2032">
                  <c:v>1.4869265218066252E-2</c:v>
                </c:pt>
                <c:pt idx="2033">
                  <c:v>1.1187822882933645E-2</c:v>
                </c:pt>
                <c:pt idx="2034">
                  <c:v>3.3201287296620923E-3</c:v>
                </c:pt>
                <c:pt idx="2035">
                  <c:v>-5.4154705145391972E-3</c:v>
                </c:pt>
                <c:pt idx="2036">
                  <c:v>7.2996521623710205E-3</c:v>
                </c:pt>
                <c:pt idx="2037">
                  <c:v>1.6870749056512096E-3</c:v>
                </c:pt>
                <c:pt idx="2038">
                  <c:v>6.4418675537450355E-3</c:v>
                </c:pt>
                <c:pt idx="2039">
                  <c:v>-1.6317734419649113E-3</c:v>
                </c:pt>
                <c:pt idx="2040">
                  <c:v>1.8418447338326407E-3</c:v>
                </c:pt>
                <c:pt idx="2041">
                  <c:v>-2.9242515783095627E-3</c:v>
                </c:pt>
                <c:pt idx="2042">
                  <c:v>4.6947887144410351E-3</c:v>
                </c:pt>
                <c:pt idx="2043">
                  <c:v>-3.8228404778309472E-3</c:v>
                </c:pt>
                <c:pt idx="2044">
                  <c:v>-1.0573815022893411E-2</c:v>
                </c:pt>
                <c:pt idx="2045">
                  <c:v>-3.4088046120521465E-2</c:v>
                </c:pt>
                <c:pt idx="2046">
                  <c:v>-3.0747925188099268E-2</c:v>
                </c:pt>
                <c:pt idx="2047">
                  <c:v>-3.7856753407310142E-3</c:v>
                </c:pt>
                <c:pt idx="2048">
                  <c:v>-4.5168174100652832E-2</c:v>
                </c:pt>
                <c:pt idx="2049">
                  <c:v>-8.2724499142758506E-3</c:v>
                </c:pt>
                <c:pt idx="2050">
                  <c:v>4.5010865172777872E-2</c:v>
                </c:pt>
                <c:pt idx="2051">
                  <c:v>-2.8510530261905299E-2</c:v>
                </c:pt>
                <c:pt idx="2052">
                  <c:v>4.133635094064169E-2</c:v>
                </c:pt>
                <c:pt idx="2053">
                  <c:v>-3.4510725624696516E-2</c:v>
                </c:pt>
                <c:pt idx="2054">
                  <c:v>-1.7201002454620039E-2</c:v>
                </c:pt>
                <c:pt idx="2055">
                  <c:v>-7.9010394848266635E-2</c:v>
                </c:pt>
                <c:pt idx="2056">
                  <c:v>4.821508053580021E-2</c:v>
                </c:pt>
                <c:pt idx="2057">
                  <c:v>-5.0102856837410732E-2</c:v>
                </c:pt>
                <c:pt idx="2058">
                  <c:v>-9.9944851846007432E-2</c:v>
                </c:pt>
                <c:pt idx="2059">
                  <c:v>8.8808356440746597E-2</c:v>
                </c:pt>
                <c:pt idx="2060">
                  <c:v>-0.12765214115647325</c:v>
                </c:pt>
                <c:pt idx="2061">
                  <c:v>5.8226286690741702E-2</c:v>
                </c:pt>
                <c:pt idx="2062">
                  <c:v>-5.322233622142454E-2</c:v>
                </c:pt>
                <c:pt idx="2063">
                  <c:v>4.6968462774209588E-3</c:v>
                </c:pt>
                <c:pt idx="2064">
                  <c:v>-4.4327634743158498E-2</c:v>
                </c:pt>
                <c:pt idx="2065">
                  <c:v>-2.9731491257259945E-2</c:v>
                </c:pt>
                <c:pt idx="2066">
                  <c:v>8.9683156948216491E-2</c:v>
                </c:pt>
                <c:pt idx="2067">
                  <c:v>1.1468998674479099E-2</c:v>
                </c:pt>
                <c:pt idx="2068">
                  <c:v>6.0543828751667757E-2</c:v>
                </c:pt>
                <c:pt idx="2069">
                  <c:v>-3.4267808022629478E-2</c:v>
                </c:pt>
                <c:pt idx="2070">
                  <c:v>3.2966616221455518E-2</c:v>
                </c:pt>
                <c:pt idx="2071">
                  <c:v>-1.6142381973062482E-2</c:v>
                </c:pt>
                <c:pt idx="2072">
                  <c:v>-4.5146328727152268E-2</c:v>
                </c:pt>
                <c:pt idx="2073">
                  <c:v>2.2572695703622976E-2</c:v>
                </c:pt>
                <c:pt idx="2074">
                  <c:v>-1.5252860231953606E-2</c:v>
                </c:pt>
                <c:pt idx="2075">
                  <c:v>6.7968230567686042E-2</c:v>
                </c:pt>
                <c:pt idx="2076">
                  <c:v>-1.6043316629523077E-3</c:v>
                </c:pt>
                <c:pt idx="2077">
                  <c:v>3.3489345244689953E-2</c:v>
                </c:pt>
                <c:pt idx="2078">
                  <c:v>1.438343869822631E-2</c:v>
                </c:pt>
                <c:pt idx="2079">
                  <c:v>-1.0155992507349275E-2</c:v>
                </c:pt>
                <c:pt idx="2080">
                  <c:v>3.01144965504564E-2</c:v>
                </c:pt>
                <c:pt idx="2081">
                  <c:v>-2.2276750679012372E-2</c:v>
                </c:pt>
                <c:pt idx="2082">
                  <c:v>5.7998589924373595E-3</c:v>
                </c:pt>
                <c:pt idx="2083">
                  <c:v>2.6440929079185473E-2</c:v>
                </c:pt>
                <c:pt idx="2084">
                  <c:v>-1.8042794099790368E-2</c:v>
                </c:pt>
                <c:pt idx="2085">
                  <c:v>-3.1155167779795462E-2</c:v>
                </c:pt>
                <c:pt idx="2086">
                  <c:v>2.2671301062101197E-2</c:v>
                </c:pt>
                <c:pt idx="2087">
                  <c:v>-5.395641810268519E-4</c:v>
                </c:pt>
                <c:pt idx="2088">
                  <c:v>1.3822111461719605E-2</c:v>
                </c:pt>
                <c:pt idx="2089">
                  <c:v>1.4606871524449172E-2</c:v>
                </c:pt>
                <c:pt idx="2090">
                  <c:v>-5.2561394601198371E-3</c:v>
                </c:pt>
                <c:pt idx="2091">
                  <c:v>2.6236663207249239E-2</c:v>
                </c:pt>
                <c:pt idx="2092">
                  <c:v>-9.2551165252656598E-3</c:v>
                </c:pt>
                <c:pt idx="2093">
                  <c:v>-2.8460220686828817E-2</c:v>
                </c:pt>
                <c:pt idx="2094">
                  <c:v>4.2408122145938705E-3</c:v>
                </c:pt>
                <c:pt idx="2095">
                  <c:v>8.9999521895380505E-3</c:v>
                </c:pt>
                <c:pt idx="2096">
                  <c:v>-7.0038733986003436E-3</c:v>
                </c:pt>
                <c:pt idx="2097">
                  <c:v>1.1438948664053582E-2</c:v>
                </c:pt>
                <c:pt idx="2098">
                  <c:v>1.6730758062550522E-2</c:v>
                </c:pt>
                <c:pt idx="2099">
                  <c:v>1.3310602938770966E-4</c:v>
                </c:pt>
                <c:pt idx="2100">
                  <c:v>-2.0713426598791537E-2</c:v>
                </c:pt>
                <c:pt idx="2101">
                  <c:v>-1.7616955794106534E-2</c:v>
                </c:pt>
                <c:pt idx="2102">
                  <c:v>1.1458917804071491E-2</c:v>
                </c:pt>
                <c:pt idx="2103">
                  <c:v>3.9186922544353266E-3</c:v>
                </c:pt>
                <c:pt idx="2104">
                  <c:v>3.1015221473356874E-2</c:v>
                </c:pt>
                <c:pt idx="2105">
                  <c:v>-1.0539757419425795E-2</c:v>
                </c:pt>
                <c:pt idx="2106">
                  <c:v>1.6513934417861521E-2</c:v>
                </c:pt>
                <c:pt idx="2107">
                  <c:v>-7.803935472623133E-3</c:v>
                </c:pt>
                <c:pt idx="2108">
                  <c:v>2.3509655202508628E-3</c:v>
                </c:pt>
                <c:pt idx="2109">
                  <c:v>1.2214261971750162E-2</c:v>
                </c:pt>
                <c:pt idx="2110">
                  <c:v>1.4718492616296689E-2</c:v>
                </c:pt>
                <c:pt idx="2111">
                  <c:v>-2.1101714760443074E-3</c:v>
                </c:pt>
                <c:pt idx="2112">
                  <c:v>4.8007678588045241E-3</c:v>
                </c:pt>
                <c:pt idx="2113">
                  <c:v>3.744242117017055E-3</c:v>
                </c:pt>
                <c:pt idx="2114">
                  <c:v>8.177278702023465E-3</c:v>
                </c:pt>
                <c:pt idx="2115">
                  <c:v>1.3556655475681826E-2</c:v>
                </c:pt>
                <c:pt idx="2116">
                  <c:v>-3.3743829350457951E-3</c:v>
                </c:pt>
                <c:pt idx="2117">
                  <c:v>2.5874065601552972E-2</c:v>
                </c:pt>
                <c:pt idx="2118">
                  <c:v>1.1969668235859062E-2</c:v>
                </c:pt>
                <c:pt idx="2119">
                  <c:v>-7.8297553381980623E-3</c:v>
                </c:pt>
                <c:pt idx="2120">
                  <c:v>-5.3272433765708446E-3</c:v>
                </c:pt>
                <c:pt idx="2121">
                  <c:v>-6.0752759198692892E-2</c:v>
                </c:pt>
                <c:pt idx="2122">
                  <c:v>1.2976299868566436E-2</c:v>
                </c:pt>
                <c:pt idx="2123">
                  <c:v>8.277851423430304E-3</c:v>
                </c:pt>
                <c:pt idx="2124">
                  <c:v>1.878488465267299E-2</c:v>
                </c:pt>
                <c:pt idx="2125">
                  <c:v>-3.6067962213368692E-3</c:v>
                </c:pt>
                <c:pt idx="2126">
                  <c:v>5.9401205504019245E-4</c:v>
                </c:pt>
                <c:pt idx="2127">
                  <c:v>-5.6654822009647747E-3</c:v>
                </c:pt>
                <c:pt idx="2128">
                  <c:v>6.4740556904391263E-3</c:v>
                </c:pt>
                <c:pt idx="2129">
                  <c:v>4.2981911703125365E-3</c:v>
                </c:pt>
                <c:pt idx="2130">
                  <c:v>-2.6195278732754491E-2</c:v>
                </c:pt>
                <c:pt idx="2131">
                  <c:v>1.0899850173409288E-2</c:v>
                </c:pt>
                <c:pt idx="2132">
                  <c:v>-2.4525217335129464E-2</c:v>
                </c:pt>
                <c:pt idx="2133">
                  <c:v>1.4578907539069857E-2</c:v>
                </c:pt>
                <c:pt idx="2134">
                  <c:v>1.529233363768146E-2</c:v>
                </c:pt>
                <c:pt idx="2135">
                  <c:v>5.0095420996641308E-3</c:v>
                </c:pt>
                <c:pt idx="2136">
                  <c:v>4.5310018326532803E-3</c:v>
                </c:pt>
                <c:pt idx="2137">
                  <c:v>1.5756943165826313E-2</c:v>
                </c:pt>
                <c:pt idx="2138">
                  <c:v>-1.0877508816987262E-2</c:v>
                </c:pt>
                <c:pt idx="2139">
                  <c:v>7.7970264812917862E-3</c:v>
                </c:pt>
                <c:pt idx="2140">
                  <c:v>-5.6596254512879147E-3</c:v>
                </c:pt>
                <c:pt idx="2141">
                  <c:v>1.0411813000986475E-2</c:v>
                </c:pt>
                <c:pt idx="2142">
                  <c:v>-9.4066236664834702E-3</c:v>
                </c:pt>
                <c:pt idx="2143">
                  <c:v>1.3317285189446137E-2</c:v>
                </c:pt>
                <c:pt idx="2144">
                  <c:v>9.0410448847842075E-3</c:v>
                </c:pt>
                <c:pt idx="2145">
                  <c:v>-3.4119183131618158E-3</c:v>
                </c:pt>
                <c:pt idx="2146">
                  <c:v>2.8445899031588197E-3</c:v>
                </c:pt>
                <c:pt idx="2147">
                  <c:v>8.3717641704647815E-3</c:v>
                </c:pt>
                <c:pt idx="2148">
                  <c:v>1.6776413721593887E-3</c:v>
                </c:pt>
                <c:pt idx="2149">
                  <c:v>5.7306396229577271E-3</c:v>
                </c:pt>
                <c:pt idx="2150">
                  <c:v>-1.2396345287241563E-2</c:v>
                </c:pt>
                <c:pt idx="2151">
                  <c:v>-6.2096307443050324E-3</c:v>
                </c:pt>
                <c:pt idx="2152">
                  <c:v>7.3679195100667611E-3</c:v>
                </c:pt>
                <c:pt idx="2153">
                  <c:v>-6.4944443446863422E-3</c:v>
                </c:pt>
                <c:pt idx="2154">
                  <c:v>1.2351783128253628E-2</c:v>
                </c:pt>
                <c:pt idx="2155">
                  <c:v>-3.7573107206831397E-3</c:v>
                </c:pt>
                <c:pt idx="2156">
                  <c:v>7.6411913923716676E-3</c:v>
                </c:pt>
                <c:pt idx="2157">
                  <c:v>7.1553658839056062E-3</c:v>
                </c:pt>
                <c:pt idx="2158">
                  <c:v>3.6054526780178501E-3</c:v>
                </c:pt>
                <c:pt idx="2159">
                  <c:v>6.4091575198012216E-3</c:v>
                </c:pt>
                <c:pt idx="2160">
                  <c:v>6.4071581324233757E-3</c:v>
                </c:pt>
                <c:pt idx="2161">
                  <c:v>6.3279428537303944E-4</c:v>
                </c:pt>
                <c:pt idx="2162">
                  <c:v>2.7384827334759297E-3</c:v>
                </c:pt>
                <c:pt idx="2163">
                  <c:v>-8.0010465432212886E-3</c:v>
                </c:pt>
                <c:pt idx="2164">
                  <c:v>1.3899455827979215E-2</c:v>
                </c:pt>
                <c:pt idx="2165">
                  <c:v>-2.0492235227105187E-3</c:v>
                </c:pt>
                <c:pt idx="2166">
                  <c:v>-1.7194661396471121E-4</c:v>
                </c:pt>
                <c:pt idx="2167">
                  <c:v>2.7062093485908582E-3</c:v>
                </c:pt>
                <c:pt idx="2168">
                  <c:v>2.3007288895721292E-3</c:v>
                </c:pt>
                <c:pt idx="2169">
                  <c:v>-4.4141436389460408E-3</c:v>
                </c:pt>
                <c:pt idx="2170">
                  <c:v>3.1536808202811935E-3</c:v>
                </c:pt>
                <c:pt idx="2171">
                  <c:v>3.4352287393030465E-3</c:v>
                </c:pt>
                <c:pt idx="2172">
                  <c:v>9.9935809549321058E-3</c:v>
                </c:pt>
                <c:pt idx="2173">
                  <c:v>3.58987425339455E-3</c:v>
                </c:pt>
                <c:pt idx="2174">
                  <c:v>1.0144040989640822E-2</c:v>
                </c:pt>
                <c:pt idx="2175">
                  <c:v>1.6716264045830256E-3</c:v>
                </c:pt>
                <c:pt idx="2176">
                  <c:v>6.7100140785116896E-3</c:v>
                </c:pt>
                <c:pt idx="2177">
                  <c:v>-2.1973891312895358E-3</c:v>
                </c:pt>
                <c:pt idx="2178">
                  <c:v>7.496875851234013E-3</c:v>
                </c:pt>
                <c:pt idx="2179">
                  <c:v>1.5248997908235747E-2</c:v>
                </c:pt>
                <c:pt idx="2180">
                  <c:v>-3.5757586556313434E-2</c:v>
                </c:pt>
                <c:pt idx="2181">
                  <c:v>-8.1662523968659001E-3</c:v>
                </c:pt>
                <c:pt idx="2182">
                  <c:v>-2.8148866864058281E-2</c:v>
                </c:pt>
                <c:pt idx="2183">
                  <c:v>1.9944798533671326E-2</c:v>
                </c:pt>
                <c:pt idx="2184">
                  <c:v>-1.774123987058698E-2</c:v>
                </c:pt>
                <c:pt idx="2185">
                  <c:v>5.32921379765575E-4</c:v>
                </c:pt>
                <c:pt idx="2186">
                  <c:v>1.2661314711189059E-2</c:v>
                </c:pt>
                <c:pt idx="2187">
                  <c:v>5.2058118315071811E-3</c:v>
                </c:pt>
                <c:pt idx="2188">
                  <c:v>-4.6296583637453039E-3</c:v>
                </c:pt>
                <c:pt idx="2189">
                  <c:v>-8.4479553221299946E-3</c:v>
                </c:pt>
                <c:pt idx="2190">
                  <c:v>-1.1245565213035068E-2</c:v>
                </c:pt>
                <c:pt idx="2191">
                  <c:v>-1.1638590711243436E-2</c:v>
                </c:pt>
                <c:pt idx="2192">
                  <c:v>1.0463013638868866E-2</c:v>
                </c:pt>
                <c:pt idx="2193">
                  <c:v>-2.4007294161091854E-2</c:v>
                </c:pt>
                <c:pt idx="2194">
                  <c:v>2.9829543473573147E-3</c:v>
                </c:pt>
                <c:pt idx="2195">
                  <c:v>1.5850478138509476E-2</c:v>
                </c:pt>
                <c:pt idx="2196">
                  <c:v>1.5982150874003724E-2</c:v>
                </c:pt>
                <c:pt idx="2197">
                  <c:v>-4.8242447838090239E-3</c:v>
                </c:pt>
                <c:pt idx="2198">
                  <c:v>8.2198337849473339E-3</c:v>
                </c:pt>
                <c:pt idx="2199">
                  <c:v>5.2789351215227383E-3</c:v>
                </c:pt>
                <c:pt idx="2200">
                  <c:v>-9.6237750916984329E-3</c:v>
                </c:pt>
                <c:pt idx="2201">
                  <c:v>1.7813057021042421E-2</c:v>
                </c:pt>
                <c:pt idx="2202">
                  <c:v>-1.4072027020773103E-2</c:v>
                </c:pt>
                <c:pt idx="2203">
                  <c:v>1.7247172188931348E-2</c:v>
                </c:pt>
                <c:pt idx="2204">
                  <c:v>7.9781730936344594E-3</c:v>
                </c:pt>
                <c:pt idx="2205">
                  <c:v>8.7551487402514096E-3</c:v>
                </c:pt>
                <c:pt idx="2206">
                  <c:v>1.6282507554067349E-2</c:v>
                </c:pt>
                <c:pt idx="2207">
                  <c:v>-6.3268804537488111E-3</c:v>
                </c:pt>
                <c:pt idx="2208">
                  <c:v>-6.6451691550408936E-3</c:v>
                </c:pt>
                <c:pt idx="2209">
                  <c:v>-1.5289711398439405E-3</c:v>
                </c:pt>
                <c:pt idx="2210">
                  <c:v>1.3491886946954788E-4</c:v>
                </c:pt>
                <c:pt idx="2211">
                  <c:v>-1.6464623898632638E-2</c:v>
                </c:pt>
                <c:pt idx="2212">
                  <c:v>4.7161384872977134E-3</c:v>
                </c:pt>
                <c:pt idx="2213">
                  <c:v>-2.1980970313859494E-3</c:v>
                </c:pt>
                <c:pt idx="2214">
                  <c:v>5.2053738863262616E-3</c:v>
                </c:pt>
                <c:pt idx="2215">
                  <c:v>3.4398664911297477E-3</c:v>
                </c:pt>
                <c:pt idx="2216">
                  <c:v>-1.8764495369547173E-2</c:v>
                </c:pt>
                <c:pt idx="2217">
                  <c:v>-3.0301938037524704E-3</c:v>
                </c:pt>
                <c:pt idx="2218">
                  <c:v>-3.5925571226008889E-2</c:v>
                </c:pt>
                <c:pt idx="2219">
                  <c:v>1.18765014438055E-2</c:v>
                </c:pt>
                <c:pt idx="2220">
                  <c:v>-1.2203669046735501E-2</c:v>
                </c:pt>
                <c:pt idx="2221">
                  <c:v>1.2242941894852779E-2</c:v>
                </c:pt>
                <c:pt idx="2222">
                  <c:v>1.7642760820758659E-2</c:v>
                </c:pt>
                <c:pt idx="2223">
                  <c:v>2.1807516584335981E-2</c:v>
                </c:pt>
                <c:pt idx="2224">
                  <c:v>1.9273262670013912E-2</c:v>
                </c:pt>
                <c:pt idx="2225">
                  <c:v>-2.8775379869741254E-4</c:v>
                </c:pt>
                <c:pt idx="2226">
                  <c:v>1.1631958050304203E-2</c:v>
                </c:pt>
                <c:pt idx="2227">
                  <c:v>-1.4007834839128777E-3</c:v>
                </c:pt>
                <c:pt idx="2228">
                  <c:v>7.622761226929676E-3</c:v>
                </c:pt>
                <c:pt idx="2229">
                  <c:v>-1.0028678908945363E-2</c:v>
                </c:pt>
                <c:pt idx="2230">
                  <c:v>1.3518576706374859E-2</c:v>
                </c:pt>
                <c:pt idx="2231">
                  <c:v>1.1580731916656505E-2</c:v>
                </c:pt>
                <c:pt idx="2232">
                  <c:v>-4.8034761341036901E-3</c:v>
                </c:pt>
                <c:pt idx="2233">
                  <c:v>-1.1631213479601318E-2</c:v>
                </c:pt>
                <c:pt idx="2234">
                  <c:v>3.9386539225387159E-3</c:v>
                </c:pt>
                <c:pt idx="2235">
                  <c:v>-6.8157156362698918E-3</c:v>
                </c:pt>
                <c:pt idx="2236">
                  <c:v>5.6200945950578216E-3</c:v>
                </c:pt>
                <c:pt idx="2237">
                  <c:v>1.6032507557285768E-2</c:v>
                </c:pt>
                <c:pt idx="2238">
                  <c:v>-1.5856720266289198E-3</c:v>
                </c:pt>
                <c:pt idx="2239">
                  <c:v>2.3940572799516376E-3</c:v>
                </c:pt>
                <c:pt idx="2240">
                  <c:v>-4.6060814384970977E-3</c:v>
                </c:pt>
                <c:pt idx="2241">
                  <c:v>1.1208121636017976E-2</c:v>
                </c:pt>
                <c:pt idx="2242">
                  <c:v>1.7895485348597621E-3</c:v>
                </c:pt>
                <c:pt idx="2243">
                  <c:v>-6.2434142870242462E-4</c:v>
                </c:pt>
                <c:pt idx="2244">
                  <c:v>8.7974240454147031E-3</c:v>
                </c:pt>
                <c:pt idx="2245">
                  <c:v>-1.9374711787083175E-3</c:v>
                </c:pt>
                <c:pt idx="2246">
                  <c:v>2.7832605897471193E-3</c:v>
                </c:pt>
                <c:pt idx="2247">
                  <c:v>-7.9809835607026966E-3</c:v>
                </c:pt>
                <c:pt idx="2248">
                  <c:v>-1.2859425386560199E-3</c:v>
                </c:pt>
                <c:pt idx="2249">
                  <c:v>-1.2657607983834493E-3</c:v>
                </c:pt>
                <c:pt idx="2250">
                  <c:v>-4.3687962305264194E-3</c:v>
                </c:pt>
                <c:pt idx="2251">
                  <c:v>1.2838447626446777E-2</c:v>
                </c:pt>
                <c:pt idx="2252">
                  <c:v>1.7712784469306416E-3</c:v>
                </c:pt>
                <c:pt idx="2253">
                  <c:v>5.7411269476310561E-3</c:v>
                </c:pt>
                <c:pt idx="2254">
                  <c:v>-3.5172785050231921E-3</c:v>
                </c:pt>
                <c:pt idx="2255">
                  <c:v>-3.913931036978114E-3</c:v>
                </c:pt>
                <c:pt idx="2256">
                  <c:v>-2.0752684841428568E-3</c:v>
                </c:pt>
                <c:pt idx="2257">
                  <c:v>7.4553327379252537E-4</c:v>
                </c:pt>
                <c:pt idx="2258">
                  <c:v>3.5303368029281483E-3</c:v>
                </c:pt>
                <c:pt idx="2259">
                  <c:v>8.6846946033693542E-3</c:v>
                </c:pt>
                <c:pt idx="2260">
                  <c:v>-2.2298465500115035E-3</c:v>
                </c:pt>
                <c:pt idx="2261">
                  <c:v>1.3406481091209083E-3</c:v>
                </c:pt>
                <c:pt idx="2262">
                  <c:v>6.4181969787920831E-3</c:v>
                </c:pt>
                <c:pt idx="2263">
                  <c:v>-1.4864718123372964E-2</c:v>
                </c:pt>
                <c:pt idx="2264">
                  <c:v>7.0575761707220575E-3</c:v>
                </c:pt>
                <c:pt idx="2265">
                  <c:v>5.6936608662176199E-3</c:v>
                </c:pt>
                <c:pt idx="2266">
                  <c:v>1.4738221178340893E-2</c:v>
                </c:pt>
                <c:pt idx="2267">
                  <c:v>5.4768655361056894E-3</c:v>
                </c:pt>
                <c:pt idx="2268">
                  <c:v>-6.5763737616643747E-3</c:v>
                </c:pt>
                <c:pt idx="2269">
                  <c:v>4.1574571696605784E-4</c:v>
                </c:pt>
                <c:pt idx="2270">
                  <c:v>2.2730179027713113E-3</c:v>
                </c:pt>
                <c:pt idx="2271">
                  <c:v>-3.7605002910535887E-3</c:v>
                </c:pt>
                <c:pt idx="2272">
                  <c:v>-7.2159905065941393E-3</c:v>
                </c:pt>
                <c:pt idx="2273">
                  <c:v>8.1034807715100084E-3</c:v>
                </c:pt>
                <c:pt idx="2274">
                  <c:v>1.3839368887685784E-2</c:v>
                </c:pt>
                <c:pt idx="2275">
                  <c:v>3.1668077285579088E-4</c:v>
                </c:pt>
                <c:pt idx="2276">
                  <c:v>-3.0151272949282431E-3</c:v>
                </c:pt>
                <c:pt idx="2277">
                  <c:v>3.609282023548102E-3</c:v>
                </c:pt>
                <c:pt idx="2278">
                  <c:v>-1.4899457394751568E-3</c:v>
                </c:pt>
                <c:pt idx="2279">
                  <c:v>-2.601328989204868E-2</c:v>
                </c:pt>
                <c:pt idx="2280">
                  <c:v>9.7133349275994544E-3</c:v>
                </c:pt>
                <c:pt idx="2281">
                  <c:v>-1.9500405967127862E-2</c:v>
                </c:pt>
                <c:pt idx="2282">
                  <c:v>1.5924269140718334E-2</c:v>
                </c:pt>
                <c:pt idx="2283">
                  <c:v>1.3802541965649213E-2</c:v>
                </c:pt>
                <c:pt idx="2284">
                  <c:v>1.0082963259948519E-3</c:v>
                </c:pt>
                <c:pt idx="2285">
                  <c:v>1.0794829768938023E-2</c:v>
                </c:pt>
                <c:pt idx="2286">
                  <c:v>3.8898969855535024E-3</c:v>
                </c:pt>
                <c:pt idx="2287">
                  <c:v>7.3721051298863676E-3</c:v>
                </c:pt>
                <c:pt idx="2288">
                  <c:v>-1.1141179817578345E-3</c:v>
                </c:pt>
                <c:pt idx="2289">
                  <c:v>-3.4521954387729651E-4</c:v>
                </c:pt>
                <c:pt idx="2290">
                  <c:v>1.6610747648429303E-3</c:v>
                </c:pt>
                <c:pt idx="2291">
                  <c:v>4.6999211490260486E-3</c:v>
                </c:pt>
                <c:pt idx="2292">
                  <c:v>-5.6943700997991403E-4</c:v>
                </c:pt>
                <c:pt idx="2293">
                  <c:v>-3.2045087202880161E-4</c:v>
                </c:pt>
                <c:pt idx="2294">
                  <c:v>-4.4255868696270202E-3</c:v>
                </c:pt>
                <c:pt idx="2295">
                  <c:v>-1.8566165820490526E-3</c:v>
                </c:pt>
                <c:pt idx="2296">
                  <c:v>-7.7629028925333757E-3</c:v>
                </c:pt>
                <c:pt idx="2297">
                  <c:v>1.2554994192235645E-3</c:v>
                </c:pt>
                <c:pt idx="2298">
                  <c:v>1.1287715277782164E-2</c:v>
                </c:pt>
                <c:pt idx="2299">
                  <c:v>-2.4783434790564104E-2</c:v>
                </c:pt>
                <c:pt idx="2300">
                  <c:v>-4.7614837180722748E-3</c:v>
                </c:pt>
                <c:pt idx="2301">
                  <c:v>2.3512130081996933E-2</c:v>
                </c:pt>
                <c:pt idx="2302">
                  <c:v>-8.113671312552936E-3</c:v>
                </c:pt>
                <c:pt idx="2303">
                  <c:v>-1.3152318131987126E-2</c:v>
                </c:pt>
                <c:pt idx="2304">
                  <c:v>-1.3508037960082262E-2</c:v>
                </c:pt>
                <c:pt idx="2305">
                  <c:v>1.9308363815583877E-2</c:v>
                </c:pt>
                <c:pt idx="2306">
                  <c:v>-5.3736840305412389E-3</c:v>
                </c:pt>
                <c:pt idx="2307">
                  <c:v>1.4055441418613446E-2</c:v>
                </c:pt>
                <c:pt idx="2308">
                  <c:v>6.0121736231132121E-3</c:v>
                </c:pt>
                <c:pt idx="2309">
                  <c:v>1.0341818218279307E-2</c:v>
                </c:pt>
                <c:pt idx="2310">
                  <c:v>1.0148833501624158E-3</c:v>
                </c:pt>
                <c:pt idx="2311">
                  <c:v>6.4709765908568051E-3</c:v>
                </c:pt>
                <c:pt idx="2312">
                  <c:v>-1.5709218841469892E-3</c:v>
                </c:pt>
                <c:pt idx="2313">
                  <c:v>2.8752053049775832E-3</c:v>
                </c:pt>
                <c:pt idx="2314">
                  <c:v>-1.4870520601810135E-2</c:v>
                </c:pt>
                <c:pt idx="2315">
                  <c:v>-6.0292060646939332E-4</c:v>
                </c:pt>
                <c:pt idx="2316">
                  <c:v>7.0005595506540804E-3</c:v>
                </c:pt>
                <c:pt idx="2317">
                  <c:v>-7.6601008099493138E-3</c:v>
                </c:pt>
                <c:pt idx="2318">
                  <c:v>-5.4823039848238466E-3</c:v>
                </c:pt>
                <c:pt idx="2319">
                  <c:v>5.2265508159267142E-3</c:v>
                </c:pt>
                <c:pt idx="2320">
                  <c:v>1.6494413826353246E-2</c:v>
                </c:pt>
                <c:pt idx="2321">
                  <c:v>-8.6840193082478952E-4</c:v>
                </c:pt>
                <c:pt idx="2322">
                  <c:v>-3.1628196118815713E-3</c:v>
                </c:pt>
                <c:pt idx="2323">
                  <c:v>3.6159929659948988E-3</c:v>
                </c:pt>
                <c:pt idx="2324">
                  <c:v>1.1755774236888511E-2</c:v>
                </c:pt>
                <c:pt idx="2325">
                  <c:v>1.4335038467166317E-2</c:v>
                </c:pt>
                <c:pt idx="2326">
                  <c:v>-9.7401211108184122E-4</c:v>
                </c:pt>
                <c:pt idx="2327">
                  <c:v>1.4741432833555816E-3</c:v>
                </c:pt>
                <c:pt idx="2328">
                  <c:v>4.2117580408072355E-3</c:v>
                </c:pt>
                <c:pt idx="2329">
                  <c:v>7.6903163725556868E-3</c:v>
                </c:pt>
                <c:pt idx="2330">
                  <c:v>-1.9620215667317165E-4</c:v>
                </c:pt>
                <c:pt idx="2331">
                  <c:v>3.289166381145364E-3</c:v>
                </c:pt>
                <c:pt idx="2332">
                  <c:v>-4.0961799296970009E-3</c:v>
                </c:pt>
                <c:pt idx="2333">
                  <c:v>1.1033158016154329E-2</c:v>
                </c:pt>
                <c:pt idx="2334">
                  <c:v>3.6022533265398387E-3</c:v>
                </c:pt>
                <c:pt idx="2335">
                  <c:v>-5.3205822668759327E-3</c:v>
                </c:pt>
                <c:pt idx="2336">
                  <c:v>-6.8256031307080047E-3</c:v>
                </c:pt>
                <c:pt idx="2337">
                  <c:v>9.2630254691135495E-3</c:v>
                </c:pt>
                <c:pt idx="2338">
                  <c:v>-9.2533518567931589E-3</c:v>
                </c:pt>
                <c:pt idx="2339">
                  <c:v>1.0869423861541933E-2</c:v>
                </c:pt>
                <c:pt idx="2340">
                  <c:v>1.7806378908788009E-3</c:v>
                </c:pt>
                <c:pt idx="2341">
                  <c:v>-2.1494231269923608E-4</c:v>
                </c:pt>
                <c:pt idx="2342">
                  <c:v>-8.4588829283031668E-4</c:v>
                </c:pt>
                <c:pt idx="2343">
                  <c:v>6.7400325437081072E-3</c:v>
                </c:pt>
                <c:pt idx="2344">
                  <c:v>-7.2206437182024286E-3</c:v>
                </c:pt>
                <c:pt idx="2345">
                  <c:v>2.7442656970409606E-3</c:v>
                </c:pt>
                <c:pt idx="2346">
                  <c:v>-6.7007377404054557E-3</c:v>
                </c:pt>
                <c:pt idx="2347">
                  <c:v>7.0329145687402232E-4</c:v>
                </c:pt>
                <c:pt idx="2348">
                  <c:v>8.1322341159119176E-3</c:v>
                </c:pt>
                <c:pt idx="2349">
                  <c:v>7.3462962378118236E-3</c:v>
                </c:pt>
                <c:pt idx="2350">
                  <c:v>-1.0490499399026396E-2</c:v>
                </c:pt>
                <c:pt idx="2351">
                  <c:v>-8.711731693215893E-3</c:v>
                </c:pt>
                <c:pt idx="2352">
                  <c:v>-2.1682768452684537E-2</c:v>
                </c:pt>
                <c:pt idx="2353">
                  <c:v>1.2099654192200689E-2</c:v>
                </c:pt>
                <c:pt idx="2354">
                  <c:v>1.480775516646066E-2</c:v>
                </c:pt>
                <c:pt idx="2355">
                  <c:v>-2.5332441694025701E-3</c:v>
                </c:pt>
                <c:pt idx="2356">
                  <c:v>-8.5537819278382349E-3</c:v>
                </c:pt>
                <c:pt idx="2357">
                  <c:v>-2.9477755951036366E-3</c:v>
                </c:pt>
                <c:pt idx="2358">
                  <c:v>1.0499443868610717E-2</c:v>
                </c:pt>
                <c:pt idx="2359">
                  <c:v>-7.8412700139645676E-4</c:v>
                </c:pt>
                <c:pt idx="2360">
                  <c:v>9.8625111190549994E-3</c:v>
                </c:pt>
                <c:pt idx="2361">
                  <c:v>-2.1275639556263349E-3</c:v>
                </c:pt>
                <c:pt idx="2362">
                  <c:v>1.8749737128450623E-3</c:v>
                </c:pt>
                <c:pt idx="2363">
                  <c:v>1.1647198427041133E-3</c:v>
                </c:pt>
                <c:pt idx="2364">
                  <c:v>7.6859107720652112E-4</c:v>
                </c:pt>
                <c:pt idx="2365">
                  <c:v>-4.9249657496948439E-4</c:v>
                </c:pt>
                <c:pt idx="2366">
                  <c:v>1.4458704850342234E-3</c:v>
                </c:pt>
                <c:pt idx="2367">
                  <c:v>-3.6352984992414229E-3</c:v>
                </c:pt>
                <c:pt idx="2368">
                  <c:v>8.7952943520972007E-3</c:v>
                </c:pt>
                <c:pt idx="2369">
                  <c:v>-7.9702856848250638E-4</c:v>
                </c:pt>
                <c:pt idx="2370">
                  <c:v>1.7506961427659565E-4</c:v>
                </c:pt>
                <c:pt idx="2371">
                  <c:v>-1.8255417468125729E-3</c:v>
                </c:pt>
                <c:pt idx="2372">
                  <c:v>4.641367023082649E-3</c:v>
                </c:pt>
                <c:pt idx="2373">
                  <c:v>1.9465941937430961E-3</c:v>
                </c:pt>
                <c:pt idx="2374">
                  <c:v>1.8135655401930488E-3</c:v>
                </c:pt>
                <c:pt idx="2375">
                  <c:v>-2.0137061101785226E-3</c:v>
                </c:pt>
                <c:pt idx="2376">
                  <c:v>-5.404786783292966E-3</c:v>
                </c:pt>
                <c:pt idx="2377">
                  <c:v>-4.3573191809956221E-4</c:v>
                </c:pt>
                <c:pt idx="2378">
                  <c:v>-1.3211434948255869E-2</c:v>
                </c:pt>
                <c:pt idx="2379">
                  <c:v>1.3905201143734752E-2</c:v>
                </c:pt>
                <c:pt idx="2380">
                  <c:v>5.1114294233350907E-3</c:v>
                </c:pt>
                <c:pt idx="2381">
                  <c:v>-1.0838474815418405E-3</c:v>
                </c:pt>
                <c:pt idx="2382">
                  <c:v>5.7943377765723673E-3</c:v>
                </c:pt>
                <c:pt idx="2383">
                  <c:v>3.3250724723028176E-3</c:v>
                </c:pt>
                <c:pt idx="2384">
                  <c:v>2.3123663514123699E-3</c:v>
                </c:pt>
                <c:pt idx="2385">
                  <c:v>2.7731138634168957E-4</c:v>
                </c:pt>
                <c:pt idx="2386">
                  <c:v>1.3272329146112091E-3</c:v>
                </c:pt>
                <c:pt idx="2387">
                  <c:v>5.2080549958111134E-3</c:v>
                </c:pt>
                <c:pt idx="2388">
                  <c:v>7.4721182313641664E-3</c:v>
                </c:pt>
                <c:pt idx="2389">
                  <c:v>-2.0239476634912454E-3</c:v>
                </c:pt>
                <c:pt idx="2390">
                  <c:v>3.3533824363036076E-3</c:v>
                </c:pt>
                <c:pt idx="2391">
                  <c:v>-8.5978672165738772E-3</c:v>
                </c:pt>
                <c:pt idx="2392">
                  <c:v>1.1214829918570923E-2</c:v>
                </c:pt>
                <c:pt idx="2393">
                  <c:v>3.4452147239393167E-3</c:v>
                </c:pt>
                <c:pt idx="2394">
                  <c:v>-3.5230289676471218E-3</c:v>
                </c:pt>
                <c:pt idx="2395">
                  <c:v>1.1642922750682311E-3</c:v>
                </c:pt>
                <c:pt idx="2396">
                  <c:v>-3.267568936996537E-3</c:v>
                </c:pt>
                <c:pt idx="2397">
                  <c:v>-7.5675003916981084E-3</c:v>
                </c:pt>
                <c:pt idx="2398">
                  <c:v>-1.5996800327963308E-2</c:v>
                </c:pt>
                <c:pt idx="2399">
                  <c:v>1.5048847488145101E-2</c:v>
                </c:pt>
                <c:pt idx="2400">
                  <c:v>8.2080686588838214E-3</c:v>
                </c:pt>
                <c:pt idx="2401">
                  <c:v>2.0146302382427882E-3</c:v>
                </c:pt>
                <c:pt idx="2402">
                  <c:v>1.0094319060166316E-2</c:v>
                </c:pt>
                <c:pt idx="2403">
                  <c:v>2.3794199422129485E-3</c:v>
                </c:pt>
                <c:pt idx="2404">
                  <c:v>-4.7236186726493743E-3</c:v>
                </c:pt>
                <c:pt idx="2405">
                  <c:v>-1.8631917437244311E-4</c:v>
                </c:pt>
                <c:pt idx="2406">
                  <c:v>4.1973850116203163E-3</c:v>
                </c:pt>
                <c:pt idx="2407">
                  <c:v>-5.4206823821932627E-3</c:v>
                </c:pt>
                <c:pt idx="2408">
                  <c:v>-1.8445946098472469E-3</c:v>
                </c:pt>
                <c:pt idx="2409">
                  <c:v>8.170019032652822E-3</c:v>
                </c:pt>
                <c:pt idx="2410">
                  <c:v>-4.6432082296428796E-3</c:v>
                </c:pt>
                <c:pt idx="2411">
                  <c:v>5.9874994315475697E-3</c:v>
                </c:pt>
                <c:pt idx="2412">
                  <c:v>1.6738821949274498E-3</c:v>
                </c:pt>
                <c:pt idx="2413">
                  <c:v>-9.4036789518653135E-4</c:v>
                </c:pt>
                <c:pt idx="2414">
                  <c:v>9.922089864754615E-4</c:v>
                </c:pt>
                <c:pt idx="2415">
                  <c:v>1.2748955456659639E-3</c:v>
                </c:pt>
                <c:pt idx="2416">
                  <c:v>4.1378253942716235E-3</c:v>
                </c:pt>
                <c:pt idx="2417">
                  <c:v>1.6060338344795659E-3</c:v>
                </c:pt>
                <c:pt idx="2418">
                  <c:v>2.6174309818667143E-3</c:v>
                </c:pt>
                <c:pt idx="2419">
                  <c:v>-7.0857697907681849E-3</c:v>
                </c:pt>
                <c:pt idx="2420">
                  <c:v>-1.0806639720144598E-2</c:v>
                </c:pt>
                <c:pt idx="2421">
                  <c:v>1.2559520255743905E-3</c:v>
                </c:pt>
                <c:pt idx="2422">
                  <c:v>8.1085771490773013E-3</c:v>
                </c:pt>
                <c:pt idx="2423">
                  <c:v>8.487698356534068E-3</c:v>
                </c:pt>
                <c:pt idx="2424">
                  <c:v>1.4945751943348515E-3</c:v>
                </c:pt>
                <c:pt idx="2425">
                  <c:v>2.2176660815180892E-3</c:v>
                </c:pt>
                <c:pt idx="2426">
                  <c:v>-5.8419628594696153E-3</c:v>
                </c:pt>
                <c:pt idx="2427">
                  <c:v>8.7690455528976891E-3</c:v>
                </c:pt>
                <c:pt idx="2428">
                  <c:v>4.2973414690568616E-3</c:v>
                </c:pt>
                <c:pt idx="2429">
                  <c:v>-1.3500571571324227E-3</c:v>
                </c:pt>
                <c:pt idx="2430">
                  <c:v>3.1171346489786849E-4</c:v>
                </c:pt>
                <c:pt idx="2431">
                  <c:v>2.8385281677768184E-3</c:v>
                </c:pt>
                <c:pt idx="2432">
                  <c:v>-3.3508296923669389E-4</c:v>
                </c:pt>
                <c:pt idx="2433">
                  <c:v>-3.401266163481994E-3</c:v>
                </c:pt>
                <c:pt idx="2434">
                  <c:v>-1.3194454045593487E-3</c:v>
                </c:pt>
                <c:pt idx="2435">
                  <c:v>-4.6162382762889205E-3</c:v>
                </c:pt>
                <c:pt idx="2436">
                  <c:v>-7.7526176231305427E-3</c:v>
                </c:pt>
                <c:pt idx="2437">
                  <c:v>2.273922239413449E-3</c:v>
                </c:pt>
                <c:pt idx="2438">
                  <c:v>-5.7631743778016721E-3</c:v>
                </c:pt>
                <c:pt idx="2439">
                  <c:v>8.4382066732456781E-3</c:v>
                </c:pt>
                <c:pt idx="2440">
                  <c:v>-1.5523011230354105E-3</c:v>
                </c:pt>
                <c:pt idx="2441">
                  <c:v>-9.1526831464338165E-3</c:v>
                </c:pt>
                <c:pt idx="2442">
                  <c:v>-1.7123020373769459E-2</c:v>
                </c:pt>
                <c:pt idx="2443">
                  <c:v>-8.1267968365917188E-4</c:v>
                </c:pt>
                <c:pt idx="2444">
                  <c:v>9.4745406640912491E-3</c:v>
                </c:pt>
                <c:pt idx="2445">
                  <c:v>1.2061715863250257E-2</c:v>
                </c:pt>
                <c:pt idx="2446">
                  <c:v>1.4599428049598621E-3</c:v>
                </c:pt>
                <c:pt idx="2447">
                  <c:v>-2.7802175328761427E-3</c:v>
                </c:pt>
                <c:pt idx="2448">
                  <c:v>-2.0574321587474437E-2</c:v>
                </c:pt>
                <c:pt idx="2449">
                  <c:v>1.5679363733049781E-3</c:v>
                </c:pt>
                <c:pt idx="2450">
                  <c:v>-1.1981220973814677E-2</c:v>
                </c:pt>
                <c:pt idx="2451">
                  <c:v>1.1425952216359555E-2</c:v>
                </c:pt>
                <c:pt idx="2452">
                  <c:v>-1.3070933999937525E-2</c:v>
                </c:pt>
                <c:pt idx="2453">
                  <c:v>1.0469458977261837E-2</c:v>
                </c:pt>
                <c:pt idx="2454">
                  <c:v>4.0944935476352412E-3</c:v>
                </c:pt>
                <c:pt idx="2455">
                  <c:v>8.2640477350165494E-3</c:v>
                </c:pt>
                <c:pt idx="2456">
                  <c:v>-1.9155742909790841E-3</c:v>
                </c:pt>
                <c:pt idx="2457">
                  <c:v>-6.8894637904681668E-3</c:v>
                </c:pt>
                <c:pt idx="2458">
                  <c:v>-2.4196966754627294E-3</c:v>
                </c:pt>
                <c:pt idx="2459">
                  <c:v>3.0179781813102643E-3</c:v>
                </c:pt>
                <c:pt idx="2460">
                  <c:v>1.6919170336133042E-2</c:v>
                </c:pt>
                <c:pt idx="2461">
                  <c:v>7.4324416209213713E-3</c:v>
                </c:pt>
                <c:pt idx="2462">
                  <c:v>3.3691227169670899E-3</c:v>
                </c:pt>
                <c:pt idx="2463">
                  <c:v>7.366160006043284E-3</c:v>
                </c:pt>
                <c:pt idx="2464">
                  <c:v>3.6573205869523144E-3</c:v>
                </c:pt>
                <c:pt idx="2465">
                  <c:v>2.9914274720985803E-3</c:v>
                </c:pt>
                <c:pt idx="2466">
                  <c:v>-1.0731549583585973E-3</c:v>
                </c:pt>
                <c:pt idx="2467">
                  <c:v>4.7369422309476855E-3</c:v>
                </c:pt>
                <c:pt idx="2468">
                  <c:v>1.818128616510003E-3</c:v>
                </c:pt>
                <c:pt idx="2469">
                  <c:v>-5.0644004514438486E-3</c:v>
                </c:pt>
                <c:pt idx="2470">
                  <c:v>9.7813440400895506E-3</c:v>
                </c:pt>
                <c:pt idx="2471">
                  <c:v>1.9474456805769699E-3</c:v>
                </c:pt>
                <c:pt idx="2472">
                  <c:v>1.7984504334932693E-3</c:v>
                </c:pt>
                <c:pt idx="2473">
                  <c:v>3.673611276116367E-3</c:v>
                </c:pt>
                <c:pt idx="2474">
                  <c:v>6.4405112404735685E-3</c:v>
                </c:pt>
                <c:pt idx="2475">
                  <c:v>4.1731721062601788E-3</c:v>
                </c:pt>
                <c:pt idx="2476">
                  <c:v>3.7259083006282606E-3</c:v>
                </c:pt>
                <c:pt idx="2477">
                  <c:v>8.8730678440489285E-4</c:v>
                </c:pt>
                <c:pt idx="2478">
                  <c:v>-3.504869385575243E-3</c:v>
                </c:pt>
                <c:pt idx="2479">
                  <c:v>-8.259833757375561E-3</c:v>
                </c:pt>
                <c:pt idx="2480">
                  <c:v>5.5077572557522153E-4</c:v>
                </c:pt>
                <c:pt idx="2481">
                  <c:v>7.196680911038463E-3</c:v>
                </c:pt>
                <c:pt idx="2482">
                  <c:v>-1.0677315509449458E-5</c:v>
                </c:pt>
                <c:pt idx="2483">
                  <c:v>3.8577581225869607E-3</c:v>
                </c:pt>
                <c:pt idx="2484">
                  <c:v>-2.6050195943357248E-3</c:v>
                </c:pt>
                <c:pt idx="2485">
                  <c:v>3.379039774514253E-3</c:v>
                </c:pt>
                <c:pt idx="2486">
                  <c:v>-1.3996279870592404E-3</c:v>
                </c:pt>
                <c:pt idx="2487">
                  <c:v>-3.2022541195681504E-3</c:v>
                </c:pt>
                <c:pt idx="2488">
                  <c:v>1.655707232782677E-3</c:v>
                </c:pt>
                <c:pt idx="2489">
                  <c:v>2.2912737234973743E-3</c:v>
                </c:pt>
                <c:pt idx="2490">
                  <c:v>-2.2987044973283768E-2</c:v>
                </c:pt>
                <c:pt idx="2491">
                  <c:v>1.3113857392683798E-2</c:v>
                </c:pt>
                <c:pt idx="2492">
                  <c:v>-1.9143376992336782E-2</c:v>
                </c:pt>
                <c:pt idx="2493">
                  <c:v>-1.1885550113429818E-2</c:v>
                </c:pt>
                <c:pt idx="2494">
                  <c:v>1.4094625715697029E-2</c:v>
                </c:pt>
                <c:pt idx="2495">
                  <c:v>-8.4844725376341974E-3</c:v>
                </c:pt>
                <c:pt idx="2496">
                  <c:v>1.1662655055923081E-2</c:v>
                </c:pt>
                <c:pt idx="2497">
                  <c:v>2.0495586171745628E-2</c:v>
                </c:pt>
                <c:pt idx="2498">
                  <c:v>3.0805438956169962E-3</c:v>
                </c:pt>
                <c:pt idx="2499">
                  <c:v>-7.2070383872084483E-3</c:v>
                </c:pt>
                <c:pt idx="2500">
                  <c:v>9.5038068188789387E-3</c:v>
                </c:pt>
                <c:pt idx="2501">
                  <c:v>-9.1782002130428933E-3</c:v>
                </c:pt>
                <c:pt idx="2502">
                  <c:v>-7.4986431218743987E-3</c:v>
                </c:pt>
                <c:pt idx="2503">
                  <c:v>1.6216212899904034E-2</c:v>
                </c:pt>
                <c:pt idx="2504">
                  <c:v>-8.7818258427533567E-3</c:v>
                </c:pt>
                <c:pt idx="2505">
                  <c:v>-1.0341010906645293E-2</c:v>
                </c:pt>
                <c:pt idx="2506">
                  <c:v>-1.1453373010201799E-2</c:v>
                </c:pt>
                <c:pt idx="2507">
                  <c:v>1.7621763861808751E-2</c:v>
                </c:pt>
                <c:pt idx="2508">
                  <c:v>1.0128711352276767E-2</c:v>
                </c:pt>
                <c:pt idx="2509">
                  <c:v>6.2044168953242747E-3</c:v>
                </c:pt>
                <c:pt idx="2510">
                  <c:v>1.3744072068897223E-2</c:v>
                </c:pt>
                <c:pt idx="2511">
                  <c:v>-1.0106980314378653E-3</c:v>
                </c:pt>
                <c:pt idx="2512">
                  <c:v>1.4009215802245781E-3</c:v>
                </c:pt>
                <c:pt idx="2513">
                  <c:v>-2.9942175300769428E-3</c:v>
                </c:pt>
                <c:pt idx="2514">
                  <c:v>-2.6296753415458013E-3</c:v>
                </c:pt>
                <c:pt idx="2515">
                  <c:v>6.3538488355527438E-3</c:v>
                </c:pt>
                <c:pt idx="2516">
                  <c:v>-6.2981618540545298E-4</c:v>
                </c:pt>
                <c:pt idx="2517">
                  <c:v>-1.9583272775802296E-2</c:v>
                </c:pt>
                <c:pt idx="2518">
                  <c:v>-9.6417552908581125E-4</c:v>
                </c:pt>
                <c:pt idx="2519">
                  <c:v>-4.0584367372055773E-3</c:v>
                </c:pt>
                <c:pt idx="2520">
                  <c:v>-1.4421248375173315E-3</c:v>
                </c:pt>
                <c:pt idx="2521">
                  <c:v>9.118332112991406E-3</c:v>
                </c:pt>
                <c:pt idx="2522">
                  <c:v>2.8137340560308905E-3</c:v>
                </c:pt>
                <c:pt idx="2523">
                  <c:v>-1.4345962458906215E-2</c:v>
                </c:pt>
                <c:pt idx="2524">
                  <c:v>8.1957721271400563E-4</c:v>
                </c:pt>
                <c:pt idx="2525">
                  <c:v>-1.8559054584436702E-2</c:v>
                </c:pt>
                <c:pt idx="2526">
                  <c:v>-9.7367691046557382E-3</c:v>
                </c:pt>
                <c:pt idx="2527">
                  <c:v>-1.1098789654240207E-2</c:v>
                </c:pt>
                <c:pt idx="2528">
                  <c:v>-1.9095986358635349E-2</c:v>
                </c:pt>
                <c:pt idx="2529">
                  <c:v>2.7679180076168289E-3</c:v>
                </c:pt>
                <c:pt idx="2530">
                  <c:v>-1.2246661962160472E-2</c:v>
                </c:pt>
                <c:pt idx="2531">
                  <c:v>-1.4977525030699156E-3</c:v>
                </c:pt>
                <c:pt idx="2532">
                  <c:v>-5.3985406179990411E-3</c:v>
                </c:pt>
                <c:pt idx="2533">
                  <c:v>2.4055891707799003E-2</c:v>
                </c:pt>
                <c:pt idx="2534">
                  <c:v>1.8709891511396817E-2</c:v>
                </c:pt>
                <c:pt idx="2535">
                  <c:v>6.8395085033043351E-3</c:v>
                </c:pt>
                <c:pt idx="2536">
                  <c:v>9.3784345745179347E-3</c:v>
                </c:pt>
                <c:pt idx="2537">
                  <c:v>-2.4693484168175839E-2</c:v>
                </c:pt>
                <c:pt idx="2538">
                  <c:v>5.1437130908578545E-3</c:v>
                </c:pt>
                <c:pt idx="2539">
                  <c:v>-3.7086548006097621E-3</c:v>
                </c:pt>
                <c:pt idx="2540">
                  <c:v>8.3661309627788387E-3</c:v>
                </c:pt>
                <c:pt idx="2541">
                  <c:v>1.4412812398356309E-2</c:v>
                </c:pt>
                <c:pt idx="2542">
                  <c:v>-1.8281803510329601E-2</c:v>
                </c:pt>
                <c:pt idx="2543">
                  <c:v>-1.9151696234065794E-2</c:v>
                </c:pt>
                <c:pt idx="2544">
                  <c:v>-3.8479420653191741E-3</c:v>
                </c:pt>
                <c:pt idx="2545">
                  <c:v>1.5643739212372925E-2</c:v>
                </c:pt>
                <c:pt idx="2546">
                  <c:v>8.8083277921570239E-4</c:v>
                </c:pt>
                <c:pt idx="2547">
                  <c:v>-2.1400503004023481E-2</c:v>
                </c:pt>
                <c:pt idx="2548">
                  <c:v>-7.192042117620436E-3</c:v>
                </c:pt>
                <c:pt idx="2549">
                  <c:v>-1.0194654042815754E-2</c:v>
                </c:pt>
                <c:pt idx="2550">
                  <c:v>-1.858379019433392E-2</c:v>
                </c:pt>
                <c:pt idx="2551">
                  <c:v>1.4846059711535551E-2</c:v>
                </c:pt>
                <c:pt idx="2552">
                  <c:v>2.2126148364756827E-2</c:v>
                </c:pt>
                <c:pt idx="2553">
                  <c:v>-2.445600339325641E-3</c:v>
                </c:pt>
                <c:pt idx="2554">
                  <c:v>-1.5594426756135317E-2</c:v>
                </c:pt>
                <c:pt idx="2555">
                  <c:v>1.8470983448989332E-2</c:v>
                </c:pt>
                <c:pt idx="2556">
                  <c:v>-5.2685655519010824E-3</c:v>
                </c:pt>
                <c:pt idx="2557">
                  <c:v>-7.9656579014163158E-3</c:v>
                </c:pt>
                <c:pt idx="2558">
                  <c:v>-2.9962522550535008E-2</c:v>
                </c:pt>
                <c:pt idx="2559">
                  <c:v>-7.2601279980952522E-3</c:v>
                </c:pt>
                <c:pt idx="2560">
                  <c:v>2.5373672345635229E-2</c:v>
                </c:pt>
                <c:pt idx="2561">
                  <c:v>-4.3010818993905854E-3</c:v>
                </c:pt>
                <c:pt idx="2562">
                  <c:v>-1.3046288284512193E-2</c:v>
                </c:pt>
                <c:pt idx="2563">
                  <c:v>-7.4486283971046856E-3</c:v>
                </c:pt>
                <c:pt idx="2564">
                  <c:v>2.1182551140656723E-2</c:v>
                </c:pt>
                <c:pt idx="2565">
                  <c:v>2.2136998842954763E-2</c:v>
                </c:pt>
                <c:pt idx="2566">
                  <c:v>1.2272191404503483E-2</c:v>
                </c:pt>
                <c:pt idx="2567">
                  <c:v>1.1594770446318643E-2</c:v>
                </c:pt>
                <c:pt idx="2568">
                  <c:v>-4.3476799985616853E-4</c:v>
                </c:pt>
                <c:pt idx="2569">
                  <c:v>1.1240769260246017E-2</c:v>
                </c:pt>
                <c:pt idx="2570">
                  <c:v>-1.2348713151043481E-2</c:v>
                </c:pt>
                <c:pt idx="2571">
                  <c:v>1.4242030309045384E-2</c:v>
                </c:pt>
                <c:pt idx="2572">
                  <c:v>5.0534023741785035E-3</c:v>
                </c:pt>
                <c:pt idx="2573">
                  <c:v>7.1195596488213336E-3</c:v>
                </c:pt>
                <c:pt idx="2574">
                  <c:v>1.2182027285255538E-2</c:v>
                </c:pt>
                <c:pt idx="2575">
                  <c:v>-6.313610350948985E-3</c:v>
                </c:pt>
                <c:pt idx="2576">
                  <c:v>-1.577632727939729E-2</c:v>
                </c:pt>
                <c:pt idx="2577">
                  <c:v>3.4044855260572872E-3</c:v>
                </c:pt>
                <c:pt idx="2578">
                  <c:v>8.0583226226329796E-3</c:v>
                </c:pt>
                <c:pt idx="2579">
                  <c:v>-1.2631155137050305E-2</c:v>
                </c:pt>
                <c:pt idx="2580">
                  <c:v>-9.7643862227005471E-3</c:v>
                </c:pt>
                <c:pt idx="2581">
                  <c:v>4.2443524395117957E-3</c:v>
                </c:pt>
                <c:pt idx="2582">
                  <c:v>-2.6545074879774648E-3</c:v>
                </c:pt>
                <c:pt idx="2583">
                  <c:v>-1.7021333762949849E-2</c:v>
                </c:pt>
                <c:pt idx="2584">
                  <c:v>-3.4233936348681705E-3</c:v>
                </c:pt>
                <c:pt idx="2585">
                  <c:v>1.1112682823133003E-2</c:v>
                </c:pt>
                <c:pt idx="2586">
                  <c:v>-1.2218479951525796E-2</c:v>
                </c:pt>
                <c:pt idx="2587">
                  <c:v>-2.0491150171664794E-4</c:v>
                </c:pt>
                <c:pt idx="2588">
                  <c:v>1.5930040161497565E-2</c:v>
                </c:pt>
                <c:pt idx="2589">
                  <c:v>-6.1871895769334236E-4</c:v>
                </c:pt>
                <c:pt idx="2590">
                  <c:v>-1.4862847316476122E-2</c:v>
                </c:pt>
                <c:pt idx="2591">
                  <c:v>-2.813199052103028E-2</c:v>
                </c:pt>
                <c:pt idx="2592">
                  <c:v>5.6816875728607956E-3</c:v>
                </c:pt>
                <c:pt idx="2593">
                  <c:v>-2.8550028430273121E-2</c:v>
                </c:pt>
                <c:pt idx="2594">
                  <c:v>2.0959051404105173E-3</c:v>
                </c:pt>
                <c:pt idx="2595">
                  <c:v>2.444564600458133E-2</c:v>
                </c:pt>
                <c:pt idx="2596">
                  <c:v>-3.6959202326858717E-2</c:v>
                </c:pt>
                <c:pt idx="2597">
                  <c:v>5.6592700373755203E-3</c:v>
                </c:pt>
                <c:pt idx="2598">
                  <c:v>4.8254415515728731E-3</c:v>
                </c:pt>
                <c:pt idx="2599">
                  <c:v>2.9425235047606604E-2</c:v>
                </c:pt>
                <c:pt idx="2600">
                  <c:v>-3.6300723991250602E-2</c:v>
                </c:pt>
                <c:pt idx="2601">
                  <c:v>-5.6903182606495763E-3</c:v>
                </c:pt>
                <c:pt idx="2602">
                  <c:v>-3.2561554986877753E-2</c:v>
                </c:pt>
                <c:pt idx="2603">
                  <c:v>2.4548671098168664E-3</c:v>
                </c:pt>
                <c:pt idx="2604">
                  <c:v>-1.6600202520523653E-2</c:v>
                </c:pt>
                <c:pt idx="2605">
                  <c:v>-1.2968422441889949E-3</c:v>
                </c:pt>
                <c:pt idx="2606">
                  <c:v>2.3589314531626496E-2</c:v>
                </c:pt>
                <c:pt idx="2607">
                  <c:v>-3.9542376502765091E-3</c:v>
                </c:pt>
                <c:pt idx="2608">
                  <c:v>1.9968898134440815E-2</c:v>
                </c:pt>
                <c:pt idx="2609">
                  <c:v>-4.1233767985439373E-2</c:v>
                </c:pt>
                <c:pt idx="2610">
                  <c:v>-5.8508922136055116E-3</c:v>
                </c:pt>
                <c:pt idx="2611">
                  <c:v>1.4611357151915558E-4</c:v>
                </c:pt>
                <c:pt idx="2612">
                  <c:v>1.8385022946529016E-2</c:v>
                </c:pt>
                <c:pt idx="2613">
                  <c:v>-8.1539459482493481E-3</c:v>
                </c:pt>
                <c:pt idx="2614">
                  <c:v>9.4063856025386056E-3</c:v>
                </c:pt>
                <c:pt idx="2615">
                  <c:v>1.9688139439344957E-2</c:v>
                </c:pt>
                <c:pt idx="2616">
                  <c:v>2.4441095491293145E-2</c:v>
                </c:pt>
                <c:pt idx="2617">
                  <c:v>-6.2940551963996914E-3</c:v>
                </c:pt>
                <c:pt idx="2618">
                  <c:v>-7.5109239121430331E-3</c:v>
                </c:pt>
                <c:pt idx="2619">
                  <c:v>1.8263262738202751E-2</c:v>
                </c:pt>
                <c:pt idx="2620">
                  <c:v>-1.6482457202400495E-2</c:v>
                </c:pt>
                <c:pt idx="2621">
                  <c:v>3.1324562641237242E-3</c:v>
                </c:pt>
                <c:pt idx="2622">
                  <c:v>9.4783319340661174E-3</c:v>
                </c:pt>
                <c:pt idx="2623">
                  <c:v>-1.0852585537420805E-2</c:v>
                </c:pt>
                <c:pt idx="2624">
                  <c:v>-2.4086469933734811E-2</c:v>
                </c:pt>
                <c:pt idx="2625">
                  <c:v>-2.954242533536117E-2</c:v>
                </c:pt>
                <c:pt idx="2626">
                  <c:v>-3.9539873198958186E-2</c:v>
                </c:pt>
                <c:pt idx="2627">
                  <c:v>-3.7808440639954524E-3</c:v>
                </c:pt>
                <c:pt idx="2628">
                  <c:v>1.4487056184644877E-2</c:v>
                </c:pt>
                <c:pt idx="2629">
                  <c:v>-3.3052215017083934E-2</c:v>
                </c:pt>
                <c:pt idx="2630">
                  <c:v>2.1984287507105164E-3</c:v>
                </c:pt>
                <c:pt idx="2631">
                  <c:v>2.4182488501784571E-2</c:v>
                </c:pt>
                <c:pt idx="2632">
                  <c:v>-1.3023811491289687E-3</c:v>
                </c:pt>
                <c:pt idx="2633">
                  <c:v>9.4870490606574001E-3</c:v>
                </c:pt>
                <c:pt idx="2634">
                  <c:v>3.0105537080807647E-2</c:v>
                </c:pt>
                <c:pt idx="2635">
                  <c:v>-2.9775299301252065E-3</c:v>
                </c:pt>
                <c:pt idx="2636">
                  <c:v>-2.0348658383248716E-2</c:v>
                </c:pt>
                <c:pt idx="2637">
                  <c:v>-7.1200650096186937E-4</c:v>
                </c:pt>
                <c:pt idx="2638">
                  <c:v>-8.7978148306084494E-3</c:v>
                </c:pt>
                <c:pt idx="2639">
                  <c:v>1.0498459915641863E-2</c:v>
                </c:pt>
                <c:pt idx="2640">
                  <c:v>1.5829235665797978E-3</c:v>
                </c:pt>
                <c:pt idx="2641">
                  <c:v>3.5667473495814678E-3</c:v>
                </c:pt>
                <c:pt idx="2642">
                  <c:v>1.4853713471199018E-2</c:v>
                </c:pt>
                <c:pt idx="2643">
                  <c:v>-8.3055631536842949E-4</c:v>
                </c:pt>
                <c:pt idx="2644">
                  <c:v>-1.159442997810581E-2</c:v>
                </c:pt>
                <c:pt idx="2645">
                  <c:v>-9.2868990190167582E-3</c:v>
                </c:pt>
                <c:pt idx="2646">
                  <c:v>-4.466859031662644E-3</c:v>
                </c:pt>
                <c:pt idx="2647">
                  <c:v>-3.0031001895847553E-3</c:v>
                </c:pt>
                <c:pt idx="2648">
                  <c:v>1.9019223492515371E-2</c:v>
                </c:pt>
                <c:pt idx="2649">
                  <c:v>-8.398790728860633E-3</c:v>
                </c:pt>
                <c:pt idx="2650">
                  <c:v>2.7253558019802913E-2</c:v>
                </c:pt>
                <c:pt idx="2651">
                  <c:v>5.8785037183350592E-3</c:v>
                </c:pt>
                <c:pt idx="2652">
                  <c:v>9.8130542384489011E-3</c:v>
                </c:pt>
                <c:pt idx="2653">
                  <c:v>-9.3762699234227094E-3</c:v>
                </c:pt>
                <c:pt idx="2654">
                  <c:v>1.3142512363463167E-3</c:v>
                </c:pt>
                <c:pt idx="2655">
                  <c:v>-1.161033289574997E-2</c:v>
                </c:pt>
                <c:pt idx="2656">
                  <c:v>2.5820034533563709E-2</c:v>
                </c:pt>
                <c:pt idx="2657">
                  <c:v>1.2060363275690102E-2</c:v>
                </c:pt>
                <c:pt idx="2658">
                  <c:v>1.4107749538291978E-2</c:v>
                </c:pt>
                <c:pt idx="2659">
                  <c:v>-2.8270386343186992E-3</c:v>
                </c:pt>
                <c:pt idx="2660">
                  <c:v>-6.6847025099674136E-3</c:v>
                </c:pt>
                <c:pt idx="2661">
                  <c:v>1.5517460750035557E-2</c:v>
                </c:pt>
                <c:pt idx="2662">
                  <c:v>-7.7764713908326987E-4</c:v>
                </c:pt>
                <c:pt idx="2663">
                  <c:v>-1.6270689959386672E-3</c:v>
                </c:pt>
                <c:pt idx="2664">
                  <c:v>-1.2383454103545306E-3</c:v>
                </c:pt>
                <c:pt idx="2665">
                  <c:v>-4.2577821983481121E-3</c:v>
                </c:pt>
                <c:pt idx="2666">
                  <c:v>2.1067154907856916E-2</c:v>
                </c:pt>
                <c:pt idx="2667">
                  <c:v>-7.0567189661734585E-4</c:v>
                </c:pt>
                <c:pt idx="2668">
                  <c:v>1.7174074409836079E-2</c:v>
                </c:pt>
                <c:pt idx="2669">
                  <c:v>3.9616294239327712E-3</c:v>
                </c:pt>
                <c:pt idx="2670">
                  <c:v>1.8739092755182558E-3</c:v>
                </c:pt>
                <c:pt idx="2671">
                  <c:v>-7.26407864047862E-3</c:v>
                </c:pt>
                <c:pt idx="2672">
                  <c:v>2.2669440331611829E-3</c:v>
                </c:pt>
                <c:pt idx="2673">
                  <c:v>-1.2983869381359623E-2</c:v>
                </c:pt>
                <c:pt idx="2674">
                  <c:v>-2.1632427725287454E-2</c:v>
                </c:pt>
                <c:pt idx="2675">
                  <c:v>-2.2403090640503252E-3</c:v>
                </c:pt>
                <c:pt idx="2676">
                  <c:v>2.9119072513373811E-3</c:v>
                </c:pt>
                <c:pt idx="2677">
                  <c:v>1.3993218645290096E-2</c:v>
                </c:pt>
                <c:pt idx="2678">
                  <c:v>-3.4268526748985458E-2</c:v>
                </c:pt>
                <c:pt idx="2679">
                  <c:v>-6.6887235092639493E-3</c:v>
                </c:pt>
                <c:pt idx="2680">
                  <c:v>-1.1089367791653617E-2</c:v>
                </c:pt>
                <c:pt idx="2681">
                  <c:v>-7.8477602570987508E-3</c:v>
                </c:pt>
                <c:pt idx="2682">
                  <c:v>2.9917276491103818E-3</c:v>
                </c:pt>
                <c:pt idx="2683">
                  <c:v>-1.0794530441166154E-2</c:v>
                </c:pt>
                <c:pt idx="2684">
                  <c:v>-4.1034472098145404E-3</c:v>
                </c:pt>
                <c:pt idx="2685">
                  <c:v>1.8174804228558855E-2</c:v>
                </c:pt>
                <c:pt idx="2686">
                  <c:v>6.5890133889801002E-3</c:v>
                </c:pt>
                <c:pt idx="2687">
                  <c:v>1.5155971507018435E-2</c:v>
                </c:pt>
                <c:pt idx="2688">
                  <c:v>1.0528639881468727E-2</c:v>
                </c:pt>
                <c:pt idx="2689">
                  <c:v>-4.4199110119582059E-2</c:v>
                </c:pt>
                <c:pt idx="2690">
                  <c:v>3.3812717048818559E-3</c:v>
                </c:pt>
                <c:pt idx="2691">
                  <c:v>-1.1382294724738607E-2</c:v>
                </c:pt>
                <c:pt idx="2692">
                  <c:v>-7.208044914246866E-3</c:v>
                </c:pt>
                <c:pt idx="2693">
                  <c:v>6.8337454395362542E-3</c:v>
                </c:pt>
                <c:pt idx="2694">
                  <c:v>-1.1336124553072551E-2</c:v>
                </c:pt>
                <c:pt idx="2695">
                  <c:v>-1.7264673789774226E-2</c:v>
                </c:pt>
                <c:pt idx="2696">
                  <c:v>-8.4633092689318096E-3</c:v>
                </c:pt>
                <c:pt idx="2697">
                  <c:v>-1.7382826077567966E-2</c:v>
                </c:pt>
                <c:pt idx="2698">
                  <c:v>-1.0394376865970473E-2</c:v>
                </c:pt>
                <c:pt idx="2699">
                  <c:v>-2.1226109775338642E-3</c:v>
                </c:pt>
                <c:pt idx="2700">
                  <c:v>1.9481144387776417E-2</c:v>
                </c:pt>
                <c:pt idx="2701">
                  <c:v>-2.1352776272162088E-2</c:v>
                </c:pt>
                <c:pt idx="2702">
                  <c:v>-1.5181392276394085E-2</c:v>
                </c:pt>
                <c:pt idx="2703">
                  <c:v>2.5554628797407629E-2</c:v>
                </c:pt>
                <c:pt idx="2704">
                  <c:v>3.012534086530393E-2</c:v>
                </c:pt>
                <c:pt idx="2705">
                  <c:v>-2.0200133350643033E-3</c:v>
                </c:pt>
                <c:pt idx="2706">
                  <c:v>-1.0297920383574249E-2</c:v>
                </c:pt>
                <c:pt idx="2707">
                  <c:v>-2.8403167167490584E-2</c:v>
                </c:pt>
                <c:pt idx="2708">
                  <c:v>-7.5206675446196497E-3</c:v>
                </c:pt>
                <c:pt idx="2709">
                  <c:v>-6.5405726393698588E-3</c:v>
                </c:pt>
                <c:pt idx="2710">
                  <c:v>-3.2961833504644216E-3</c:v>
                </c:pt>
                <c:pt idx="2711">
                  <c:v>2.5634291446897169E-2</c:v>
                </c:pt>
                <c:pt idx="2712">
                  <c:v>-2.3947163771951822E-2</c:v>
                </c:pt>
                <c:pt idx="2713">
                  <c:v>2.613555691190645E-2</c:v>
                </c:pt>
                <c:pt idx="2714">
                  <c:v>1.1362760181543908E-2</c:v>
                </c:pt>
                <c:pt idx="2715">
                  <c:v>-6.694436704711702E-3</c:v>
                </c:pt>
                <c:pt idx="2716">
                  <c:v>-7.9827185160930587E-3</c:v>
                </c:pt>
                <c:pt idx="2717">
                  <c:v>2.3447767852436571E-2</c:v>
                </c:pt>
                <c:pt idx="2718">
                  <c:v>1.1811917059798283E-2</c:v>
                </c:pt>
                <c:pt idx="2719">
                  <c:v>1.6135765325269211E-2</c:v>
                </c:pt>
                <c:pt idx="2720">
                  <c:v>-7.4151380567922306E-3</c:v>
                </c:pt>
                <c:pt idx="2721">
                  <c:v>-6.1011723843323405E-3</c:v>
                </c:pt>
                <c:pt idx="2722">
                  <c:v>2.4328034575769396E-2</c:v>
                </c:pt>
                <c:pt idx="2723">
                  <c:v>-7.4823069661265037E-3</c:v>
                </c:pt>
                <c:pt idx="2724">
                  <c:v>-4.1096940897468529E-3</c:v>
                </c:pt>
                <c:pt idx="2725">
                  <c:v>-2.5319802827619801E-2</c:v>
                </c:pt>
                <c:pt idx="2726">
                  <c:v>-1.064240923898342E-2</c:v>
                </c:pt>
                <c:pt idx="2727">
                  <c:v>1.3526781457993704E-2</c:v>
                </c:pt>
                <c:pt idx="2728">
                  <c:v>9.5680618026735623E-3</c:v>
                </c:pt>
                <c:pt idx="2729">
                  <c:v>5.5822675939800961E-3</c:v>
                </c:pt>
                <c:pt idx="2730">
                  <c:v>-2.0996774887089925E-2</c:v>
                </c:pt>
                <c:pt idx="2731">
                  <c:v>5.3952504280963931E-2</c:v>
                </c:pt>
                <c:pt idx="2732">
                  <c:v>9.1983590448269908E-3</c:v>
                </c:pt>
                <c:pt idx="2733">
                  <c:v>-8.9759576650217388E-3</c:v>
                </c:pt>
                <c:pt idx="2734">
                  <c:v>8.6753813075978112E-3</c:v>
                </c:pt>
                <c:pt idx="2735">
                  <c:v>-8.2862978720850793E-3</c:v>
                </c:pt>
                <c:pt idx="2736">
                  <c:v>-3.094109623737159E-3</c:v>
                </c:pt>
                <c:pt idx="2737">
                  <c:v>4.7472883302355929E-3</c:v>
                </c:pt>
                <c:pt idx="2738">
                  <c:v>-3.8912128014762935E-3</c:v>
                </c:pt>
                <c:pt idx="2739">
                  <c:v>1.3488571921957369E-2</c:v>
                </c:pt>
                <c:pt idx="2740">
                  <c:v>5.8972831306427134E-3</c:v>
                </c:pt>
                <c:pt idx="2741">
                  <c:v>-2.8311094412904197E-4</c:v>
                </c:pt>
                <c:pt idx="2742">
                  <c:v>-1.5564652905563017E-2</c:v>
                </c:pt>
                <c:pt idx="2743">
                  <c:v>-1.5931188727940442E-3</c:v>
                </c:pt>
                <c:pt idx="2744">
                  <c:v>3.047858758258928E-2</c:v>
                </c:pt>
                <c:pt idx="2745">
                  <c:v>-8.6800027027179102E-4</c:v>
                </c:pt>
                <c:pt idx="2746">
                  <c:v>-1.1953459028422096E-3</c:v>
                </c:pt>
                <c:pt idx="2747">
                  <c:v>-1.8056283602075441E-2</c:v>
                </c:pt>
                <c:pt idx="2748">
                  <c:v>-1.4503849921748772E-2</c:v>
                </c:pt>
                <c:pt idx="2749">
                  <c:v>-1.8640849162627044E-3</c:v>
                </c:pt>
                <c:pt idx="2750">
                  <c:v>7.493612090724109E-3</c:v>
                </c:pt>
                <c:pt idx="2751">
                  <c:v>-7.3766872148234497E-3</c:v>
                </c:pt>
                <c:pt idx="2752">
                  <c:v>1.4178262831053962E-2</c:v>
                </c:pt>
                <c:pt idx="2753">
                  <c:v>7.2632622332616968E-3</c:v>
                </c:pt>
                <c:pt idx="2754">
                  <c:v>-6.0711580284131088E-3</c:v>
                </c:pt>
                <c:pt idx="2755">
                  <c:v>-2.5237460791963953E-2</c:v>
                </c:pt>
                <c:pt idx="2756">
                  <c:v>-1.1200267830704025E-2</c:v>
                </c:pt>
                <c:pt idx="2757">
                  <c:v>-9.0482780342915972E-3</c:v>
                </c:pt>
                <c:pt idx="2758">
                  <c:v>1.036747011419641E-3</c:v>
                </c:pt>
                <c:pt idx="2759">
                  <c:v>1.4758594440961796E-2</c:v>
                </c:pt>
                <c:pt idx="2760">
                  <c:v>-1.4557129502374849E-2</c:v>
                </c:pt>
                <c:pt idx="2761">
                  <c:v>5.8509063889847814E-3</c:v>
                </c:pt>
                <c:pt idx="2762">
                  <c:v>-4.0578262550561321E-3</c:v>
                </c:pt>
                <c:pt idx="2763">
                  <c:v>-1.209346269904926E-2</c:v>
                </c:pt>
                <c:pt idx="2764">
                  <c:v>1.7310618960093668E-2</c:v>
                </c:pt>
                <c:pt idx="2765">
                  <c:v>-2.5439680351095257E-3</c:v>
                </c:pt>
                <c:pt idx="2766">
                  <c:v>-4.0085443908070935E-3</c:v>
                </c:pt>
                <c:pt idx="2767">
                  <c:v>7.5106740753847724E-3</c:v>
                </c:pt>
                <c:pt idx="2768">
                  <c:v>-1.1713902384519219E-2</c:v>
                </c:pt>
                <c:pt idx="2769">
                  <c:v>2.2583841176026541E-2</c:v>
                </c:pt>
                <c:pt idx="2770">
                  <c:v>-7.6792985049440666E-4</c:v>
                </c:pt>
                <c:pt idx="2771">
                  <c:v>6.9540205524518915E-3</c:v>
                </c:pt>
                <c:pt idx="2772">
                  <c:v>1.2767544131228952E-2</c:v>
                </c:pt>
                <c:pt idx="2773">
                  <c:v>3.4101315868827887E-3</c:v>
                </c:pt>
                <c:pt idx="2774">
                  <c:v>3.988850553225138E-3</c:v>
                </c:pt>
                <c:pt idx="2775">
                  <c:v>-2.0325261125498277E-3</c:v>
                </c:pt>
                <c:pt idx="2776">
                  <c:v>-1.5685001660276407E-2</c:v>
                </c:pt>
                <c:pt idx="2777">
                  <c:v>-7.6676696075208299E-3</c:v>
                </c:pt>
                <c:pt idx="2778">
                  <c:v>1.8741671559172491E-2</c:v>
                </c:pt>
                <c:pt idx="2779">
                  <c:v>1.1811328415709267E-2</c:v>
                </c:pt>
                <c:pt idx="2780">
                  <c:v>-7.1172963252109358E-4</c:v>
                </c:pt>
                <c:pt idx="2781">
                  <c:v>-1.8174643434897735E-4</c:v>
                </c:pt>
                <c:pt idx="2782">
                  <c:v>1.0947717569977039E-2</c:v>
                </c:pt>
                <c:pt idx="2783">
                  <c:v>2.4917027916841637E-3</c:v>
                </c:pt>
                <c:pt idx="2784">
                  <c:v>-1.3053559781991077E-2</c:v>
                </c:pt>
                <c:pt idx="2785">
                  <c:v>1.4536285322318165E-2</c:v>
                </c:pt>
                <c:pt idx="2786">
                  <c:v>1.0398089735210484E-2</c:v>
                </c:pt>
                <c:pt idx="2787">
                  <c:v>1.4592431217642185E-2</c:v>
                </c:pt>
                <c:pt idx="2788">
                  <c:v>-1.0408643989373002E-2</c:v>
                </c:pt>
                <c:pt idx="2789">
                  <c:v>-6.1594169191690872E-3</c:v>
                </c:pt>
                <c:pt idx="2790">
                  <c:v>1.2790383040919152E-2</c:v>
                </c:pt>
                <c:pt idx="2791">
                  <c:v>-1.1142539811002886E-2</c:v>
                </c:pt>
                <c:pt idx="2792">
                  <c:v>-8.869043032445954E-3</c:v>
                </c:pt>
                <c:pt idx="2793">
                  <c:v>2.1928652588764841E-3</c:v>
                </c:pt>
                <c:pt idx="2794">
                  <c:v>1.1383550959928976E-2</c:v>
                </c:pt>
                <c:pt idx="2795">
                  <c:v>-2.8041608128225108E-4</c:v>
                </c:pt>
                <c:pt idx="2796">
                  <c:v>2.7692856551893739E-3</c:v>
                </c:pt>
                <c:pt idx="2797">
                  <c:v>-1.3884644172642286E-2</c:v>
                </c:pt>
                <c:pt idx="2798">
                  <c:v>-2.7712852059047503E-3</c:v>
                </c:pt>
                <c:pt idx="2799">
                  <c:v>-2.0244784414123935E-2</c:v>
                </c:pt>
                <c:pt idx="2800">
                  <c:v>-1.5747857327715093E-3</c:v>
                </c:pt>
                <c:pt idx="2801">
                  <c:v>5.3152734602749932E-3</c:v>
                </c:pt>
                <c:pt idx="2802">
                  <c:v>-1.0593457421727142E-2</c:v>
                </c:pt>
                <c:pt idx="2803">
                  <c:v>3.0683048311681872E-3</c:v>
                </c:pt>
                <c:pt idx="2804">
                  <c:v>-3.0405976856194583E-3</c:v>
                </c:pt>
                <c:pt idx="2805">
                  <c:v>-4.7364616152703798E-3</c:v>
                </c:pt>
                <c:pt idx="2806">
                  <c:v>7.5535420169248321E-3</c:v>
                </c:pt>
                <c:pt idx="2807">
                  <c:v>1.6018800257414187E-2</c:v>
                </c:pt>
                <c:pt idx="2808">
                  <c:v>6.8692352399550452E-4</c:v>
                </c:pt>
                <c:pt idx="2809">
                  <c:v>-1.5445639173959797E-2</c:v>
                </c:pt>
                <c:pt idx="2810">
                  <c:v>1.4138210863556078E-3</c:v>
                </c:pt>
                <c:pt idx="2811">
                  <c:v>-1.8631872945282475E-2</c:v>
                </c:pt>
                <c:pt idx="2812">
                  <c:v>-1.4583974750190179E-2</c:v>
                </c:pt>
                <c:pt idx="2813">
                  <c:v>-1.5108816132590817E-3</c:v>
                </c:pt>
                <c:pt idx="2814">
                  <c:v>1.6342380801371525E-2</c:v>
                </c:pt>
                <c:pt idx="2815">
                  <c:v>-7.0053363982352087E-3</c:v>
                </c:pt>
                <c:pt idx="2816">
                  <c:v>1.7409551286964531E-2</c:v>
                </c:pt>
                <c:pt idx="2817">
                  <c:v>-1.1080586449227313E-2</c:v>
                </c:pt>
                <c:pt idx="2818">
                  <c:v>8.878824909597214E-3</c:v>
                </c:pt>
                <c:pt idx="2819">
                  <c:v>1.289863554198477E-2</c:v>
                </c:pt>
                <c:pt idx="2820">
                  <c:v>-1.6600211922495948E-2</c:v>
                </c:pt>
                <c:pt idx="2821">
                  <c:v>2.9800838470393862E-3</c:v>
                </c:pt>
                <c:pt idx="2822">
                  <c:v>5.623958124210314E-3</c:v>
                </c:pt>
                <c:pt idx="2823">
                  <c:v>1.6455897389303137E-3</c:v>
                </c:pt>
                <c:pt idx="2824">
                  <c:v>-1.5750808409301009E-3</c:v>
                </c:pt>
                <c:pt idx="2825">
                  <c:v>1.4136861145886559E-2</c:v>
                </c:pt>
                <c:pt idx="2826">
                  <c:v>5.698994460609173E-3</c:v>
                </c:pt>
                <c:pt idx="2827">
                  <c:v>1.4333332809426856E-2</c:v>
                </c:pt>
                <c:pt idx="2828">
                  <c:v>3.6920936495169121E-3</c:v>
                </c:pt>
                <c:pt idx="2829">
                  <c:v>-5.8139203852082119E-3</c:v>
                </c:pt>
                <c:pt idx="2830">
                  <c:v>-2.4954291924703361E-3</c:v>
                </c:pt>
                <c:pt idx="2831">
                  <c:v>3.5727397253701647E-3</c:v>
                </c:pt>
                <c:pt idx="2832">
                  <c:v>9.9584504701190541E-4</c:v>
                </c:pt>
                <c:pt idx="2833">
                  <c:v>-4.1372345026909729E-5</c:v>
                </c:pt>
                <c:pt idx="2834">
                  <c:v>-4.1434586507983449E-3</c:v>
                </c:pt>
                <c:pt idx="2835">
                  <c:v>1.3175446748330008E-2</c:v>
                </c:pt>
                <c:pt idx="2836">
                  <c:v>-2.0714988104920951E-3</c:v>
                </c:pt>
                <c:pt idx="2837">
                  <c:v>3.3007789687629755E-3</c:v>
                </c:pt>
                <c:pt idx="2838">
                  <c:v>8.547842551524592E-4</c:v>
                </c:pt>
                <c:pt idx="2839">
                  <c:v>-8.4242044291161936E-5</c:v>
                </c:pt>
                <c:pt idx="2840">
                  <c:v>-5.9703399458197028E-3</c:v>
                </c:pt>
                <c:pt idx="2841">
                  <c:v>9.0278599092536804E-4</c:v>
                </c:pt>
                <c:pt idx="2842">
                  <c:v>8.5121206122392508E-4</c:v>
                </c:pt>
                <c:pt idx="2843">
                  <c:v>-1.5937145594967939E-2</c:v>
                </c:pt>
                <c:pt idx="2844">
                  <c:v>-3.8486098771117832E-3</c:v>
                </c:pt>
                <c:pt idx="2845">
                  <c:v>1.9377167380002121E-2</c:v>
                </c:pt>
                <c:pt idx="2846">
                  <c:v>8.2193596125703667E-3</c:v>
                </c:pt>
                <c:pt idx="2847">
                  <c:v>-3.8621384972729493E-4</c:v>
                </c:pt>
                <c:pt idx="2848">
                  <c:v>-1.1653897528004022E-2</c:v>
                </c:pt>
                <c:pt idx="2849">
                  <c:v>-7.0228890905811598E-3</c:v>
                </c:pt>
                <c:pt idx="2850">
                  <c:v>-7.2449062412514361E-3</c:v>
                </c:pt>
                <c:pt idx="2851">
                  <c:v>1.8306159168068423E-2</c:v>
                </c:pt>
                <c:pt idx="2852">
                  <c:v>4.5199816586328297E-4</c:v>
                </c:pt>
                <c:pt idx="2853">
                  <c:v>-4.5898916638410408E-3</c:v>
                </c:pt>
                <c:pt idx="2854">
                  <c:v>4.4738902330266894E-3</c:v>
                </c:pt>
                <c:pt idx="2855">
                  <c:v>-1.6980602174566785E-3</c:v>
                </c:pt>
                <c:pt idx="2856">
                  <c:v>-1.5845521626198357E-3</c:v>
                </c:pt>
                <c:pt idx="2857">
                  <c:v>2.9538685652344835E-3</c:v>
                </c:pt>
                <c:pt idx="2858">
                  <c:v>-6.398135861993161E-3</c:v>
                </c:pt>
                <c:pt idx="2859">
                  <c:v>1.1820660164447881E-2</c:v>
                </c:pt>
                <c:pt idx="2860">
                  <c:v>9.4007742847056677E-3</c:v>
                </c:pt>
                <c:pt idx="2861">
                  <c:v>-1.4469557460591439E-3</c:v>
                </c:pt>
                <c:pt idx="2862">
                  <c:v>1.550459714410593E-4</c:v>
                </c:pt>
                <c:pt idx="2863">
                  <c:v>-1.1285515564489972E-2</c:v>
                </c:pt>
                <c:pt idx="2864">
                  <c:v>-7.3455507858671458E-3</c:v>
                </c:pt>
                <c:pt idx="2865">
                  <c:v>8.719564785563249E-3</c:v>
                </c:pt>
                <c:pt idx="2866">
                  <c:v>1.296458273531355E-2</c:v>
                </c:pt>
                <c:pt idx="2867">
                  <c:v>1.6644929182328236E-5</c:v>
                </c:pt>
                <c:pt idx="2868">
                  <c:v>-6.1273722329718457E-3</c:v>
                </c:pt>
                <c:pt idx="2869">
                  <c:v>9.806229149665344E-3</c:v>
                </c:pt>
                <c:pt idx="2870">
                  <c:v>1.442978965214366E-2</c:v>
                </c:pt>
                <c:pt idx="2871">
                  <c:v>-2.0055732655681105E-3</c:v>
                </c:pt>
                <c:pt idx="2872">
                  <c:v>2.3511165774900327E-3</c:v>
                </c:pt>
                <c:pt idx="2873">
                  <c:v>-3.8192757067673886E-3</c:v>
                </c:pt>
                <c:pt idx="2874">
                  <c:v>6.16953524709693E-3</c:v>
                </c:pt>
                <c:pt idx="2875">
                  <c:v>1.1474737636884458E-3</c:v>
                </c:pt>
                <c:pt idx="2876">
                  <c:v>9.2779026656844323E-3</c:v>
                </c:pt>
                <c:pt idx="2877">
                  <c:v>6.9086648833658285E-3</c:v>
                </c:pt>
                <c:pt idx="2878">
                  <c:v>8.1907206921961594E-4</c:v>
                </c:pt>
                <c:pt idx="2879">
                  <c:v>1.2104580063652602E-2</c:v>
                </c:pt>
                <c:pt idx="2880">
                  <c:v>-3.6783763376504303E-3</c:v>
                </c:pt>
                <c:pt idx="2881">
                  <c:v>-4.7463803686906532E-3</c:v>
                </c:pt>
                <c:pt idx="2882">
                  <c:v>-5.2590818461865788E-3</c:v>
                </c:pt>
                <c:pt idx="2883">
                  <c:v>3.7038857650539521E-3</c:v>
                </c:pt>
                <c:pt idx="2884">
                  <c:v>-7.688274822307147E-3</c:v>
                </c:pt>
                <c:pt idx="2885">
                  <c:v>-4.4968757892660969E-3</c:v>
                </c:pt>
                <c:pt idx="2886">
                  <c:v>1.1390657230512101E-2</c:v>
                </c:pt>
                <c:pt idx="2887">
                  <c:v>-3.5407246519950932E-4</c:v>
                </c:pt>
                <c:pt idx="2888">
                  <c:v>4.4635502053141703E-3</c:v>
                </c:pt>
                <c:pt idx="2889">
                  <c:v>1.2194363266362706E-2</c:v>
                </c:pt>
                <c:pt idx="2890">
                  <c:v>1.1700018289601843E-3</c:v>
                </c:pt>
                <c:pt idx="2891">
                  <c:v>-1.9702536362673942E-3</c:v>
                </c:pt>
                <c:pt idx="2892">
                  <c:v>-7.9540652874783013E-3</c:v>
                </c:pt>
                <c:pt idx="2893">
                  <c:v>-2.8692926136023467E-3</c:v>
                </c:pt>
                <c:pt idx="2894">
                  <c:v>2.4022317330228151E-3</c:v>
                </c:pt>
                <c:pt idx="2895">
                  <c:v>6.7195880716203853E-3</c:v>
                </c:pt>
                <c:pt idx="2896">
                  <c:v>7.383817501052891E-3</c:v>
                </c:pt>
                <c:pt idx="2897">
                  <c:v>8.434509266769535E-3</c:v>
                </c:pt>
                <c:pt idx="2898">
                  <c:v>-1.0249061954501163E-3</c:v>
                </c:pt>
                <c:pt idx="2899">
                  <c:v>3.8479435973795429E-3</c:v>
                </c:pt>
                <c:pt idx="2900">
                  <c:v>7.0920798661324126E-3</c:v>
                </c:pt>
                <c:pt idx="2901">
                  <c:v>2.3550834835142126E-3</c:v>
                </c:pt>
                <c:pt idx="2902">
                  <c:v>-6.7798061818515913E-3</c:v>
                </c:pt>
                <c:pt idx="2903">
                  <c:v>3.2410230010493271E-4</c:v>
                </c:pt>
                <c:pt idx="2904">
                  <c:v>4.0259740353417468E-3</c:v>
                </c:pt>
                <c:pt idx="2905">
                  <c:v>2.8107581456501534E-3</c:v>
                </c:pt>
                <c:pt idx="2906">
                  <c:v>-1.5545953102232801E-4</c:v>
                </c:pt>
                <c:pt idx="2907">
                  <c:v>-6.4454274911412875E-3</c:v>
                </c:pt>
                <c:pt idx="2908">
                  <c:v>9.8294145087675765E-3</c:v>
                </c:pt>
                <c:pt idx="2909">
                  <c:v>1.4676396864565879E-3</c:v>
                </c:pt>
                <c:pt idx="2910">
                  <c:v>-2.668649552448092E-3</c:v>
                </c:pt>
                <c:pt idx="2911">
                  <c:v>-1.3936235197657028E-2</c:v>
                </c:pt>
                <c:pt idx="2912">
                  <c:v>-2.5512255276715053E-3</c:v>
                </c:pt>
                <c:pt idx="2913">
                  <c:v>-5.3140910274567365E-3</c:v>
                </c:pt>
                <c:pt idx="2914">
                  <c:v>8.9835839552586446E-3</c:v>
                </c:pt>
                <c:pt idx="2915">
                  <c:v>-4.227192022498048E-3</c:v>
                </c:pt>
                <c:pt idx="2916">
                  <c:v>-7.0636364040070568E-3</c:v>
                </c:pt>
                <c:pt idx="2917">
                  <c:v>2.5065629558288107E-4</c:v>
                </c:pt>
                <c:pt idx="2918">
                  <c:v>-1.0702036647139679E-3</c:v>
                </c:pt>
                <c:pt idx="2919">
                  <c:v>5.7339132747375263E-3</c:v>
                </c:pt>
                <c:pt idx="2920">
                  <c:v>-1.1618060736365813E-2</c:v>
                </c:pt>
                <c:pt idx="2921">
                  <c:v>-7.5841303382103969E-3</c:v>
                </c:pt>
                <c:pt idx="2922">
                  <c:v>-7.7427623561250646E-3</c:v>
                </c:pt>
                <c:pt idx="2923">
                  <c:v>-1.4874022775515319E-4</c:v>
                </c:pt>
                <c:pt idx="2924">
                  <c:v>6.8556214812669266E-3</c:v>
                </c:pt>
                <c:pt idx="2925">
                  <c:v>-2.7812820922299762E-3</c:v>
                </c:pt>
                <c:pt idx="2926">
                  <c:v>1.0984339030271489E-2</c:v>
                </c:pt>
                <c:pt idx="2927">
                  <c:v>-1.3549420207499292E-2</c:v>
                </c:pt>
                <c:pt idx="2928">
                  <c:v>6.6955233154781116E-3</c:v>
                </c:pt>
                <c:pt idx="2929">
                  <c:v>6.2450565111568821E-3</c:v>
                </c:pt>
                <c:pt idx="2930">
                  <c:v>1.4404107984150809E-2</c:v>
                </c:pt>
                <c:pt idx="2931">
                  <c:v>3.8258021699069606E-3</c:v>
                </c:pt>
                <c:pt idx="2932">
                  <c:v>-1.5982216816604765E-3</c:v>
                </c:pt>
                <c:pt idx="2933">
                  <c:v>1.7975431036151848E-3</c:v>
                </c:pt>
                <c:pt idx="2934">
                  <c:v>-4.203010869610265E-3</c:v>
                </c:pt>
                <c:pt idx="2935">
                  <c:v>-6.9959927442528732E-3</c:v>
                </c:pt>
                <c:pt idx="2936">
                  <c:v>-3.2164682050081963E-3</c:v>
                </c:pt>
                <c:pt idx="2937">
                  <c:v>1.4255841976643817E-3</c:v>
                </c:pt>
                <c:pt idx="2938">
                  <c:v>6.7010127829867268E-3</c:v>
                </c:pt>
                <c:pt idx="2939">
                  <c:v>-5.7121558411206055E-3</c:v>
                </c:pt>
                <c:pt idx="2940">
                  <c:v>1.2408533465711885E-3</c:v>
                </c:pt>
                <c:pt idx="2941">
                  <c:v>8.394550741111827E-3</c:v>
                </c:pt>
                <c:pt idx="2942">
                  <c:v>-1.2234084667107637E-2</c:v>
                </c:pt>
                <c:pt idx="2943">
                  <c:v>7.2103643683838804E-4</c:v>
                </c:pt>
                <c:pt idx="2944">
                  <c:v>-2.1534195529618974E-3</c:v>
                </c:pt>
                <c:pt idx="2945">
                  <c:v>-9.4392046231101256E-3</c:v>
                </c:pt>
                <c:pt idx="2946">
                  <c:v>-1.653687395146802E-2</c:v>
                </c:pt>
                <c:pt idx="2947">
                  <c:v>-2.2982509659402743E-3</c:v>
                </c:pt>
                <c:pt idx="2948">
                  <c:v>4.0150212758186272E-3</c:v>
                </c:pt>
                <c:pt idx="2949">
                  <c:v>-1.4844128717961364E-2</c:v>
                </c:pt>
                <c:pt idx="2950">
                  <c:v>2.2929233000634007E-4</c:v>
                </c:pt>
                <c:pt idx="2951">
                  <c:v>5.8757768874731896E-3</c:v>
                </c:pt>
                <c:pt idx="2952">
                  <c:v>-2.7131686755154211E-3</c:v>
                </c:pt>
                <c:pt idx="2953">
                  <c:v>7.9286976922361474E-5</c:v>
                </c:pt>
                <c:pt idx="2954">
                  <c:v>-1.3839410161483797E-2</c:v>
                </c:pt>
                <c:pt idx="2955">
                  <c:v>8.0770937870001339E-3</c:v>
                </c:pt>
                <c:pt idx="2956">
                  <c:v>-1.3048673867472557E-3</c:v>
                </c:pt>
                <c:pt idx="2957">
                  <c:v>1.1745628333713317E-2</c:v>
                </c:pt>
                <c:pt idx="2958">
                  <c:v>6.2840320810455159E-3</c:v>
                </c:pt>
                <c:pt idx="2959">
                  <c:v>5.1944583608864153E-3</c:v>
                </c:pt>
                <c:pt idx="2960">
                  <c:v>4.2838286545689866E-3</c:v>
                </c:pt>
                <c:pt idx="2961">
                  <c:v>-6.2659488852716012E-3</c:v>
                </c:pt>
                <c:pt idx="2962">
                  <c:v>-5.0314774496886677E-3</c:v>
                </c:pt>
                <c:pt idx="2963">
                  <c:v>1.0538619453747615E-2</c:v>
                </c:pt>
                <c:pt idx="2964">
                  <c:v>-9.8321334779938874E-5</c:v>
                </c:pt>
                <c:pt idx="2965">
                  <c:v>-1.349038622382619E-2</c:v>
                </c:pt>
                <c:pt idx="2966">
                  <c:v>-8.5190096941524674E-3</c:v>
                </c:pt>
                <c:pt idx="2967">
                  <c:v>-1.2665186185757991E-2</c:v>
                </c:pt>
                <c:pt idx="2968">
                  <c:v>-1.6869643388467898E-3</c:v>
                </c:pt>
                <c:pt idx="2969">
                  <c:v>7.2394913997594025E-3</c:v>
                </c:pt>
                <c:pt idx="2970">
                  <c:v>-1.4443397939346892E-2</c:v>
                </c:pt>
                <c:pt idx="2971">
                  <c:v>-1.1903071819740901E-2</c:v>
                </c:pt>
                <c:pt idx="2972">
                  <c:v>-4.811871761208667E-3</c:v>
                </c:pt>
                <c:pt idx="2973">
                  <c:v>1.1938544947970331E-2</c:v>
                </c:pt>
                <c:pt idx="2974">
                  <c:v>6.4540892074659807E-3</c:v>
                </c:pt>
                <c:pt idx="2975">
                  <c:v>1.0451180679737281E-2</c:v>
                </c:pt>
                <c:pt idx="2976">
                  <c:v>1.8682956430735833E-2</c:v>
                </c:pt>
                <c:pt idx="2977">
                  <c:v>9.3498696374369732E-3</c:v>
                </c:pt>
                <c:pt idx="2978">
                  <c:v>1.7514263468030517E-3</c:v>
                </c:pt>
                <c:pt idx="2979">
                  <c:v>2.8361156932399829E-3</c:v>
                </c:pt>
                <c:pt idx="2980">
                  <c:v>1.0044332873557552E-3</c:v>
                </c:pt>
                <c:pt idx="2981">
                  <c:v>-8.1167621824379983E-3</c:v>
                </c:pt>
                <c:pt idx="2982">
                  <c:v>1.5495728650985885E-2</c:v>
                </c:pt>
                <c:pt idx="2983">
                  <c:v>-8.3609108519786131E-4</c:v>
                </c:pt>
                <c:pt idx="2984">
                  <c:v>1.8895282757298078E-2</c:v>
                </c:pt>
                <c:pt idx="2985">
                  <c:v>1.5958076771483444E-3</c:v>
                </c:pt>
                <c:pt idx="2986">
                  <c:v>1.1896413835666805E-3</c:v>
                </c:pt>
                <c:pt idx="2987">
                  <c:v>1.2812755985166719E-3</c:v>
                </c:pt>
                <c:pt idx="2988">
                  <c:v>7.3631338909269815E-3</c:v>
                </c:pt>
                <c:pt idx="2989">
                  <c:v>-2.0229887908321687E-3</c:v>
                </c:pt>
                <c:pt idx="2990">
                  <c:v>4.0528664649777243E-3</c:v>
                </c:pt>
                <c:pt idx="2991">
                  <c:v>5.9675559803246874E-4</c:v>
                </c:pt>
                <c:pt idx="2992">
                  <c:v>-1.9561422168003027E-3</c:v>
                </c:pt>
                <c:pt idx="2993">
                  <c:v>9.7964714182290037E-4</c:v>
                </c:pt>
                <c:pt idx="2994">
                  <c:v>-9.4668376742538802E-4</c:v>
                </c:pt>
                <c:pt idx="2995">
                  <c:v>3.7769911916856066E-3</c:v>
                </c:pt>
                <c:pt idx="2996">
                  <c:v>5.8565417006152948E-3</c:v>
                </c:pt>
                <c:pt idx="2997">
                  <c:v>-5.4231665551195962E-3</c:v>
                </c:pt>
                <c:pt idx="2998">
                  <c:v>-5.691170958779145E-4</c:v>
                </c:pt>
                <c:pt idx="2999">
                  <c:v>-3.9137791113844191E-3</c:v>
                </c:pt>
                <c:pt idx="3000">
                  <c:v>7.9366104133129379E-3</c:v>
                </c:pt>
                <c:pt idx="3001">
                  <c:v>4.0870746210065929E-3</c:v>
                </c:pt>
                <c:pt idx="3002">
                  <c:v>3.9168516750811289E-3</c:v>
                </c:pt>
                <c:pt idx="3003">
                  <c:v>4.5887580600857377E-3</c:v>
                </c:pt>
                <c:pt idx="3004">
                  <c:v>1.3558420429298217E-2</c:v>
                </c:pt>
                <c:pt idx="3005">
                  <c:v>2.6435733742609306E-3</c:v>
                </c:pt>
                <c:pt idx="3006">
                  <c:v>-7.6281368101049259E-5</c:v>
                </c:pt>
                <c:pt idx="3007">
                  <c:v>4.5180974872495441E-3</c:v>
                </c:pt>
                <c:pt idx="3008">
                  <c:v>5.8492552349014293E-3</c:v>
                </c:pt>
                <c:pt idx="3009">
                  <c:v>-1.4793144174519959E-2</c:v>
                </c:pt>
                <c:pt idx="3010">
                  <c:v>1.024879009249407E-2</c:v>
                </c:pt>
                <c:pt idx="3011">
                  <c:v>1.6587067997896167E-3</c:v>
                </c:pt>
                <c:pt idx="3012">
                  <c:v>4.2227363999498384E-3</c:v>
                </c:pt>
                <c:pt idx="3013">
                  <c:v>1.429419277681746E-3</c:v>
                </c:pt>
                <c:pt idx="3014">
                  <c:v>3.7010203319937546E-4</c:v>
                </c:pt>
                <c:pt idx="3015">
                  <c:v>-2.8304729998547477E-3</c:v>
                </c:pt>
                <c:pt idx="3016">
                  <c:v>-5.6766608929654707E-3</c:v>
                </c:pt>
                <c:pt idx="3017">
                  <c:v>-8.0486143089745707E-3</c:v>
                </c:pt>
                <c:pt idx="3018">
                  <c:v>-3.434296699869414E-3</c:v>
                </c:pt>
                <c:pt idx="3019">
                  <c:v>1.8240092336748459E-3</c:v>
                </c:pt>
                <c:pt idx="3020">
                  <c:v>1.4015987132365047E-2</c:v>
                </c:pt>
                <c:pt idx="3021">
                  <c:v>-1.4789856520085827E-3</c:v>
                </c:pt>
                <c:pt idx="3022">
                  <c:v>5.6499398196109933E-3</c:v>
                </c:pt>
                <c:pt idx="3023">
                  <c:v>-6.7128903604016395E-4</c:v>
                </c:pt>
                <c:pt idx="3024">
                  <c:v>7.5072645194105983E-4</c:v>
                </c:pt>
                <c:pt idx="3025">
                  <c:v>-3.7382986232446964E-3</c:v>
                </c:pt>
                <c:pt idx="3026">
                  <c:v>-5.6327271267556144E-3</c:v>
                </c:pt>
                <c:pt idx="3027">
                  <c:v>8.7667247395320728E-3</c:v>
                </c:pt>
                <c:pt idx="3028">
                  <c:v>1.2238283870230153E-2</c:v>
                </c:pt>
                <c:pt idx="3029">
                  <c:v>2.1918970535104105E-3</c:v>
                </c:pt>
                <c:pt idx="3030">
                  <c:v>2.917131506229948E-3</c:v>
                </c:pt>
                <c:pt idx="3031">
                  <c:v>8.1165916827587409E-4</c:v>
                </c:pt>
                <c:pt idx="3032">
                  <c:v>5.2465060919916033E-3</c:v>
                </c:pt>
                <c:pt idx="3033">
                  <c:v>-6.52009756234213E-4</c:v>
                </c:pt>
                <c:pt idx="3034">
                  <c:v>7.5283737614565433E-3</c:v>
                </c:pt>
                <c:pt idx="3035">
                  <c:v>-6.0083834993726029E-4</c:v>
                </c:pt>
                <c:pt idx="3036">
                  <c:v>-1.6236787963987382E-2</c:v>
                </c:pt>
                <c:pt idx="3037">
                  <c:v>1.2416277903485802E-2</c:v>
                </c:pt>
                <c:pt idx="3038">
                  <c:v>1.0627786351803241E-2</c:v>
                </c:pt>
                <c:pt idx="3039">
                  <c:v>-3.191464135615035E-3</c:v>
                </c:pt>
                <c:pt idx="3040">
                  <c:v>2.3077617284261594E-3</c:v>
                </c:pt>
                <c:pt idx="3041">
                  <c:v>8.2076669213310503E-3</c:v>
                </c:pt>
                <c:pt idx="3042">
                  <c:v>5.7040100736248747E-4</c:v>
                </c:pt>
                <c:pt idx="3043">
                  <c:v>5.7259755908601927E-3</c:v>
                </c:pt>
                <c:pt idx="3044">
                  <c:v>-9.4940022755554091E-4</c:v>
                </c:pt>
                <c:pt idx="3045">
                  <c:v>-1.3768624761212093E-2</c:v>
                </c:pt>
                <c:pt idx="3046">
                  <c:v>9.5341290968955009E-3</c:v>
                </c:pt>
                <c:pt idx="3047">
                  <c:v>5.8043999917945753E-3</c:v>
                </c:pt>
                <c:pt idx="3048">
                  <c:v>-4.8150123419915631E-3</c:v>
                </c:pt>
                <c:pt idx="3049">
                  <c:v>-6.0234144772223523E-3</c:v>
                </c:pt>
                <c:pt idx="3050">
                  <c:v>1.2633935945864823E-3</c:v>
                </c:pt>
                <c:pt idx="3051">
                  <c:v>2.0902891694828028E-2</c:v>
                </c:pt>
                <c:pt idx="3052">
                  <c:v>3.4788317372660206E-4</c:v>
                </c:pt>
                <c:pt idx="3053">
                  <c:v>-3.7939352461026604E-3</c:v>
                </c:pt>
                <c:pt idx="3054">
                  <c:v>1.7048185442892359E-3</c:v>
                </c:pt>
                <c:pt idx="3055">
                  <c:v>-1.659450476103029E-3</c:v>
                </c:pt>
                <c:pt idx="3056">
                  <c:v>5.2154203933401618E-3</c:v>
                </c:pt>
                <c:pt idx="3057">
                  <c:v>7.9759250577916968E-3</c:v>
                </c:pt>
                <c:pt idx="3058">
                  <c:v>-1.1939974324694175E-3</c:v>
                </c:pt>
                <c:pt idx="3059">
                  <c:v>-1.0245348981574391E-2</c:v>
                </c:pt>
                <c:pt idx="3060">
                  <c:v>5.1279595372516517E-3</c:v>
                </c:pt>
                <c:pt idx="3061">
                  <c:v>1.0251382881397443E-2</c:v>
                </c:pt>
                <c:pt idx="3062">
                  <c:v>-6.5499380656454595E-3</c:v>
                </c:pt>
                <c:pt idx="3063">
                  <c:v>-1.1228682551799477E-3</c:v>
                </c:pt>
                <c:pt idx="3064">
                  <c:v>1.1139497364012345E-2</c:v>
                </c:pt>
                <c:pt idx="3065">
                  <c:v>-1.926391571868686E-3</c:v>
                </c:pt>
                <c:pt idx="3066">
                  <c:v>-2.8752059156686048E-3</c:v>
                </c:pt>
                <c:pt idx="3067">
                  <c:v>-6.5039961169264899E-3</c:v>
                </c:pt>
                <c:pt idx="3068">
                  <c:v>6.2981688751588584E-3</c:v>
                </c:pt>
                <c:pt idx="3069">
                  <c:v>5.6332831318901015E-3</c:v>
                </c:pt>
                <c:pt idx="3070">
                  <c:v>8.8646978273410684E-3</c:v>
                </c:pt>
                <c:pt idx="3071">
                  <c:v>3.2313725131378058E-3</c:v>
                </c:pt>
                <c:pt idx="3072">
                  <c:v>-1.4032464064151588E-3</c:v>
                </c:pt>
                <c:pt idx="3073">
                  <c:v>-3.0595955699421543E-3</c:v>
                </c:pt>
                <c:pt idx="3074">
                  <c:v>-2.8037482252575453E-3</c:v>
                </c:pt>
                <c:pt idx="3075">
                  <c:v>8.5935659407079552E-3</c:v>
                </c:pt>
                <c:pt idx="3076">
                  <c:v>1.1158887706710923E-3</c:v>
                </c:pt>
                <c:pt idx="3077">
                  <c:v>-2.0155996658250933E-3</c:v>
                </c:pt>
                <c:pt idx="3078">
                  <c:v>-7.2653957344673645E-3</c:v>
                </c:pt>
                <c:pt idx="3079">
                  <c:v>1.0904938060488179E-3</c:v>
                </c:pt>
                <c:pt idx="3080">
                  <c:v>-1.2410983057457463E-2</c:v>
                </c:pt>
                <c:pt idx="3081">
                  <c:v>1.1038072569656417E-2</c:v>
                </c:pt>
                <c:pt idx="3082">
                  <c:v>-3.747574930495873E-4</c:v>
                </c:pt>
                <c:pt idx="3083">
                  <c:v>1.4444457627020377E-3</c:v>
                </c:pt>
                <c:pt idx="3084">
                  <c:v>-9.5019783338873547E-3</c:v>
                </c:pt>
                <c:pt idx="3085">
                  <c:v>7.4172372058720279E-3</c:v>
                </c:pt>
                <c:pt idx="3086">
                  <c:v>-1.4657607029448559E-2</c:v>
                </c:pt>
                <c:pt idx="3087">
                  <c:v>-1.2094130563305876E-2</c:v>
                </c:pt>
                <c:pt idx="3088">
                  <c:v>-2.0586901863485071E-3</c:v>
                </c:pt>
                <c:pt idx="3089">
                  <c:v>-5.797336366096615E-3</c:v>
                </c:pt>
                <c:pt idx="3090">
                  <c:v>-2.2106328639260849E-3</c:v>
                </c:pt>
                <c:pt idx="3091">
                  <c:v>-8.7971023365461913E-3</c:v>
                </c:pt>
                <c:pt idx="3092">
                  <c:v>8.6933277348877659E-3</c:v>
                </c:pt>
                <c:pt idx="3093">
                  <c:v>1.1893624576650831E-2</c:v>
                </c:pt>
                <c:pt idx="3094">
                  <c:v>2.1297196541228134E-4</c:v>
                </c:pt>
                <c:pt idx="3095">
                  <c:v>-4.5869419014574458E-3</c:v>
                </c:pt>
                <c:pt idx="3096">
                  <c:v>1.0157373516560254E-2</c:v>
                </c:pt>
                <c:pt idx="3097">
                  <c:v>3.1734156874775382E-3</c:v>
                </c:pt>
                <c:pt idx="3098">
                  <c:v>-1.5855554753445709E-2</c:v>
                </c:pt>
                <c:pt idx="3099">
                  <c:v>-3.4413923648739225E-3</c:v>
                </c:pt>
                <c:pt idx="3100">
                  <c:v>9.0870134013374317E-3</c:v>
                </c:pt>
                <c:pt idx="3101">
                  <c:v>1.247858860899914E-2</c:v>
                </c:pt>
                <c:pt idx="3102">
                  <c:v>1.0273136069376812E-2</c:v>
                </c:pt>
                <c:pt idx="3103">
                  <c:v>1.3425358193505205E-3</c:v>
                </c:pt>
                <c:pt idx="3104">
                  <c:v>-5.7829262956225704E-6</c:v>
                </c:pt>
                <c:pt idx="3105">
                  <c:v>5.0780025958913483E-3</c:v>
                </c:pt>
                <c:pt idx="3106">
                  <c:v>1.6480214063461682E-3</c:v>
                </c:pt>
                <c:pt idx="3107">
                  <c:v>-2.4128455417182781E-4</c:v>
                </c:pt>
                <c:pt idx="3108">
                  <c:v>4.8261000617198218E-3</c:v>
                </c:pt>
                <c:pt idx="3109">
                  <c:v>1.1647879688045933E-2</c:v>
                </c:pt>
                <c:pt idx="3110">
                  <c:v>-2.08387430730016E-3</c:v>
                </c:pt>
                <c:pt idx="3111">
                  <c:v>1.1641104408194052E-3</c:v>
                </c:pt>
                <c:pt idx="3112">
                  <c:v>9.159960683443537E-4</c:v>
                </c:pt>
                <c:pt idx="3113">
                  <c:v>2.498698327390512E-3</c:v>
                </c:pt>
                <c:pt idx="3114">
                  <c:v>-2.7097176835470336E-3</c:v>
                </c:pt>
                <c:pt idx="3115">
                  <c:v>-7.4081767856449404E-3</c:v>
                </c:pt>
                <c:pt idx="3116">
                  <c:v>6.9765789150719763E-3</c:v>
                </c:pt>
                <c:pt idx="3117">
                  <c:v>2.4880404548013993E-4</c:v>
                </c:pt>
                <c:pt idx="3118">
                  <c:v>-7.3943469365055463E-3</c:v>
                </c:pt>
                <c:pt idx="3119">
                  <c:v>-5.9929167225422977E-3</c:v>
                </c:pt>
                <c:pt idx="3120">
                  <c:v>7.9958649115222311E-3</c:v>
                </c:pt>
                <c:pt idx="3121">
                  <c:v>1.1154342969859781E-3</c:v>
                </c:pt>
                <c:pt idx="3122">
                  <c:v>1.5016920495655548E-3</c:v>
                </c:pt>
                <c:pt idx="3123">
                  <c:v>1.1778026448059028E-2</c:v>
                </c:pt>
                <c:pt idx="3124">
                  <c:v>-1.9986943175659869E-4</c:v>
                </c:pt>
                <c:pt idx="3125">
                  <c:v>-1.1158931807150971E-3</c:v>
                </c:pt>
                <c:pt idx="3126">
                  <c:v>2.5775665246065955E-3</c:v>
                </c:pt>
                <c:pt idx="3127">
                  <c:v>2.7067548434573357E-3</c:v>
                </c:pt>
                <c:pt idx="3128">
                  <c:v>8.4677271718827819E-3</c:v>
                </c:pt>
                <c:pt idx="3129">
                  <c:v>2.341828672305396E-3</c:v>
                </c:pt>
                <c:pt idx="3130">
                  <c:v>-3.9391312700216223E-4</c:v>
                </c:pt>
                <c:pt idx="3131">
                  <c:v>7.6351859201040807E-3</c:v>
                </c:pt>
                <c:pt idx="3132">
                  <c:v>2.5181897678469146E-3</c:v>
                </c:pt>
                <c:pt idx="3133">
                  <c:v>-2.5291522760688338E-3</c:v>
                </c:pt>
                <c:pt idx="3134">
                  <c:v>-1.5633874377691908E-3</c:v>
                </c:pt>
                <c:pt idx="3135">
                  <c:v>-3.0698792218004059E-3</c:v>
                </c:pt>
                <c:pt idx="3136">
                  <c:v>3.9259309005764296E-3</c:v>
                </c:pt>
                <c:pt idx="3137">
                  <c:v>1.5711783413408377E-3</c:v>
                </c:pt>
                <c:pt idx="3138">
                  <c:v>9.068706560974762E-4</c:v>
                </c:pt>
                <c:pt idx="3139">
                  <c:v>-4.0919885121458088E-3</c:v>
                </c:pt>
                <c:pt idx="3140">
                  <c:v>2.6720159429360979E-3</c:v>
                </c:pt>
                <c:pt idx="3141">
                  <c:v>6.1762197767835335E-3</c:v>
                </c:pt>
                <c:pt idx="3142">
                  <c:v>5.0715161981972666E-3</c:v>
                </c:pt>
                <c:pt idx="3143">
                  <c:v>5.4339884131971751E-3</c:v>
                </c:pt>
                <c:pt idx="3144">
                  <c:v>1.0161544279964853E-3</c:v>
                </c:pt>
                <c:pt idx="3145">
                  <c:v>7.4081850375864739E-4</c:v>
                </c:pt>
                <c:pt idx="3146">
                  <c:v>1.0156283642139425E-2</c:v>
                </c:pt>
                <c:pt idx="3147">
                  <c:v>-8.8016292301766504E-3</c:v>
                </c:pt>
                <c:pt idx="3148">
                  <c:v>5.5018536287759819E-3</c:v>
                </c:pt>
                <c:pt idx="3149">
                  <c:v>2.822195662042845E-3</c:v>
                </c:pt>
                <c:pt idx="3150">
                  <c:v>6.3690536600414091E-3</c:v>
                </c:pt>
                <c:pt idx="3151">
                  <c:v>-1.4025410555021933E-2</c:v>
                </c:pt>
                <c:pt idx="3152">
                  <c:v>-7.8470804696827295E-3</c:v>
                </c:pt>
                <c:pt idx="3153">
                  <c:v>-7.1659074070294041E-3</c:v>
                </c:pt>
                <c:pt idx="3154">
                  <c:v>1.0734189165974961E-2</c:v>
                </c:pt>
                <c:pt idx="3155">
                  <c:v>-1.5593317997995005E-3</c:v>
                </c:pt>
                <c:pt idx="3156">
                  <c:v>-2.3421178443889513E-2</c:v>
                </c:pt>
                <c:pt idx="3157">
                  <c:v>-5.1559504042484414E-3</c:v>
                </c:pt>
                <c:pt idx="3158">
                  <c:v>1.1029442312488889E-2</c:v>
                </c:pt>
                <c:pt idx="3159">
                  <c:v>8.129903108684501E-4</c:v>
                </c:pt>
                <c:pt idx="3160">
                  <c:v>-4.9724964337360253E-3</c:v>
                </c:pt>
                <c:pt idx="3161">
                  <c:v>1.567000529191805E-2</c:v>
                </c:pt>
                <c:pt idx="3162">
                  <c:v>-1.3788191433053192E-2</c:v>
                </c:pt>
                <c:pt idx="3163">
                  <c:v>-1.8552885294602865E-2</c:v>
                </c:pt>
                <c:pt idx="3164">
                  <c:v>-3.0427045496882188E-2</c:v>
                </c:pt>
                <c:pt idx="3165">
                  <c:v>1.0300905557719547E-2</c:v>
                </c:pt>
                <c:pt idx="3166">
                  <c:v>-7.7647563892511828E-3</c:v>
                </c:pt>
                <c:pt idx="3167">
                  <c:v>2.2781128575607587E-2</c:v>
                </c:pt>
                <c:pt idx="3168">
                  <c:v>4.660780212150723E-3</c:v>
                </c:pt>
                <c:pt idx="3169">
                  <c:v>4.3036707511422095E-5</c:v>
                </c:pt>
                <c:pt idx="3170">
                  <c:v>1.6707226654933075E-2</c:v>
                </c:pt>
                <c:pt idx="3171">
                  <c:v>3.816476067632372E-3</c:v>
                </c:pt>
                <c:pt idx="3172">
                  <c:v>1.6004444012785939E-2</c:v>
                </c:pt>
                <c:pt idx="3173">
                  <c:v>1.9878411263283945E-3</c:v>
                </c:pt>
                <c:pt idx="3174">
                  <c:v>9.6753274361777754E-3</c:v>
                </c:pt>
                <c:pt idx="3175">
                  <c:v>-1.9865481747165059E-3</c:v>
                </c:pt>
                <c:pt idx="3176">
                  <c:v>4.2307182841846242E-3</c:v>
                </c:pt>
                <c:pt idx="3177">
                  <c:v>-8.9729494254644684E-3</c:v>
                </c:pt>
                <c:pt idx="3178">
                  <c:v>1.1417986208502448E-2</c:v>
                </c:pt>
                <c:pt idx="3179">
                  <c:v>-3.1587066155747872E-3</c:v>
                </c:pt>
                <c:pt idx="3180">
                  <c:v>1.5939320118754585E-3</c:v>
                </c:pt>
                <c:pt idx="3181">
                  <c:v>-5.9939669454233853E-3</c:v>
                </c:pt>
                <c:pt idx="3182">
                  <c:v>-3.934142455813639E-5</c:v>
                </c:pt>
                <c:pt idx="3183">
                  <c:v>1.0042467382856683E-2</c:v>
                </c:pt>
                <c:pt idx="3184">
                  <c:v>-2.137801245458143E-2</c:v>
                </c:pt>
                <c:pt idx="3185">
                  <c:v>-1.6037653903594354E-3</c:v>
                </c:pt>
                <c:pt idx="3186">
                  <c:v>-3.0226412501879545E-3</c:v>
                </c:pt>
                <c:pt idx="3187">
                  <c:v>-1.7410901670867562E-2</c:v>
                </c:pt>
                <c:pt idx="3188">
                  <c:v>1.1513555690021488E-2</c:v>
                </c:pt>
                <c:pt idx="3189">
                  <c:v>4.4626607244902189E-3</c:v>
                </c:pt>
                <c:pt idx="3190">
                  <c:v>1.0608580303038784E-2</c:v>
                </c:pt>
                <c:pt idx="3191">
                  <c:v>7.46737294203047E-3</c:v>
                </c:pt>
                <c:pt idx="3192">
                  <c:v>5.3930968783714164E-3</c:v>
                </c:pt>
                <c:pt idx="3193">
                  <c:v>1.2558720767880025E-3</c:v>
                </c:pt>
                <c:pt idx="3194">
                  <c:v>2.6447349073670164E-4</c:v>
                </c:pt>
                <c:pt idx="3195">
                  <c:v>-2.9006031263851696E-3</c:v>
                </c:pt>
                <c:pt idx="3196">
                  <c:v>1.6834291247586949E-2</c:v>
                </c:pt>
                <c:pt idx="3197">
                  <c:v>-1.942855451501775E-3</c:v>
                </c:pt>
                <c:pt idx="3198">
                  <c:v>2.8053309143568263E-3</c:v>
                </c:pt>
                <c:pt idx="3199">
                  <c:v>2.5079697029956895E-3</c:v>
                </c:pt>
                <c:pt idx="3200">
                  <c:v>-1.8629115860669923E-3</c:v>
                </c:pt>
                <c:pt idx="3201">
                  <c:v>4.0304808028723289E-3</c:v>
                </c:pt>
                <c:pt idx="3202">
                  <c:v>-1.2539688882457197E-3</c:v>
                </c:pt>
                <c:pt idx="3203">
                  <c:v>4.227593432856073E-3</c:v>
                </c:pt>
                <c:pt idx="3204">
                  <c:v>-9.3678520838370288E-3</c:v>
                </c:pt>
                <c:pt idx="3205">
                  <c:v>1.3837448536698041E-4</c:v>
                </c:pt>
                <c:pt idx="3206">
                  <c:v>-1.6828115331257495E-3</c:v>
                </c:pt>
                <c:pt idx="3207">
                  <c:v>8.9302759844378885E-3</c:v>
                </c:pt>
                <c:pt idx="3208">
                  <c:v>-9.6322841074211688E-3</c:v>
                </c:pt>
                <c:pt idx="3209">
                  <c:v>9.6427168941927138E-3</c:v>
                </c:pt>
                <c:pt idx="3210">
                  <c:v>7.0882038963943272E-3</c:v>
                </c:pt>
                <c:pt idx="3211">
                  <c:v>-2.0722279710146596E-3</c:v>
                </c:pt>
                <c:pt idx="3212">
                  <c:v>6.0336118627852325E-3</c:v>
                </c:pt>
                <c:pt idx="3213">
                  <c:v>7.6780609629941675E-3</c:v>
                </c:pt>
                <c:pt idx="3214">
                  <c:v>-7.6385090687541464E-3</c:v>
                </c:pt>
                <c:pt idx="3215">
                  <c:v>4.6681557065759915E-3</c:v>
                </c:pt>
                <c:pt idx="3216">
                  <c:v>-1.7117513483320916E-4</c:v>
                </c:pt>
                <c:pt idx="3217">
                  <c:v>3.9637370431245362E-3</c:v>
                </c:pt>
                <c:pt idx="3218">
                  <c:v>-1.8244427413090425E-3</c:v>
                </c:pt>
                <c:pt idx="3219">
                  <c:v>-4.7500338350551163E-4</c:v>
                </c:pt>
                <c:pt idx="3220">
                  <c:v>-9.2337774119530536E-3</c:v>
                </c:pt>
                <c:pt idx="3221">
                  <c:v>2.1434831869283494E-3</c:v>
                </c:pt>
                <c:pt idx="3222">
                  <c:v>-2.9953572187414154E-4</c:v>
                </c:pt>
                <c:pt idx="3223">
                  <c:v>2.6479514493707988E-3</c:v>
                </c:pt>
                <c:pt idx="3224">
                  <c:v>1.6128426925638532E-3</c:v>
                </c:pt>
                <c:pt idx="3225">
                  <c:v>-3.3056916281390038E-3</c:v>
                </c:pt>
                <c:pt idx="3226">
                  <c:v>-1.8790182599519829E-2</c:v>
                </c:pt>
                <c:pt idx="3227">
                  <c:v>4.0842263302362366E-3</c:v>
                </c:pt>
                <c:pt idx="3228">
                  <c:v>-2.8160686495115016E-3</c:v>
                </c:pt>
                <c:pt idx="3229">
                  <c:v>1.219106130274809E-2</c:v>
                </c:pt>
                <c:pt idx="3230">
                  <c:v>2.4981233838896531E-2</c:v>
                </c:pt>
                <c:pt idx="3231">
                  <c:v>7.4037444129894632E-3</c:v>
                </c:pt>
                <c:pt idx="3232">
                  <c:v>3.7498038697994338E-3</c:v>
                </c:pt>
                <c:pt idx="3233">
                  <c:v>9.6858443383637458E-4</c:v>
                </c:pt>
                <c:pt idx="3234">
                  <c:v>-2.8968743715661891E-3</c:v>
                </c:pt>
                <c:pt idx="3235">
                  <c:v>2.322595101076364E-4</c:v>
                </c:pt>
                <c:pt idx="3236">
                  <c:v>-6.0681150291174617E-3</c:v>
                </c:pt>
                <c:pt idx="3237">
                  <c:v>-1.3291463960568205E-2</c:v>
                </c:pt>
                <c:pt idx="3238">
                  <c:v>3.9101598241076656E-3</c:v>
                </c:pt>
                <c:pt idx="3239">
                  <c:v>3.9557737052673715E-3</c:v>
                </c:pt>
                <c:pt idx="3240">
                  <c:v>2.1970426117316337E-5</c:v>
                </c:pt>
                <c:pt idx="3241">
                  <c:v>5.3262353051749837E-3</c:v>
                </c:pt>
                <c:pt idx="3242">
                  <c:v>3.4619792004100735E-3</c:v>
                </c:pt>
                <c:pt idx="3243">
                  <c:v>3.015882072251307E-3</c:v>
                </c:pt>
                <c:pt idx="3244">
                  <c:v>5.7057361888066833E-3</c:v>
                </c:pt>
                <c:pt idx="3245">
                  <c:v>-3.8085396153748753E-3</c:v>
                </c:pt>
                <c:pt idx="3246">
                  <c:v>5.5921788939180331E-3</c:v>
                </c:pt>
                <c:pt idx="3247">
                  <c:v>2.4454606033056034E-3</c:v>
                </c:pt>
                <c:pt idx="3248">
                  <c:v>4.5135046310470323E-4</c:v>
                </c:pt>
                <c:pt idx="3249">
                  <c:v>6.0331237505021089E-3</c:v>
                </c:pt>
                <c:pt idx="3250">
                  <c:v>-1.8714648272306858E-3</c:v>
                </c:pt>
                <c:pt idx="3251">
                  <c:v>2.4923196558419955E-3</c:v>
                </c:pt>
                <c:pt idx="3252">
                  <c:v>-6.1631802121963038E-3</c:v>
                </c:pt>
                <c:pt idx="3253">
                  <c:v>-2.9682940713745675E-3</c:v>
                </c:pt>
                <c:pt idx="3254">
                  <c:v>8.1326619328850828E-3</c:v>
                </c:pt>
                <c:pt idx="3255">
                  <c:v>-5.4287410919564485E-3</c:v>
                </c:pt>
                <c:pt idx="3256">
                  <c:v>-2.6441167577320025E-5</c:v>
                </c:pt>
                <c:pt idx="3257">
                  <c:v>3.7921163249597686E-3</c:v>
                </c:pt>
                <c:pt idx="3258">
                  <c:v>-3.8714440227630084E-3</c:v>
                </c:pt>
                <c:pt idx="3259">
                  <c:v>-2.9936554508987644E-2</c:v>
                </c:pt>
                <c:pt idx="3260">
                  <c:v>-8.6547345775283581E-4</c:v>
                </c:pt>
                <c:pt idx="3261">
                  <c:v>1.0810476252410672E-2</c:v>
                </c:pt>
                <c:pt idx="3262">
                  <c:v>7.2608954754625398E-3</c:v>
                </c:pt>
                <c:pt idx="3263">
                  <c:v>1.0982197273831982E-2</c:v>
                </c:pt>
                <c:pt idx="3264">
                  <c:v>-4.0570874146761795E-4</c:v>
                </c:pt>
                <c:pt idx="3265">
                  <c:v>-1.111730467559637E-2</c:v>
                </c:pt>
                <c:pt idx="3266">
                  <c:v>-1.0759690191101295E-2</c:v>
                </c:pt>
                <c:pt idx="3267">
                  <c:v>-4.2939964541344501E-3</c:v>
                </c:pt>
                <c:pt idx="3268">
                  <c:v>-2.2263497925529528E-3</c:v>
                </c:pt>
                <c:pt idx="3269">
                  <c:v>1.2517287272659085E-2</c:v>
                </c:pt>
                <c:pt idx="3270">
                  <c:v>5.5228222624888485E-3</c:v>
                </c:pt>
                <c:pt idx="3271">
                  <c:v>-1.116600476981219E-2</c:v>
                </c:pt>
                <c:pt idx="3272">
                  <c:v>1.559107735282887E-3</c:v>
                </c:pt>
                <c:pt idx="3273">
                  <c:v>-1.5531644353894208E-2</c:v>
                </c:pt>
                <c:pt idx="3274">
                  <c:v>1.5741742695762329E-3</c:v>
                </c:pt>
                <c:pt idx="3275">
                  <c:v>1.1456334044923633E-3</c:v>
                </c:pt>
                <c:pt idx="3276">
                  <c:v>1.8147132985426716E-2</c:v>
                </c:pt>
                <c:pt idx="3277">
                  <c:v>-2.1148717634665781E-3</c:v>
                </c:pt>
                <c:pt idx="3278">
                  <c:v>9.9414259357241096E-3</c:v>
                </c:pt>
                <c:pt idx="3279">
                  <c:v>8.7299967522312897E-3</c:v>
                </c:pt>
                <c:pt idx="3280">
                  <c:v>6.1192005774427091E-3</c:v>
                </c:pt>
                <c:pt idx="3281">
                  <c:v>5.2994450977238887E-3</c:v>
                </c:pt>
                <c:pt idx="3282">
                  <c:v>-2.8592607828964826E-3</c:v>
                </c:pt>
                <c:pt idx="3283">
                  <c:v>-1.4687984883634318E-2</c:v>
                </c:pt>
                <c:pt idx="3284">
                  <c:v>9.1755762546756169E-3</c:v>
                </c:pt>
                <c:pt idx="3285">
                  <c:v>-4.6898535700948913E-3</c:v>
                </c:pt>
                <c:pt idx="3286">
                  <c:v>5.2615707224356184E-3</c:v>
                </c:pt>
                <c:pt idx="3287">
                  <c:v>-5.0595812914254659E-3</c:v>
                </c:pt>
                <c:pt idx="3288">
                  <c:v>-7.637696973119063E-3</c:v>
                </c:pt>
                <c:pt idx="3289">
                  <c:v>7.1988974883324779E-3</c:v>
                </c:pt>
                <c:pt idx="3290">
                  <c:v>3.9010377290886913E-3</c:v>
                </c:pt>
                <c:pt idx="3291">
                  <c:v>3.637700027498819E-3</c:v>
                </c:pt>
                <c:pt idx="3292">
                  <c:v>-9.5099134821077444E-3</c:v>
                </c:pt>
                <c:pt idx="3293">
                  <c:v>6.6901608481496353E-3</c:v>
                </c:pt>
                <c:pt idx="3294">
                  <c:v>3.3951548500248807E-4</c:v>
                </c:pt>
                <c:pt idx="3295">
                  <c:v>-2.7276186894511618E-3</c:v>
                </c:pt>
                <c:pt idx="3296">
                  <c:v>1.0372377459622351E-2</c:v>
                </c:pt>
                <c:pt idx="3297">
                  <c:v>-7.1955976056534599E-5</c:v>
                </c:pt>
                <c:pt idx="3298">
                  <c:v>2.4419717448794743E-3</c:v>
                </c:pt>
                <c:pt idx="3299">
                  <c:v>2.3741775065794562E-3</c:v>
                </c:pt>
                <c:pt idx="3300">
                  <c:v>-4.3436239711486854E-3</c:v>
                </c:pt>
                <c:pt idx="3301">
                  <c:v>-1.7211373991262081E-2</c:v>
                </c:pt>
                <c:pt idx="3302">
                  <c:v>-4.9815130548550111E-3</c:v>
                </c:pt>
                <c:pt idx="3303">
                  <c:v>-4.690715138395557E-3</c:v>
                </c:pt>
                <c:pt idx="3304">
                  <c:v>1.3600519191397061E-4</c:v>
                </c:pt>
                <c:pt idx="3305">
                  <c:v>-1.5991702852089028E-2</c:v>
                </c:pt>
                <c:pt idx="3306">
                  <c:v>1.5729750431897126E-2</c:v>
                </c:pt>
                <c:pt idx="3307">
                  <c:v>-1.7753439375493379E-2</c:v>
                </c:pt>
                <c:pt idx="3308">
                  <c:v>-1.2310234603366469E-2</c:v>
                </c:pt>
                <c:pt idx="3309">
                  <c:v>1.1097475685101249E-2</c:v>
                </c:pt>
                <c:pt idx="3310">
                  <c:v>-1.7979700568310077E-2</c:v>
                </c:pt>
                <c:pt idx="3311">
                  <c:v>5.5054046005090125E-3</c:v>
                </c:pt>
                <c:pt idx="3312">
                  <c:v>-2.7343518375984407E-2</c:v>
                </c:pt>
                <c:pt idx="3313">
                  <c:v>-7.596604935651537E-3</c:v>
                </c:pt>
                <c:pt idx="3314">
                  <c:v>4.8749712752344252E-3</c:v>
                </c:pt>
                <c:pt idx="3315">
                  <c:v>-1.3988405225352909E-2</c:v>
                </c:pt>
                <c:pt idx="3316">
                  <c:v>2.1042919881408308E-2</c:v>
                </c:pt>
                <c:pt idx="3317">
                  <c:v>6.3956039343475201E-3</c:v>
                </c:pt>
                <c:pt idx="3318">
                  <c:v>-1.071067425391002E-2</c:v>
                </c:pt>
                <c:pt idx="3319">
                  <c:v>1.0740629118978858E-2</c:v>
                </c:pt>
                <c:pt idx="3320">
                  <c:v>-2.1873007738032347E-3</c:v>
                </c:pt>
                <c:pt idx="3321">
                  <c:v>8.2432741231720308E-4</c:v>
                </c:pt>
                <c:pt idx="3322">
                  <c:v>1.7492157944606672E-2</c:v>
                </c:pt>
                <c:pt idx="3323">
                  <c:v>1.5730819184730236E-3</c:v>
                </c:pt>
                <c:pt idx="3324">
                  <c:v>-1.1219691455108281E-2</c:v>
                </c:pt>
                <c:pt idx="3325">
                  <c:v>-3.3124371066493626E-3</c:v>
                </c:pt>
                <c:pt idx="3326">
                  <c:v>-1.9934580336265845E-2</c:v>
                </c:pt>
                <c:pt idx="3327">
                  <c:v>5.523212456950013E-3</c:v>
                </c:pt>
                <c:pt idx="3328">
                  <c:v>3.7741531622356647E-3</c:v>
                </c:pt>
                <c:pt idx="3329">
                  <c:v>6.7055923394208307E-3</c:v>
                </c:pt>
                <c:pt idx="3330">
                  <c:v>-4.9605877563395052E-2</c:v>
                </c:pt>
                <c:pt idx="3331">
                  <c:v>-6.160907367588022E-2</c:v>
                </c:pt>
                <c:pt idx="3332">
                  <c:v>-2.3341792090838189E-3</c:v>
                </c:pt>
                <c:pt idx="3333">
                  <c:v>-1.5825087196812301E-2</c:v>
                </c:pt>
                <c:pt idx="3334">
                  <c:v>9.0894901648714818E-2</c:v>
                </c:pt>
                <c:pt idx="3335">
                  <c:v>-3.5220587845117973E-2</c:v>
                </c:pt>
                <c:pt idx="3336">
                  <c:v>1.7930369252113488E-2</c:v>
                </c:pt>
                <c:pt idx="3337">
                  <c:v>7.9132540931510648E-3</c:v>
                </c:pt>
                <c:pt idx="3338">
                  <c:v>-1.7292137684181356E-3</c:v>
                </c:pt>
                <c:pt idx="3339">
                  <c:v>-2.2663312700996363E-2</c:v>
                </c:pt>
                <c:pt idx="3340">
                  <c:v>1.3259586728286152E-3</c:v>
                </c:pt>
                <c:pt idx="3341">
                  <c:v>-2.3849649226388613E-2</c:v>
                </c:pt>
                <c:pt idx="3342">
                  <c:v>2.4807034313980802E-2</c:v>
                </c:pt>
                <c:pt idx="3343">
                  <c:v>1.6523845474794581E-2</c:v>
                </c:pt>
                <c:pt idx="3344">
                  <c:v>2.005659908960853E-2</c:v>
                </c:pt>
                <c:pt idx="3345">
                  <c:v>7.3460954265644985E-3</c:v>
                </c:pt>
                <c:pt idx="3346">
                  <c:v>6.4049446913477337E-4</c:v>
                </c:pt>
                <c:pt idx="3347">
                  <c:v>5.7856274963946795E-3</c:v>
                </c:pt>
                <c:pt idx="3348">
                  <c:v>1.4789007797954687E-3</c:v>
                </c:pt>
                <c:pt idx="3349">
                  <c:v>6.2793318417251861E-3</c:v>
                </c:pt>
                <c:pt idx="3350">
                  <c:v>1.4619229243407843E-2</c:v>
                </c:pt>
                <c:pt idx="3351">
                  <c:v>-6.4020400278313339E-3</c:v>
                </c:pt>
                <c:pt idx="3352">
                  <c:v>-7.7230338855465552E-3</c:v>
                </c:pt>
                <c:pt idx="3353">
                  <c:v>4.3370041259597454E-3</c:v>
                </c:pt>
                <c:pt idx="3354">
                  <c:v>5.7829933406661335E-3</c:v>
                </c:pt>
                <c:pt idx="3355">
                  <c:v>-7.117720863733933E-4</c:v>
                </c:pt>
                <c:pt idx="3356">
                  <c:v>3.204001430944952E-2</c:v>
                </c:pt>
                <c:pt idx="3357">
                  <c:v>7.2220821737149429E-3</c:v>
                </c:pt>
                <c:pt idx="3358">
                  <c:v>1.0238448046247569E-3</c:v>
                </c:pt>
                <c:pt idx="3359">
                  <c:v>4.1238009887726761E-3</c:v>
                </c:pt>
                <c:pt idx="3360">
                  <c:v>6.9808987439629782E-3</c:v>
                </c:pt>
                <c:pt idx="3361">
                  <c:v>8.7569352298437302E-4</c:v>
                </c:pt>
                <c:pt idx="3362">
                  <c:v>-3.8877541185178555E-3</c:v>
                </c:pt>
                <c:pt idx="3363">
                  <c:v>-1.6266702451148567E-2</c:v>
                </c:pt>
                <c:pt idx="3364">
                  <c:v>-4.4495329580252299E-4</c:v>
                </c:pt>
                <c:pt idx="3365">
                  <c:v>-6.7309094179872579E-3</c:v>
                </c:pt>
                <c:pt idx="3366">
                  <c:v>2.025254391312099E-2</c:v>
                </c:pt>
                <c:pt idx="3367">
                  <c:v>-5.586762811582561E-3</c:v>
                </c:pt>
                <c:pt idx="3368">
                  <c:v>4.0031509167171844E-3</c:v>
                </c:pt>
                <c:pt idx="3369">
                  <c:v>-8.119175975762441E-5</c:v>
                </c:pt>
                <c:pt idx="3370">
                  <c:v>4.0936514501346477E-3</c:v>
                </c:pt>
                <c:pt idx="3371">
                  <c:v>5.7835040361739996E-3</c:v>
                </c:pt>
                <c:pt idx="3372">
                  <c:v>7.3694559532491577E-5</c:v>
                </c:pt>
                <c:pt idx="3373">
                  <c:v>-5.2913152805629804E-3</c:v>
                </c:pt>
                <c:pt idx="3374">
                  <c:v>1.0228186115699976E-2</c:v>
                </c:pt>
                <c:pt idx="3375">
                  <c:v>9.1952191342837999E-4</c:v>
                </c:pt>
                <c:pt idx="3376">
                  <c:v>5.4679833266549453E-3</c:v>
                </c:pt>
                <c:pt idx="3377">
                  <c:v>-2.7476895336661002E-3</c:v>
                </c:pt>
                <c:pt idx="3378">
                  <c:v>3.815210759964134E-3</c:v>
                </c:pt>
                <c:pt idx="3379">
                  <c:v>-1.1360743305409217E-2</c:v>
                </c:pt>
                <c:pt idx="3380">
                  <c:v>9.3488817548551834E-3</c:v>
                </c:pt>
                <c:pt idx="3381">
                  <c:v>-8.3873182957623672E-3</c:v>
                </c:pt>
                <c:pt idx="3382">
                  <c:v>-3.0927171772794648E-4</c:v>
                </c:pt>
                <c:pt idx="3383">
                  <c:v>-2.1809894398640384E-3</c:v>
                </c:pt>
                <c:pt idx="3384">
                  <c:v>9.5606418556962881E-3</c:v>
                </c:pt>
                <c:pt idx="3385">
                  <c:v>1.1060286796932295E-2</c:v>
                </c:pt>
                <c:pt idx="3386">
                  <c:v>-3.2829024797798922E-6</c:v>
                </c:pt>
                <c:pt idx="3387">
                  <c:v>7.9881534997771932E-3</c:v>
                </c:pt>
                <c:pt idx="3388">
                  <c:v>5.2054309121066676E-3</c:v>
                </c:pt>
                <c:pt idx="3389">
                  <c:v>5.1510775537443156E-3</c:v>
                </c:pt>
                <c:pt idx="3390">
                  <c:v>-1.1190878184368853E-3</c:v>
                </c:pt>
                <c:pt idx="3391">
                  <c:v>4.7338490372572867E-3</c:v>
                </c:pt>
                <c:pt idx="3392">
                  <c:v>8.3043501133723049E-3</c:v>
                </c:pt>
                <c:pt idx="3393">
                  <c:v>-7.8933494172341197E-3</c:v>
                </c:pt>
                <c:pt idx="3394">
                  <c:v>-7.1614952279967596E-4</c:v>
                </c:pt>
                <c:pt idx="3395">
                  <c:v>6.0438433346768419E-3</c:v>
                </c:pt>
                <c:pt idx="3396">
                  <c:v>2.7424098720043449E-3</c:v>
                </c:pt>
                <c:pt idx="3397">
                  <c:v>-3.3029779929135954E-3</c:v>
                </c:pt>
                <c:pt idx="3398">
                  <c:v>1.4064149836943984E-3</c:v>
                </c:pt>
                <c:pt idx="3399">
                  <c:v>-3.9640981809521275E-3</c:v>
                </c:pt>
                <c:pt idx="3400">
                  <c:v>3.1884998062567844E-3</c:v>
                </c:pt>
                <c:pt idx="3401">
                  <c:v>5.359433132147322E-3</c:v>
                </c:pt>
                <c:pt idx="3402">
                  <c:v>-9.051821685285016E-5</c:v>
                </c:pt>
                <c:pt idx="3403">
                  <c:v>1.3981477220053166E-3</c:v>
                </c:pt>
                <c:pt idx="3404">
                  <c:v>6.3732541106239072E-4</c:v>
                </c:pt>
                <c:pt idx="3405">
                  <c:v>7.7815261467118115E-3</c:v>
                </c:pt>
                <c:pt idx="3406">
                  <c:v>6.9798922208170696E-4</c:v>
                </c:pt>
                <c:pt idx="3407">
                  <c:v>3.9664449480632307E-3</c:v>
                </c:pt>
                <c:pt idx="3408">
                  <c:v>1.7686081491285848E-4</c:v>
                </c:pt>
                <c:pt idx="3409">
                  <c:v>-2.9638056808081927E-3</c:v>
                </c:pt>
                <c:pt idx="3410">
                  <c:v>-1.2502200507663753E-3</c:v>
                </c:pt>
                <c:pt idx="3411">
                  <c:v>-3.701698960678981E-3</c:v>
                </c:pt>
                <c:pt idx="3412">
                  <c:v>-1.6121328046944453E-2</c:v>
                </c:pt>
                <c:pt idx="3413">
                  <c:v>1.4629536175939909E-2</c:v>
                </c:pt>
                <c:pt idx="3414">
                  <c:v>-4.8697037352752534E-3</c:v>
                </c:pt>
                <c:pt idx="3415">
                  <c:v>7.255503683515384E-3</c:v>
                </c:pt>
                <c:pt idx="3416">
                  <c:v>-7.9778893728174702E-4</c:v>
                </c:pt>
                <c:pt idx="3417">
                  <c:v>7.7694242484223387E-3</c:v>
                </c:pt>
                <c:pt idx="3418">
                  <c:v>-2.5072684706233723E-3</c:v>
                </c:pt>
                <c:pt idx="3419">
                  <c:v>1.1281626080988628E-2</c:v>
                </c:pt>
                <c:pt idx="3420">
                  <c:v>3.2248249415864237E-3</c:v>
                </c:pt>
                <c:pt idx="3421">
                  <c:v>3.0305092105848265E-4</c:v>
                </c:pt>
                <c:pt idx="3422">
                  <c:v>-2.9013035955741404E-3</c:v>
                </c:pt>
                <c:pt idx="3423">
                  <c:v>-1.0078339718365875E-4</c:v>
                </c:pt>
                <c:pt idx="3424">
                  <c:v>-5.8753625327812135E-3</c:v>
                </c:pt>
                <c:pt idx="3425">
                  <c:v>-2.4345787627045859E-3</c:v>
                </c:pt>
                <c:pt idx="3426">
                  <c:v>-4.0122410562429415E-3</c:v>
                </c:pt>
                <c:pt idx="3427">
                  <c:v>1.5072248733123567E-2</c:v>
                </c:pt>
                <c:pt idx="3428">
                  <c:v>-4.2754610800767165E-3</c:v>
                </c:pt>
                <c:pt idx="3429">
                  <c:v>4.1254554739158684E-3</c:v>
                </c:pt>
                <c:pt idx="3430">
                  <c:v>2.3881364585491512E-3</c:v>
                </c:pt>
                <c:pt idx="3431">
                  <c:v>3.1517534019497762E-3</c:v>
                </c:pt>
                <c:pt idx="3432">
                  <c:v>-6.4187251509291582E-3</c:v>
                </c:pt>
                <c:pt idx="3433">
                  <c:v>-6.9463924292620972E-3</c:v>
                </c:pt>
                <c:pt idx="3434">
                  <c:v>5.0871547386880968E-3</c:v>
                </c:pt>
                <c:pt idx="3435">
                  <c:v>8.3117987404724356E-3</c:v>
                </c:pt>
                <c:pt idx="3436">
                  <c:v>-3.1701606545509482E-3</c:v>
                </c:pt>
                <c:pt idx="3437">
                  <c:v>2.1037794861457856E-3</c:v>
                </c:pt>
                <c:pt idx="3438">
                  <c:v>2.6845529877440578E-3</c:v>
                </c:pt>
                <c:pt idx="3439">
                  <c:v>2.9790012563325726E-3</c:v>
                </c:pt>
                <c:pt idx="3440">
                  <c:v>8.4500609892315826E-3</c:v>
                </c:pt>
                <c:pt idx="3441">
                  <c:v>-4.8285120011051867E-4</c:v>
                </c:pt>
                <c:pt idx="3442">
                  <c:v>4.6956161361366338E-3</c:v>
                </c:pt>
                <c:pt idx="3443">
                  <c:v>-1.2887574351968891E-3</c:v>
                </c:pt>
                <c:pt idx="3444">
                  <c:v>-9.7068934889039981E-4</c:v>
                </c:pt>
                <c:pt idx="3445">
                  <c:v>4.7777085223636995E-3</c:v>
                </c:pt>
                <c:pt idx="3446">
                  <c:v>4.87353856235327E-3</c:v>
                </c:pt>
                <c:pt idx="3447">
                  <c:v>4.4003301998515008E-3</c:v>
                </c:pt>
                <c:pt idx="3448">
                  <c:v>-5.517340092831724E-3</c:v>
                </c:pt>
                <c:pt idx="3449">
                  <c:v>-2.8507212670841439E-3</c:v>
                </c:pt>
                <c:pt idx="3450">
                  <c:v>-5.0216489054652645E-3</c:v>
                </c:pt>
                <c:pt idx="3451">
                  <c:v>5.8844922610819797E-3</c:v>
                </c:pt>
                <c:pt idx="3452">
                  <c:v>2.6321125222386276E-3</c:v>
                </c:pt>
                <c:pt idx="3453">
                  <c:v>4.08250358961618E-3</c:v>
                </c:pt>
                <c:pt idx="3454">
                  <c:v>3.3941192284702741E-3</c:v>
                </c:pt>
                <c:pt idx="3455">
                  <c:v>6.1817818161168602E-4</c:v>
                </c:pt>
                <c:pt idx="3456">
                  <c:v>6.5519382592537398E-5</c:v>
                </c:pt>
                <c:pt idx="3457">
                  <c:v>3.6399969738822847E-3</c:v>
                </c:pt>
                <c:pt idx="3458">
                  <c:v>-3.818696311234345E-3</c:v>
                </c:pt>
                <c:pt idx="3459">
                  <c:v>5.8106934127934015E-3</c:v>
                </c:pt>
                <c:pt idx="3460">
                  <c:v>-2.7593218696984716E-3</c:v>
                </c:pt>
                <c:pt idx="3461">
                  <c:v>-2.748595997057204E-2</c:v>
                </c:pt>
                <c:pt idx="3462">
                  <c:v>1.5478194983781826E-2</c:v>
                </c:pt>
                <c:pt idx="3463">
                  <c:v>-1.565528031162684E-3</c:v>
                </c:pt>
                <c:pt idx="3464">
                  <c:v>4.0179185387894355E-3</c:v>
                </c:pt>
                <c:pt idx="3465">
                  <c:v>-6.3142449751388335E-3</c:v>
                </c:pt>
                <c:pt idx="3466">
                  <c:v>5.2568825980633324E-3</c:v>
                </c:pt>
                <c:pt idx="3467">
                  <c:v>1.0615706365319902E-2</c:v>
                </c:pt>
                <c:pt idx="3468">
                  <c:v>3.2664017914663565E-5</c:v>
                </c:pt>
                <c:pt idx="3469">
                  <c:v>-5.3518056988170791E-3</c:v>
                </c:pt>
                <c:pt idx="3470">
                  <c:v>5.8104739805954339E-3</c:v>
                </c:pt>
                <c:pt idx="3471">
                  <c:v>7.8713619070685803E-3</c:v>
                </c:pt>
                <c:pt idx="3472">
                  <c:v>1.2215109973364811E-2</c:v>
                </c:pt>
                <c:pt idx="3473">
                  <c:v>2.2853333884670069E-3</c:v>
                </c:pt>
                <c:pt idx="3474">
                  <c:v>-4.3536688374153406E-5</c:v>
                </c:pt>
                <c:pt idx="3475">
                  <c:v>-9.9541911976876295E-3</c:v>
                </c:pt>
                <c:pt idx="3476">
                  <c:v>2.6144494615600103E-3</c:v>
                </c:pt>
                <c:pt idx="3477">
                  <c:v>1.7192311955086541E-3</c:v>
                </c:pt>
                <c:pt idx="3478">
                  <c:v>-1.1806190194192139E-2</c:v>
                </c:pt>
                <c:pt idx="3479">
                  <c:v>3.6468630849652776E-3</c:v>
                </c:pt>
                <c:pt idx="3480">
                  <c:v>-1.1241102610422679E-2</c:v>
                </c:pt>
                <c:pt idx="3481">
                  <c:v>1.2610492171643028E-3</c:v>
                </c:pt>
                <c:pt idx="3482">
                  <c:v>1.5283571949665772E-2</c:v>
                </c:pt>
                <c:pt idx="3483">
                  <c:v>2.0732456487022851E-3</c:v>
                </c:pt>
                <c:pt idx="3484">
                  <c:v>6.2931056069833119E-4</c:v>
                </c:pt>
                <c:pt idx="3485">
                  <c:v>-1.6695497821198804E-2</c:v>
                </c:pt>
                <c:pt idx="3486">
                  <c:v>-5.0179638215562831E-4</c:v>
                </c:pt>
                <c:pt idx="3487">
                  <c:v>-9.2045416140541063E-3</c:v>
                </c:pt>
                <c:pt idx="3488">
                  <c:v>-8.290659863030455E-3</c:v>
                </c:pt>
                <c:pt idx="3489">
                  <c:v>3.7467576494783256E-3</c:v>
                </c:pt>
                <c:pt idx="3490">
                  <c:v>-1.5689666748388537E-2</c:v>
                </c:pt>
                <c:pt idx="3491">
                  <c:v>9.775031702356704E-3</c:v>
                </c:pt>
                <c:pt idx="3492">
                  <c:v>1.5348836917048726E-2</c:v>
                </c:pt>
                <c:pt idx="3493">
                  <c:v>9.0209207985121487E-3</c:v>
                </c:pt>
                <c:pt idx="3494">
                  <c:v>6.8829721842695365E-3</c:v>
                </c:pt>
                <c:pt idx="3495">
                  <c:v>5.3404900859037579E-3</c:v>
                </c:pt>
                <c:pt idx="3496">
                  <c:v>-5.337554357799105E-3</c:v>
                </c:pt>
                <c:pt idx="3497">
                  <c:v>2.4541868350872E-3</c:v>
                </c:pt>
                <c:pt idx="3498">
                  <c:v>2.9753463150951035E-3</c:v>
                </c:pt>
                <c:pt idx="3499">
                  <c:v>1.0797529874062967E-3</c:v>
                </c:pt>
                <c:pt idx="3500">
                  <c:v>1.9348001886360358E-3</c:v>
                </c:pt>
                <c:pt idx="3501">
                  <c:v>-3.4832953129334491E-3</c:v>
                </c:pt>
                <c:pt idx="3502">
                  <c:v>-8.7674313098681116E-4</c:v>
                </c:pt>
                <c:pt idx="3503">
                  <c:v>6.7268208715260186E-3</c:v>
                </c:pt>
                <c:pt idx="3504">
                  <c:v>2.0772175085341247E-3</c:v>
                </c:pt>
                <c:pt idx="3505">
                  <c:v>-1.0720936344245894E-2</c:v>
                </c:pt>
                <c:pt idx="3506">
                  <c:v>-1.5977816227138871E-3</c:v>
                </c:pt>
                <c:pt idx="3507">
                  <c:v>-2.3867639262764775E-3</c:v>
                </c:pt>
                <c:pt idx="3508">
                  <c:v>-1.1659917229324452E-2</c:v>
                </c:pt>
                <c:pt idx="3509">
                  <c:v>7.9030122681597124E-3</c:v>
                </c:pt>
                <c:pt idx="3510">
                  <c:v>8.7793728265068479E-3</c:v>
                </c:pt>
                <c:pt idx="3511">
                  <c:v>6.415836501950419E-3</c:v>
                </c:pt>
                <c:pt idx="3512">
                  <c:v>4.5400954671889586E-3</c:v>
                </c:pt>
                <c:pt idx="3513">
                  <c:v>3.2163381731992791E-3</c:v>
                </c:pt>
                <c:pt idx="3514">
                  <c:v>-3.0442959723623621E-4</c:v>
                </c:pt>
                <c:pt idx="3515">
                  <c:v>-3.4982053182543806E-3</c:v>
                </c:pt>
                <c:pt idx="3516">
                  <c:v>-1.3766142974067502E-3</c:v>
                </c:pt>
                <c:pt idx="3517">
                  <c:v>-7.3848334483381777E-3</c:v>
                </c:pt>
                <c:pt idx="3518">
                  <c:v>1.8928827007984883E-3</c:v>
                </c:pt>
                <c:pt idx="3519">
                  <c:v>6.3340841341208987E-3</c:v>
                </c:pt>
                <c:pt idx="3520">
                  <c:v>6.1775890172726979E-3</c:v>
                </c:pt>
                <c:pt idx="3521">
                  <c:v>-3.4459042806426455E-3</c:v>
                </c:pt>
                <c:pt idx="3522">
                  <c:v>7.657637160338651E-5</c:v>
                </c:pt>
                <c:pt idx="3523">
                  <c:v>6.4546363351698308E-3</c:v>
                </c:pt>
                <c:pt idx="3524">
                  <c:v>1.5763564193844878E-3</c:v>
                </c:pt>
                <c:pt idx="3525">
                  <c:v>-1.9410364454217331E-3</c:v>
                </c:pt>
                <c:pt idx="3526">
                  <c:v>-5.3476140263805623E-3</c:v>
                </c:pt>
                <c:pt idx="3527">
                  <c:v>2.5765870817866542E-3</c:v>
                </c:pt>
                <c:pt idx="3528">
                  <c:v>-6.4244395949999966E-4</c:v>
                </c:pt>
                <c:pt idx="3529">
                  <c:v>-2.0842474609840015E-2</c:v>
                </c:pt>
                <c:pt idx="3530">
                  <c:v>1.1521080474655875E-2</c:v>
                </c:pt>
                <c:pt idx="3531">
                  <c:v>5.472503626070247E-3</c:v>
                </c:pt>
                <c:pt idx="3532">
                  <c:v>3.268503228179835E-4</c:v>
                </c:pt>
                <c:pt idx="3533">
                  <c:v>4.9935773007325299E-3</c:v>
                </c:pt>
                <c:pt idx="3534">
                  <c:v>4.0735710366091391E-3</c:v>
                </c:pt>
                <c:pt idx="3535">
                  <c:v>-8.1681609431132898E-5</c:v>
                </c:pt>
                <c:pt idx="3536">
                  <c:v>-1.2934646000264138E-3</c:v>
                </c:pt>
                <c:pt idx="3537">
                  <c:v>-4.3111820838502074E-3</c:v>
                </c:pt>
                <c:pt idx="3538">
                  <c:v>5.3767627145276543E-3</c:v>
                </c:pt>
                <c:pt idx="3539">
                  <c:v>-8.4395124594527481E-3</c:v>
                </c:pt>
                <c:pt idx="3540">
                  <c:v>-5.0853228999764265E-3</c:v>
                </c:pt>
                <c:pt idx="3541">
                  <c:v>-1.232663227429177E-2</c:v>
                </c:pt>
                <c:pt idx="3542">
                  <c:v>1.9504358091878945E-2</c:v>
                </c:pt>
                <c:pt idx="3543">
                  <c:v>4.6801149243004755E-3</c:v>
                </c:pt>
                <c:pt idx="3544">
                  <c:v>-3.3092159636613234E-3</c:v>
                </c:pt>
                <c:pt idx="3545">
                  <c:v>-4.8979780004177092E-5</c:v>
                </c:pt>
                <c:pt idx="3546">
                  <c:v>-1.578487613370198E-2</c:v>
                </c:pt>
                <c:pt idx="3547">
                  <c:v>4.9894177097124651E-4</c:v>
                </c:pt>
                <c:pt idx="3548">
                  <c:v>1.0307478073486504E-3</c:v>
                </c:pt>
                <c:pt idx="3549">
                  <c:v>5.55065970134696E-3</c:v>
                </c:pt>
                <c:pt idx="3550">
                  <c:v>-2.8261268009801056E-3</c:v>
                </c:pt>
                <c:pt idx="3551">
                  <c:v>6.915809547172946E-3</c:v>
                </c:pt>
                <c:pt idx="3552">
                  <c:v>-1.0439993392096881E-2</c:v>
                </c:pt>
                <c:pt idx="3553">
                  <c:v>7.622514474642573E-3</c:v>
                </c:pt>
                <c:pt idx="3554">
                  <c:v>8.1034253287755442E-3</c:v>
                </c:pt>
                <c:pt idx="3555">
                  <c:v>-5.3800240775697698E-3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CC-4799-BE48-29F3D79B6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1832223"/>
        <c:axId val="23741542"/>
      </c:lineChart>
      <c:catAx>
        <c:axId val="91832223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23741542"/>
        <c:crosses val="autoZero"/>
        <c:auto val="1"/>
        <c:lblAlgn val="ctr"/>
        <c:lblOffset val="100"/>
        <c:noMultiLvlLbl val="0"/>
      </c:catAx>
      <c:valAx>
        <c:axId val="23741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Log Return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18322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MSFT Daily Trading Volume (2012-2026)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'[1]MSFT Analysis'!$D$5:$D$3560</c:f>
              <c:numCache>
                <c:formatCode>General</c:formatCode>
                <c:ptCount val="3556"/>
                <c:pt idx="0">
                  <c:v>71084615.389093995</c:v>
                </c:pt>
                <c:pt idx="1">
                  <c:v>126063910.30582</c:v>
                </c:pt>
                <c:pt idx="2">
                  <c:v>75679955.173214003</c:v>
                </c:pt>
                <c:pt idx="3">
                  <c:v>76055666.710004002</c:v>
                </c:pt>
                <c:pt idx="4">
                  <c:v>83127215.922156006</c:v>
                </c:pt>
                <c:pt idx="5">
                  <c:v>62582217.987121001</c:v>
                </c:pt>
                <c:pt idx="6">
                  <c:v>76303835.088322997</c:v>
                </c:pt>
                <c:pt idx="7">
                  <c:v>91748989.485945001</c:v>
                </c:pt>
                <c:pt idx="8">
                  <c:v>82190726.472481996</c:v>
                </c:pt>
                <c:pt idx="9">
                  <c:v>93830300.002948999</c:v>
                </c:pt>
                <c:pt idx="10">
                  <c:v>210266546.76438999</c:v>
                </c:pt>
                <c:pt idx="11">
                  <c:v>96430595.155866995</c:v>
                </c:pt>
                <c:pt idx="12">
                  <c:v>59953339.881644003</c:v>
                </c:pt>
                <c:pt idx="13">
                  <c:v>75079909.742511004</c:v>
                </c:pt>
                <c:pt idx="14">
                  <c:v>62239475.439456001</c:v>
                </c:pt>
                <c:pt idx="15">
                  <c:v>56010803.896605</c:v>
                </c:pt>
                <c:pt idx="16">
                  <c:v>64779116.539126001</c:v>
                </c:pt>
                <c:pt idx="17">
                  <c:v>64106291.977906004</c:v>
                </c:pt>
                <c:pt idx="18">
                  <c:v>85669089.969010994</c:v>
                </c:pt>
                <c:pt idx="19">
                  <c:v>66195495.108324997</c:v>
                </c:pt>
                <c:pt idx="20">
                  <c:v>47873509.228698</c:v>
                </c:pt>
                <c:pt idx="21">
                  <c:v>35540825.205998003</c:v>
                </c:pt>
                <c:pt idx="22">
                  <c:v>49740226.456796996</c:v>
                </c:pt>
                <c:pt idx="23">
                  <c:v>62945266.942162</c:v>
                </c:pt>
                <c:pt idx="24">
                  <c:v>63970074.009024002</c:v>
                </c:pt>
                <c:pt idx="25">
                  <c:v>56538986.513957001</c:v>
                </c:pt>
                <c:pt idx="26">
                  <c:v>42233227.971772999</c:v>
                </c:pt>
                <c:pt idx="27">
                  <c:v>75107423.829017997</c:v>
                </c:pt>
                <c:pt idx="28">
                  <c:v>54541079.287460998</c:v>
                </c:pt>
                <c:pt idx="29">
                  <c:v>119246401.06856</c:v>
                </c:pt>
                <c:pt idx="30">
                  <c:v>88191586.211472005</c:v>
                </c:pt>
                <c:pt idx="31">
                  <c:v>64006221.953221001</c:v>
                </c:pt>
                <c:pt idx="32">
                  <c:v>62012199.092440002</c:v>
                </c:pt>
                <c:pt idx="33">
                  <c:v>44116825.912023</c:v>
                </c:pt>
                <c:pt idx="34">
                  <c:v>44798846.407045998</c:v>
                </c:pt>
                <c:pt idx="35">
                  <c:v>43529746.113214001</c:v>
                </c:pt>
                <c:pt idx="36">
                  <c:v>56942035.016728997</c:v>
                </c:pt>
                <c:pt idx="37">
                  <c:v>74702782.265347004</c:v>
                </c:pt>
                <c:pt idx="38">
                  <c:v>97395381.912862003</c:v>
                </c:pt>
                <c:pt idx="39">
                  <c:v>59580308.700530998</c:v>
                </c:pt>
                <c:pt idx="40">
                  <c:v>56936213.587247998</c:v>
                </c:pt>
                <c:pt idx="41">
                  <c:v>65400421.551816002</c:v>
                </c:pt>
                <c:pt idx="42">
                  <c:v>28961392.572448</c:v>
                </c:pt>
                <c:pt idx="43">
                  <c:v>46275937.387120001</c:v>
                </c:pt>
                <c:pt idx="44">
                  <c:v>43604938.382893004</c:v>
                </c:pt>
                <c:pt idx="45">
                  <c:v>42910296.258844003</c:v>
                </c:pt>
                <c:pt idx="46">
                  <c:v>61641132.618183002</c:v>
                </c:pt>
                <c:pt idx="47">
                  <c:v>52872005.016487002</c:v>
                </c:pt>
                <c:pt idx="48">
                  <c:v>61791160.868856996</c:v>
                </c:pt>
                <c:pt idx="49">
                  <c:v>82638391.942431003</c:v>
                </c:pt>
                <c:pt idx="50">
                  <c:v>56409641.435703002</c:v>
                </c:pt>
                <c:pt idx="51">
                  <c:v>52341933.454819001</c:v>
                </c:pt>
                <c:pt idx="52">
                  <c:v>47769299.907601997</c:v>
                </c:pt>
                <c:pt idx="53">
                  <c:v>39979778.829301998</c:v>
                </c:pt>
                <c:pt idx="54">
                  <c:v>45222395.842623003</c:v>
                </c:pt>
                <c:pt idx="55">
                  <c:v>46281522.314631</c:v>
                </c:pt>
                <c:pt idx="56">
                  <c:v>45677611.970755003</c:v>
                </c:pt>
                <c:pt idx="57">
                  <c:v>52065242.529204004</c:v>
                </c:pt>
                <c:pt idx="58">
                  <c:v>46639966.136044003</c:v>
                </c:pt>
                <c:pt idx="59">
                  <c:v>39979804.424750999</c:v>
                </c:pt>
                <c:pt idx="60">
                  <c:v>45143946.807700001</c:v>
                </c:pt>
                <c:pt idx="61">
                  <c:v>53830852.604924999</c:v>
                </c:pt>
                <c:pt idx="62">
                  <c:v>62267755.341870002</c:v>
                </c:pt>
                <c:pt idx="63">
                  <c:v>64374083.876955003</c:v>
                </c:pt>
                <c:pt idx="64">
                  <c:v>33937800.509439997</c:v>
                </c:pt>
                <c:pt idx="65">
                  <c:v>68170836.360990003</c:v>
                </c:pt>
                <c:pt idx="66">
                  <c:v>54165384.131760001</c:v>
                </c:pt>
                <c:pt idx="67">
                  <c:v>48233862.470789999</c:v>
                </c:pt>
                <c:pt idx="68">
                  <c:v>50053462.568014003</c:v>
                </c:pt>
                <c:pt idx="69">
                  <c:v>48007804.467265002</c:v>
                </c:pt>
                <c:pt idx="70">
                  <c:v>43268741.104075998</c:v>
                </c:pt>
                <c:pt idx="71">
                  <c:v>51066691.276454002</c:v>
                </c:pt>
                <c:pt idx="72">
                  <c:v>68889214.682908997</c:v>
                </c:pt>
                <c:pt idx="73">
                  <c:v>133535785.68853</c:v>
                </c:pt>
                <c:pt idx="74">
                  <c:v>81451516.524524003</c:v>
                </c:pt>
                <c:pt idx="75">
                  <c:v>51417444.17661</c:v>
                </c:pt>
                <c:pt idx="76">
                  <c:v>78696143.650268003</c:v>
                </c:pt>
                <c:pt idx="77">
                  <c:v>50761144.038856998</c:v>
                </c:pt>
                <c:pt idx="78">
                  <c:v>52158230.804378003</c:v>
                </c:pt>
                <c:pt idx="79">
                  <c:v>44955082.066607997</c:v>
                </c:pt>
                <c:pt idx="80">
                  <c:v>55195282.645830996</c:v>
                </c:pt>
                <c:pt idx="81">
                  <c:v>47077115.970711999</c:v>
                </c:pt>
                <c:pt idx="82">
                  <c:v>39669317.265023001</c:v>
                </c:pt>
                <c:pt idx="83">
                  <c:v>72944675.752177</c:v>
                </c:pt>
                <c:pt idx="84">
                  <c:v>61252447.258954003</c:v>
                </c:pt>
                <c:pt idx="85">
                  <c:v>59950762.931589998</c:v>
                </c:pt>
                <c:pt idx="86">
                  <c:v>63347673.511012003</c:v>
                </c:pt>
                <c:pt idx="87">
                  <c:v>55090849.108580001</c:v>
                </c:pt>
                <c:pt idx="88">
                  <c:v>56067481.440513</c:v>
                </c:pt>
                <c:pt idx="89">
                  <c:v>51021469.232804</c:v>
                </c:pt>
                <c:pt idx="90">
                  <c:v>77344894.243048996</c:v>
                </c:pt>
                <c:pt idx="91">
                  <c:v>75146390.344329</c:v>
                </c:pt>
                <c:pt idx="92">
                  <c:v>47870208.439277001</c:v>
                </c:pt>
                <c:pt idx="93">
                  <c:v>70300442.423455998</c:v>
                </c:pt>
                <c:pt idx="94">
                  <c:v>48524227.510396004</c:v>
                </c:pt>
                <c:pt idx="95">
                  <c:v>49421247.750091001</c:v>
                </c:pt>
                <c:pt idx="96">
                  <c:v>83869193.250325993</c:v>
                </c:pt>
                <c:pt idx="97">
                  <c:v>54183719.689372003</c:v>
                </c:pt>
                <c:pt idx="98">
                  <c:v>36914163.487830997</c:v>
                </c:pt>
                <c:pt idx="99">
                  <c:v>47236745.587140001</c:v>
                </c:pt>
                <c:pt idx="100">
                  <c:v>52028452.651086003</c:v>
                </c:pt>
                <c:pt idx="101">
                  <c:v>48965062.066257998</c:v>
                </c:pt>
                <c:pt idx="102">
                  <c:v>70855838.124806002</c:v>
                </c:pt>
                <c:pt idx="103">
                  <c:v>59956795.267591</c:v>
                </c:pt>
                <c:pt idx="104">
                  <c:v>57179602.782870002</c:v>
                </c:pt>
                <c:pt idx="105">
                  <c:v>49498944.278741002</c:v>
                </c:pt>
                <c:pt idx="106">
                  <c:v>47277772.024384998</c:v>
                </c:pt>
                <c:pt idx="107">
                  <c:v>53233237.718292996</c:v>
                </c:pt>
                <c:pt idx="108">
                  <c:v>57999633.952192001</c:v>
                </c:pt>
                <c:pt idx="109">
                  <c:v>44208194.507028997</c:v>
                </c:pt>
                <c:pt idx="110">
                  <c:v>41264158.583838999</c:v>
                </c:pt>
                <c:pt idx="111">
                  <c:v>49364035.773157999</c:v>
                </c:pt>
                <c:pt idx="112">
                  <c:v>77945717.775479004</c:v>
                </c:pt>
                <c:pt idx="113">
                  <c:v>73241847.134235993</c:v>
                </c:pt>
                <c:pt idx="114">
                  <c:v>94722311.724702001</c:v>
                </c:pt>
                <c:pt idx="115">
                  <c:v>45350455.005396001</c:v>
                </c:pt>
                <c:pt idx="116">
                  <c:v>60623797.375510998</c:v>
                </c:pt>
                <c:pt idx="117">
                  <c:v>56417572.954203002</c:v>
                </c:pt>
                <c:pt idx="118">
                  <c:v>46267165.313993998</c:v>
                </c:pt>
                <c:pt idx="119">
                  <c:v>48065588.758495003</c:v>
                </c:pt>
                <c:pt idx="120">
                  <c:v>42235014.534285001</c:v>
                </c:pt>
                <c:pt idx="121">
                  <c:v>56709837.176307</c:v>
                </c:pt>
                <c:pt idx="122">
                  <c:v>69081498.976317003</c:v>
                </c:pt>
                <c:pt idx="123">
                  <c:v>38247013.860717997</c:v>
                </c:pt>
                <c:pt idx="124">
                  <c:v>26198076.917693</c:v>
                </c:pt>
                <c:pt idx="125">
                  <c:v>36032170.849601001</c:v>
                </c:pt>
                <c:pt idx="126">
                  <c:v>47907800.990754001</c:v>
                </c:pt>
                <c:pt idx="127">
                  <c:v>38384361.100916997</c:v>
                </c:pt>
                <c:pt idx="128">
                  <c:v>46952853.125301003</c:v>
                </c:pt>
                <c:pt idx="129">
                  <c:v>49022117.399029002</c:v>
                </c:pt>
                <c:pt idx="130">
                  <c:v>79471383.803343996</c:v>
                </c:pt>
                <c:pt idx="131">
                  <c:v>48897650.813823998</c:v>
                </c:pt>
                <c:pt idx="132">
                  <c:v>34905722.197330996</c:v>
                </c:pt>
                <c:pt idx="133">
                  <c:v>42254104.645806998</c:v>
                </c:pt>
                <c:pt idx="134">
                  <c:v>51412280.038323</c:v>
                </c:pt>
                <c:pt idx="135">
                  <c:v>58338308.870711997</c:v>
                </c:pt>
                <c:pt idx="136">
                  <c:v>80094936.096673995</c:v>
                </c:pt>
                <c:pt idx="137">
                  <c:v>68980417.419388995</c:v>
                </c:pt>
                <c:pt idx="138">
                  <c:v>59701084.421635002</c:v>
                </c:pt>
                <c:pt idx="139">
                  <c:v>57024611.062247999</c:v>
                </c:pt>
                <c:pt idx="140">
                  <c:v>56672856.868031003</c:v>
                </c:pt>
                <c:pt idx="141">
                  <c:v>55350124.889014997</c:v>
                </c:pt>
                <c:pt idx="142">
                  <c:v>36160203.393103004</c:v>
                </c:pt>
                <c:pt idx="143">
                  <c:v>47065870.353156</c:v>
                </c:pt>
                <c:pt idx="144">
                  <c:v>39684573.177914999</c:v>
                </c:pt>
                <c:pt idx="145">
                  <c:v>49441935.017784998</c:v>
                </c:pt>
                <c:pt idx="146">
                  <c:v>44861232.760448001</c:v>
                </c:pt>
                <c:pt idx="147">
                  <c:v>34367629.021173</c:v>
                </c:pt>
                <c:pt idx="148">
                  <c:v>35032063.393399999</c:v>
                </c:pt>
                <c:pt idx="149">
                  <c:v>32849462.460585002</c:v>
                </c:pt>
                <c:pt idx="150">
                  <c:v>31175357.147670001</c:v>
                </c:pt>
                <c:pt idx="151">
                  <c:v>34791488.673621997</c:v>
                </c:pt>
                <c:pt idx="152">
                  <c:v>28835944.145725001</c:v>
                </c:pt>
                <c:pt idx="153">
                  <c:v>42939813.957294002</c:v>
                </c:pt>
                <c:pt idx="154">
                  <c:v>30262985.780005001</c:v>
                </c:pt>
                <c:pt idx="155">
                  <c:v>44475634.212664999</c:v>
                </c:pt>
                <c:pt idx="156">
                  <c:v>40502126.707534999</c:v>
                </c:pt>
                <c:pt idx="157">
                  <c:v>29500908.855707999</c:v>
                </c:pt>
                <c:pt idx="158">
                  <c:v>35818476.472949997</c:v>
                </c:pt>
                <c:pt idx="159">
                  <c:v>41556057.302896</c:v>
                </c:pt>
                <c:pt idx="160">
                  <c:v>35241025.682983004</c:v>
                </c:pt>
                <c:pt idx="161">
                  <c:v>28514971.041439999</c:v>
                </c:pt>
                <c:pt idx="162">
                  <c:v>43113638.811104</c:v>
                </c:pt>
                <c:pt idx="163">
                  <c:v>29762034.675377</c:v>
                </c:pt>
                <c:pt idx="164">
                  <c:v>29016333.720927</c:v>
                </c:pt>
                <c:pt idx="165">
                  <c:v>29792039.711220998</c:v>
                </c:pt>
                <c:pt idx="166">
                  <c:v>45475568.643613003</c:v>
                </c:pt>
                <c:pt idx="167">
                  <c:v>60346707.160853997</c:v>
                </c:pt>
                <c:pt idx="168">
                  <c:v>41820080.527670003</c:v>
                </c:pt>
                <c:pt idx="169">
                  <c:v>60101976.763575003</c:v>
                </c:pt>
                <c:pt idx="170">
                  <c:v>53008015.150302999</c:v>
                </c:pt>
                <c:pt idx="171">
                  <c:v>50362468.263012998</c:v>
                </c:pt>
                <c:pt idx="172">
                  <c:v>31308830.260336</c:v>
                </c:pt>
                <c:pt idx="173">
                  <c:v>40733726.638213001</c:v>
                </c:pt>
                <c:pt idx="174">
                  <c:v>55985258.612223998</c:v>
                </c:pt>
                <c:pt idx="175">
                  <c:v>63907291.438033998</c:v>
                </c:pt>
                <c:pt idx="176">
                  <c:v>45347661.005914003</c:v>
                </c:pt>
                <c:pt idx="177">
                  <c:v>42918545.160943002</c:v>
                </c:pt>
                <c:pt idx="178">
                  <c:v>60744325.332643002</c:v>
                </c:pt>
                <c:pt idx="179">
                  <c:v>56602574.829759002</c:v>
                </c:pt>
                <c:pt idx="180">
                  <c:v>127186969.09649999</c:v>
                </c:pt>
                <c:pt idx="181">
                  <c:v>58170727.259423003</c:v>
                </c:pt>
                <c:pt idx="182">
                  <c:v>67443686.989761993</c:v>
                </c:pt>
                <c:pt idx="183">
                  <c:v>67952847.067585006</c:v>
                </c:pt>
                <c:pt idx="184">
                  <c:v>58572552.299615003</c:v>
                </c:pt>
                <c:pt idx="185">
                  <c:v>67395822.471705005</c:v>
                </c:pt>
                <c:pt idx="186">
                  <c:v>67113800.525460005</c:v>
                </c:pt>
                <c:pt idx="187">
                  <c:v>53848141.820481002</c:v>
                </c:pt>
                <c:pt idx="188">
                  <c:v>57992848.086101003</c:v>
                </c:pt>
                <c:pt idx="189">
                  <c:v>54233420.937028997</c:v>
                </c:pt>
                <c:pt idx="190">
                  <c:v>51120488.820161998</c:v>
                </c:pt>
                <c:pt idx="191">
                  <c:v>36978851.384228997</c:v>
                </c:pt>
                <c:pt idx="192">
                  <c:v>56076399.919620998</c:v>
                </c:pt>
                <c:pt idx="193">
                  <c:v>58688931.745975003</c:v>
                </c:pt>
                <c:pt idx="194">
                  <c:v>51562323.646266997</c:v>
                </c:pt>
                <c:pt idx="195">
                  <c:v>57746820.511340998</c:v>
                </c:pt>
                <c:pt idx="196">
                  <c:v>52750133.810061</c:v>
                </c:pt>
                <c:pt idx="197">
                  <c:v>59331244.481409997</c:v>
                </c:pt>
                <c:pt idx="198">
                  <c:v>54941407.505653001</c:v>
                </c:pt>
                <c:pt idx="199">
                  <c:v>73584692.063706994</c:v>
                </c:pt>
                <c:pt idx="200">
                  <c:v>112436309.39313</c:v>
                </c:pt>
                <c:pt idx="201">
                  <c:v>103620727.07084</c:v>
                </c:pt>
                <c:pt idx="202">
                  <c:v>80056495.823844999</c:v>
                </c:pt>
                <c:pt idx="203">
                  <c:v>66272644.918132998</c:v>
                </c:pt>
                <c:pt idx="204">
                  <c:v>67202230.762636006</c:v>
                </c:pt>
                <c:pt idx="205">
                  <c:v>71810636.512821004</c:v>
                </c:pt>
                <c:pt idx="206">
                  <c:v>86333266.339090005</c:v>
                </c:pt>
                <c:pt idx="207">
                  <c:v>89539808.188692003</c:v>
                </c:pt>
                <c:pt idx="208">
                  <c:v>71011806.567855</c:v>
                </c:pt>
                <c:pt idx="209">
                  <c:v>47313865.706224002</c:v>
                </c:pt>
                <c:pt idx="210">
                  <c:v>53944363.313084997</c:v>
                </c:pt>
                <c:pt idx="211">
                  <c:v>71925734.138970003</c:v>
                </c:pt>
                <c:pt idx="212">
                  <c:v>61935671.764013</c:v>
                </c:pt>
                <c:pt idx="213">
                  <c:v>53803243.303337999</c:v>
                </c:pt>
                <c:pt idx="214">
                  <c:v>75936767.647403002</c:v>
                </c:pt>
                <c:pt idx="215">
                  <c:v>162317632.31186</c:v>
                </c:pt>
                <c:pt idx="216">
                  <c:v>93793809.079704002</c:v>
                </c:pt>
                <c:pt idx="217">
                  <c:v>62801128.716779001</c:v>
                </c:pt>
                <c:pt idx="218">
                  <c:v>78998574.385692999</c:v>
                </c:pt>
                <c:pt idx="219">
                  <c:v>70466117.685519993</c:v>
                </c:pt>
                <c:pt idx="220">
                  <c:v>58007499.946337</c:v>
                </c:pt>
                <c:pt idx="221">
                  <c:v>81780822.483988002</c:v>
                </c:pt>
                <c:pt idx="222">
                  <c:v>71303696.072549</c:v>
                </c:pt>
                <c:pt idx="223">
                  <c:v>104999687.13765</c:v>
                </c:pt>
                <c:pt idx="224">
                  <c:v>55498018.479038</c:v>
                </c:pt>
                <c:pt idx="225">
                  <c:v>65335074.316588998</c:v>
                </c:pt>
                <c:pt idx="226">
                  <c:v>85717481.753371</c:v>
                </c:pt>
                <c:pt idx="227">
                  <c:v>103145880.25526001</c:v>
                </c:pt>
                <c:pt idx="228">
                  <c:v>65529790.177886002</c:v>
                </c:pt>
                <c:pt idx="229">
                  <c:v>61367536.694559999</c:v>
                </c:pt>
                <c:pt idx="230">
                  <c:v>84167564.547149003</c:v>
                </c:pt>
                <c:pt idx="231">
                  <c:v>48303379.716971003</c:v>
                </c:pt>
                <c:pt idx="232">
                  <c:v>56906244.385035999</c:v>
                </c:pt>
                <c:pt idx="233">
                  <c:v>57977098.692905001</c:v>
                </c:pt>
                <c:pt idx="234">
                  <c:v>64437284.165714003</c:v>
                </c:pt>
                <c:pt idx="235">
                  <c:v>54179935.657829002</c:v>
                </c:pt>
                <c:pt idx="236">
                  <c:v>55565810.591789998</c:v>
                </c:pt>
                <c:pt idx="237">
                  <c:v>51855461.185176</c:v>
                </c:pt>
                <c:pt idx="238">
                  <c:v>51829577.017016999</c:v>
                </c:pt>
                <c:pt idx="239">
                  <c:v>62234875.424918003</c:v>
                </c:pt>
                <c:pt idx="240">
                  <c:v>65972731.751313001</c:v>
                </c:pt>
                <c:pt idx="241">
                  <c:v>64844924.492480002</c:v>
                </c:pt>
                <c:pt idx="242">
                  <c:v>121760423.16893999</c:v>
                </c:pt>
                <c:pt idx="243">
                  <c:v>25691383.217574</c:v>
                </c:pt>
                <c:pt idx="244">
                  <c:v>38995852.817518003</c:v>
                </c:pt>
                <c:pt idx="245">
                  <c:v>48538990.966801003</c:v>
                </c:pt>
                <c:pt idx="246">
                  <c:v>34813582.667327002</c:v>
                </c:pt>
                <c:pt idx="247">
                  <c:v>52697533.109664001</c:v>
                </c:pt>
                <c:pt idx="248">
                  <c:v>65209983.202368997</c:v>
                </c:pt>
                <c:pt idx="249">
                  <c:v>59531021.075370997</c:v>
                </c:pt>
                <c:pt idx="250">
                  <c:v>64733409.205716997</c:v>
                </c:pt>
                <c:pt idx="251">
                  <c:v>45748704.872927003</c:v>
                </c:pt>
                <c:pt idx="252">
                  <c:v>55091277.064526998</c:v>
                </c:pt>
                <c:pt idx="253">
                  <c:v>60449724.75773</c:v>
                </c:pt>
                <c:pt idx="254">
                  <c:v>88031107.849875003</c:v>
                </c:pt>
                <c:pt idx="255">
                  <c:v>68428383.936544001</c:v>
                </c:pt>
                <c:pt idx="256">
                  <c:v>59553551.215568997</c:v>
                </c:pt>
                <c:pt idx="257">
                  <c:v>59457848.798721001</c:v>
                </c:pt>
                <c:pt idx="258">
                  <c:v>50622764.790054001</c:v>
                </c:pt>
                <c:pt idx="259">
                  <c:v>63700567.214729004</c:v>
                </c:pt>
                <c:pt idx="260">
                  <c:v>64305718.426090002</c:v>
                </c:pt>
                <c:pt idx="261">
                  <c:v>72298051.718895003</c:v>
                </c:pt>
                <c:pt idx="262">
                  <c:v>62067778.079571001</c:v>
                </c:pt>
                <c:pt idx="263">
                  <c:v>125320156.65332</c:v>
                </c:pt>
                <c:pt idx="264">
                  <c:v>100892290.84971</c:v>
                </c:pt>
                <c:pt idx="265">
                  <c:v>69100832.756536007</c:v>
                </c:pt>
                <c:pt idx="266">
                  <c:v>60703264.085584</c:v>
                </c:pt>
                <c:pt idx="267">
                  <c:v>53721416.692639999</c:v>
                </c:pt>
                <c:pt idx="268">
                  <c:v>62287677.817473002</c:v>
                </c:pt>
                <c:pt idx="269">
                  <c:v>68493666.671234995</c:v>
                </c:pt>
                <c:pt idx="270">
                  <c:v>62278432.740404002</c:v>
                </c:pt>
                <c:pt idx="271">
                  <c:v>43621788.380502</c:v>
                </c:pt>
                <c:pt idx="272">
                  <c:v>51627700.572218001</c:v>
                </c:pt>
                <c:pt idx="273">
                  <c:v>46875664.410407998</c:v>
                </c:pt>
                <c:pt idx="274">
                  <c:v>41070105.132826</c:v>
                </c:pt>
                <c:pt idx="275">
                  <c:v>39750441.536533996</c:v>
                </c:pt>
                <c:pt idx="276">
                  <c:v>44364607.287118003</c:v>
                </c:pt>
                <c:pt idx="277">
                  <c:v>51421286.565784</c:v>
                </c:pt>
                <c:pt idx="278">
                  <c:v>40262395.613838002</c:v>
                </c:pt>
                <c:pt idx="279">
                  <c:v>61205943.395095997</c:v>
                </c:pt>
                <c:pt idx="280">
                  <c:v>47441073.052371003</c:v>
                </c:pt>
                <c:pt idx="281">
                  <c:v>53927661.769093998</c:v>
                </c:pt>
                <c:pt idx="282">
                  <c:v>60007310.450603999</c:v>
                </c:pt>
                <c:pt idx="283">
                  <c:v>38287133.195164002</c:v>
                </c:pt>
                <c:pt idx="284">
                  <c:v>58698851.519144997</c:v>
                </c:pt>
                <c:pt idx="285">
                  <c:v>61034615.633529998</c:v>
                </c:pt>
                <c:pt idx="286">
                  <c:v>44493677.982129999</c:v>
                </c:pt>
                <c:pt idx="287">
                  <c:v>43816116.214754</c:v>
                </c:pt>
                <c:pt idx="288">
                  <c:v>42605599.814055003</c:v>
                </c:pt>
                <c:pt idx="289">
                  <c:v>47704756.369549997</c:v>
                </c:pt>
                <c:pt idx="290">
                  <c:v>50653940.049939997</c:v>
                </c:pt>
                <c:pt idx="291">
                  <c:v>62897391.162104003</c:v>
                </c:pt>
                <c:pt idx="292">
                  <c:v>35694138.888823003</c:v>
                </c:pt>
                <c:pt idx="293">
                  <c:v>46053138.196475998</c:v>
                </c:pt>
                <c:pt idx="294">
                  <c:v>44787993.935622998</c:v>
                </c:pt>
                <c:pt idx="295">
                  <c:v>47995946.606510997</c:v>
                </c:pt>
                <c:pt idx="296">
                  <c:v>35579599.243513003</c:v>
                </c:pt>
                <c:pt idx="297">
                  <c:v>68360706.491414994</c:v>
                </c:pt>
                <c:pt idx="298">
                  <c:v>113343299.57308</c:v>
                </c:pt>
                <c:pt idx="299">
                  <c:v>54803699.881495997</c:v>
                </c:pt>
                <c:pt idx="300">
                  <c:v>63453049.984695002</c:v>
                </c:pt>
                <c:pt idx="301">
                  <c:v>43343913.921212003</c:v>
                </c:pt>
                <c:pt idx="302">
                  <c:v>41852863.181906</c:v>
                </c:pt>
                <c:pt idx="303">
                  <c:v>35112147.465764001</c:v>
                </c:pt>
                <c:pt idx="304">
                  <c:v>53979596.987754002</c:v>
                </c:pt>
                <c:pt idx="305">
                  <c:v>34025096.356209002</c:v>
                </c:pt>
                <c:pt idx="306">
                  <c:v>44071017.220627002</c:v>
                </c:pt>
                <c:pt idx="307">
                  <c:v>67796272.524243996</c:v>
                </c:pt>
                <c:pt idx="308">
                  <c:v>35699184.264215998</c:v>
                </c:pt>
                <c:pt idx="309">
                  <c:v>34790979.836048</c:v>
                </c:pt>
                <c:pt idx="310">
                  <c:v>42865610.695859</c:v>
                </c:pt>
                <c:pt idx="311">
                  <c:v>55336167.177423</c:v>
                </c:pt>
                <c:pt idx="312">
                  <c:v>62260211.850414999</c:v>
                </c:pt>
                <c:pt idx="313">
                  <c:v>42494883.105378002</c:v>
                </c:pt>
                <c:pt idx="314">
                  <c:v>95036669.940511003</c:v>
                </c:pt>
                <c:pt idx="315">
                  <c:v>86914127.467010006</c:v>
                </c:pt>
                <c:pt idx="316">
                  <c:v>160044304.71794999</c:v>
                </c:pt>
                <c:pt idx="317">
                  <c:v>76880787.278897002</c:v>
                </c:pt>
                <c:pt idx="318">
                  <c:v>68869043.419517994</c:v>
                </c:pt>
                <c:pt idx="319">
                  <c:v>64551256.615817003</c:v>
                </c:pt>
                <c:pt idx="320">
                  <c:v>64600221.738288</c:v>
                </c:pt>
                <c:pt idx="321">
                  <c:v>69529787.951462999</c:v>
                </c:pt>
                <c:pt idx="322">
                  <c:v>121997244.57172</c:v>
                </c:pt>
                <c:pt idx="323">
                  <c:v>168594147.8964</c:v>
                </c:pt>
                <c:pt idx="324">
                  <c:v>72252477.481833994</c:v>
                </c:pt>
                <c:pt idx="325">
                  <c:v>111192004.94887</c:v>
                </c:pt>
                <c:pt idx="326">
                  <c:v>135331079.32122001</c:v>
                </c:pt>
                <c:pt idx="327">
                  <c:v>58436775.596317001</c:v>
                </c:pt>
                <c:pt idx="328">
                  <c:v>72271852.214775994</c:v>
                </c:pt>
                <c:pt idx="329">
                  <c:v>91893187.092775002</c:v>
                </c:pt>
                <c:pt idx="330">
                  <c:v>66423797.321033001</c:v>
                </c:pt>
                <c:pt idx="331">
                  <c:v>56316088.012960002</c:v>
                </c:pt>
                <c:pt idx="332">
                  <c:v>57197931.173756003</c:v>
                </c:pt>
                <c:pt idx="333">
                  <c:v>50101910.662367001</c:v>
                </c:pt>
                <c:pt idx="334">
                  <c:v>55043063.424511001</c:v>
                </c:pt>
                <c:pt idx="335">
                  <c:v>63076624.846717998</c:v>
                </c:pt>
                <c:pt idx="336">
                  <c:v>58730091.279568002</c:v>
                </c:pt>
                <c:pt idx="337">
                  <c:v>44494033.246996999</c:v>
                </c:pt>
                <c:pt idx="338">
                  <c:v>44055594.425391003</c:v>
                </c:pt>
                <c:pt idx="339">
                  <c:v>69043352.539270997</c:v>
                </c:pt>
                <c:pt idx="340">
                  <c:v>56218596.985964</c:v>
                </c:pt>
                <c:pt idx="341">
                  <c:v>72093429.394063994</c:v>
                </c:pt>
                <c:pt idx="342">
                  <c:v>73657601.219115004</c:v>
                </c:pt>
                <c:pt idx="343">
                  <c:v>65586859.844108999</c:v>
                </c:pt>
                <c:pt idx="344">
                  <c:v>59126821.801101997</c:v>
                </c:pt>
                <c:pt idx="345">
                  <c:v>80185899.259728998</c:v>
                </c:pt>
                <c:pt idx="346">
                  <c:v>62042837.871661998</c:v>
                </c:pt>
                <c:pt idx="347">
                  <c:v>40274244.260231003</c:v>
                </c:pt>
                <c:pt idx="348">
                  <c:v>58533250.995798998</c:v>
                </c:pt>
                <c:pt idx="349">
                  <c:v>46633360.461929001</c:v>
                </c:pt>
                <c:pt idx="350">
                  <c:v>62076592.129238002</c:v>
                </c:pt>
                <c:pt idx="351">
                  <c:v>68188545.341950998</c:v>
                </c:pt>
                <c:pt idx="352">
                  <c:v>62224280.955646999</c:v>
                </c:pt>
                <c:pt idx="353">
                  <c:v>79550910.918684006</c:v>
                </c:pt>
                <c:pt idx="354">
                  <c:v>55876886.446901999</c:v>
                </c:pt>
                <c:pt idx="355">
                  <c:v>45673662.080684997</c:v>
                </c:pt>
                <c:pt idx="356">
                  <c:v>49480206.360633001</c:v>
                </c:pt>
                <c:pt idx="357">
                  <c:v>43698431.400370002</c:v>
                </c:pt>
                <c:pt idx="358">
                  <c:v>47875891.65332</c:v>
                </c:pt>
                <c:pt idx="359">
                  <c:v>45370669.269144997</c:v>
                </c:pt>
                <c:pt idx="360">
                  <c:v>55418338.814808004</c:v>
                </c:pt>
                <c:pt idx="361">
                  <c:v>64583526.337205999</c:v>
                </c:pt>
                <c:pt idx="362">
                  <c:v>60300938.398360997</c:v>
                </c:pt>
                <c:pt idx="363">
                  <c:v>34741156.754042</c:v>
                </c:pt>
                <c:pt idx="364">
                  <c:v>37415231.307718001</c:v>
                </c:pt>
                <c:pt idx="365">
                  <c:v>66158116.534822002</c:v>
                </c:pt>
                <c:pt idx="366">
                  <c:v>103602343.39377999</c:v>
                </c:pt>
                <c:pt idx="367">
                  <c:v>68120862.777731001</c:v>
                </c:pt>
                <c:pt idx="368">
                  <c:v>53490652.197498001</c:v>
                </c:pt>
                <c:pt idx="369">
                  <c:v>59081779.949429996</c:v>
                </c:pt>
                <c:pt idx="370">
                  <c:v>35198598.662634</c:v>
                </c:pt>
                <c:pt idx="371">
                  <c:v>79574353.280772001</c:v>
                </c:pt>
                <c:pt idx="372">
                  <c:v>37708351.441720001</c:v>
                </c:pt>
                <c:pt idx="373">
                  <c:v>45687518.434290998</c:v>
                </c:pt>
                <c:pt idx="374">
                  <c:v>19417486.559620999</c:v>
                </c:pt>
                <c:pt idx="375">
                  <c:v>31668700.260306001</c:v>
                </c:pt>
                <c:pt idx="376">
                  <c:v>39330632.108323</c:v>
                </c:pt>
                <c:pt idx="377">
                  <c:v>30738912.723644</c:v>
                </c:pt>
                <c:pt idx="378">
                  <c:v>36260613.325383998</c:v>
                </c:pt>
                <c:pt idx="379">
                  <c:v>65109044.979970001</c:v>
                </c:pt>
                <c:pt idx="380">
                  <c:v>43099445.621358</c:v>
                </c:pt>
                <c:pt idx="381">
                  <c:v>41450486.303781003</c:v>
                </c:pt>
                <c:pt idx="382">
                  <c:v>44164299.331583999</c:v>
                </c:pt>
                <c:pt idx="383">
                  <c:v>45267508.337739997</c:v>
                </c:pt>
                <c:pt idx="384">
                  <c:v>59988881.725547999</c:v>
                </c:pt>
                <c:pt idx="385">
                  <c:v>301555805.08455998</c:v>
                </c:pt>
                <c:pt idx="386">
                  <c:v>95944625.58089</c:v>
                </c:pt>
                <c:pt idx="387">
                  <c:v>79901914.654266</c:v>
                </c:pt>
                <c:pt idx="388">
                  <c:v>64110510.108309001</c:v>
                </c:pt>
                <c:pt idx="389">
                  <c:v>76749721.162486002</c:v>
                </c:pt>
                <c:pt idx="390">
                  <c:v>46905843.495323002</c:v>
                </c:pt>
                <c:pt idx="391">
                  <c:v>35053817.479510002</c:v>
                </c:pt>
                <c:pt idx="392">
                  <c:v>55603363.214362003</c:v>
                </c:pt>
                <c:pt idx="393">
                  <c:v>53295459.236987002</c:v>
                </c:pt>
                <c:pt idx="394">
                  <c:v>51665166.170254998</c:v>
                </c:pt>
                <c:pt idx="395">
                  <c:v>35447917.812449999</c:v>
                </c:pt>
                <c:pt idx="396">
                  <c:v>37618224.738017999</c:v>
                </c:pt>
                <c:pt idx="397">
                  <c:v>44109555.779990003</c:v>
                </c:pt>
                <c:pt idx="398">
                  <c:v>46218432.598222002</c:v>
                </c:pt>
                <c:pt idx="399">
                  <c:v>71672679.077057004</c:v>
                </c:pt>
                <c:pt idx="400">
                  <c:v>32539956.118556</c:v>
                </c:pt>
                <c:pt idx="401">
                  <c:v>30951136.897562001</c:v>
                </c:pt>
                <c:pt idx="402">
                  <c:v>47581450.794023998</c:v>
                </c:pt>
                <c:pt idx="403">
                  <c:v>58499194.711897001</c:v>
                </c:pt>
                <c:pt idx="404">
                  <c:v>40192937.749105997</c:v>
                </c:pt>
                <c:pt idx="405">
                  <c:v>39619911.900785998</c:v>
                </c:pt>
                <c:pt idx="406">
                  <c:v>33644279.038759999</c:v>
                </c:pt>
                <c:pt idx="407">
                  <c:v>27702365.624496002</c:v>
                </c:pt>
                <c:pt idx="408">
                  <c:v>45087491.432310998</c:v>
                </c:pt>
                <c:pt idx="409">
                  <c:v>37573645.652111001</c:v>
                </c:pt>
                <c:pt idx="410">
                  <c:v>271820691.70503002</c:v>
                </c:pt>
                <c:pt idx="411">
                  <c:v>87740075.280894995</c:v>
                </c:pt>
                <c:pt idx="412">
                  <c:v>70547473.339911997</c:v>
                </c:pt>
                <c:pt idx="413">
                  <c:v>53358240.784158997</c:v>
                </c:pt>
                <c:pt idx="414">
                  <c:v>54588837.328442</c:v>
                </c:pt>
                <c:pt idx="415">
                  <c:v>51572585.374669001</c:v>
                </c:pt>
                <c:pt idx="416">
                  <c:v>186253924.16045001</c:v>
                </c:pt>
                <c:pt idx="417">
                  <c:v>171550439.94556999</c:v>
                </c:pt>
                <c:pt idx="418">
                  <c:v>86366447.258550003</c:v>
                </c:pt>
                <c:pt idx="419">
                  <c:v>90940583.770677999</c:v>
                </c:pt>
                <c:pt idx="420">
                  <c:v>59827583.285685003</c:v>
                </c:pt>
                <c:pt idx="421">
                  <c:v>68577187.700819999</c:v>
                </c:pt>
                <c:pt idx="422">
                  <c:v>47114218.113338001</c:v>
                </c:pt>
                <c:pt idx="423">
                  <c:v>39619589.398097001</c:v>
                </c:pt>
                <c:pt idx="424">
                  <c:v>49312632.939888999</c:v>
                </c:pt>
                <c:pt idx="425">
                  <c:v>66324309.848825</c:v>
                </c:pt>
                <c:pt idx="426">
                  <c:v>102121710.00322001</c:v>
                </c:pt>
                <c:pt idx="427">
                  <c:v>77276657.793259993</c:v>
                </c:pt>
                <c:pt idx="428">
                  <c:v>50663684.750220999</c:v>
                </c:pt>
                <c:pt idx="429">
                  <c:v>124051218.12275</c:v>
                </c:pt>
                <c:pt idx="430">
                  <c:v>48011537.307907</c:v>
                </c:pt>
                <c:pt idx="431">
                  <c:v>48518056.958956003</c:v>
                </c:pt>
                <c:pt idx="432">
                  <c:v>34844662.712131999</c:v>
                </c:pt>
                <c:pt idx="433">
                  <c:v>34345658.909451999</c:v>
                </c:pt>
                <c:pt idx="434">
                  <c:v>66719117.640042998</c:v>
                </c:pt>
                <c:pt idx="435">
                  <c:v>48026043.785979003</c:v>
                </c:pt>
                <c:pt idx="436">
                  <c:v>44241730.691356003</c:v>
                </c:pt>
                <c:pt idx="437">
                  <c:v>56578280.651046999</c:v>
                </c:pt>
                <c:pt idx="438">
                  <c:v>46661524.672904</c:v>
                </c:pt>
                <c:pt idx="439">
                  <c:v>39772235.551546998</c:v>
                </c:pt>
                <c:pt idx="440">
                  <c:v>42274972.105476998</c:v>
                </c:pt>
                <c:pt idx="441">
                  <c:v>49394795.362911001</c:v>
                </c:pt>
                <c:pt idx="442">
                  <c:v>43251085.361653998</c:v>
                </c:pt>
                <c:pt idx="443">
                  <c:v>51680963.682898998</c:v>
                </c:pt>
                <c:pt idx="444">
                  <c:v>36204672.930480003</c:v>
                </c:pt>
                <c:pt idx="445">
                  <c:v>33455958.968876</c:v>
                </c:pt>
                <c:pt idx="446">
                  <c:v>56780685.385963</c:v>
                </c:pt>
                <c:pt idx="447">
                  <c:v>42325806.719724</c:v>
                </c:pt>
                <c:pt idx="448">
                  <c:v>37787407.600752003</c:v>
                </c:pt>
                <c:pt idx="449">
                  <c:v>50401772.638282001</c:v>
                </c:pt>
                <c:pt idx="450">
                  <c:v>33073188.206574</c:v>
                </c:pt>
                <c:pt idx="451">
                  <c:v>48748240.949258</c:v>
                </c:pt>
                <c:pt idx="452">
                  <c:v>70619866.491018996</c:v>
                </c:pt>
                <c:pt idx="453">
                  <c:v>63823970.05297</c:v>
                </c:pt>
                <c:pt idx="454">
                  <c:v>136808476.42291</c:v>
                </c:pt>
                <c:pt idx="455">
                  <c:v>46272279.285196997</c:v>
                </c:pt>
                <c:pt idx="456">
                  <c:v>38218258.906723998</c:v>
                </c:pt>
                <c:pt idx="457">
                  <c:v>44605873.084083997</c:v>
                </c:pt>
                <c:pt idx="458">
                  <c:v>50257790.033244997</c:v>
                </c:pt>
                <c:pt idx="459">
                  <c:v>48544785.777011998</c:v>
                </c:pt>
                <c:pt idx="460">
                  <c:v>33829274.771407999</c:v>
                </c:pt>
                <c:pt idx="461">
                  <c:v>62290293.672611997</c:v>
                </c:pt>
                <c:pt idx="462">
                  <c:v>107208503.95566</c:v>
                </c:pt>
                <c:pt idx="463">
                  <c:v>72864658.227987006</c:v>
                </c:pt>
                <c:pt idx="464">
                  <c:v>44294526.941003002</c:v>
                </c:pt>
                <c:pt idx="465">
                  <c:v>32395302.912689999</c:v>
                </c:pt>
                <c:pt idx="466">
                  <c:v>38155210.143037997</c:v>
                </c:pt>
                <c:pt idx="467">
                  <c:v>54188292.060823001</c:v>
                </c:pt>
                <c:pt idx="468">
                  <c:v>55678712.128202997</c:v>
                </c:pt>
                <c:pt idx="469">
                  <c:v>61001527.881511003</c:v>
                </c:pt>
                <c:pt idx="470">
                  <c:v>64222724.662804998</c:v>
                </c:pt>
                <c:pt idx="471">
                  <c:v>52966983.593967997</c:v>
                </c:pt>
                <c:pt idx="472">
                  <c:v>38563158.639040001</c:v>
                </c:pt>
                <c:pt idx="473">
                  <c:v>27577566.298423</c:v>
                </c:pt>
                <c:pt idx="474">
                  <c:v>33478245.440375999</c:v>
                </c:pt>
                <c:pt idx="475">
                  <c:v>36667437.669156998</c:v>
                </c:pt>
                <c:pt idx="476">
                  <c:v>41239141.589575998</c:v>
                </c:pt>
                <c:pt idx="477">
                  <c:v>31109768.291382998</c:v>
                </c:pt>
                <c:pt idx="478">
                  <c:v>26430107.875771999</c:v>
                </c:pt>
                <c:pt idx="479">
                  <c:v>51386869.897926003</c:v>
                </c:pt>
                <c:pt idx="480">
                  <c:v>62345016.747845002</c:v>
                </c:pt>
                <c:pt idx="481">
                  <c:v>62124209.907144003</c:v>
                </c:pt>
                <c:pt idx="482">
                  <c:v>139158024.19981</c:v>
                </c:pt>
                <c:pt idx="483">
                  <c:v>43602846.722599</c:v>
                </c:pt>
                <c:pt idx="484">
                  <c:v>36222423.887979999</c:v>
                </c:pt>
                <c:pt idx="485">
                  <c:v>45255270.640485004</c:v>
                </c:pt>
                <c:pt idx="486">
                  <c:v>47679122.012998998</c:v>
                </c:pt>
                <c:pt idx="487">
                  <c:v>43085525.791031003</c:v>
                </c:pt>
                <c:pt idx="488">
                  <c:v>47945603.424932003</c:v>
                </c:pt>
                <c:pt idx="489">
                  <c:v>37968464.705328003</c:v>
                </c:pt>
                <c:pt idx="490">
                  <c:v>54534174.658473998</c:v>
                </c:pt>
                <c:pt idx="491">
                  <c:v>75605036.262957007</c:v>
                </c:pt>
                <c:pt idx="492">
                  <c:v>40872551.247870997</c:v>
                </c:pt>
                <c:pt idx="493">
                  <c:v>74957073.075654998</c:v>
                </c:pt>
                <c:pt idx="494">
                  <c:v>30035023.474890999</c:v>
                </c:pt>
                <c:pt idx="495">
                  <c:v>17041042.058493</c:v>
                </c:pt>
                <c:pt idx="496">
                  <c:v>21073445.721262999</c:v>
                </c:pt>
                <c:pt idx="497">
                  <c:v>17424361.587276999</c:v>
                </c:pt>
                <c:pt idx="498">
                  <c:v>19478152.898683999</c:v>
                </c:pt>
                <c:pt idx="499">
                  <c:v>20943124.944398999</c:v>
                </c:pt>
                <c:pt idx="500">
                  <c:v>36663608.589617997</c:v>
                </c:pt>
                <c:pt idx="501">
                  <c:v>37251245.345452003</c:v>
                </c:pt>
                <c:pt idx="502">
                  <c:v>52179125.907135002</c:v>
                </c:pt>
                <c:pt idx="503">
                  <c:v>42957190.197384</c:v>
                </c:pt>
                <c:pt idx="504">
                  <c:v>71760769.406638995</c:v>
                </c:pt>
                <c:pt idx="505">
                  <c:v>43692342.754375003</c:v>
                </c:pt>
                <c:pt idx="506">
                  <c:v>48520378.978312999</c:v>
                </c:pt>
                <c:pt idx="507">
                  <c:v>54928621.041918002</c:v>
                </c:pt>
                <c:pt idx="508">
                  <c:v>49803333.578114003</c:v>
                </c:pt>
                <c:pt idx="509">
                  <c:v>53699531.557819001</c:v>
                </c:pt>
                <c:pt idx="510">
                  <c:v>45490122.217316002</c:v>
                </c:pt>
                <c:pt idx="511">
                  <c:v>55393869.563206002</c:v>
                </c:pt>
                <c:pt idx="512">
                  <c:v>37779751.489308</c:v>
                </c:pt>
                <c:pt idx="513">
                  <c:v>26271129.407628998</c:v>
                </c:pt>
                <c:pt idx="514">
                  <c:v>53134961.422844999</c:v>
                </c:pt>
                <c:pt idx="515">
                  <c:v>92179917.578272</c:v>
                </c:pt>
                <c:pt idx="516">
                  <c:v>53215165.281921998</c:v>
                </c:pt>
                <c:pt idx="517">
                  <c:v>43341304.208981</c:v>
                </c:pt>
                <c:pt idx="518">
                  <c:v>63154042.896857001</c:v>
                </c:pt>
                <c:pt idx="519">
                  <c:v>41991947.841352001</c:v>
                </c:pt>
                <c:pt idx="520">
                  <c:v>111488262.06139</c:v>
                </c:pt>
                <c:pt idx="521">
                  <c:v>76688679.082194999</c:v>
                </c:pt>
                <c:pt idx="522">
                  <c:v>65450548.707783997</c:v>
                </c:pt>
                <c:pt idx="523">
                  <c:v>66800214.268466003</c:v>
                </c:pt>
                <c:pt idx="524">
                  <c:v>42319481.571758002</c:v>
                </c:pt>
                <c:pt idx="525">
                  <c:v>39891650.618450999</c:v>
                </c:pt>
                <c:pt idx="526">
                  <c:v>32043415.622124001</c:v>
                </c:pt>
                <c:pt idx="527">
                  <c:v>38476020.460253</c:v>
                </c:pt>
                <c:pt idx="528">
                  <c:v>32370462.015133001</c:v>
                </c:pt>
                <c:pt idx="529">
                  <c:v>45040753.114116997</c:v>
                </c:pt>
                <c:pt idx="530">
                  <c:v>51431221.696225002</c:v>
                </c:pt>
                <c:pt idx="531">
                  <c:v>38993219.557471</c:v>
                </c:pt>
                <c:pt idx="532">
                  <c:v>35378926.808752999</c:v>
                </c:pt>
                <c:pt idx="533">
                  <c:v>32690996.925289001</c:v>
                </c:pt>
                <c:pt idx="534">
                  <c:v>45230549.529642001</c:v>
                </c:pt>
                <c:pt idx="535">
                  <c:v>38169561.000765003</c:v>
                </c:pt>
                <c:pt idx="536">
                  <c:v>36649737.902558997</c:v>
                </c:pt>
                <c:pt idx="537">
                  <c:v>48739993.070978001</c:v>
                </c:pt>
                <c:pt idx="538">
                  <c:v>40263351.859903999</c:v>
                </c:pt>
                <c:pt idx="539">
                  <c:v>48945223.543736003</c:v>
                </c:pt>
                <c:pt idx="540">
                  <c:v>35301496.472797997</c:v>
                </c:pt>
                <c:pt idx="541">
                  <c:v>31900968.744174</c:v>
                </c:pt>
                <c:pt idx="542">
                  <c:v>24368740.310731001</c:v>
                </c:pt>
                <c:pt idx="543">
                  <c:v>28021427.260465998</c:v>
                </c:pt>
                <c:pt idx="544">
                  <c:v>31582225.515620001</c:v>
                </c:pt>
                <c:pt idx="545">
                  <c:v>22572690.076490998</c:v>
                </c:pt>
                <c:pt idx="546">
                  <c:v>29947685.651581999</c:v>
                </c:pt>
                <c:pt idx="547">
                  <c:v>36215740.403692998</c:v>
                </c:pt>
                <c:pt idx="548">
                  <c:v>38202928.255115002</c:v>
                </c:pt>
                <c:pt idx="549">
                  <c:v>32296061.156814002</c:v>
                </c:pt>
                <c:pt idx="550">
                  <c:v>24320469.336902998</c:v>
                </c:pt>
                <c:pt idx="551">
                  <c:v>76078764.045405999</c:v>
                </c:pt>
                <c:pt idx="552">
                  <c:v>41733301.709022</c:v>
                </c:pt>
                <c:pt idx="553">
                  <c:v>70385604.633388996</c:v>
                </c:pt>
                <c:pt idx="554">
                  <c:v>95872868.220798001</c:v>
                </c:pt>
                <c:pt idx="555">
                  <c:v>54743924.264144003</c:v>
                </c:pt>
                <c:pt idx="556">
                  <c:v>51293838.622392997</c:v>
                </c:pt>
                <c:pt idx="557">
                  <c:v>49856607.950793996</c:v>
                </c:pt>
                <c:pt idx="558">
                  <c:v>42002504.429353997</c:v>
                </c:pt>
                <c:pt idx="559">
                  <c:v>51625871.009346999</c:v>
                </c:pt>
                <c:pt idx="560">
                  <c:v>55670703.823348999</c:v>
                </c:pt>
                <c:pt idx="561">
                  <c:v>38724354.697095998</c:v>
                </c:pt>
                <c:pt idx="562">
                  <c:v>34039899.741517</c:v>
                </c:pt>
                <c:pt idx="563">
                  <c:v>35791984.156865999</c:v>
                </c:pt>
                <c:pt idx="564">
                  <c:v>61048327.628789999</c:v>
                </c:pt>
                <c:pt idx="565">
                  <c:v>44597555.586175002</c:v>
                </c:pt>
                <c:pt idx="566">
                  <c:v>42655776.113289997</c:v>
                </c:pt>
                <c:pt idx="567">
                  <c:v>32533791.710025001</c:v>
                </c:pt>
                <c:pt idx="568">
                  <c:v>54578505.980411999</c:v>
                </c:pt>
                <c:pt idx="569">
                  <c:v>40769709.747699998</c:v>
                </c:pt>
                <c:pt idx="570">
                  <c:v>38009288.426597998</c:v>
                </c:pt>
                <c:pt idx="571">
                  <c:v>40339459.422928996</c:v>
                </c:pt>
                <c:pt idx="572">
                  <c:v>36357688.682249002</c:v>
                </c:pt>
                <c:pt idx="573">
                  <c:v>43569151.846472003</c:v>
                </c:pt>
                <c:pt idx="574">
                  <c:v>26389425.441394001</c:v>
                </c:pt>
                <c:pt idx="575">
                  <c:v>32131029.876308002</c:v>
                </c:pt>
                <c:pt idx="576">
                  <c:v>29202139.29366</c:v>
                </c:pt>
                <c:pt idx="577">
                  <c:v>50307344.874918997</c:v>
                </c:pt>
                <c:pt idx="578">
                  <c:v>67545052.144292995</c:v>
                </c:pt>
                <c:pt idx="579">
                  <c:v>60095580.972163998</c:v>
                </c:pt>
                <c:pt idx="580">
                  <c:v>35195607.066266</c:v>
                </c:pt>
                <c:pt idx="581">
                  <c:v>42108946.697637998</c:v>
                </c:pt>
                <c:pt idx="582">
                  <c:v>34187789.236267999</c:v>
                </c:pt>
                <c:pt idx="583">
                  <c:v>51559866.482927002</c:v>
                </c:pt>
                <c:pt idx="584">
                  <c:v>26657951.417991001</c:v>
                </c:pt>
                <c:pt idx="585">
                  <c:v>32195288.792939998</c:v>
                </c:pt>
                <c:pt idx="586">
                  <c:v>49578601.418973997</c:v>
                </c:pt>
                <c:pt idx="587">
                  <c:v>38147014.479479</c:v>
                </c:pt>
                <c:pt idx="588">
                  <c:v>35207263.234865002</c:v>
                </c:pt>
                <c:pt idx="589">
                  <c:v>27056744.932912</c:v>
                </c:pt>
                <c:pt idx="590">
                  <c:v>31844336.248261001</c:v>
                </c:pt>
                <c:pt idx="591">
                  <c:v>22190004.291085999</c:v>
                </c:pt>
                <c:pt idx="592">
                  <c:v>44566703.852797002</c:v>
                </c:pt>
                <c:pt idx="593">
                  <c:v>35220110.103863999</c:v>
                </c:pt>
                <c:pt idx="594">
                  <c:v>28935204.330325998</c:v>
                </c:pt>
                <c:pt idx="595">
                  <c:v>25142212.330019001</c:v>
                </c:pt>
                <c:pt idx="596">
                  <c:v>26413183.139444001</c:v>
                </c:pt>
                <c:pt idx="597">
                  <c:v>23822806.735877998</c:v>
                </c:pt>
                <c:pt idx="598">
                  <c:v>21250214.051991999</c:v>
                </c:pt>
                <c:pt idx="599">
                  <c:v>30849944.768282998</c:v>
                </c:pt>
                <c:pt idx="600">
                  <c:v>30319758.538991001</c:v>
                </c:pt>
                <c:pt idx="601">
                  <c:v>23459301.157984</c:v>
                </c:pt>
                <c:pt idx="602">
                  <c:v>40770554.397598997</c:v>
                </c:pt>
                <c:pt idx="603">
                  <c:v>21820099.850324001</c:v>
                </c:pt>
                <c:pt idx="604">
                  <c:v>21308975.065646999</c:v>
                </c:pt>
                <c:pt idx="605">
                  <c:v>27369751.708882999</c:v>
                </c:pt>
                <c:pt idx="606">
                  <c:v>37574125.822779</c:v>
                </c:pt>
                <c:pt idx="607">
                  <c:v>28372803.665819999</c:v>
                </c:pt>
                <c:pt idx="608">
                  <c:v>17702125.474215999</c:v>
                </c:pt>
                <c:pt idx="609">
                  <c:v>17825997.221128002</c:v>
                </c:pt>
                <c:pt idx="610">
                  <c:v>21266787.618724</c:v>
                </c:pt>
                <c:pt idx="611">
                  <c:v>35164516.783280998</c:v>
                </c:pt>
                <c:pt idx="612">
                  <c:v>31025841.829845</c:v>
                </c:pt>
                <c:pt idx="613">
                  <c:v>28543175.181318</c:v>
                </c:pt>
                <c:pt idx="614">
                  <c:v>26554508.936620001</c:v>
                </c:pt>
                <c:pt idx="615">
                  <c:v>31953537.706211999</c:v>
                </c:pt>
                <c:pt idx="616">
                  <c:v>23391713.808844998</c:v>
                </c:pt>
                <c:pt idx="617">
                  <c:v>56325668.902351998</c:v>
                </c:pt>
                <c:pt idx="618">
                  <c:v>22099300.153999999</c:v>
                </c:pt>
                <c:pt idx="619">
                  <c:v>31269943.602834001</c:v>
                </c:pt>
                <c:pt idx="620">
                  <c:v>23643229.048397001</c:v>
                </c:pt>
                <c:pt idx="621">
                  <c:v>27834945.967813998</c:v>
                </c:pt>
                <c:pt idx="622">
                  <c:v>88017794.119840994</c:v>
                </c:pt>
                <c:pt idx="623">
                  <c:v>36318874.715827003</c:v>
                </c:pt>
                <c:pt idx="624">
                  <c:v>31745514.257789001</c:v>
                </c:pt>
                <c:pt idx="625">
                  <c:v>23830400.394419</c:v>
                </c:pt>
                <c:pt idx="626">
                  <c:v>18831433.650323998</c:v>
                </c:pt>
                <c:pt idx="627">
                  <c:v>25888266.501699999</c:v>
                </c:pt>
                <c:pt idx="628">
                  <c:v>36813340.956872001</c:v>
                </c:pt>
                <c:pt idx="629">
                  <c:v>21751908.448531002</c:v>
                </c:pt>
                <c:pt idx="630">
                  <c:v>25771661.815366998</c:v>
                </c:pt>
                <c:pt idx="631">
                  <c:v>28401530.976725999</c:v>
                </c:pt>
                <c:pt idx="632">
                  <c:v>25803771.821139999</c:v>
                </c:pt>
                <c:pt idx="633">
                  <c:v>33905055.736469999</c:v>
                </c:pt>
                <c:pt idx="634">
                  <c:v>74668116.809698999</c:v>
                </c:pt>
                <c:pt idx="635">
                  <c:v>96901021.125076994</c:v>
                </c:pt>
                <c:pt idx="636">
                  <c:v>51180904.323801003</c:v>
                </c:pt>
                <c:pt idx="637">
                  <c:v>44338090.399398997</c:v>
                </c:pt>
                <c:pt idx="638">
                  <c:v>50780936.489565998</c:v>
                </c:pt>
                <c:pt idx="639">
                  <c:v>61748959.088481002</c:v>
                </c:pt>
                <c:pt idx="640">
                  <c:v>36231955.634104997</c:v>
                </c:pt>
                <c:pt idx="641">
                  <c:v>31529600.243590001</c:v>
                </c:pt>
                <c:pt idx="642">
                  <c:v>35005900.746730998</c:v>
                </c:pt>
                <c:pt idx="643">
                  <c:v>32739165.517310999</c:v>
                </c:pt>
                <c:pt idx="644">
                  <c:v>37643748.522220999</c:v>
                </c:pt>
                <c:pt idx="645">
                  <c:v>37191856.731325001</c:v>
                </c:pt>
                <c:pt idx="646">
                  <c:v>36756942.915296003</c:v>
                </c:pt>
                <c:pt idx="647">
                  <c:v>40417613.598251</c:v>
                </c:pt>
                <c:pt idx="648">
                  <c:v>30974684.71291</c:v>
                </c:pt>
                <c:pt idx="649">
                  <c:v>29049026.279174998</c:v>
                </c:pt>
                <c:pt idx="650">
                  <c:v>35748240.506494001</c:v>
                </c:pt>
                <c:pt idx="651">
                  <c:v>34130078.659938999</c:v>
                </c:pt>
                <c:pt idx="652">
                  <c:v>23997995.315343998</c:v>
                </c:pt>
                <c:pt idx="653">
                  <c:v>25272920.110109001</c:v>
                </c:pt>
                <c:pt idx="654">
                  <c:v>26990298.117089</c:v>
                </c:pt>
                <c:pt idx="655">
                  <c:v>22773961.444816999</c:v>
                </c:pt>
                <c:pt idx="656">
                  <c:v>49068882.336493</c:v>
                </c:pt>
                <c:pt idx="657">
                  <c:v>31714458.784618001</c:v>
                </c:pt>
                <c:pt idx="658">
                  <c:v>32970016.01317</c:v>
                </c:pt>
                <c:pt idx="659">
                  <c:v>29005905.110181</c:v>
                </c:pt>
                <c:pt idx="660">
                  <c:v>26115996.400114</c:v>
                </c:pt>
                <c:pt idx="661">
                  <c:v>21439434.057950001</c:v>
                </c:pt>
                <c:pt idx="662">
                  <c:v>19813982.626816999</c:v>
                </c:pt>
                <c:pt idx="663">
                  <c:v>17430179.945305001</c:v>
                </c:pt>
                <c:pt idx="664">
                  <c:v>24947341.872198001</c:v>
                </c:pt>
                <c:pt idx="665">
                  <c:v>20693114.717393</c:v>
                </c:pt>
                <c:pt idx="666">
                  <c:v>25322654.119943999</c:v>
                </c:pt>
                <c:pt idx="667">
                  <c:v>26921025.563425001</c:v>
                </c:pt>
                <c:pt idx="668">
                  <c:v>39475902.676477998</c:v>
                </c:pt>
                <c:pt idx="669">
                  <c:v>31027450.248013999</c:v>
                </c:pt>
                <c:pt idx="670">
                  <c:v>43278016.895687997</c:v>
                </c:pt>
                <c:pt idx="671">
                  <c:v>53598512.453791</c:v>
                </c:pt>
                <c:pt idx="672">
                  <c:v>47227240.460284002</c:v>
                </c:pt>
                <c:pt idx="673">
                  <c:v>31997399.095662002</c:v>
                </c:pt>
                <c:pt idx="674">
                  <c:v>34238858.304851003</c:v>
                </c:pt>
                <c:pt idx="675">
                  <c:v>44819758.914710999</c:v>
                </c:pt>
                <c:pt idx="676">
                  <c:v>44141214.281997003</c:v>
                </c:pt>
                <c:pt idx="677">
                  <c:v>32698853.705072999</c:v>
                </c:pt>
                <c:pt idx="678">
                  <c:v>44897131.916854002</c:v>
                </c:pt>
                <c:pt idx="679">
                  <c:v>41652195.866236001</c:v>
                </c:pt>
                <c:pt idx="680">
                  <c:v>237339395.33155</c:v>
                </c:pt>
                <c:pt idx="681">
                  <c:v>45336503.43671</c:v>
                </c:pt>
                <c:pt idx="682">
                  <c:v>39177298.972956002</c:v>
                </c:pt>
                <c:pt idx="683">
                  <c:v>31152470.718789</c:v>
                </c:pt>
                <c:pt idx="684">
                  <c:v>38756716.562112004</c:v>
                </c:pt>
                <c:pt idx="685">
                  <c:v>31733161.892912999</c:v>
                </c:pt>
                <c:pt idx="686">
                  <c:v>30576207.557767998</c:v>
                </c:pt>
                <c:pt idx="687">
                  <c:v>38711613.281355999</c:v>
                </c:pt>
                <c:pt idx="688">
                  <c:v>44634073.128691003</c:v>
                </c:pt>
                <c:pt idx="689">
                  <c:v>29437608.232779998</c:v>
                </c:pt>
                <c:pt idx="690">
                  <c:v>38032209.665293999</c:v>
                </c:pt>
                <c:pt idx="691">
                  <c:v>24145808.023738001</c:v>
                </c:pt>
                <c:pt idx="692">
                  <c:v>30145999.209536999</c:v>
                </c:pt>
                <c:pt idx="693">
                  <c:v>38708315.563391</c:v>
                </c:pt>
                <c:pt idx="694">
                  <c:v>40341726.156111002</c:v>
                </c:pt>
                <c:pt idx="695">
                  <c:v>60909519.400219001</c:v>
                </c:pt>
                <c:pt idx="696">
                  <c:v>43474452.771323003</c:v>
                </c:pt>
                <c:pt idx="697">
                  <c:v>44672648.545502998</c:v>
                </c:pt>
                <c:pt idx="698">
                  <c:v>70571667.184455007</c:v>
                </c:pt>
                <c:pt idx="699">
                  <c:v>57470747.971835002</c:v>
                </c:pt>
                <c:pt idx="700">
                  <c:v>47675368.695995003</c:v>
                </c:pt>
                <c:pt idx="701">
                  <c:v>40464172.748286001</c:v>
                </c:pt>
                <c:pt idx="702">
                  <c:v>42696941.789789997</c:v>
                </c:pt>
                <c:pt idx="703">
                  <c:v>39352428.170973003</c:v>
                </c:pt>
                <c:pt idx="704">
                  <c:v>53203999.522174001</c:v>
                </c:pt>
                <c:pt idx="705">
                  <c:v>71578699.746003002</c:v>
                </c:pt>
                <c:pt idx="706">
                  <c:v>35592348.849799</c:v>
                </c:pt>
                <c:pt idx="707">
                  <c:v>34043608.010527</c:v>
                </c:pt>
                <c:pt idx="708">
                  <c:v>35489589.255071998</c:v>
                </c:pt>
                <c:pt idx="709">
                  <c:v>35243780.777378999</c:v>
                </c:pt>
                <c:pt idx="710">
                  <c:v>42012473.345790997</c:v>
                </c:pt>
                <c:pt idx="711">
                  <c:v>27094662.034713</c:v>
                </c:pt>
                <c:pt idx="712">
                  <c:v>25231190.309859</c:v>
                </c:pt>
                <c:pt idx="713">
                  <c:v>26306320.081939999</c:v>
                </c:pt>
                <c:pt idx="714">
                  <c:v>38714871.070419997</c:v>
                </c:pt>
                <c:pt idx="715">
                  <c:v>32813812.091965999</c:v>
                </c:pt>
                <c:pt idx="716">
                  <c:v>42620711.368601002</c:v>
                </c:pt>
                <c:pt idx="717">
                  <c:v>27475467.066344</c:v>
                </c:pt>
                <c:pt idx="718">
                  <c:v>26628147.050485998</c:v>
                </c:pt>
                <c:pt idx="719">
                  <c:v>30714513.091672</c:v>
                </c:pt>
                <c:pt idx="720">
                  <c:v>34080996.822209001</c:v>
                </c:pt>
                <c:pt idx="721">
                  <c:v>35528644.842555001</c:v>
                </c:pt>
                <c:pt idx="722">
                  <c:v>27991338.271540001</c:v>
                </c:pt>
                <c:pt idx="723">
                  <c:v>30485023.250014</c:v>
                </c:pt>
                <c:pt idx="724">
                  <c:v>25046447.460271001</c:v>
                </c:pt>
                <c:pt idx="725">
                  <c:v>49940788.319210999</c:v>
                </c:pt>
                <c:pt idx="726">
                  <c:v>41264281.442005001</c:v>
                </c:pt>
                <c:pt idx="727">
                  <c:v>32616928.807838999</c:v>
                </c:pt>
                <c:pt idx="728">
                  <c:v>31634949.074186001</c:v>
                </c:pt>
                <c:pt idx="729">
                  <c:v>25078172.510453001</c:v>
                </c:pt>
                <c:pt idx="730">
                  <c:v>36322069.028171003</c:v>
                </c:pt>
                <c:pt idx="731">
                  <c:v>30009294.927076999</c:v>
                </c:pt>
                <c:pt idx="732">
                  <c:v>27406604.039903</c:v>
                </c:pt>
                <c:pt idx="733">
                  <c:v>35338783.926491998</c:v>
                </c:pt>
                <c:pt idx="734">
                  <c:v>31807034.461114001</c:v>
                </c:pt>
                <c:pt idx="735">
                  <c:v>31050044.888750002</c:v>
                </c:pt>
                <c:pt idx="736">
                  <c:v>28329257.612332001</c:v>
                </c:pt>
                <c:pt idx="737">
                  <c:v>35439706.791621</c:v>
                </c:pt>
                <c:pt idx="738">
                  <c:v>33843529.390238002</c:v>
                </c:pt>
                <c:pt idx="739">
                  <c:v>39884349.771874003</c:v>
                </c:pt>
                <c:pt idx="740">
                  <c:v>34060825.558817998</c:v>
                </c:pt>
                <c:pt idx="741">
                  <c:v>55626195.380884998</c:v>
                </c:pt>
                <c:pt idx="742">
                  <c:v>40724299.321528003</c:v>
                </c:pt>
                <c:pt idx="743">
                  <c:v>46699119.272016004</c:v>
                </c:pt>
                <c:pt idx="744">
                  <c:v>75172565.276815996</c:v>
                </c:pt>
                <c:pt idx="745">
                  <c:v>30937036.875257999</c:v>
                </c:pt>
                <c:pt idx="746">
                  <c:v>27548573.818636999</c:v>
                </c:pt>
                <c:pt idx="747">
                  <c:v>13325837.706645001</c:v>
                </c:pt>
                <c:pt idx="748">
                  <c:v>15369629.387073999</c:v>
                </c:pt>
                <c:pt idx="749">
                  <c:v>16815710.96579</c:v>
                </c:pt>
                <c:pt idx="750">
                  <c:v>19080519.369622</c:v>
                </c:pt>
                <c:pt idx="751">
                  <c:v>25098807.563425001</c:v>
                </c:pt>
                <c:pt idx="752">
                  <c:v>32501460.559551999</c:v>
                </c:pt>
                <c:pt idx="753">
                  <c:v>46200404.186026998</c:v>
                </c:pt>
                <c:pt idx="754">
                  <c:v>42442433.930054002</c:v>
                </c:pt>
                <c:pt idx="755">
                  <c:v>33904918.544850998</c:v>
                </c:pt>
                <c:pt idx="756">
                  <c:v>34521596.923735999</c:v>
                </c:pt>
                <c:pt idx="757">
                  <c:v>27884480.333124999</c:v>
                </c:pt>
                <c:pt idx="758">
                  <c:v>27543155.773472</c:v>
                </c:pt>
                <c:pt idx="759">
                  <c:v>41068072.853978999</c:v>
                </c:pt>
                <c:pt idx="760">
                  <c:v>34606652.656590998</c:v>
                </c:pt>
                <c:pt idx="761">
                  <c:v>38135292.786526002</c:v>
                </c:pt>
                <c:pt idx="762">
                  <c:v>41568442.429949999</c:v>
                </c:pt>
                <c:pt idx="763">
                  <c:v>32802237.828813002</c:v>
                </c:pt>
                <c:pt idx="764">
                  <c:v>44484193.331635997</c:v>
                </c:pt>
                <c:pt idx="765">
                  <c:v>36168297.698674001</c:v>
                </c:pt>
                <c:pt idx="766">
                  <c:v>26996608.931603</c:v>
                </c:pt>
                <c:pt idx="767">
                  <c:v>49281821.135415003</c:v>
                </c:pt>
                <c:pt idx="768">
                  <c:v>196988551.05181</c:v>
                </c:pt>
                <c:pt idx="769">
                  <c:v>102573840.34373</c:v>
                </c:pt>
                <c:pt idx="770">
                  <c:v>74042617.214422002</c:v>
                </c:pt>
                <c:pt idx="771">
                  <c:v>90833533.354468003</c:v>
                </c:pt>
                <c:pt idx="772">
                  <c:v>58632139.534446001</c:v>
                </c:pt>
                <c:pt idx="773">
                  <c:v>60649948.760182001</c:v>
                </c:pt>
                <c:pt idx="774">
                  <c:v>48460824.505662002</c:v>
                </c:pt>
                <c:pt idx="775">
                  <c:v>42560489.366576001</c:v>
                </c:pt>
                <c:pt idx="776">
                  <c:v>40312630.270701997</c:v>
                </c:pt>
                <c:pt idx="777">
                  <c:v>36541479.381042004</c:v>
                </c:pt>
                <c:pt idx="778">
                  <c:v>34550879.144029997</c:v>
                </c:pt>
                <c:pt idx="779">
                  <c:v>44556454.410213001</c:v>
                </c:pt>
                <c:pt idx="780">
                  <c:v>38740678.452224001</c:v>
                </c:pt>
                <c:pt idx="781">
                  <c:v>46729053.664414003</c:v>
                </c:pt>
                <c:pt idx="782">
                  <c:v>38961550.817281</c:v>
                </c:pt>
                <c:pt idx="783">
                  <c:v>31349028.428771999</c:v>
                </c:pt>
                <c:pt idx="784">
                  <c:v>31914598.833988</c:v>
                </c:pt>
                <c:pt idx="785">
                  <c:v>34365074.595117003</c:v>
                </c:pt>
                <c:pt idx="786">
                  <c:v>37602217.342673004</c:v>
                </c:pt>
                <c:pt idx="787">
                  <c:v>29221130.094829001</c:v>
                </c:pt>
                <c:pt idx="788">
                  <c:v>34410291.519675002</c:v>
                </c:pt>
                <c:pt idx="789">
                  <c:v>33483582.603916001</c:v>
                </c:pt>
                <c:pt idx="790">
                  <c:v>39088204.277859002</c:v>
                </c:pt>
                <c:pt idx="791">
                  <c:v>36914768.564304002</c:v>
                </c:pt>
                <c:pt idx="792">
                  <c:v>36711945.087801002</c:v>
                </c:pt>
                <c:pt idx="793">
                  <c:v>29773948.846126001</c:v>
                </c:pt>
                <c:pt idx="794">
                  <c:v>26819402.406745002</c:v>
                </c:pt>
                <c:pt idx="795">
                  <c:v>41915559.752180003</c:v>
                </c:pt>
                <c:pt idx="796">
                  <c:v>37127417.622714996</c:v>
                </c:pt>
                <c:pt idx="797">
                  <c:v>45281642.14604</c:v>
                </c:pt>
                <c:pt idx="798">
                  <c:v>37251604.705590002</c:v>
                </c:pt>
                <c:pt idx="799">
                  <c:v>69407379.240557</c:v>
                </c:pt>
                <c:pt idx="800">
                  <c:v>67076199.783437997</c:v>
                </c:pt>
                <c:pt idx="801">
                  <c:v>40787786.279344998</c:v>
                </c:pt>
                <c:pt idx="802">
                  <c:v>36624989.148630001</c:v>
                </c:pt>
                <c:pt idx="803">
                  <c:v>51103779.085626997</c:v>
                </c:pt>
                <c:pt idx="804">
                  <c:v>39175397.742821999</c:v>
                </c:pt>
                <c:pt idx="805">
                  <c:v>83145521.789042994</c:v>
                </c:pt>
                <c:pt idx="806">
                  <c:v>30349107.307459</c:v>
                </c:pt>
                <c:pt idx="807">
                  <c:v>29501750.434151001</c:v>
                </c:pt>
                <c:pt idx="808">
                  <c:v>50265671.384660996</c:v>
                </c:pt>
                <c:pt idx="809">
                  <c:v>43357393.509772003</c:v>
                </c:pt>
                <c:pt idx="810">
                  <c:v>39779465.754676998</c:v>
                </c:pt>
                <c:pt idx="811">
                  <c:v>40528998.860120997</c:v>
                </c:pt>
                <c:pt idx="812">
                  <c:v>40341231.651988998</c:v>
                </c:pt>
                <c:pt idx="813">
                  <c:v>42628551.767293997</c:v>
                </c:pt>
                <c:pt idx="814">
                  <c:v>43347909.883092999</c:v>
                </c:pt>
                <c:pt idx="815">
                  <c:v>45355531.09533</c:v>
                </c:pt>
                <c:pt idx="816">
                  <c:v>33312956.157721002</c:v>
                </c:pt>
                <c:pt idx="817">
                  <c:v>28623166.086238001</c:v>
                </c:pt>
                <c:pt idx="818">
                  <c:v>29744442.409674998</c:v>
                </c:pt>
                <c:pt idx="819">
                  <c:v>32402756.308157001</c:v>
                </c:pt>
                <c:pt idx="820">
                  <c:v>35009819.922259003</c:v>
                </c:pt>
                <c:pt idx="821">
                  <c:v>28034478.893077001</c:v>
                </c:pt>
                <c:pt idx="822">
                  <c:v>31588467.734324001</c:v>
                </c:pt>
                <c:pt idx="823">
                  <c:v>26028644.243353002</c:v>
                </c:pt>
                <c:pt idx="824">
                  <c:v>49014168.475620002</c:v>
                </c:pt>
                <c:pt idx="825">
                  <c:v>53257919.924048997</c:v>
                </c:pt>
                <c:pt idx="826">
                  <c:v>30079989.564025</c:v>
                </c:pt>
                <c:pt idx="827">
                  <c:v>28980308.634897999</c:v>
                </c:pt>
                <c:pt idx="828">
                  <c:v>53549188.994999997</c:v>
                </c:pt>
                <c:pt idx="829">
                  <c:v>151402882.03799</c:v>
                </c:pt>
                <c:pt idx="830">
                  <c:v>68510519.740297005</c:v>
                </c:pt>
                <c:pt idx="831">
                  <c:v>70224986.008717999</c:v>
                </c:pt>
                <c:pt idx="832">
                  <c:v>55277907.834615</c:v>
                </c:pt>
                <c:pt idx="833">
                  <c:v>74844096.800522998</c:v>
                </c:pt>
                <c:pt idx="834">
                  <c:v>45024475.430802003</c:v>
                </c:pt>
                <c:pt idx="835">
                  <c:v>39360873.646137998</c:v>
                </c:pt>
                <c:pt idx="836">
                  <c:v>58243440.865580998</c:v>
                </c:pt>
                <c:pt idx="837">
                  <c:v>60627680.717407003</c:v>
                </c:pt>
                <c:pt idx="838">
                  <c:v>38125741.587857001</c:v>
                </c:pt>
                <c:pt idx="839">
                  <c:v>40893590.708976001</c:v>
                </c:pt>
                <c:pt idx="840">
                  <c:v>28456652.317184001</c:v>
                </c:pt>
                <c:pt idx="841">
                  <c:v>34606914.754014</c:v>
                </c:pt>
                <c:pt idx="842">
                  <c:v>39528787.998297997</c:v>
                </c:pt>
                <c:pt idx="843">
                  <c:v>38136779.370347001</c:v>
                </c:pt>
                <c:pt idx="844">
                  <c:v>33120423.076524999</c:v>
                </c:pt>
                <c:pt idx="845">
                  <c:v>27900535.847922001</c:v>
                </c:pt>
                <c:pt idx="846">
                  <c:v>32828642.096544001</c:v>
                </c:pt>
                <c:pt idx="847">
                  <c:v>28776708.080488998</c:v>
                </c:pt>
                <c:pt idx="848">
                  <c:v>25746782.012726001</c:v>
                </c:pt>
                <c:pt idx="849">
                  <c:v>29549416.331507001</c:v>
                </c:pt>
                <c:pt idx="850">
                  <c:v>33964656.280936003</c:v>
                </c:pt>
                <c:pt idx="851">
                  <c:v>31404949.371134002</c:v>
                </c:pt>
                <c:pt idx="852">
                  <c:v>22154294.541019</c:v>
                </c:pt>
                <c:pt idx="853">
                  <c:v>41956023.089493997</c:v>
                </c:pt>
                <c:pt idx="854">
                  <c:v>33130239.44407</c:v>
                </c:pt>
                <c:pt idx="855">
                  <c:v>24697668.481332</c:v>
                </c:pt>
                <c:pt idx="856">
                  <c:v>32170670.063903</c:v>
                </c:pt>
                <c:pt idx="857">
                  <c:v>31875869.844466999</c:v>
                </c:pt>
                <c:pt idx="858">
                  <c:v>29224861.911653001</c:v>
                </c:pt>
                <c:pt idx="859">
                  <c:v>25414761.911587</c:v>
                </c:pt>
                <c:pt idx="860">
                  <c:v>28039146.479605999</c:v>
                </c:pt>
                <c:pt idx="861">
                  <c:v>32647417.085806001</c:v>
                </c:pt>
                <c:pt idx="862">
                  <c:v>31418915.273270998</c:v>
                </c:pt>
                <c:pt idx="863">
                  <c:v>27476286.120790001</c:v>
                </c:pt>
                <c:pt idx="864">
                  <c:v>38204972.819776997</c:v>
                </c:pt>
                <c:pt idx="865">
                  <c:v>31100154.639812</c:v>
                </c:pt>
                <c:pt idx="866">
                  <c:v>32977057.833776001</c:v>
                </c:pt>
                <c:pt idx="867">
                  <c:v>37520020.109834999</c:v>
                </c:pt>
                <c:pt idx="868">
                  <c:v>73340175.644402996</c:v>
                </c:pt>
                <c:pt idx="869">
                  <c:v>23342668.828565001</c:v>
                </c:pt>
                <c:pt idx="870">
                  <c:v>29751583.540633999</c:v>
                </c:pt>
                <c:pt idx="871">
                  <c:v>40084981.253913999</c:v>
                </c:pt>
                <c:pt idx="872">
                  <c:v>23684913.800655</c:v>
                </c:pt>
                <c:pt idx="873">
                  <c:v>57253980.093373999</c:v>
                </c:pt>
                <c:pt idx="874">
                  <c:v>39155315.551601999</c:v>
                </c:pt>
                <c:pt idx="875">
                  <c:v>41296438.543408997</c:v>
                </c:pt>
                <c:pt idx="876">
                  <c:v>32563349.337377999</c:v>
                </c:pt>
                <c:pt idx="877">
                  <c:v>24990140.538500998</c:v>
                </c:pt>
                <c:pt idx="878">
                  <c:v>26462869.029828999</c:v>
                </c:pt>
                <c:pt idx="879">
                  <c:v>41859863.025973998</c:v>
                </c:pt>
                <c:pt idx="880">
                  <c:v>45708679.729742996</c:v>
                </c:pt>
                <c:pt idx="881">
                  <c:v>37251529.966871001</c:v>
                </c:pt>
                <c:pt idx="882">
                  <c:v>29256685.248369001</c:v>
                </c:pt>
                <c:pt idx="883">
                  <c:v>32373099.370453</c:v>
                </c:pt>
                <c:pt idx="884">
                  <c:v>26286349.486889001</c:v>
                </c:pt>
                <c:pt idx="885">
                  <c:v>30589294.000193998</c:v>
                </c:pt>
                <c:pt idx="886">
                  <c:v>30182557.704774</c:v>
                </c:pt>
                <c:pt idx="887">
                  <c:v>33853760.404099002</c:v>
                </c:pt>
                <c:pt idx="888">
                  <c:v>35191959.202523001</c:v>
                </c:pt>
                <c:pt idx="889">
                  <c:v>49150685.399374999</c:v>
                </c:pt>
                <c:pt idx="890">
                  <c:v>67958197.540759996</c:v>
                </c:pt>
                <c:pt idx="891">
                  <c:v>38985628.970384002</c:v>
                </c:pt>
                <c:pt idx="892">
                  <c:v>37146523.091508001</c:v>
                </c:pt>
                <c:pt idx="893">
                  <c:v>45611602.325244002</c:v>
                </c:pt>
                <c:pt idx="894">
                  <c:v>39439318.585790001</c:v>
                </c:pt>
                <c:pt idx="895">
                  <c:v>47041322.267564997</c:v>
                </c:pt>
                <c:pt idx="896">
                  <c:v>45699372.199772</c:v>
                </c:pt>
                <c:pt idx="897">
                  <c:v>35846235.251973003</c:v>
                </c:pt>
                <c:pt idx="898">
                  <c:v>27717350.225600999</c:v>
                </c:pt>
                <c:pt idx="899">
                  <c:v>38376613.869668998</c:v>
                </c:pt>
                <c:pt idx="900">
                  <c:v>30972975.960569002</c:v>
                </c:pt>
                <c:pt idx="901">
                  <c:v>31441109.601146001</c:v>
                </c:pt>
                <c:pt idx="902">
                  <c:v>22015726.909694001</c:v>
                </c:pt>
                <c:pt idx="903">
                  <c:v>26515600.778939001</c:v>
                </c:pt>
                <c:pt idx="904">
                  <c:v>33586545.938435003</c:v>
                </c:pt>
                <c:pt idx="905">
                  <c:v>34694036.551712997</c:v>
                </c:pt>
                <c:pt idx="906">
                  <c:v>25995625.087145001</c:v>
                </c:pt>
                <c:pt idx="907">
                  <c:v>24670064.298834998</c:v>
                </c:pt>
                <c:pt idx="908">
                  <c:v>24240737.457952</c:v>
                </c:pt>
                <c:pt idx="909">
                  <c:v>26906062.462498002</c:v>
                </c:pt>
                <c:pt idx="910">
                  <c:v>35935656.545033</c:v>
                </c:pt>
                <c:pt idx="911">
                  <c:v>41360104.669384003</c:v>
                </c:pt>
                <c:pt idx="912">
                  <c:v>79954281.924145997</c:v>
                </c:pt>
                <c:pt idx="913">
                  <c:v>101296083.66821</c:v>
                </c:pt>
                <c:pt idx="914">
                  <c:v>80597428.047480002</c:v>
                </c:pt>
                <c:pt idx="915">
                  <c:v>72370080.390773997</c:v>
                </c:pt>
                <c:pt idx="916">
                  <c:v>58143505.98488</c:v>
                </c:pt>
                <c:pt idx="917">
                  <c:v>32239086.705669001</c:v>
                </c:pt>
                <c:pt idx="918">
                  <c:v>39309572.170856997</c:v>
                </c:pt>
                <c:pt idx="919">
                  <c:v>56711811.097524002</c:v>
                </c:pt>
                <c:pt idx="920">
                  <c:v>42995987.782715</c:v>
                </c:pt>
                <c:pt idx="921">
                  <c:v>32283030.000562999</c:v>
                </c:pt>
                <c:pt idx="922">
                  <c:v>42387879.784799002</c:v>
                </c:pt>
                <c:pt idx="923">
                  <c:v>37058964.123498</c:v>
                </c:pt>
                <c:pt idx="924">
                  <c:v>38199962.254198998</c:v>
                </c:pt>
                <c:pt idx="925">
                  <c:v>35799985.294993997</c:v>
                </c:pt>
                <c:pt idx="926">
                  <c:v>30967405.366512001</c:v>
                </c:pt>
                <c:pt idx="927">
                  <c:v>26999539.098887</c:v>
                </c:pt>
                <c:pt idx="928">
                  <c:v>32964406.514024999</c:v>
                </c:pt>
                <c:pt idx="929">
                  <c:v>26675511.945331</c:v>
                </c:pt>
                <c:pt idx="930">
                  <c:v>37399606.820326</c:v>
                </c:pt>
                <c:pt idx="931">
                  <c:v>72068310.017995998</c:v>
                </c:pt>
                <c:pt idx="932">
                  <c:v>29877084.182078999</c:v>
                </c:pt>
                <c:pt idx="933">
                  <c:v>32055557.080481</c:v>
                </c:pt>
                <c:pt idx="934">
                  <c:v>19568544.771260999</c:v>
                </c:pt>
                <c:pt idx="935">
                  <c:v>31849768.626881</c:v>
                </c:pt>
                <c:pt idx="936">
                  <c:v>33537816.294116002</c:v>
                </c:pt>
                <c:pt idx="937">
                  <c:v>31516258.870467</c:v>
                </c:pt>
                <c:pt idx="938">
                  <c:v>37394293.204600997</c:v>
                </c:pt>
                <c:pt idx="939">
                  <c:v>39899871.877462</c:v>
                </c:pt>
                <c:pt idx="940">
                  <c:v>32708291.259934999</c:v>
                </c:pt>
                <c:pt idx="941">
                  <c:v>47752523.624893002</c:v>
                </c:pt>
                <c:pt idx="942">
                  <c:v>39226026.569637999</c:v>
                </c:pt>
                <c:pt idx="943">
                  <c:v>31399175.037285</c:v>
                </c:pt>
                <c:pt idx="944">
                  <c:v>31628231.803902999</c:v>
                </c:pt>
                <c:pt idx="945">
                  <c:v>38546130.497088</c:v>
                </c:pt>
                <c:pt idx="946">
                  <c:v>32639353.494778</c:v>
                </c:pt>
                <c:pt idx="947">
                  <c:v>22562310.609012999</c:v>
                </c:pt>
                <c:pt idx="948">
                  <c:v>22812873.697771002</c:v>
                </c:pt>
                <c:pt idx="949">
                  <c:v>28188549.177444998</c:v>
                </c:pt>
                <c:pt idx="950">
                  <c:v>31032235.573621001</c:v>
                </c:pt>
                <c:pt idx="951">
                  <c:v>30188785.590023998</c:v>
                </c:pt>
                <c:pt idx="952">
                  <c:v>33541219.465344001</c:v>
                </c:pt>
                <c:pt idx="953">
                  <c:v>35155819.448872998</c:v>
                </c:pt>
                <c:pt idx="954">
                  <c:v>28835611.404856</c:v>
                </c:pt>
                <c:pt idx="955">
                  <c:v>64642068.253798001</c:v>
                </c:pt>
                <c:pt idx="956">
                  <c:v>154339979.54618999</c:v>
                </c:pt>
                <c:pt idx="957">
                  <c:v>73768566.715581998</c:v>
                </c:pt>
                <c:pt idx="958">
                  <c:v>58208221.524365999</c:v>
                </c:pt>
                <c:pt idx="959">
                  <c:v>53643775.450163998</c:v>
                </c:pt>
                <c:pt idx="960">
                  <c:v>34470747.976037003</c:v>
                </c:pt>
                <c:pt idx="961">
                  <c:v>53208925.110854998</c:v>
                </c:pt>
                <c:pt idx="962">
                  <c:v>34564773.378903002</c:v>
                </c:pt>
                <c:pt idx="963">
                  <c:v>41769534.630116001</c:v>
                </c:pt>
                <c:pt idx="964">
                  <c:v>42327289.208273001</c:v>
                </c:pt>
                <c:pt idx="965">
                  <c:v>35916142.572834998</c:v>
                </c:pt>
                <c:pt idx="966">
                  <c:v>37494384.729466997</c:v>
                </c:pt>
                <c:pt idx="967">
                  <c:v>37108463.678997003</c:v>
                </c:pt>
                <c:pt idx="968">
                  <c:v>63097377.638766997</c:v>
                </c:pt>
                <c:pt idx="969">
                  <c:v>41677400.219203003</c:v>
                </c:pt>
                <c:pt idx="970">
                  <c:v>40358923.228040002</c:v>
                </c:pt>
                <c:pt idx="971">
                  <c:v>42056207.781801</c:v>
                </c:pt>
                <c:pt idx="972">
                  <c:v>36711313.392058998</c:v>
                </c:pt>
                <c:pt idx="973">
                  <c:v>35769502.136116996</c:v>
                </c:pt>
                <c:pt idx="974">
                  <c:v>33682136.759112999</c:v>
                </c:pt>
                <c:pt idx="975">
                  <c:v>31912660.746404</c:v>
                </c:pt>
                <c:pt idx="976">
                  <c:v>42114124.145561002</c:v>
                </c:pt>
                <c:pt idx="977">
                  <c:v>32010956.494394001</c:v>
                </c:pt>
                <c:pt idx="978">
                  <c:v>25434938.294068001</c:v>
                </c:pt>
                <c:pt idx="979">
                  <c:v>23813417.300464001</c:v>
                </c:pt>
                <c:pt idx="980">
                  <c:v>10213588.476423999</c:v>
                </c:pt>
                <c:pt idx="981">
                  <c:v>63760704.239855997</c:v>
                </c:pt>
                <c:pt idx="982">
                  <c:v>45294232.036706999</c:v>
                </c:pt>
                <c:pt idx="983">
                  <c:v>53592742.215213999</c:v>
                </c:pt>
                <c:pt idx="984">
                  <c:v>43791615.224793002</c:v>
                </c:pt>
                <c:pt idx="985">
                  <c:v>49841402.204988003</c:v>
                </c:pt>
                <c:pt idx="986">
                  <c:v>34815494.135642</c:v>
                </c:pt>
                <c:pt idx="987">
                  <c:v>37273719.175655</c:v>
                </c:pt>
                <c:pt idx="988">
                  <c:v>41236190.945931002</c:v>
                </c:pt>
                <c:pt idx="989">
                  <c:v>36024127.734931998</c:v>
                </c:pt>
                <c:pt idx="990">
                  <c:v>44837038.915903002</c:v>
                </c:pt>
                <c:pt idx="991">
                  <c:v>53286905.237108</c:v>
                </c:pt>
                <c:pt idx="992">
                  <c:v>45169774.665863998</c:v>
                </c:pt>
                <c:pt idx="993">
                  <c:v>42517379.459581003</c:v>
                </c:pt>
                <c:pt idx="994">
                  <c:v>46800032.922780998</c:v>
                </c:pt>
                <c:pt idx="995">
                  <c:v>96006106.879128993</c:v>
                </c:pt>
                <c:pt idx="996">
                  <c:v>42226019.268821999</c:v>
                </c:pt>
                <c:pt idx="997">
                  <c:v>32107511.751683999</c:v>
                </c:pt>
                <c:pt idx="998">
                  <c:v>30927025.982280001</c:v>
                </c:pt>
                <c:pt idx="999">
                  <c:v>10849484.944088001</c:v>
                </c:pt>
                <c:pt idx="1000">
                  <c:v>25460898.224762999</c:v>
                </c:pt>
                <c:pt idx="1001">
                  <c:v>31439008.726491001</c:v>
                </c:pt>
                <c:pt idx="1002">
                  <c:v>17966497.820948999</c:v>
                </c:pt>
                <c:pt idx="1003">
                  <c:v>27669721.185695998</c:v>
                </c:pt>
                <c:pt idx="1004">
                  <c:v>55952581.411247998</c:v>
                </c:pt>
                <c:pt idx="1005">
                  <c:v>36803727.305303</c:v>
                </c:pt>
                <c:pt idx="1006">
                  <c:v>41797111.169523999</c:v>
                </c:pt>
                <c:pt idx="1007">
                  <c:v>60030126.236040004</c:v>
                </c:pt>
                <c:pt idx="1008">
                  <c:v>51670937.432651997</c:v>
                </c:pt>
                <c:pt idx="1009">
                  <c:v>41883025.885733001</c:v>
                </c:pt>
                <c:pt idx="1010">
                  <c:v>39233109.342968002</c:v>
                </c:pt>
                <c:pt idx="1011">
                  <c:v>71657733.381037995</c:v>
                </c:pt>
                <c:pt idx="1012">
                  <c:v>54243816.785595998</c:v>
                </c:pt>
                <c:pt idx="1013">
                  <c:v>78653907.060076997</c:v>
                </c:pt>
                <c:pt idx="1014">
                  <c:v>49388944.242705002</c:v>
                </c:pt>
                <c:pt idx="1015">
                  <c:v>70542202.724546</c:v>
                </c:pt>
                <c:pt idx="1016">
                  <c:v>42765236.597208999</c:v>
                </c:pt>
                <c:pt idx="1017">
                  <c:v>38339081.723458</c:v>
                </c:pt>
                <c:pt idx="1018">
                  <c:v>36849119.302748002</c:v>
                </c:pt>
                <c:pt idx="1019">
                  <c:v>31895966.369139999</c:v>
                </c:pt>
                <c:pt idx="1020">
                  <c:v>38428645.327225998</c:v>
                </c:pt>
                <c:pt idx="1021">
                  <c:v>59911762.630282998</c:v>
                </c:pt>
                <c:pt idx="1022">
                  <c:v>77501612.120919004</c:v>
                </c:pt>
                <c:pt idx="1023">
                  <c:v>46443881.430001996</c:v>
                </c:pt>
                <c:pt idx="1024">
                  <c:v>58016548.450338997</c:v>
                </c:pt>
                <c:pt idx="1025">
                  <c:v>62876819.585853003</c:v>
                </c:pt>
                <c:pt idx="1026">
                  <c:v>48094364.188849002</c:v>
                </c:pt>
                <c:pt idx="1027">
                  <c:v>66137531.648936003</c:v>
                </c:pt>
                <c:pt idx="1028">
                  <c:v>63050502.128953002</c:v>
                </c:pt>
                <c:pt idx="1029">
                  <c:v>47557506.761087999</c:v>
                </c:pt>
                <c:pt idx="1030">
                  <c:v>40304754.038377002</c:v>
                </c:pt>
                <c:pt idx="1031">
                  <c:v>50972036.225479998</c:v>
                </c:pt>
                <c:pt idx="1032">
                  <c:v>35286712.540031001</c:v>
                </c:pt>
                <c:pt idx="1033">
                  <c:v>37069309.804980002</c:v>
                </c:pt>
                <c:pt idx="1034">
                  <c:v>42831645.531764001</c:v>
                </c:pt>
                <c:pt idx="1035">
                  <c:v>28459423.792668998</c:v>
                </c:pt>
                <c:pt idx="1036">
                  <c:v>30263446.498130001</c:v>
                </c:pt>
                <c:pt idx="1037">
                  <c:v>26307607.02124</c:v>
                </c:pt>
                <c:pt idx="1038">
                  <c:v>29054547.729965001</c:v>
                </c:pt>
                <c:pt idx="1039">
                  <c:v>34993529.953128003</c:v>
                </c:pt>
                <c:pt idx="1040">
                  <c:v>29320702.543938</c:v>
                </c:pt>
                <c:pt idx="1041">
                  <c:v>37552551.928648002</c:v>
                </c:pt>
                <c:pt idx="1042">
                  <c:v>29395317.380231999</c:v>
                </c:pt>
                <c:pt idx="1043">
                  <c:v>34001871.043549001</c:v>
                </c:pt>
                <c:pt idx="1044">
                  <c:v>30011162.371215999</c:v>
                </c:pt>
                <c:pt idx="1045">
                  <c:v>26104080.181731001</c:v>
                </c:pt>
                <c:pt idx="1046">
                  <c:v>35663069.082197003</c:v>
                </c:pt>
                <c:pt idx="1047">
                  <c:v>42427195.422068998</c:v>
                </c:pt>
                <c:pt idx="1048">
                  <c:v>36409779.521251999</c:v>
                </c:pt>
                <c:pt idx="1049">
                  <c:v>28462792.154082</c:v>
                </c:pt>
                <c:pt idx="1050">
                  <c:v>43209897.161156997</c:v>
                </c:pt>
                <c:pt idx="1051">
                  <c:v>34101174.228509001</c:v>
                </c:pt>
                <c:pt idx="1052">
                  <c:v>27108887.986637998</c:v>
                </c:pt>
                <c:pt idx="1053">
                  <c:v>23755839.820482999</c:v>
                </c:pt>
                <c:pt idx="1054">
                  <c:v>35672707.305402003</c:v>
                </c:pt>
                <c:pt idx="1055">
                  <c:v>31769303.694200002</c:v>
                </c:pt>
                <c:pt idx="1056">
                  <c:v>76120311.606042996</c:v>
                </c:pt>
                <c:pt idx="1057">
                  <c:v>26931150.100205999</c:v>
                </c:pt>
                <c:pt idx="1058">
                  <c:v>26028885.864415001</c:v>
                </c:pt>
                <c:pt idx="1059">
                  <c:v>22657526.712281</c:v>
                </c:pt>
                <c:pt idx="1060">
                  <c:v>22455992.222715002</c:v>
                </c:pt>
                <c:pt idx="1061">
                  <c:v>17250269.516952999</c:v>
                </c:pt>
                <c:pt idx="1062">
                  <c:v>24873522.542534001</c:v>
                </c:pt>
                <c:pt idx="1063">
                  <c:v>24236992.331494</c:v>
                </c:pt>
                <c:pt idx="1064">
                  <c:v>26410923.572988998</c:v>
                </c:pt>
                <c:pt idx="1065">
                  <c:v>25695836.826127999</c:v>
                </c:pt>
                <c:pt idx="1066">
                  <c:v>19380850.254209999</c:v>
                </c:pt>
                <c:pt idx="1067">
                  <c:v>19400813.682535</c:v>
                </c:pt>
                <c:pt idx="1068">
                  <c:v>22202132.439808998</c:v>
                </c:pt>
                <c:pt idx="1069">
                  <c:v>18623156.295022</c:v>
                </c:pt>
                <c:pt idx="1070">
                  <c:v>24306494.220403001</c:v>
                </c:pt>
                <c:pt idx="1071">
                  <c:v>22243874.525876001</c:v>
                </c:pt>
                <c:pt idx="1072">
                  <c:v>26780233.175457999</c:v>
                </c:pt>
                <c:pt idx="1073">
                  <c:v>20540674.351372</c:v>
                </c:pt>
                <c:pt idx="1074">
                  <c:v>21654361.111542001</c:v>
                </c:pt>
                <c:pt idx="1075">
                  <c:v>28810878.008195002</c:v>
                </c:pt>
                <c:pt idx="1076">
                  <c:v>24907624.898247998</c:v>
                </c:pt>
                <c:pt idx="1077">
                  <c:v>29397125.442922998</c:v>
                </c:pt>
                <c:pt idx="1078">
                  <c:v>38672045.784846</c:v>
                </c:pt>
                <c:pt idx="1079">
                  <c:v>38386180.425609</c:v>
                </c:pt>
                <c:pt idx="1080">
                  <c:v>136942908.85308999</c:v>
                </c:pt>
                <c:pt idx="1081">
                  <c:v>35129646.564023003</c:v>
                </c:pt>
                <c:pt idx="1082">
                  <c:v>36670209.144640997</c:v>
                </c:pt>
                <c:pt idx="1083">
                  <c:v>45246828.236773998</c:v>
                </c:pt>
                <c:pt idx="1084">
                  <c:v>43907457.166671999</c:v>
                </c:pt>
                <c:pt idx="1085">
                  <c:v>48717033.951012999</c:v>
                </c:pt>
                <c:pt idx="1086">
                  <c:v>35978868.833832003</c:v>
                </c:pt>
                <c:pt idx="1087">
                  <c:v>27555785.593043</c:v>
                </c:pt>
                <c:pt idx="1088">
                  <c:v>25495042.557018001</c:v>
                </c:pt>
                <c:pt idx="1089">
                  <c:v>26127579.877629999</c:v>
                </c:pt>
                <c:pt idx="1090">
                  <c:v>26101339.420788001</c:v>
                </c:pt>
                <c:pt idx="1091">
                  <c:v>18229441.941489998</c:v>
                </c:pt>
                <c:pt idx="1092">
                  <c:v>24059188.920706999</c:v>
                </c:pt>
                <c:pt idx="1093">
                  <c:v>21427974.462419</c:v>
                </c:pt>
                <c:pt idx="1094">
                  <c:v>25707714.139426999</c:v>
                </c:pt>
                <c:pt idx="1095">
                  <c:v>22971859.332639001</c:v>
                </c:pt>
                <c:pt idx="1096">
                  <c:v>16339922.237589</c:v>
                </c:pt>
                <c:pt idx="1097">
                  <c:v>27764893.264789999</c:v>
                </c:pt>
                <c:pt idx="1098">
                  <c:v>21236982.227403</c:v>
                </c:pt>
                <c:pt idx="1099">
                  <c:v>25938154.084242001</c:v>
                </c:pt>
                <c:pt idx="1100">
                  <c:v>24128860.763413999</c:v>
                </c:pt>
                <c:pt idx="1101">
                  <c:v>25105054.901218999</c:v>
                </c:pt>
                <c:pt idx="1102">
                  <c:v>35140602.441067003</c:v>
                </c:pt>
                <c:pt idx="1103">
                  <c:v>23188112.230618</c:v>
                </c:pt>
                <c:pt idx="1104">
                  <c:v>25589639.250362001</c:v>
                </c:pt>
                <c:pt idx="1105">
                  <c:v>15546606.576686</c:v>
                </c:pt>
                <c:pt idx="1106">
                  <c:v>35996459.051898003</c:v>
                </c:pt>
                <c:pt idx="1107">
                  <c:v>24342155.851020999</c:v>
                </c:pt>
                <c:pt idx="1108">
                  <c:v>24779586.211838</c:v>
                </c:pt>
                <c:pt idx="1109">
                  <c:v>24100025.951611999</c:v>
                </c:pt>
                <c:pt idx="1110">
                  <c:v>18511818.128784001</c:v>
                </c:pt>
                <c:pt idx="1111">
                  <c:v>20306996.070037</c:v>
                </c:pt>
                <c:pt idx="1112">
                  <c:v>22413354.295846</c:v>
                </c:pt>
                <c:pt idx="1113">
                  <c:v>21211620.206454001</c:v>
                </c:pt>
                <c:pt idx="1114">
                  <c:v>26880675.869917002</c:v>
                </c:pt>
                <c:pt idx="1115">
                  <c:v>89262068.873385996</c:v>
                </c:pt>
                <c:pt idx="1116">
                  <c:v>46591118.752649002</c:v>
                </c:pt>
                <c:pt idx="1117">
                  <c:v>31747693.966435999</c:v>
                </c:pt>
                <c:pt idx="1118">
                  <c:v>32274964.361898001</c:v>
                </c:pt>
                <c:pt idx="1119">
                  <c:v>46673982.491039999</c:v>
                </c:pt>
                <c:pt idx="1120">
                  <c:v>37285208.461910002</c:v>
                </c:pt>
                <c:pt idx="1121">
                  <c:v>34979231.310122997</c:v>
                </c:pt>
                <c:pt idx="1122">
                  <c:v>27656812.887614001</c:v>
                </c:pt>
                <c:pt idx="1123">
                  <c:v>29273973.440106999</c:v>
                </c:pt>
                <c:pt idx="1124">
                  <c:v>70376549.986479998</c:v>
                </c:pt>
                <c:pt idx="1125">
                  <c:v>55375957.866270997</c:v>
                </c:pt>
                <c:pt idx="1126">
                  <c:v>39743905.482047997</c:v>
                </c:pt>
                <c:pt idx="1127">
                  <c:v>30555985.103475001</c:v>
                </c:pt>
                <c:pt idx="1128">
                  <c:v>29226586.021262001</c:v>
                </c:pt>
                <c:pt idx="1129">
                  <c:v>22258546.862475</c:v>
                </c:pt>
                <c:pt idx="1130">
                  <c:v>26343690.464896999</c:v>
                </c:pt>
                <c:pt idx="1131">
                  <c:v>29344697.767779</c:v>
                </c:pt>
                <c:pt idx="1132">
                  <c:v>20051713.180029001</c:v>
                </c:pt>
                <c:pt idx="1133">
                  <c:v>30127754.771731999</c:v>
                </c:pt>
                <c:pt idx="1134">
                  <c:v>20278341.450213</c:v>
                </c:pt>
                <c:pt idx="1135">
                  <c:v>29119277.602903001</c:v>
                </c:pt>
                <c:pt idx="1136">
                  <c:v>26698568.328012001</c:v>
                </c:pt>
                <c:pt idx="1137">
                  <c:v>24229211.314249001</c:v>
                </c:pt>
                <c:pt idx="1138">
                  <c:v>33253194.873819999</c:v>
                </c:pt>
                <c:pt idx="1139">
                  <c:v>30775427.194704998</c:v>
                </c:pt>
                <c:pt idx="1140">
                  <c:v>51093982.170625001</c:v>
                </c:pt>
                <c:pt idx="1141">
                  <c:v>95651717.377228007</c:v>
                </c:pt>
                <c:pt idx="1142">
                  <c:v>34622279.19162</c:v>
                </c:pt>
                <c:pt idx="1143">
                  <c:v>33243779.842953999</c:v>
                </c:pt>
                <c:pt idx="1144">
                  <c:v>25368871.314746998</c:v>
                </c:pt>
                <c:pt idx="1145">
                  <c:v>28730620.910580002</c:v>
                </c:pt>
                <c:pt idx="1146">
                  <c:v>34155114.082925998</c:v>
                </c:pt>
                <c:pt idx="1147">
                  <c:v>40503553.909910001</c:v>
                </c:pt>
                <c:pt idx="1148">
                  <c:v>31655423.387722</c:v>
                </c:pt>
                <c:pt idx="1149">
                  <c:v>27458551.544379</c:v>
                </c:pt>
                <c:pt idx="1150">
                  <c:v>35314018.791472003</c:v>
                </c:pt>
                <c:pt idx="1151">
                  <c:v>23166361.215961002</c:v>
                </c:pt>
                <c:pt idx="1152">
                  <c:v>28074350.463550001</c:v>
                </c:pt>
                <c:pt idx="1153">
                  <c:v>29641059.309751</c:v>
                </c:pt>
                <c:pt idx="1154">
                  <c:v>19939590.769157</c:v>
                </c:pt>
                <c:pt idx="1155">
                  <c:v>18436705.716913</c:v>
                </c:pt>
                <c:pt idx="1156">
                  <c:v>16407342.704383999</c:v>
                </c:pt>
                <c:pt idx="1157">
                  <c:v>17774612.816585999</c:v>
                </c:pt>
                <c:pt idx="1158">
                  <c:v>22549791.361791998</c:v>
                </c:pt>
                <c:pt idx="1159">
                  <c:v>19102911.294383001</c:v>
                </c:pt>
                <c:pt idx="1160">
                  <c:v>19349355.563090999</c:v>
                </c:pt>
                <c:pt idx="1161">
                  <c:v>19460831.944766998</c:v>
                </c:pt>
                <c:pt idx="1162">
                  <c:v>13688242.680128001</c:v>
                </c:pt>
                <c:pt idx="1163">
                  <c:v>17570693.854758002</c:v>
                </c:pt>
                <c:pt idx="1164">
                  <c:v>15761577.654455001</c:v>
                </c:pt>
                <c:pt idx="1165">
                  <c:v>18739277.739231002</c:v>
                </c:pt>
                <c:pt idx="1166">
                  <c:v>18224564.472258002</c:v>
                </c:pt>
                <c:pt idx="1167">
                  <c:v>17832291.654553</c:v>
                </c:pt>
                <c:pt idx="1168">
                  <c:v>20903457.113717001</c:v>
                </c:pt>
                <c:pt idx="1169">
                  <c:v>14124039.027323</c:v>
                </c:pt>
                <c:pt idx="1170">
                  <c:v>17765126.118454002</c:v>
                </c:pt>
                <c:pt idx="1171">
                  <c:v>21248166.415874001</c:v>
                </c:pt>
                <c:pt idx="1172">
                  <c:v>25970151.470028002</c:v>
                </c:pt>
                <c:pt idx="1173">
                  <c:v>19764023.377011001</c:v>
                </c:pt>
                <c:pt idx="1174">
                  <c:v>16646716.485579999</c:v>
                </c:pt>
                <c:pt idx="1175">
                  <c:v>18298765.686057001</c:v>
                </c:pt>
                <c:pt idx="1176">
                  <c:v>20015467.973118</c:v>
                </c:pt>
                <c:pt idx="1177">
                  <c:v>34698131.823948003</c:v>
                </c:pt>
                <c:pt idx="1178">
                  <c:v>27425159.718398001</c:v>
                </c:pt>
                <c:pt idx="1179">
                  <c:v>31768307.519228</c:v>
                </c:pt>
                <c:pt idx="1180">
                  <c:v>22569407.715794999</c:v>
                </c:pt>
                <c:pt idx="1181">
                  <c:v>23301243.102277</c:v>
                </c:pt>
                <c:pt idx="1182">
                  <c:v>43793093.618069001</c:v>
                </c:pt>
                <c:pt idx="1183">
                  <c:v>21695070.165188</c:v>
                </c:pt>
                <c:pt idx="1184">
                  <c:v>17815353.608591001</c:v>
                </c:pt>
                <c:pt idx="1185">
                  <c:v>35659016.810322002</c:v>
                </c:pt>
                <c:pt idx="1186">
                  <c:v>20511226.272553001</c:v>
                </c:pt>
                <c:pt idx="1187">
                  <c:v>20918212.379578002</c:v>
                </c:pt>
                <c:pt idx="1188">
                  <c:v>22205518.206129</c:v>
                </c:pt>
                <c:pt idx="1189">
                  <c:v>26348722.530655999</c:v>
                </c:pt>
                <c:pt idx="1190">
                  <c:v>20857732.375402998</c:v>
                </c:pt>
                <c:pt idx="1191">
                  <c:v>26737129.411371998</c:v>
                </c:pt>
                <c:pt idx="1192">
                  <c:v>22039693.466628</c:v>
                </c:pt>
                <c:pt idx="1193">
                  <c:v>20716645.127834</c:v>
                </c:pt>
                <c:pt idx="1194">
                  <c:v>21321948.888085999</c:v>
                </c:pt>
                <c:pt idx="1195">
                  <c:v>16846345.649739999</c:v>
                </c:pt>
                <c:pt idx="1196">
                  <c:v>17175659.799749002</c:v>
                </c:pt>
                <c:pt idx="1197">
                  <c:v>21077370.015880998</c:v>
                </c:pt>
                <c:pt idx="1198">
                  <c:v>18888419.363465998</c:v>
                </c:pt>
                <c:pt idx="1199">
                  <c:v>26662395.812183</c:v>
                </c:pt>
                <c:pt idx="1200">
                  <c:v>23152386.099461999</c:v>
                </c:pt>
                <c:pt idx="1201">
                  <c:v>25952347.273988999</c:v>
                </c:pt>
                <c:pt idx="1202">
                  <c:v>28706781.307085</c:v>
                </c:pt>
                <c:pt idx="1203">
                  <c:v>24139080.515276</c:v>
                </c:pt>
                <c:pt idx="1204">
                  <c:v>20277864.350997999</c:v>
                </c:pt>
                <c:pt idx="1205">
                  <c:v>23925499.782430999</c:v>
                </c:pt>
                <c:pt idx="1206">
                  <c:v>46793446.701210998</c:v>
                </c:pt>
                <c:pt idx="1207">
                  <c:v>85275893.667418003</c:v>
                </c:pt>
                <c:pt idx="1208">
                  <c:v>56480862.315132998</c:v>
                </c:pt>
                <c:pt idx="1209">
                  <c:v>37083752.806332998</c:v>
                </c:pt>
                <c:pt idx="1210">
                  <c:v>31026170.475442</c:v>
                </c:pt>
                <c:pt idx="1211">
                  <c:v>30381170.217602</c:v>
                </c:pt>
                <c:pt idx="1212">
                  <c:v>35322106.954135001</c:v>
                </c:pt>
                <c:pt idx="1213">
                  <c:v>29365596.965808</c:v>
                </c:pt>
                <c:pt idx="1214">
                  <c:v>27253037.474018</c:v>
                </c:pt>
                <c:pt idx="1215">
                  <c:v>24602513.807145</c:v>
                </c:pt>
                <c:pt idx="1216">
                  <c:v>23995335.436028</c:v>
                </c:pt>
                <c:pt idx="1217">
                  <c:v>31878745.749393001</c:v>
                </c:pt>
                <c:pt idx="1218">
                  <c:v>31627438.344907999</c:v>
                </c:pt>
                <c:pt idx="1219">
                  <c:v>23922479.519157998</c:v>
                </c:pt>
                <c:pt idx="1220">
                  <c:v>52020136.176996998</c:v>
                </c:pt>
                <c:pt idx="1221">
                  <c:v>61757968.687397003</c:v>
                </c:pt>
                <c:pt idx="1222">
                  <c:v>38704589.889475003</c:v>
                </c:pt>
                <c:pt idx="1223">
                  <c:v>45910639.103804998</c:v>
                </c:pt>
                <c:pt idx="1224">
                  <c:v>39617292.974192999</c:v>
                </c:pt>
                <c:pt idx="1225">
                  <c:v>27847806.146448001</c:v>
                </c:pt>
                <c:pt idx="1226">
                  <c:v>33522939.193906002</c:v>
                </c:pt>
                <c:pt idx="1227">
                  <c:v>29121517.716814999</c:v>
                </c:pt>
                <c:pt idx="1228">
                  <c:v>20105131.911056001</c:v>
                </c:pt>
                <c:pt idx="1229">
                  <c:v>18722069.405301999</c:v>
                </c:pt>
                <c:pt idx="1230">
                  <c:v>22933549.084704001</c:v>
                </c:pt>
                <c:pt idx="1231">
                  <c:v>8768157.0221753996</c:v>
                </c:pt>
                <c:pt idx="1232">
                  <c:v>21470223.338427</c:v>
                </c:pt>
                <c:pt idx="1233">
                  <c:v>23148777.140804999</c:v>
                </c:pt>
                <c:pt idx="1234">
                  <c:v>33590298.231619</c:v>
                </c:pt>
                <c:pt idx="1235">
                  <c:v>35025373.766204998</c:v>
                </c:pt>
                <c:pt idx="1236">
                  <c:v>26600609.416164</c:v>
                </c:pt>
                <c:pt idx="1237">
                  <c:v>24836505.376807</c:v>
                </c:pt>
                <c:pt idx="1238">
                  <c:v>20163952.306159001</c:v>
                </c:pt>
                <c:pt idx="1239">
                  <c:v>31282250.919716999</c:v>
                </c:pt>
                <c:pt idx="1240">
                  <c:v>22913642.990189999</c:v>
                </c:pt>
                <c:pt idx="1241">
                  <c:v>27847765.193725999</c:v>
                </c:pt>
                <c:pt idx="1242">
                  <c:v>21800159.969815001</c:v>
                </c:pt>
                <c:pt idx="1243">
                  <c:v>36863208.063054003</c:v>
                </c:pt>
                <c:pt idx="1244">
                  <c:v>28204570.906245999</c:v>
                </c:pt>
                <c:pt idx="1245">
                  <c:v>28481367.285119001</c:v>
                </c:pt>
                <c:pt idx="1246">
                  <c:v>41968934.459031001</c:v>
                </c:pt>
                <c:pt idx="1247">
                  <c:v>31431023.969452001</c:v>
                </c:pt>
                <c:pt idx="1248">
                  <c:v>23992231.219673</c:v>
                </c:pt>
                <c:pt idx="1249">
                  <c:v>16762557.40364</c:v>
                </c:pt>
                <c:pt idx="1250">
                  <c:v>23530827.135196999</c:v>
                </c:pt>
                <c:pt idx="1251">
                  <c:v>13248737.040105</c:v>
                </c:pt>
                <c:pt idx="1252">
                  <c:v>12319172.695781</c:v>
                </c:pt>
                <c:pt idx="1253">
                  <c:v>14785140.871771</c:v>
                </c:pt>
                <c:pt idx="1254">
                  <c:v>10910608.929822</c:v>
                </c:pt>
                <c:pt idx="1255">
                  <c:v>28225356.460471001</c:v>
                </c:pt>
                <c:pt idx="1256">
                  <c:v>21858595.409327999</c:v>
                </c:pt>
                <c:pt idx="1257">
                  <c:v>18612206.560883999</c:v>
                </c:pt>
                <c:pt idx="1258">
                  <c:v>23564004.983203001</c:v>
                </c:pt>
                <c:pt idx="1259">
                  <c:v>19392406.088638999</c:v>
                </c:pt>
                <c:pt idx="1260">
                  <c:v>20516586.983906999</c:v>
                </c:pt>
                <c:pt idx="1261">
                  <c:v>18798105.301061001</c:v>
                </c:pt>
                <c:pt idx="1262">
                  <c:v>22545184.180528998</c:v>
                </c:pt>
                <c:pt idx="1263">
                  <c:v>22774744.665631998</c:v>
                </c:pt>
                <c:pt idx="1264">
                  <c:v>20383293.039402001</c:v>
                </c:pt>
                <c:pt idx="1265">
                  <c:v>20204765.789248001</c:v>
                </c:pt>
                <c:pt idx="1266">
                  <c:v>19699738.864929002</c:v>
                </c:pt>
                <c:pt idx="1267">
                  <c:v>19988791.369782001</c:v>
                </c:pt>
                <c:pt idx="1268">
                  <c:v>30122177.010947999</c:v>
                </c:pt>
                <c:pt idx="1269">
                  <c:v>23791777.881976001</c:v>
                </c:pt>
                <c:pt idx="1270">
                  <c:v>23224298.056081001</c:v>
                </c:pt>
                <c:pt idx="1271">
                  <c:v>24959005.207520999</c:v>
                </c:pt>
                <c:pt idx="1272">
                  <c:v>41194416.097686</c:v>
                </c:pt>
                <c:pt idx="1273">
                  <c:v>47992476.887110002</c:v>
                </c:pt>
                <c:pt idx="1274">
                  <c:v>33783384.174566001</c:v>
                </c:pt>
                <c:pt idx="1275">
                  <c:v>23784759.609184999</c:v>
                </c:pt>
                <c:pt idx="1276">
                  <c:v>41845283.856818996</c:v>
                </c:pt>
                <c:pt idx="1277">
                  <c:v>47500932.622804001</c:v>
                </c:pt>
                <c:pt idx="1278">
                  <c:v>33435534.822423998</c:v>
                </c:pt>
                <c:pt idx="1279">
                  <c:v>19182981.033294</c:v>
                </c:pt>
                <c:pt idx="1280">
                  <c:v>21063192.183405999</c:v>
                </c:pt>
                <c:pt idx="1281">
                  <c:v>18787738.119399</c:v>
                </c:pt>
                <c:pt idx="1282">
                  <c:v>23995847.345056001</c:v>
                </c:pt>
                <c:pt idx="1283">
                  <c:v>18865666.030931</c:v>
                </c:pt>
                <c:pt idx="1284">
                  <c:v>23782075.158234999</c:v>
                </c:pt>
                <c:pt idx="1285">
                  <c:v>20323536.874591999</c:v>
                </c:pt>
                <c:pt idx="1286">
                  <c:v>17253845.713431999</c:v>
                </c:pt>
                <c:pt idx="1287">
                  <c:v>22030125.886870001</c:v>
                </c:pt>
                <c:pt idx="1288">
                  <c:v>21760045.75446</c:v>
                </c:pt>
                <c:pt idx="1289">
                  <c:v>20325388.961461</c:v>
                </c:pt>
                <c:pt idx="1290">
                  <c:v>20043444.825387999</c:v>
                </c:pt>
                <c:pt idx="1291">
                  <c:v>21231084.011567</c:v>
                </c:pt>
                <c:pt idx="1292">
                  <c:v>23458050.052315999</c:v>
                </c:pt>
                <c:pt idx="1293">
                  <c:v>17055167.676247999</c:v>
                </c:pt>
                <c:pt idx="1294">
                  <c:v>23794167.473324999</c:v>
                </c:pt>
                <c:pt idx="1295">
                  <c:v>24507040.725542001</c:v>
                </c:pt>
                <c:pt idx="1296">
                  <c:v>26210397.544210002</c:v>
                </c:pt>
                <c:pt idx="1297">
                  <c:v>19577549.251084998</c:v>
                </c:pt>
                <c:pt idx="1298">
                  <c:v>18562158.238908</c:v>
                </c:pt>
                <c:pt idx="1299">
                  <c:v>18287363.424338002</c:v>
                </c:pt>
                <c:pt idx="1300">
                  <c:v>22348787.209979001</c:v>
                </c:pt>
                <c:pt idx="1301">
                  <c:v>21056358.197865002</c:v>
                </c:pt>
                <c:pt idx="1302">
                  <c:v>20083165.894607998</c:v>
                </c:pt>
                <c:pt idx="1303">
                  <c:v>22045111.511794001</c:v>
                </c:pt>
                <c:pt idx="1304">
                  <c:v>15662093.253699001</c:v>
                </c:pt>
                <c:pt idx="1305">
                  <c:v>27236972.744860999</c:v>
                </c:pt>
                <c:pt idx="1306">
                  <c:v>22674942.881276999</c:v>
                </c:pt>
                <c:pt idx="1307">
                  <c:v>47531521.234941997</c:v>
                </c:pt>
                <c:pt idx="1308">
                  <c:v>16010735.041019</c:v>
                </c:pt>
                <c:pt idx="1309">
                  <c:v>29218476.358419999</c:v>
                </c:pt>
                <c:pt idx="1310">
                  <c:v>22681214.790704001</c:v>
                </c:pt>
                <c:pt idx="1311">
                  <c:v>21133882.725081999</c:v>
                </c:pt>
                <c:pt idx="1312">
                  <c:v>23935048.933463998</c:v>
                </c:pt>
                <c:pt idx="1313">
                  <c:v>18805765.507776</c:v>
                </c:pt>
                <c:pt idx="1314">
                  <c:v>20556683.794356</c:v>
                </c:pt>
                <c:pt idx="1315">
                  <c:v>14096172.747403</c:v>
                </c:pt>
                <c:pt idx="1316">
                  <c:v>16328753.406386999</c:v>
                </c:pt>
                <c:pt idx="1317">
                  <c:v>21910024.861868002</c:v>
                </c:pt>
                <c:pt idx="1318">
                  <c:v>22375059.405182</c:v>
                </c:pt>
                <c:pt idx="1319">
                  <c:v>13858853.769052001</c:v>
                </c:pt>
                <c:pt idx="1320">
                  <c:v>22578081.502386</c:v>
                </c:pt>
                <c:pt idx="1321">
                  <c:v>19104780.786159001</c:v>
                </c:pt>
                <c:pt idx="1322">
                  <c:v>15473813.112718999</c:v>
                </c:pt>
                <c:pt idx="1323">
                  <c:v>17028262.761486001</c:v>
                </c:pt>
                <c:pt idx="1324">
                  <c:v>20609986.833941001</c:v>
                </c:pt>
                <c:pt idx="1325">
                  <c:v>18070316.043547001</c:v>
                </c:pt>
                <c:pt idx="1326">
                  <c:v>18437051.767416</c:v>
                </c:pt>
                <c:pt idx="1327">
                  <c:v>15955328.055322999</c:v>
                </c:pt>
                <c:pt idx="1328">
                  <c:v>15974232.855775001</c:v>
                </c:pt>
                <c:pt idx="1329">
                  <c:v>23775785.843899999</c:v>
                </c:pt>
                <c:pt idx="1330">
                  <c:v>22798210.575536001</c:v>
                </c:pt>
                <c:pt idx="1331">
                  <c:v>34305180.214868002</c:v>
                </c:pt>
                <c:pt idx="1332">
                  <c:v>32600939.841217</c:v>
                </c:pt>
                <c:pt idx="1333">
                  <c:v>33155709.989732999</c:v>
                </c:pt>
                <c:pt idx="1334">
                  <c:v>28699883.844826002</c:v>
                </c:pt>
                <c:pt idx="1335">
                  <c:v>37672635.548744</c:v>
                </c:pt>
                <c:pt idx="1336">
                  <c:v>43375950.212084003</c:v>
                </c:pt>
                <c:pt idx="1337">
                  <c:v>35017132.030832998</c:v>
                </c:pt>
                <c:pt idx="1338">
                  <c:v>25807578.376681998</c:v>
                </c:pt>
                <c:pt idx="1339">
                  <c:v>31698984.79848</c:v>
                </c:pt>
                <c:pt idx="1340">
                  <c:v>23784586.583933</c:v>
                </c:pt>
                <c:pt idx="1341">
                  <c:v>20979869.774521999</c:v>
                </c:pt>
                <c:pt idx="1342">
                  <c:v>20349380.090027999</c:v>
                </c:pt>
                <c:pt idx="1343">
                  <c:v>25056167.588920001</c:v>
                </c:pt>
                <c:pt idx="1344">
                  <c:v>19669951.902330998</c:v>
                </c:pt>
                <c:pt idx="1345">
                  <c:v>31555469.054476999</c:v>
                </c:pt>
                <c:pt idx="1346">
                  <c:v>19028998.797277</c:v>
                </c:pt>
                <c:pt idx="1347">
                  <c:v>33957947.201197997</c:v>
                </c:pt>
                <c:pt idx="1348">
                  <c:v>38102597.156824</c:v>
                </c:pt>
                <c:pt idx="1349">
                  <c:v>33255783.085873</c:v>
                </c:pt>
                <c:pt idx="1350">
                  <c:v>27482469.981864002</c:v>
                </c:pt>
                <c:pt idx="1351">
                  <c:v>29340884.045510001</c:v>
                </c:pt>
                <c:pt idx="1352">
                  <c:v>17683979.322944999</c:v>
                </c:pt>
                <c:pt idx="1353">
                  <c:v>16820321.218508001</c:v>
                </c:pt>
                <c:pt idx="1354">
                  <c:v>15993460.158915</c:v>
                </c:pt>
                <c:pt idx="1355">
                  <c:v>23815715.772006001</c:v>
                </c:pt>
                <c:pt idx="1356">
                  <c:v>21500509.924238</c:v>
                </c:pt>
                <c:pt idx="1357">
                  <c:v>18601474.899994999</c:v>
                </c:pt>
                <c:pt idx="1358">
                  <c:v>33204793.875099</c:v>
                </c:pt>
                <c:pt idx="1359">
                  <c:v>23527312.367800001</c:v>
                </c:pt>
                <c:pt idx="1360">
                  <c:v>37771908.019162998</c:v>
                </c:pt>
                <c:pt idx="1361">
                  <c:v>36319885.224251002</c:v>
                </c:pt>
                <c:pt idx="1362">
                  <c:v>34358567.207534999</c:v>
                </c:pt>
                <c:pt idx="1363">
                  <c:v>24299574.234145001</c:v>
                </c:pt>
                <c:pt idx="1364">
                  <c:v>26676561.358842</c:v>
                </c:pt>
                <c:pt idx="1365">
                  <c:v>53592420.736344002</c:v>
                </c:pt>
                <c:pt idx="1366">
                  <c:v>52041071.208659001</c:v>
                </c:pt>
                <c:pt idx="1367">
                  <c:v>27543206.964373998</c:v>
                </c:pt>
                <c:pt idx="1368">
                  <c:v>27790587.002788</c:v>
                </c:pt>
                <c:pt idx="1369">
                  <c:v>28417485.133533001</c:v>
                </c:pt>
                <c:pt idx="1370">
                  <c:v>52648221.936688997</c:v>
                </c:pt>
                <c:pt idx="1371">
                  <c:v>25759381.117754001</c:v>
                </c:pt>
                <c:pt idx="1372">
                  <c:v>23458385.864640001</c:v>
                </c:pt>
                <c:pt idx="1373">
                  <c:v>21691566.659791</c:v>
                </c:pt>
                <c:pt idx="1374">
                  <c:v>24648054.25821</c:v>
                </c:pt>
                <c:pt idx="1375">
                  <c:v>29522572.845828</c:v>
                </c:pt>
                <c:pt idx="1376">
                  <c:v>21274651.565234002</c:v>
                </c:pt>
                <c:pt idx="1377">
                  <c:v>27496767.601054002</c:v>
                </c:pt>
                <c:pt idx="1378">
                  <c:v>28139441.744263999</c:v>
                </c:pt>
                <c:pt idx="1379">
                  <c:v>31514944.288079999</c:v>
                </c:pt>
                <c:pt idx="1380">
                  <c:v>26336689.597011998</c:v>
                </c:pt>
                <c:pt idx="1381">
                  <c:v>17628827.267944999</c:v>
                </c:pt>
                <c:pt idx="1382">
                  <c:v>23080585.739011001</c:v>
                </c:pt>
                <c:pt idx="1383">
                  <c:v>23019030.725873001</c:v>
                </c:pt>
                <c:pt idx="1384">
                  <c:v>17655572.467091002</c:v>
                </c:pt>
                <c:pt idx="1385">
                  <c:v>16364537.895172</c:v>
                </c:pt>
                <c:pt idx="1386">
                  <c:v>19039578.933095001</c:v>
                </c:pt>
                <c:pt idx="1387">
                  <c:v>19353964.791990999</c:v>
                </c:pt>
                <c:pt idx="1388">
                  <c:v>22103576.642030999</c:v>
                </c:pt>
                <c:pt idx="1389">
                  <c:v>28202298.030154999</c:v>
                </c:pt>
                <c:pt idx="1390">
                  <c:v>23758482.294891998</c:v>
                </c:pt>
                <c:pt idx="1391">
                  <c:v>28781082.855052002</c:v>
                </c:pt>
                <c:pt idx="1392">
                  <c:v>24183753.792445</c:v>
                </c:pt>
                <c:pt idx="1393">
                  <c:v>43504867.33439</c:v>
                </c:pt>
                <c:pt idx="1394">
                  <c:v>50494067.788631998</c:v>
                </c:pt>
                <c:pt idx="1395">
                  <c:v>23150062.032469001</c:v>
                </c:pt>
                <c:pt idx="1396">
                  <c:v>24000401.287781</c:v>
                </c:pt>
                <c:pt idx="1397">
                  <c:v>17699849.526671998</c:v>
                </c:pt>
                <c:pt idx="1398">
                  <c:v>39046972.053185001</c:v>
                </c:pt>
                <c:pt idx="1399">
                  <c:v>19412204.682255998</c:v>
                </c:pt>
                <c:pt idx="1400">
                  <c:v>25677973.248642001</c:v>
                </c:pt>
                <c:pt idx="1401">
                  <c:v>22689081.808667</c:v>
                </c:pt>
                <c:pt idx="1402">
                  <c:v>28884999.364185002</c:v>
                </c:pt>
                <c:pt idx="1403">
                  <c:v>19859766.746580999</c:v>
                </c:pt>
                <c:pt idx="1404">
                  <c:v>24622125.042057998</c:v>
                </c:pt>
                <c:pt idx="1405">
                  <c:v>20397263.036812</c:v>
                </c:pt>
                <c:pt idx="1406">
                  <c:v>24035370.817391999</c:v>
                </c:pt>
                <c:pt idx="1407">
                  <c:v>24219611.996130001</c:v>
                </c:pt>
                <c:pt idx="1408">
                  <c:v>26049171.795428999</c:v>
                </c:pt>
                <c:pt idx="1409">
                  <c:v>23379881.543540999</c:v>
                </c:pt>
                <c:pt idx="1410">
                  <c:v>21898151.643842001</c:v>
                </c:pt>
                <c:pt idx="1411">
                  <c:v>20799005.147741001</c:v>
                </c:pt>
                <c:pt idx="1412">
                  <c:v>19684023.257729001</c:v>
                </c:pt>
                <c:pt idx="1413">
                  <c:v>24353355.396763999</c:v>
                </c:pt>
                <c:pt idx="1414">
                  <c:v>20350680.338964</c:v>
                </c:pt>
                <c:pt idx="1415">
                  <c:v>19214191.102991</c:v>
                </c:pt>
                <c:pt idx="1416">
                  <c:v>15548024.564698</c:v>
                </c:pt>
                <c:pt idx="1417">
                  <c:v>14924925.822768001</c:v>
                </c:pt>
                <c:pt idx="1418">
                  <c:v>18546052.557027001</c:v>
                </c:pt>
                <c:pt idx="1419">
                  <c:v>13875893.173</c:v>
                </c:pt>
                <c:pt idx="1420">
                  <c:v>15795932.893230001</c:v>
                </c:pt>
                <c:pt idx="1421">
                  <c:v>12445560.987481</c:v>
                </c:pt>
                <c:pt idx="1422">
                  <c:v>18324986.690356001</c:v>
                </c:pt>
                <c:pt idx="1423">
                  <c:v>29988268.775607001</c:v>
                </c:pt>
                <c:pt idx="1424">
                  <c:v>23573998.471273001</c:v>
                </c:pt>
                <c:pt idx="1425">
                  <c:v>24118512.010476999</c:v>
                </c:pt>
                <c:pt idx="1426">
                  <c:v>17935898.970631</c:v>
                </c:pt>
                <c:pt idx="1427">
                  <c:v>18948714.056575</c:v>
                </c:pt>
                <c:pt idx="1428">
                  <c:v>15949731.865815001</c:v>
                </c:pt>
                <c:pt idx="1429">
                  <c:v>19417253.129103001</c:v>
                </c:pt>
                <c:pt idx="1430">
                  <c:v>15618305.579151001</c:v>
                </c:pt>
                <c:pt idx="1431">
                  <c:v>14485648.494173</c:v>
                </c:pt>
                <c:pt idx="1432">
                  <c:v>17032147.127200998</c:v>
                </c:pt>
                <c:pt idx="1433">
                  <c:v>41779115.519507997</c:v>
                </c:pt>
                <c:pt idx="1434">
                  <c:v>25280671.436632</c:v>
                </c:pt>
                <c:pt idx="1435">
                  <c:v>17105814.931790002</c:v>
                </c:pt>
                <c:pt idx="1436">
                  <c:v>22552080.618969999</c:v>
                </c:pt>
                <c:pt idx="1437">
                  <c:v>20798903.789753001</c:v>
                </c:pt>
                <c:pt idx="1438">
                  <c:v>15289903.651031001</c:v>
                </c:pt>
                <c:pt idx="1439">
                  <c:v>26184848.164556</c:v>
                </c:pt>
                <c:pt idx="1440">
                  <c:v>19541128.971287999</c:v>
                </c:pt>
                <c:pt idx="1441">
                  <c:v>21139411.342597</c:v>
                </c:pt>
                <c:pt idx="1442">
                  <c:v>11801621.40515</c:v>
                </c:pt>
                <c:pt idx="1443">
                  <c:v>18522253.906254999</c:v>
                </c:pt>
                <c:pt idx="1444">
                  <c:v>16593034.633311</c:v>
                </c:pt>
                <c:pt idx="1445">
                  <c:v>13219277.699285001</c:v>
                </c:pt>
                <c:pt idx="1446">
                  <c:v>14421787.842768</c:v>
                </c:pt>
                <c:pt idx="1447">
                  <c:v>22985238.587030001</c:v>
                </c:pt>
                <c:pt idx="1448">
                  <c:v>15128489.519726999</c:v>
                </c:pt>
                <c:pt idx="1449">
                  <c:v>12351355.392635001</c:v>
                </c:pt>
                <c:pt idx="1450">
                  <c:v>15122770.472052</c:v>
                </c:pt>
                <c:pt idx="1451">
                  <c:v>16684658.159015</c:v>
                </c:pt>
                <c:pt idx="1452">
                  <c:v>18732947.472174</c:v>
                </c:pt>
                <c:pt idx="1453">
                  <c:v>16617984.055583</c:v>
                </c:pt>
                <c:pt idx="1454">
                  <c:v>13409628.000382001</c:v>
                </c:pt>
                <c:pt idx="1455">
                  <c:v>17439071.805142999</c:v>
                </c:pt>
                <c:pt idx="1456">
                  <c:v>14415067.50103</c:v>
                </c:pt>
                <c:pt idx="1457">
                  <c:v>16365978.407181</c:v>
                </c:pt>
                <c:pt idx="1458">
                  <c:v>24791557.716398001</c:v>
                </c:pt>
                <c:pt idx="1459">
                  <c:v>22356446.392875999</c:v>
                </c:pt>
                <c:pt idx="1460">
                  <c:v>18836365.381910998</c:v>
                </c:pt>
                <c:pt idx="1461">
                  <c:v>22130200.006829001</c:v>
                </c:pt>
                <c:pt idx="1462">
                  <c:v>34278992.996564999</c:v>
                </c:pt>
                <c:pt idx="1463">
                  <c:v>77043441.253869995</c:v>
                </c:pt>
                <c:pt idx="1464">
                  <c:v>34447703.879173003</c:v>
                </c:pt>
                <c:pt idx="1465">
                  <c:v>29381882.839667</c:v>
                </c:pt>
                <c:pt idx="1466">
                  <c:v>24197692.051495999</c:v>
                </c:pt>
                <c:pt idx="1467">
                  <c:v>26026096.984023999</c:v>
                </c:pt>
                <c:pt idx="1468">
                  <c:v>19127804.406660002</c:v>
                </c:pt>
                <c:pt idx="1469">
                  <c:v>21534415.706884</c:v>
                </c:pt>
                <c:pt idx="1470">
                  <c:v>19447080.020605002</c:v>
                </c:pt>
                <c:pt idx="1471">
                  <c:v>19557407.67842</c:v>
                </c:pt>
                <c:pt idx="1472">
                  <c:v>22969780.981981002</c:v>
                </c:pt>
                <c:pt idx="1473">
                  <c:v>21039939.227658</c:v>
                </c:pt>
                <c:pt idx="1474">
                  <c:v>15388052.993039001</c:v>
                </c:pt>
                <c:pt idx="1475">
                  <c:v>20355303.901315</c:v>
                </c:pt>
                <c:pt idx="1476">
                  <c:v>20871883.588608</c:v>
                </c:pt>
                <c:pt idx="1477">
                  <c:v>22620480.879648998</c:v>
                </c:pt>
                <c:pt idx="1478">
                  <c:v>23826466.885439001</c:v>
                </c:pt>
                <c:pt idx="1479">
                  <c:v>17408277.405576002</c:v>
                </c:pt>
                <c:pt idx="1480">
                  <c:v>22877139.781128999</c:v>
                </c:pt>
                <c:pt idx="1481">
                  <c:v>22182495.609444998</c:v>
                </c:pt>
                <c:pt idx="1482">
                  <c:v>8014594.1688537002</c:v>
                </c:pt>
                <c:pt idx="1483">
                  <c:v>19127594.523959</c:v>
                </c:pt>
                <c:pt idx="1484">
                  <c:v>23662915.022027999</c:v>
                </c:pt>
                <c:pt idx="1485">
                  <c:v>29542965.253919002</c:v>
                </c:pt>
                <c:pt idx="1486">
                  <c:v>35643127.154050998</c:v>
                </c:pt>
                <c:pt idx="1487">
                  <c:v>31718605.247756001</c:v>
                </c:pt>
                <c:pt idx="1488">
                  <c:v>42186145.650711</c:v>
                </c:pt>
                <c:pt idx="1489">
                  <c:v>28221414.760946002</c:v>
                </c:pt>
                <c:pt idx="1490">
                  <c:v>26850200.901583999</c:v>
                </c:pt>
                <c:pt idx="1491">
                  <c:v>25009124.172944002</c:v>
                </c:pt>
                <c:pt idx="1492">
                  <c:v>25933662.594420001</c:v>
                </c:pt>
                <c:pt idx="1493">
                  <c:v>23149443.646361001</c:v>
                </c:pt>
                <c:pt idx="1494">
                  <c:v>25818685.7788</c:v>
                </c:pt>
                <c:pt idx="1495">
                  <c:v>23430867.682859998</c:v>
                </c:pt>
                <c:pt idx="1496">
                  <c:v>20833812.914097998</c:v>
                </c:pt>
                <c:pt idx="1497">
                  <c:v>58201911.733671002</c:v>
                </c:pt>
                <c:pt idx="1498">
                  <c:v>24046535.553321</c:v>
                </c:pt>
                <c:pt idx="1499">
                  <c:v>25191937.125491001</c:v>
                </c:pt>
                <c:pt idx="1500">
                  <c:v>25459648.142914001</c:v>
                </c:pt>
                <c:pt idx="1501">
                  <c:v>19364984.145755999</c:v>
                </c:pt>
                <c:pt idx="1502">
                  <c:v>15193106.772678999</c:v>
                </c:pt>
                <c:pt idx="1503">
                  <c:v>10671993.797808001</c:v>
                </c:pt>
                <c:pt idx="1504">
                  <c:v>15825484.377674</c:v>
                </c:pt>
                <c:pt idx="1505">
                  <c:v>11429124.657065</c:v>
                </c:pt>
                <c:pt idx="1506">
                  <c:v>20019366.672285002</c:v>
                </c:pt>
                <c:pt idx="1507">
                  <c:v>24258566.225623999</c:v>
                </c:pt>
                <c:pt idx="1508">
                  <c:v>28041768.477653999</c:v>
                </c:pt>
                <c:pt idx="1509">
                  <c:v>23643525.955633</c:v>
                </c:pt>
                <c:pt idx="1510">
                  <c:v>25259234.73412</c:v>
                </c:pt>
                <c:pt idx="1511">
                  <c:v>23864696.251747001</c:v>
                </c:pt>
                <c:pt idx="1512">
                  <c:v>21010317.099768002</c:v>
                </c:pt>
                <c:pt idx="1513">
                  <c:v>20118227.567843001</c:v>
                </c:pt>
                <c:pt idx="1514">
                  <c:v>19196430.931129001</c:v>
                </c:pt>
                <c:pt idx="1515">
                  <c:v>26186953.134486001</c:v>
                </c:pt>
                <c:pt idx="1516">
                  <c:v>39487177.984759003</c:v>
                </c:pt>
                <c:pt idx="1517">
                  <c:v>27649472.112133</c:v>
                </c:pt>
                <c:pt idx="1518">
                  <c:v>26063301.508455999</c:v>
                </c:pt>
                <c:pt idx="1519">
                  <c:v>38439014.556524001</c:v>
                </c:pt>
                <c:pt idx="1520">
                  <c:v>25378203.416349001</c:v>
                </c:pt>
                <c:pt idx="1521">
                  <c:v>25068148.307842001</c:v>
                </c:pt>
                <c:pt idx="1522">
                  <c:v>35332999.354460999</c:v>
                </c:pt>
                <c:pt idx="1523">
                  <c:v>28171597.821849</c:v>
                </c:pt>
                <c:pt idx="1524">
                  <c:v>31263660.43141</c:v>
                </c:pt>
                <c:pt idx="1525">
                  <c:v>34022867.504294001</c:v>
                </c:pt>
                <c:pt idx="1526">
                  <c:v>40373391.824845001</c:v>
                </c:pt>
                <c:pt idx="1527">
                  <c:v>51532303.253151998</c:v>
                </c:pt>
                <c:pt idx="1528">
                  <c:v>50617091.814191997</c:v>
                </c:pt>
                <c:pt idx="1529">
                  <c:v>51252647.350440003</c:v>
                </c:pt>
                <c:pt idx="1530">
                  <c:v>54623527.355722003</c:v>
                </c:pt>
                <c:pt idx="1531">
                  <c:v>73392158.982511997</c:v>
                </c:pt>
                <c:pt idx="1532">
                  <c:v>44341523.261348002</c:v>
                </c:pt>
                <c:pt idx="1533">
                  <c:v>59639462.860321999</c:v>
                </c:pt>
                <c:pt idx="1534">
                  <c:v>68507199.498333007</c:v>
                </c:pt>
                <c:pt idx="1535">
                  <c:v>38543912.907173999</c:v>
                </c:pt>
                <c:pt idx="1536">
                  <c:v>28408037.340489</c:v>
                </c:pt>
                <c:pt idx="1537">
                  <c:v>37547874.103937998</c:v>
                </c:pt>
                <c:pt idx="1538">
                  <c:v>29567930.033461001</c:v>
                </c:pt>
                <c:pt idx="1539">
                  <c:v>32852131.554264002</c:v>
                </c:pt>
                <c:pt idx="1540">
                  <c:v>33157843.626568001</c:v>
                </c:pt>
                <c:pt idx="1541">
                  <c:v>28670128.620586999</c:v>
                </c:pt>
                <c:pt idx="1542">
                  <c:v>25371309.025543001</c:v>
                </c:pt>
                <c:pt idx="1543">
                  <c:v>28259691.222883999</c:v>
                </c:pt>
                <c:pt idx="1544">
                  <c:v>32411472.071290001</c:v>
                </c:pt>
                <c:pt idx="1545">
                  <c:v>27790490.763891</c:v>
                </c:pt>
                <c:pt idx="1546">
                  <c:v>33482227.068805002</c:v>
                </c:pt>
                <c:pt idx="1547">
                  <c:v>39893724.873838</c:v>
                </c:pt>
                <c:pt idx="1548">
                  <c:v>35268795.724004999</c:v>
                </c:pt>
                <c:pt idx="1549">
                  <c:v>25676816.334235001</c:v>
                </c:pt>
                <c:pt idx="1550">
                  <c:v>23822834.378966998</c:v>
                </c:pt>
                <c:pt idx="1551">
                  <c:v>28700410.087306999</c:v>
                </c:pt>
                <c:pt idx="1552">
                  <c:v>27810589.336201001</c:v>
                </c:pt>
                <c:pt idx="1553">
                  <c:v>39680692.907472</c:v>
                </c:pt>
                <c:pt idx="1554">
                  <c:v>28010314.739255998</c:v>
                </c:pt>
                <c:pt idx="1555">
                  <c:v>38016171.555404998</c:v>
                </c:pt>
                <c:pt idx="1556">
                  <c:v>34518515.231379002</c:v>
                </c:pt>
                <c:pt idx="1557">
                  <c:v>29661744.529809002</c:v>
                </c:pt>
                <c:pt idx="1558">
                  <c:v>52726685.305064</c:v>
                </c:pt>
                <c:pt idx="1559">
                  <c:v>35820644.919598997</c:v>
                </c:pt>
                <c:pt idx="1560">
                  <c:v>24789105.672146998</c:v>
                </c:pt>
                <c:pt idx="1561">
                  <c:v>26273580.428061999</c:v>
                </c:pt>
                <c:pt idx="1562">
                  <c:v>41471997.745011002</c:v>
                </c:pt>
                <c:pt idx="1563">
                  <c:v>47342075.989010997</c:v>
                </c:pt>
                <c:pt idx="1564">
                  <c:v>60585530.127934001</c:v>
                </c:pt>
                <c:pt idx="1565">
                  <c:v>60770552.479851</c:v>
                </c:pt>
                <c:pt idx="1566">
                  <c:v>56400554.026615001</c:v>
                </c:pt>
                <c:pt idx="1567">
                  <c:v>49274263.310505003</c:v>
                </c:pt>
                <c:pt idx="1568">
                  <c:v>52118796.404214002</c:v>
                </c:pt>
                <c:pt idx="1569">
                  <c:v>39977814.122446001</c:v>
                </c:pt>
                <c:pt idx="1570">
                  <c:v>38201096.644606002</c:v>
                </c:pt>
                <c:pt idx="1571">
                  <c:v>31983125.024287999</c:v>
                </c:pt>
                <c:pt idx="1572">
                  <c:v>40850302.657638997</c:v>
                </c:pt>
                <c:pt idx="1573">
                  <c:v>33876062.232868999</c:v>
                </c:pt>
                <c:pt idx="1574">
                  <c:v>28940784.138744999</c:v>
                </c:pt>
                <c:pt idx="1575">
                  <c:v>26719432.716228999</c:v>
                </c:pt>
                <c:pt idx="1576">
                  <c:v>28746338.565416999</c:v>
                </c:pt>
                <c:pt idx="1577">
                  <c:v>25080039.954592999</c:v>
                </c:pt>
                <c:pt idx="1578">
                  <c:v>21794934.402444001</c:v>
                </c:pt>
                <c:pt idx="1579">
                  <c:v>28759358.459667001</c:v>
                </c:pt>
                <c:pt idx="1580">
                  <c:v>22606232.403726</c:v>
                </c:pt>
                <c:pt idx="1581">
                  <c:v>25301855.256081</c:v>
                </c:pt>
                <c:pt idx="1582">
                  <c:v>33468300.071754999</c:v>
                </c:pt>
                <c:pt idx="1583">
                  <c:v>23990476.395521</c:v>
                </c:pt>
                <c:pt idx="1584">
                  <c:v>37089053.112423003</c:v>
                </c:pt>
                <c:pt idx="1585">
                  <c:v>36234425.083260998</c:v>
                </c:pt>
                <c:pt idx="1586">
                  <c:v>45687794.865165003</c:v>
                </c:pt>
                <c:pt idx="1587">
                  <c:v>51858137.445579998</c:v>
                </c:pt>
                <c:pt idx="1588">
                  <c:v>44607682.170593999</c:v>
                </c:pt>
                <c:pt idx="1589">
                  <c:v>33741756.756121002</c:v>
                </c:pt>
                <c:pt idx="1590">
                  <c:v>29511352.823723</c:v>
                </c:pt>
                <c:pt idx="1591">
                  <c:v>33455540.227290001</c:v>
                </c:pt>
                <c:pt idx="1592">
                  <c:v>24204789.158278</c:v>
                </c:pt>
                <c:pt idx="1593">
                  <c:v>26042542.573499002</c:v>
                </c:pt>
                <c:pt idx="1594">
                  <c:v>25228857.028503001</c:v>
                </c:pt>
                <c:pt idx="1595">
                  <c:v>29357096.204468001</c:v>
                </c:pt>
                <c:pt idx="1596">
                  <c:v>24050949.232971001</c:v>
                </c:pt>
                <c:pt idx="1597">
                  <c:v>18024488.923425</c:v>
                </c:pt>
                <c:pt idx="1598">
                  <c:v>20899036.267340999</c:v>
                </c:pt>
                <c:pt idx="1599">
                  <c:v>26420678.511452999</c:v>
                </c:pt>
                <c:pt idx="1600">
                  <c:v>18595356.563276999</c:v>
                </c:pt>
                <c:pt idx="1601">
                  <c:v>18447719.951586999</c:v>
                </c:pt>
                <c:pt idx="1602">
                  <c:v>19109959.257897999</c:v>
                </c:pt>
                <c:pt idx="1603">
                  <c:v>20774983.304632001</c:v>
                </c:pt>
                <c:pt idx="1604">
                  <c:v>16516462.256890999</c:v>
                </c:pt>
                <c:pt idx="1605">
                  <c:v>22731085.992157001</c:v>
                </c:pt>
                <c:pt idx="1606">
                  <c:v>28505055.363542002</c:v>
                </c:pt>
                <c:pt idx="1607">
                  <c:v>19642721.413426999</c:v>
                </c:pt>
                <c:pt idx="1608">
                  <c:v>30667532.128596</c:v>
                </c:pt>
                <c:pt idx="1609">
                  <c:v>23701575.415741</c:v>
                </c:pt>
                <c:pt idx="1610">
                  <c:v>36518350.307278</c:v>
                </c:pt>
                <c:pt idx="1611">
                  <c:v>30651105.991664</c:v>
                </c:pt>
                <c:pt idx="1612">
                  <c:v>29181424.382879</c:v>
                </c:pt>
                <c:pt idx="1613">
                  <c:v>25151865.910494</c:v>
                </c:pt>
                <c:pt idx="1614">
                  <c:v>22593848.300491001</c:v>
                </c:pt>
                <c:pt idx="1615">
                  <c:v>30198194.477983002</c:v>
                </c:pt>
                <c:pt idx="1616">
                  <c:v>23708633.617437001</c:v>
                </c:pt>
                <c:pt idx="1617">
                  <c:v>25126720.938974999</c:v>
                </c:pt>
                <c:pt idx="1618">
                  <c:v>19601336.639860999</c:v>
                </c:pt>
                <c:pt idx="1619">
                  <c:v>31546660.1239</c:v>
                </c:pt>
                <c:pt idx="1620">
                  <c:v>27480903.540235002</c:v>
                </c:pt>
                <c:pt idx="1621">
                  <c:v>70316401.699353993</c:v>
                </c:pt>
                <c:pt idx="1622">
                  <c:v>25228491.525456998</c:v>
                </c:pt>
                <c:pt idx="1623">
                  <c:v>30648393.897627</c:v>
                </c:pt>
                <c:pt idx="1624">
                  <c:v>28003937.376568999</c:v>
                </c:pt>
                <c:pt idx="1625">
                  <c:v>24813632.257557999</c:v>
                </c:pt>
                <c:pt idx="1626">
                  <c:v>41633579.782476</c:v>
                </c:pt>
                <c:pt idx="1627">
                  <c:v>37900791.355471</c:v>
                </c:pt>
                <c:pt idx="1628">
                  <c:v>28770278.503079999</c:v>
                </c:pt>
                <c:pt idx="1629">
                  <c:v>33477902.461325999</c:v>
                </c:pt>
                <c:pt idx="1630">
                  <c:v>28506536.828272</c:v>
                </c:pt>
                <c:pt idx="1631">
                  <c:v>30006744.596292999</c:v>
                </c:pt>
                <c:pt idx="1632">
                  <c:v>20926931.214166</c:v>
                </c:pt>
                <c:pt idx="1633">
                  <c:v>15691863.835208001</c:v>
                </c:pt>
                <c:pt idx="1634">
                  <c:v>20298924.288463</c:v>
                </c:pt>
                <c:pt idx="1635">
                  <c:v>20574063.105900001</c:v>
                </c:pt>
                <c:pt idx="1636">
                  <c:v>19480201.558618002</c:v>
                </c:pt>
                <c:pt idx="1637">
                  <c:v>20636649.103824001</c:v>
                </c:pt>
                <c:pt idx="1638">
                  <c:v>21012637.071488999</c:v>
                </c:pt>
                <c:pt idx="1639">
                  <c:v>26030598.712026998</c:v>
                </c:pt>
                <c:pt idx="1640">
                  <c:v>26370287.210425001</c:v>
                </c:pt>
                <c:pt idx="1641">
                  <c:v>23304081.125934999</c:v>
                </c:pt>
                <c:pt idx="1642">
                  <c:v>27705437.078671001</c:v>
                </c:pt>
                <c:pt idx="1643">
                  <c:v>31547786.323764</c:v>
                </c:pt>
                <c:pt idx="1644">
                  <c:v>42969065.463045001</c:v>
                </c:pt>
                <c:pt idx="1645">
                  <c:v>59941183.066014998</c:v>
                </c:pt>
                <c:pt idx="1646">
                  <c:v>31775648.294707999</c:v>
                </c:pt>
                <c:pt idx="1647">
                  <c:v>28149220.230542999</c:v>
                </c:pt>
                <c:pt idx="1648">
                  <c:v>32942734.333361</c:v>
                </c:pt>
                <c:pt idx="1649">
                  <c:v>33556756.928200997</c:v>
                </c:pt>
                <c:pt idx="1650">
                  <c:v>39582215.943686999</c:v>
                </c:pt>
                <c:pt idx="1651">
                  <c:v>37082513.986483</c:v>
                </c:pt>
                <c:pt idx="1652">
                  <c:v>29580964.261165</c:v>
                </c:pt>
                <c:pt idx="1653">
                  <c:v>25274124.120147001</c:v>
                </c:pt>
                <c:pt idx="1654">
                  <c:v>27922071.860785</c:v>
                </c:pt>
                <c:pt idx="1655">
                  <c:v>19958990.073732998</c:v>
                </c:pt>
                <c:pt idx="1656">
                  <c:v>21677201.468610998</c:v>
                </c:pt>
                <c:pt idx="1657">
                  <c:v>17199985.716821</c:v>
                </c:pt>
                <c:pt idx="1658">
                  <c:v>16565999.693657</c:v>
                </c:pt>
                <c:pt idx="1659">
                  <c:v>14629647.480299</c:v>
                </c:pt>
                <c:pt idx="1660">
                  <c:v>19449977.42571</c:v>
                </c:pt>
                <c:pt idx="1661">
                  <c:v>19761413.664779</c:v>
                </c:pt>
                <c:pt idx="1662">
                  <c:v>17957396.078407001</c:v>
                </c:pt>
                <c:pt idx="1663">
                  <c:v>31947766.443815999</c:v>
                </c:pt>
                <c:pt idx="1664">
                  <c:v>22785734.328674</c:v>
                </c:pt>
                <c:pt idx="1665">
                  <c:v>19245194.361443002</c:v>
                </c:pt>
                <c:pt idx="1666">
                  <c:v>19088227.695787001</c:v>
                </c:pt>
                <c:pt idx="1667">
                  <c:v>24381451.011929002</c:v>
                </c:pt>
                <c:pt idx="1668">
                  <c:v>19180332.415975999</c:v>
                </c:pt>
                <c:pt idx="1669">
                  <c:v>19358367.209642999</c:v>
                </c:pt>
                <c:pt idx="1670">
                  <c:v>18363472.011179999</c:v>
                </c:pt>
                <c:pt idx="1671">
                  <c:v>20950924.390369002</c:v>
                </c:pt>
                <c:pt idx="1672">
                  <c:v>20406647.353137001</c:v>
                </c:pt>
                <c:pt idx="1673">
                  <c:v>22182378.894184999</c:v>
                </c:pt>
                <c:pt idx="1674">
                  <c:v>24292844.678045999</c:v>
                </c:pt>
                <c:pt idx="1675">
                  <c:v>24744641.253860999</c:v>
                </c:pt>
                <c:pt idx="1676">
                  <c:v>24118029.792171001</c:v>
                </c:pt>
                <c:pt idx="1677">
                  <c:v>35026681.181865998</c:v>
                </c:pt>
                <c:pt idx="1678">
                  <c:v>25016258.137176</c:v>
                </c:pt>
                <c:pt idx="1679">
                  <c:v>23973122.679428</c:v>
                </c:pt>
                <c:pt idx="1680">
                  <c:v>22086334.522105001</c:v>
                </c:pt>
                <c:pt idx="1681">
                  <c:v>25894420.672049999</c:v>
                </c:pt>
                <c:pt idx="1682">
                  <c:v>20129114.849079002</c:v>
                </c:pt>
                <c:pt idx="1683">
                  <c:v>27763207.036446001</c:v>
                </c:pt>
                <c:pt idx="1684">
                  <c:v>20375556.046333</c:v>
                </c:pt>
                <c:pt idx="1685">
                  <c:v>22095507.931910999</c:v>
                </c:pt>
                <c:pt idx="1686">
                  <c:v>23623933.149447002</c:v>
                </c:pt>
                <c:pt idx="1687">
                  <c:v>23152428.076002002</c:v>
                </c:pt>
                <c:pt idx="1688">
                  <c:v>25268671.265166</c:v>
                </c:pt>
                <c:pt idx="1689">
                  <c:v>75897822.632269993</c:v>
                </c:pt>
                <c:pt idx="1690">
                  <c:v>29125856.657747999</c:v>
                </c:pt>
                <c:pt idx="1691">
                  <c:v>24153588.017166998</c:v>
                </c:pt>
                <c:pt idx="1692">
                  <c:v>20620284.395975001</c:v>
                </c:pt>
                <c:pt idx="1693">
                  <c:v>20342471.365768999</c:v>
                </c:pt>
                <c:pt idx="1694">
                  <c:v>23066526.669429999</c:v>
                </c:pt>
                <c:pt idx="1695">
                  <c:v>20120605.897193</c:v>
                </c:pt>
                <c:pt idx="1696">
                  <c:v>22149556.311044998</c:v>
                </c:pt>
                <c:pt idx="1697">
                  <c:v>17739064.829771001</c:v>
                </c:pt>
                <c:pt idx="1698">
                  <c:v>37103802.235376</c:v>
                </c:pt>
                <c:pt idx="1699">
                  <c:v>30973921.968456</c:v>
                </c:pt>
                <c:pt idx="1700">
                  <c:v>31583120.332602002</c:v>
                </c:pt>
                <c:pt idx="1701">
                  <c:v>27915550.139752001</c:v>
                </c:pt>
                <c:pt idx="1702">
                  <c:v>65398684.132570997</c:v>
                </c:pt>
                <c:pt idx="1703">
                  <c:v>68092324.873165995</c:v>
                </c:pt>
                <c:pt idx="1704">
                  <c:v>50870945.454190001</c:v>
                </c:pt>
                <c:pt idx="1705">
                  <c:v>34169726.014260001</c:v>
                </c:pt>
                <c:pt idx="1706">
                  <c:v>33681774.327520996</c:v>
                </c:pt>
                <c:pt idx="1707">
                  <c:v>28288114.459828999</c:v>
                </c:pt>
                <c:pt idx="1708">
                  <c:v>34636525.619906001</c:v>
                </c:pt>
                <c:pt idx="1709">
                  <c:v>34934110.624461003</c:v>
                </c:pt>
                <c:pt idx="1710">
                  <c:v>28285306.126894001</c:v>
                </c:pt>
                <c:pt idx="1711">
                  <c:v>46638977.127798997</c:v>
                </c:pt>
                <c:pt idx="1712">
                  <c:v>68085374.172363997</c:v>
                </c:pt>
                <c:pt idx="1713">
                  <c:v>65686917.582978003</c:v>
                </c:pt>
                <c:pt idx="1714">
                  <c:v>59161876.307609998</c:v>
                </c:pt>
                <c:pt idx="1715">
                  <c:v>58777108.076274</c:v>
                </c:pt>
                <c:pt idx="1716">
                  <c:v>69633726.984592006</c:v>
                </c:pt>
                <c:pt idx="1717">
                  <c:v>54408819.399195001</c:v>
                </c:pt>
                <c:pt idx="1718">
                  <c:v>35572074.180783004</c:v>
                </c:pt>
                <c:pt idx="1719">
                  <c:v>40149610.792682998</c:v>
                </c:pt>
                <c:pt idx="1720">
                  <c:v>29752054.496941999</c:v>
                </c:pt>
                <c:pt idx="1721">
                  <c:v>25935414.347116999</c:v>
                </c:pt>
                <c:pt idx="1722">
                  <c:v>40385637.712646</c:v>
                </c:pt>
                <c:pt idx="1723">
                  <c:v>27324722.143027999</c:v>
                </c:pt>
                <c:pt idx="1724">
                  <c:v>34138952.091053002</c:v>
                </c:pt>
                <c:pt idx="1725">
                  <c:v>35825250.053227998</c:v>
                </c:pt>
                <c:pt idx="1726">
                  <c:v>37692896.908124</c:v>
                </c:pt>
                <c:pt idx="1727">
                  <c:v>41902482.524117999</c:v>
                </c:pt>
                <c:pt idx="1728">
                  <c:v>40852164.982686996</c:v>
                </c:pt>
                <c:pt idx="1729">
                  <c:v>35544172.067230999</c:v>
                </c:pt>
                <c:pt idx="1730">
                  <c:v>47502995.616191998</c:v>
                </c:pt>
                <c:pt idx="1731">
                  <c:v>67956635.194400996</c:v>
                </c:pt>
                <c:pt idx="1732">
                  <c:v>29845261.869180001</c:v>
                </c:pt>
                <c:pt idx="1733">
                  <c:v>14665656.185241001</c:v>
                </c:pt>
                <c:pt idx="1734">
                  <c:v>34307144.921723001</c:v>
                </c:pt>
                <c:pt idx="1735">
                  <c:v>30899705.397386</c:v>
                </c:pt>
                <c:pt idx="1736">
                  <c:v>49640350.957543999</c:v>
                </c:pt>
                <c:pt idx="1737">
                  <c:v>29837381.541583002</c:v>
                </c:pt>
                <c:pt idx="1738">
                  <c:v>35717638.584720999</c:v>
                </c:pt>
                <c:pt idx="1739">
                  <c:v>36849831.880117998</c:v>
                </c:pt>
                <c:pt idx="1740">
                  <c:v>47951867.143812999</c:v>
                </c:pt>
                <c:pt idx="1741">
                  <c:v>52100665.610215001</c:v>
                </c:pt>
                <c:pt idx="1742">
                  <c:v>47790551.299043998</c:v>
                </c:pt>
                <c:pt idx="1743">
                  <c:v>43288493.625881001</c:v>
                </c:pt>
                <c:pt idx="1744">
                  <c:v>44965246.532293998</c:v>
                </c:pt>
                <c:pt idx="1745">
                  <c:v>38388476.849514</c:v>
                </c:pt>
                <c:pt idx="1746">
                  <c:v>33243215.719202999</c:v>
                </c:pt>
                <c:pt idx="1747">
                  <c:v>49910547.805211999</c:v>
                </c:pt>
                <c:pt idx="1748">
                  <c:v>60429022.132766001</c:v>
                </c:pt>
                <c:pt idx="1749">
                  <c:v>52325339.411725</c:v>
                </c:pt>
                <c:pt idx="1750">
                  <c:v>72355058.932218</c:v>
                </c:pt>
                <c:pt idx="1751">
                  <c:v>74621251.538066</c:v>
                </c:pt>
                <c:pt idx="1752">
                  <c:v>118022586.29509</c:v>
                </c:pt>
                <c:pt idx="1753">
                  <c:v>46613167.698358998</c:v>
                </c:pt>
                <c:pt idx="1754">
                  <c:v>54782079.915551998</c:v>
                </c:pt>
                <c:pt idx="1755">
                  <c:v>52515581.188104004</c:v>
                </c:pt>
                <c:pt idx="1756">
                  <c:v>40495838.417020001</c:v>
                </c:pt>
                <c:pt idx="1757">
                  <c:v>35195799.544062003</c:v>
                </c:pt>
                <c:pt idx="1758">
                  <c:v>37482767.465954997</c:v>
                </c:pt>
                <c:pt idx="1759">
                  <c:v>45173683.603212997</c:v>
                </c:pt>
                <c:pt idx="1760">
                  <c:v>46746238.450528003</c:v>
                </c:pt>
                <c:pt idx="1761">
                  <c:v>37829477.308599003</c:v>
                </c:pt>
                <c:pt idx="1762">
                  <c:v>33435308.558634002</c:v>
                </c:pt>
                <c:pt idx="1763">
                  <c:v>34248448.408605002</c:v>
                </c:pt>
                <c:pt idx="1764">
                  <c:v>31900258.214442</c:v>
                </c:pt>
                <c:pt idx="1765">
                  <c:v>30040031.992834002</c:v>
                </c:pt>
                <c:pt idx="1766">
                  <c:v>30170398.841510002</c:v>
                </c:pt>
                <c:pt idx="1767">
                  <c:v>33512969.253651999</c:v>
                </c:pt>
                <c:pt idx="1768">
                  <c:v>31673541.895904999</c:v>
                </c:pt>
                <c:pt idx="1769">
                  <c:v>30123650.285135999</c:v>
                </c:pt>
                <c:pt idx="1770">
                  <c:v>39708904.214077003</c:v>
                </c:pt>
                <c:pt idx="1771">
                  <c:v>34344371.970152996</c:v>
                </c:pt>
                <c:pt idx="1772">
                  <c:v>27451404.270513002</c:v>
                </c:pt>
                <c:pt idx="1773">
                  <c:v>24576801.640422001</c:v>
                </c:pt>
                <c:pt idx="1774">
                  <c:v>33121029.176816002</c:v>
                </c:pt>
                <c:pt idx="1775">
                  <c:v>31273407.179327998</c:v>
                </c:pt>
                <c:pt idx="1776">
                  <c:v>33409984.418953001</c:v>
                </c:pt>
                <c:pt idx="1777">
                  <c:v>52487315.619143002</c:v>
                </c:pt>
                <c:pt idx="1778">
                  <c:v>59027586.188133001</c:v>
                </c:pt>
                <c:pt idx="1779">
                  <c:v>37701691.505248003</c:v>
                </c:pt>
                <c:pt idx="1780">
                  <c:v>33224036.535512</c:v>
                </c:pt>
                <c:pt idx="1781">
                  <c:v>28990921.532894</c:v>
                </c:pt>
                <c:pt idx="1782">
                  <c:v>21865982.256623</c:v>
                </c:pt>
                <c:pt idx="1783">
                  <c:v>31574695.333799999</c:v>
                </c:pt>
                <c:pt idx="1784">
                  <c:v>22769206.833753001</c:v>
                </c:pt>
                <c:pt idx="1785">
                  <c:v>20066991.616918001</c:v>
                </c:pt>
                <c:pt idx="1786">
                  <c:v>26583864.871814001</c:v>
                </c:pt>
                <c:pt idx="1787">
                  <c:v>19516086.381572999</c:v>
                </c:pt>
                <c:pt idx="1788">
                  <c:v>23112543.195891999</c:v>
                </c:pt>
                <c:pt idx="1789">
                  <c:v>28228651.106984001</c:v>
                </c:pt>
                <c:pt idx="1790">
                  <c:v>19137952.491257999</c:v>
                </c:pt>
                <c:pt idx="1791">
                  <c:v>22827230.698406</c:v>
                </c:pt>
                <c:pt idx="1792">
                  <c:v>30703588.952985998</c:v>
                </c:pt>
                <c:pt idx="1793">
                  <c:v>29330202.551704001</c:v>
                </c:pt>
                <c:pt idx="1794">
                  <c:v>25091107.427806001</c:v>
                </c:pt>
                <c:pt idx="1795">
                  <c:v>22752290.287969001</c:v>
                </c:pt>
                <c:pt idx="1796">
                  <c:v>22699814.493375</c:v>
                </c:pt>
                <c:pt idx="1797">
                  <c:v>30725462.825808</c:v>
                </c:pt>
                <c:pt idx="1798">
                  <c:v>24827598.159697</c:v>
                </c:pt>
                <c:pt idx="1799">
                  <c:v>28109796.068558998</c:v>
                </c:pt>
                <c:pt idx="1800">
                  <c:v>20641082.236017</c:v>
                </c:pt>
                <c:pt idx="1801">
                  <c:v>18685268.265184999</c:v>
                </c:pt>
                <c:pt idx="1802">
                  <c:v>26769110.416067999</c:v>
                </c:pt>
                <c:pt idx="1803">
                  <c:v>24106325.504126001</c:v>
                </c:pt>
                <c:pt idx="1804">
                  <c:v>27986833.472082</c:v>
                </c:pt>
                <c:pt idx="1805">
                  <c:v>27607673.716072001</c:v>
                </c:pt>
                <c:pt idx="1806">
                  <c:v>37518205.904237002</c:v>
                </c:pt>
                <c:pt idx="1807">
                  <c:v>32499685.259036999</c:v>
                </c:pt>
                <c:pt idx="1808">
                  <c:v>57714074.714555003</c:v>
                </c:pt>
                <c:pt idx="1809">
                  <c:v>32968987.076021001</c:v>
                </c:pt>
                <c:pt idx="1810">
                  <c:v>39710241.320462003</c:v>
                </c:pt>
                <c:pt idx="1811">
                  <c:v>29700089.587558001</c:v>
                </c:pt>
                <c:pt idx="1812">
                  <c:v>31539461.659131002</c:v>
                </c:pt>
                <c:pt idx="1813">
                  <c:v>35522331.980405003</c:v>
                </c:pt>
                <c:pt idx="1814">
                  <c:v>28594814.516559001</c:v>
                </c:pt>
                <c:pt idx="1815">
                  <c:v>27570646.312162999</c:v>
                </c:pt>
                <c:pt idx="1816">
                  <c:v>24016524.374568</c:v>
                </c:pt>
                <c:pt idx="1817">
                  <c:v>19369589.279383998</c:v>
                </c:pt>
                <c:pt idx="1818">
                  <c:v>26833338.618159</c:v>
                </c:pt>
                <c:pt idx="1819">
                  <c:v>24075343.745854001</c:v>
                </c:pt>
                <c:pt idx="1820">
                  <c:v>19166267.203485999</c:v>
                </c:pt>
                <c:pt idx="1821">
                  <c:v>24151029.495838001</c:v>
                </c:pt>
                <c:pt idx="1822">
                  <c:v>21248039.462435</c:v>
                </c:pt>
                <c:pt idx="1823">
                  <c:v>16719496.639914</c:v>
                </c:pt>
                <c:pt idx="1824">
                  <c:v>15969358.457998</c:v>
                </c:pt>
                <c:pt idx="1825">
                  <c:v>18606018.604540002</c:v>
                </c:pt>
                <c:pt idx="1826">
                  <c:v>17407156.324802</c:v>
                </c:pt>
                <c:pt idx="1827">
                  <c:v>15011099.564944001</c:v>
                </c:pt>
                <c:pt idx="1828">
                  <c:v>20859579.343180001</c:v>
                </c:pt>
                <c:pt idx="1829">
                  <c:v>16683919.986194</c:v>
                </c:pt>
                <c:pt idx="1830">
                  <c:v>14866011.236401999</c:v>
                </c:pt>
                <c:pt idx="1831">
                  <c:v>20390302.097831</c:v>
                </c:pt>
                <c:pt idx="1832">
                  <c:v>29570838.700564999</c:v>
                </c:pt>
                <c:pt idx="1833">
                  <c:v>16531953.647934999</c:v>
                </c:pt>
                <c:pt idx="1834">
                  <c:v>25381546.182310998</c:v>
                </c:pt>
                <c:pt idx="1835">
                  <c:v>33021156.749015</c:v>
                </c:pt>
                <c:pt idx="1836">
                  <c:v>40180563.884049997</c:v>
                </c:pt>
                <c:pt idx="1837">
                  <c:v>24990042.251968</c:v>
                </c:pt>
                <c:pt idx="1838">
                  <c:v>17245536.406066999</c:v>
                </c:pt>
                <c:pt idx="1839">
                  <c:v>25530485.090571001</c:v>
                </c:pt>
                <c:pt idx="1840">
                  <c:v>28335537.712303001</c:v>
                </c:pt>
                <c:pt idx="1841">
                  <c:v>28893834.914030999</c:v>
                </c:pt>
                <c:pt idx="1842">
                  <c:v>26317135.695912</c:v>
                </c:pt>
                <c:pt idx="1843">
                  <c:v>25607563.233114</c:v>
                </c:pt>
                <c:pt idx="1844">
                  <c:v>38050533.960905999</c:v>
                </c:pt>
                <c:pt idx="1845">
                  <c:v>30022993.612702999</c:v>
                </c:pt>
                <c:pt idx="1846">
                  <c:v>28773055.097656</c:v>
                </c:pt>
                <c:pt idx="1847">
                  <c:v>32659961.928479001</c:v>
                </c:pt>
                <c:pt idx="1848">
                  <c:v>35860809.302037999</c:v>
                </c:pt>
                <c:pt idx="1849">
                  <c:v>26692372.181120999</c:v>
                </c:pt>
                <c:pt idx="1850">
                  <c:v>26021762.138363</c:v>
                </c:pt>
                <c:pt idx="1851">
                  <c:v>31694459.522659998</c:v>
                </c:pt>
                <c:pt idx="1852">
                  <c:v>27124650.689468</c:v>
                </c:pt>
                <c:pt idx="1853">
                  <c:v>24952613.511379998</c:v>
                </c:pt>
                <c:pt idx="1854">
                  <c:v>16096843.258839</c:v>
                </c:pt>
                <c:pt idx="1855">
                  <c:v>16205492.878854999</c:v>
                </c:pt>
                <c:pt idx="1856">
                  <c:v>24844069.344624002</c:v>
                </c:pt>
                <c:pt idx="1857">
                  <c:v>14865466.565195</c:v>
                </c:pt>
                <c:pt idx="1858">
                  <c:v>24343636.291933998</c:v>
                </c:pt>
                <c:pt idx="1859">
                  <c:v>23959227.420736</c:v>
                </c:pt>
                <c:pt idx="1860">
                  <c:v>17713924.977341998</c:v>
                </c:pt>
                <c:pt idx="1861">
                  <c:v>28046921.353943001</c:v>
                </c:pt>
                <c:pt idx="1862">
                  <c:v>39979483.969700001</c:v>
                </c:pt>
                <c:pt idx="1863">
                  <c:v>30926549.906883001</c:v>
                </c:pt>
                <c:pt idx="1864">
                  <c:v>26235881.399507001</c:v>
                </c:pt>
                <c:pt idx="1865">
                  <c:v>22586519.810826</c:v>
                </c:pt>
                <c:pt idx="1866">
                  <c:v>35666103.678923003</c:v>
                </c:pt>
                <c:pt idx="1867">
                  <c:v>27868335.746160999</c:v>
                </c:pt>
                <c:pt idx="1868">
                  <c:v>25170277.230643999</c:v>
                </c:pt>
                <c:pt idx="1869">
                  <c:v>17990587.236049</c:v>
                </c:pt>
                <c:pt idx="1870">
                  <c:v>18104666.163231999</c:v>
                </c:pt>
                <c:pt idx="1871">
                  <c:v>18758142.610778999</c:v>
                </c:pt>
                <c:pt idx="1872">
                  <c:v>15280620.692694001</c:v>
                </c:pt>
                <c:pt idx="1873">
                  <c:v>27297183.484887999</c:v>
                </c:pt>
                <c:pt idx="1874">
                  <c:v>24992090.911903001</c:v>
                </c:pt>
                <c:pt idx="1875">
                  <c:v>34778810.734603003</c:v>
                </c:pt>
                <c:pt idx="1876">
                  <c:v>38657755.332382999</c:v>
                </c:pt>
                <c:pt idx="1877">
                  <c:v>21712783.241420001</c:v>
                </c:pt>
                <c:pt idx="1878">
                  <c:v>35078606.162346996</c:v>
                </c:pt>
                <c:pt idx="1879">
                  <c:v>24900840.055973001</c:v>
                </c:pt>
                <c:pt idx="1880">
                  <c:v>17427493.446717001</c:v>
                </c:pt>
                <c:pt idx="1881">
                  <c:v>31621574.938885</c:v>
                </c:pt>
                <c:pt idx="1882">
                  <c:v>23844521.916901998</c:v>
                </c:pt>
                <c:pt idx="1883">
                  <c:v>16038516.344039001</c:v>
                </c:pt>
                <c:pt idx="1884">
                  <c:v>14345446.849226</c:v>
                </c:pt>
                <c:pt idx="1885">
                  <c:v>19094364.461229999</c:v>
                </c:pt>
                <c:pt idx="1886">
                  <c:v>17661437.920749001</c:v>
                </c:pt>
                <c:pt idx="1887">
                  <c:v>21001532.740825001</c:v>
                </c:pt>
                <c:pt idx="1888">
                  <c:v>25476178.709288001</c:v>
                </c:pt>
                <c:pt idx="1889">
                  <c:v>23501163.030765001</c:v>
                </c:pt>
                <c:pt idx="1890">
                  <c:v>19931867.085723002</c:v>
                </c:pt>
                <c:pt idx="1891">
                  <c:v>17526406.556997001</c:v>
                </c:pt>
                <c:pt idx="1892">
                  <c:v>23920272.167422999</c:v>
                </c:pt>
                <c:pt idx="1893">
                  <c:v>21272939.741439998</c:v>
                </c:pt>
                <c:pt idx="1894">
                  <c:v>32427549.086265001</c:v>
                </c:pt>
                <c:pt idx="1895">
                  <c:v>51566663.611018002</c:v>
                </c:pt>
                <c:pt idx="1896">
                  <c:v>26398628.541923001</c:v>
                </c:pt>
                <c:pt idx="1897">
                  <c:v>18982213.383451998</c:v>
                </c:pt>
                <c:pt idx="1898">
                  <c:v>21827967.892104998</c:v>
                </c:pt>
                <c:pt idx="1899">
                  <c:v>19321443.211358</c:v>
                </c:pt>
                <c:pt idx="1900">
                  <c:v>20037928.493687999</c:v>
                </c:pt>
                <c:pt idx="1901">
                  <c:v>17478424.299862001</c:v>
                </c:pt>
                <c:pt idx="1902">
                  <c:v>17731726.101927001</c:v>
                </c:pt>
                <c:pt idx="1903">
                  <c:v>40626954.700514004</c:v>
                </c:pt>
                <c:pt idx="1904">
                  <c:v>42688593.577340998</c:v>
                </c:pt>
                <c:pt idx="1905">
                  <c:v>32409567.769701</c:v>
                </c:pt>
                <c:pt idx="1906">
                  <c:v>44995821.834795997</c:v>
                </c:pt>
                <c:pt idx="1907">
                  <c:v>34414693.937326998</c:v>
                </c:pt>
                <c:pt idx="1908">
                  <c:v>35170303.402948</c:v>
                </c:pt>
                <c:pt idx="1909">
                  <c:v>28941308.333592001</c:v>
                </c:pt>
                <c:pt idx="1910">
                  <c:v>24699757.07017</c:v>
                </c:pt>
                <c:pt idx="1911">
                  <c:v>21560697.116448</c:v>
                </c:pt>
                <c:pt idx="1912">
                  <c:v>26836311.785801001</c:v>
                </c:pt>
                <c:pt idx="1913">
                  <c:v>34122765.527546003</c:v>
                </c:pt>
                <c:pt idx="1914">
                  <c:v>29505012.318486001</c:v>
                </c:pt>
                <c:pt idx="1915">
                  <c:v>26253725.52445</c:v>
                </c:pt>
                <c:pt idx="1916">
                  <c:v>25565957.314847</c:v>
                </c:pt>
                <c:pt idx="1917">
                  <c:v>22228351.396472</c:v>
                </c:pt>
                <c:pt idx="1918">
                  <c:v>15717221.760885</c:v>
                </c:pt>
                <c:pt idx="1919">
                  <c:v>19627402.023814999</c:v>
                </c:pt>
                <c:pt idx="1920">
                  <c:v>40404628.513814002</c:v>
                </c:pt>
                <c:pt idx="1921">
                  <c:v>21322260.128777001</c:v>
                </c:pt>
                <c:pt idx="1922">
                  <c:v>24249495.197625998</c:v>
                </c:pt>
                <c:pt idx="1923">
                  <c:v>18264856.831955999</c:v>
                </c:pt>
                <c:pt idx="1924">
                  <c:v>21169564.832059</c:v>
                </c:pt>
                <c:pt idx="1925">
                  <c:v>25120720.341333002</c:v>
                </c:pt>
                <c:pt idx="1926">
                  <c:v>19806904.972578</c:v>
                </c:pt>
                <c:pt idx="1927">
                  <c:v>18898991.308738999</c:v>
                </c:pt>
                <c:pt idx="1928">
                  <c:v>27400724.252792999</c:v>
                </c:pt>
                <c:pt idx="1929">
                  <c:v>21845979.923211001</c:v>
                </c:pt>
                <c:pt idx="1930">
                  <c:v>27038186.182964001</c:v>
                </c:pt>
                <c:pt idx="1931">
                  <c:v>30321135.574278999</c:v>
                </c:pt>
                <c:pt idx="1932">
                  <c:v>25938973.138689999</c:v>
                </c:pt>
                <c:pt idx="1933">
                  <c:v>28334864.040020999</c:v>
                </c:pt>
                <c:pt idx="1934">
                  <c:v>24509052.528028</c:v>
                </c:pt>
                <c:pt idx="1935">
                  <c:v>17552144.319173001</c:v>
                </c:pt>
                <c:pt idx="1936">
                  <c:v>18858051.896028999</c:v>
                </c:pt>
                <c:pt idx="1937">
                  <c:v>25673846.238047</c:v>
                </c:pt>
                <c:pt idx="1938">
                  <c:v>37865951.850754999</c:v>
                </c:pt>
                <c:pt idx="1939">
                  <c:v>42004831.567800999</c:v>
                </c:pt>
                <c:pt idx="1940">
                  <c:v>18262282.953356002</c:v>
                </c:pt>
                <c:pt idx="1941">
                  <c:v>31489036.572106998</c:v>
                </c:pt>
                <c:pt idx="1942">
                  <c:v>23649876.699051999</c:v>
                </c:pt>
                <c:pt idx="1943">
                  <c:v>18687293.377303999</c:v>
                </c:pt>
                <c:pt idx="1944">
                  <c:v>23602569.138016999</c:v>
                </c:pt>
                <c:pt idx="1945">
                  <c:v>19334429.319614001</c:v>
                </c:pt>
                <c:pt idx="1946">
                  <c:v>23689609.030272</c:v>
                </c:pt>
                <c:pt idx="1947">
                  <c:v>33571501.955881998</c:v>
                </c:pt>
                <c:pt idx="1948">
                  <c:v>27673771.409936</c:v>
                </c:pt>
                <c:pt idx="1949">
                  <c:v>25008918.385515001</c:v>
                </c:pt>
                <c:pt idx="1950">
                  <c:v>17415604.871421002</c:v>
                </c:pt>
                <c:pt idx="1951">
                  <c:v>28097101.74845</c:v>
                </c:pt>
                <c:pt idx="1952">
                  <c:v>21168270.726034001</c:v>
                </c:pt>
                <c:pt idx="1953">
                  <c:v>19298989.857515</c:v>
                </c:pt>
                <c:pt idx="1954">
                  <c:v>26804385.04346</c:v>
                </c:pt>
                <c:pt idx="1955">
                  <c:v>14258333.242071999</c:v>
                </c:pt>
                <c:pt idx="1956">
                  <c:v>20894761.826947</c:v>
                </c:pt>
                <c:pt idx="1957">
                  <c:v>21864005.263950001</c:v>
                </c:pt>
                <c:pt idx="1958">
                  <c:v>23186976.81639</c:v>
                </c:pt>
                <c:pt idx="1959">
                  <c:v>33868032.427836999</c:v>
                </c:pt>
                <c:pt idx="1960">
                  <c:v>21732195.855629001</c:v>
                </c:pt>
                <c:pt idx="1961">
                  <c:v>29305539.798489001</c:v>
                </c:pt>
                <c:pt idx="1962">
                  <c:v>32919564.306876998</c:v>
                </c:pt>
                <c:pt idx="1963">
                  <c:v>39106963.696147002</c:v>
                </c:pt>
                <c:pt idx="1964">
                  <c:v>27233090.426782001</c:v>
                </c:pt>
                <c:pt idx="1965">
                  <c:v>37010684.959124997</c:v>
                </c:pt>
                <c:pt idx="1966">
                  <c:v>21599415.867789999</c:v>
                </c:pt>
                <c:pt idx="1967">
                  <c:v>19403880.017620999</c:v>
                </c:pt>
                <c:pt idx="1968">
                  <c:v>25812056.556871001</c:v>
                </c:pt>
                <c:pt idx="1969">
                  <c:v>34753365.784391999</c:v>
                </c:pt>
                <c:pt idx="1970">
                  <c:v>17741558.850561</c:v>
                </c:pt>
                <c:pt idx="1971">
                  <c:v>19145373.124545</c:v>
                </c:pt>
                <c:pt idx="1972">
                  <c:v>17388867.862819999</c:v>
                </c:pt>
                <c:pt idx="1973">
                  <c:v>18659180.357232999</c:v>
                </c:pt>
                <c:pt idx="1974">
                  <c:v>17574699.031004</c:v>
                </c:pt>
                <c:pt idx="1975">
                  <c:v>15075060.550519999</c:v>
                </c:pt>
                <c:pt idx="1976">
                  <c:v>19563461.514601</c:v>
                </c:pt>
                <c:pt idx="1977">
                  <c:v>18299899.052648</c:v>
                </c:pt>
                <c:pt idx="1978">
                  <c:v>20724120.023479</c:v>
                </c:pt>
                <c:pt idx="1979">
                  <c:v>24661951.564539</c:v>
                </c:pt>
                <c:pt idx="1980">
                  <c:v>22612057.928479999</c:v>
                </c:pt>
                <c:pt idx="1981">
                  <c:v>25135450.011743002</c:v>
                </c:pt>
                <c:pt idx="1982">
                  <c:v>26890170.758591998</c:v>
                </c:pt>
                <c:pt idx="1983">
                  <c:v>19421186.638084002</c:v>
                </c:pt>
                <c:pt idx="1984">
                  <c:v>16562381.520638</c:v>
                </c:pt>
                <c:pt idx="1985">
                  <c:v>23448954.452683002</c:v>
                </c:pt>
                <c:pt idx="1986">
                  <c:v>25755852.016906999</c:v>
                </c:pt>
                <c:pt idx="1987">
                  <c:v>15866208.788593</c:v>
                </c:pt>
                <c:pt idx="1988">
                  <c:v>12522196.840623001</c:v>
                </c:pt>
                <c:pt idx="1989">
                  <c:v>28723504.351256002</c:v>
                </c:pt>
                <c:pt idx="1990">
                  <c:v>26338239.657552999</c:v>
                </c:pt>
                <c:pt idx="1991">
                  <c:v>18380431.557321999</c:v>
                </c:pt>
                <c:pt idx="1992">
                  <c:v>18694062.862309001</c:v>
                </c:pt>
                <c:pt idx="1993">
                  <c:v>17156977.167815</c:v>
                </c:pt>
                <c:pt idx="1994">
                  <c:v>17502982.623635001</c:v>
                </c:pt>
                <c:pt idx="1995">
                  <c:v>17230851.783654001</c:v>
                </c:pt>
                <c:pt idx="1996">
                  <c:v>19718020.160184</c:v>
                </c:pt>
                <c:pt idx="1997">
                  <c:v>25766584.701614998</c:v>
                </c:pt>
                <c:pt idx="1998">
                  <c:v>24935097.008216001</c:v>
                </c:pt>
                <c:pt idx="1999">
                  <c:v>25251579.646496002</c:v>
                </c:pt>
                <c:pt idx="2000">
                  <c:v>26601055.800838001</c:v>
                </c:pt>
                <c:pt idx="2001">
                  <c:v>25230259.659244001</c:v>
                </c:pt>
                <c:pt idx="2002">
                  <c:v>26988201.337705001</c:v>
                </c:pt>
                <c:pt idx="2003">
                  <c:v>56038079.433504999</c:v>
                </c:pt>
                <c:pt idx="2004">
                  <c:v>18532723.469723001</c:v>
                </c:pt>
                <c:pt idx="2005">
                  <c:v>9398103.0592812002</c:v>
                </c:pt>
                <c:pt idx="2006">
                  <c:v>15187816.704771001</c:v>
                </c:pt>
                <c:pt idx="2007">
                  <c:v>19252095.918977</c:v>
                </c:pt>
                <c:pt idx="2008">
                  <c:v>17100853.509477999</c:v>
                </c:pt>
                <c:pt idx="2009">
                  <c:v>19230174.950523999</c:v>
                </c:pt>
                <c:pt idx="2010">
                  <c:v>23664284.890590001</c:v>
                </c:pt>
                <c:pt idx="2011">
                  <c:v>22082592.467101999</c:v>
                </c:pt>
                <c:pt idx="2012">
                  <c:v>21774192.872396</c:v>
                </c:pt>
                <c:pt idx="2013">
                  <c:v>22877229.877117999</c:v>
                </c:pt>
                <c:pt idx="2014">
                  <c:v>29025034.126789998</c:v>
                </c:pt>
                <c:pt idx="2015">
                  <c:v>22373523.678093001</c:v>
                </c:pt>
                <c:pt idx="2016">
                  <c:v>21677217.8497</c:v>
                </c:pt>
                <c:pt idx="2017">
                  <c:v>22621363.410815001</c:v>
                </c:pt>
                <c:pt idx="2018">
                  <c:v>24569929.773612</c:v>
                </c:pt>
                <c:pt idx="2019">
                  <c:v>22392257.500930998</c:v>
                </c:pt>
                <c:pt idx="2020">
                  <c:v>24951093.141562998</c:v>
                </c:pt>
                <c:pt idx="2021">
                  <c:v>35935365.780703001</c:v>
                </c:pt>
                <c:pt idx="2022">
                  <c:v>30860048.828704</c:v>
                </c:pt>
                <c:pt idx="2023">
                  <c:v>25236949.286439002</c:v>
                </c:pt>
                <c:pt idx="2024">
                  <c:v>20576125.075470999</c:v>
                </c:pt>
                <c:pt idx="2025">
                  <c:v>26051743.626391999</c:v>
                </c:pt>
                <c:pt idx="2026">
                  <c:v>33537429.290890999</c:v>
                </c:pt>
                <c:pt idx="2027">
                  <c:v>26032740.539406002</c:v>
                </c:pt>
                <c:pt idx="2028">
                  <c:v>36725877.203942999</c:v>
                </c:pt>
                <c:pt idx="2029">
                  <c:v>53944850.650480002</c:v>
                </c:pt>
                <c:pt idx="2030">
                  <c:v>37786969.406622</c:v>
                </c:pt>
                <c:pt idx="2031">
                  <c:v>31520656.169029001</c:v>
                </c:pt>
                <c:pt idx="2032">
                  <c:v>38090840.654057004</c:v>
                </c:pt>
                <c:pt idx="2033">
                  <c:v>40969070.671529002</c:v>
                </c:pt>
                <c:pt idx="2034">
                  <c:v>29013905.224493001</c:v>
                </c:pt>
                <c:pt idx="2035">
                  <c:v>35054450.199069999</c:v>
                </c:pt>
                <c:pt idx="2036">
                  <c:v>37474969.043802001</c:v>
                </c:pt>
                <c:pt idx="2037">
                  <c:v>55578367.720278002</c:v>
                </c:pt>
                <c:pt idx="2038">
                  <c:v>49204006.867687002</c:v>
                </c:pt>
                <c:pt idx="2039">
                  <c:v>36901586.906799003</c:v>
                </c:pt>
                <c:pt idx="2040">
                  <c:v>24202684.188347999</c:v>
                </c:pt>
                <c:pt idx="2041">
                  <c:v>29120265.587329999</c:v>
                </c:pt>
                <c:pt idx="2042">
                  <c:v>31276753.016741998</c:v>
                </c:pt>
                <c:pt idx="2043">
                  <c:v>38434417.613439001</c:v>
                </c:pt>
                <c:pt idx="2044">
                  <c:v>50673009.685098998</c:v>
                </c:pt>
                <c:pt idx="2045">
                  <c:v>71224278.505742997</c:v>
                </c:pt>
                <c:pt idx="2046">
                  <c:v>70976367.105756</c:v>
                </c:pt>
                <c:pt idx="2047">
                  <c:v>58791849.008681998</c:v>
                </c:pt>
                <c:pt idx="2048">
                  <c:v>97148467.711665004</c:v>
                </c:pt>
                <c:pt idx="2049">
                  <c:v>101213382.71689001</c:v>
                </c:pt>
                <c:pt idx="2050">
                  <c:v>74060008.811783001</c:v>
                </c:pt>
                <c:pt idx="2051">
                  <c:v>74733776.309434995</c:v>
                </c:pt>
                <c:pt idx="2052">
                  <c:v>51938780.522604004</c:v>
                </c:pt>
                <c:pt idx="2053">
                  <c:v>49856476.902080998</c:v>
                </c:pt>
                <c:pt idx="2054">
                  <c:v>75926603.181716993</c:v>
                </c:pt>
                <c:pt idx="2055">
                  <c:v>73422393.353599995</c:v>
                </c:pt>
                <c:pt idx="2056">
                  <c:v>68141506.021247</c:v>
                </c:pt>
                <c:pt idx="2057">
                  <c:v>58914000.741255</c:v>
                </c:pt>
                <c:pt idx="2058">
                  <c:v>97202120.897027001</c:v>
                </c:pt>
                <c:pt idx="2059">
                  <c:v>96681924.060533002</c:v>
                </c:pt>
                <c:pt idx="2060">
                  <c:v>91654724.509652004</c:v>
                </c:pt>
                <c:pt idx="2061">
                  <c:v>84516715.172043994</c:v>
                </c:pt>
                <c:pt idx="2062">
                  <c:v>85072816.284035996</c:v>
                </c:pt>
                <c:pt idx="2063">
                  <c:v>89586940.676837996</c:v>
                </c:pt>
                <c:pt idx="2064">
                  <c:v>88485441.446840003</c:v>
                </c:pt>
                <c:pt idx="2065">
                  <c:v>82343174.005228996</c:v>
                </c:pt>
                <c:pt idx="2066">
                  <c:v>86035757.097072005</c:v>
                </c:pt>
                <c:pt idx="2067">
                  <c:v>78863912.620260999</c:v>
                </c:pt>
                <c:pt idx="2068">
                  <c:v>67453401.999320999</c:v>
                </c:pt>
                <c:pt idx="2069">
                  <c:v>59474931.203028001</c:v>
                </c:pt>
                <c:pt idx="2070">
                  <c:v>66124964.282266997</c:v>
                </c:pt>
                <c:pt idx="2071">
                  <c:v>81250489.848713994</c:v>
                </c:pt>
                <c:pt idx="2072">
                  <c:v>60442125.980099998</c:v>
                </c:pt>
                <c:pt idx="2073">
                  <c:v>51747299.926371999</c:v>
                </c:pt>
                <c:pt idx="2074">
                  <c:v>43002156.286518</c:v>
                </c:pt>
                <c:pt idx="2075">
                  <c:v>69973760.509674996</c:v>
                </c:pt>
                <c:pt idx="2076">
                  <c:v>65445902.621434003</c:v>
                </c:pt>
                <c:pt idx="2077">
                  <c:v>50378825.804136001</c:v>
                </c:pt>
                <c:pt idx="2078">
                  <c:v>53625148.104405001</c:v>
                </c:pt>
                <c:pt idx="2079">
                  <c:v>43692366.302189998</c:v>
                </c:pt>
                <c:pt idx="2080">
                  <c:v>55129231.023777999</c:v>
                </c:pt>
                <c:pt idx="2081">
                  <c:v>42686805.991011001</c:v>
                </c:pt>
                <c:pt idx="2082">
                  <c:v>52632376.304595999</c:v>
                </c:pt>
                <c:pt idx="2083">
                  <c:v>55015882.078873001</c:v>
                </c:pt>
                <c:pt idx="2084">
                  <c:v>38233416.533082001</c:v>
                </c:pt>
                <c:pt idx="2085">
                  <c:v>58600627.438418001</c:v>
                </c:pt>
                <c:pt idx="2086">
                  <c:v>36129364.969359003</c:v>
                </c:pt>
                <c:pt idx="2087">
                  <c:v>34189209.271913998</c:v>
                </c:pt>
                <c:pt idx="2088">
                  <c:v>35768314.507169999</c:v>
                </c:pt>
                <c:pt idx="2089">
                  <c:v>34610000.541644</c:v>
                </c:pt>
                <c:pt idx="2090">
                  <c:v>35859414.861841999</c:v>
                </c:pt>
                <c:pt idx="2091">
                  <c:v>53473739.746987</c:v>
                </c:pt>
                <c:pt idx="2092">
                  <c:v>56173460.943033002</c:v>
                </c:pt>
                <c:pt idx="2093">
                  <c:v>41049478.270398997</c:v>
                </c:pt>
                <c:pt idx="2094">
                  <c:v>31668150.470008001</c:v>
                </c:pt>
                <c:pt idx="2095">
                  <c:v>38410219.673625</c:v>
                </c:pt>
                <c:pt idx="2096">
                  <c:v>33509920.323472999</c:v>
                </c:pt>
                <c:pt idx="2097">
                  <c:v>29523564.925526999</c:v>
                </c:pt>
                <c:pt idx="2098">
                  <c:v>32230946.328285001</c:v>
                </c:pt>
                <c:pt idx="2099">
                  <c:v>32210117.773699999</c:v>
                </c:pt>
                <c:pt idx="2100">
                  <c:v>33404506.992341001</c:v>
                </c:pt>
                <c:pt idx="2101">
                  <c:v>46618265.288473003</c:v>
                </c:pt>
                <c:pt idx="2102">
                  <c:v>43659675.791579999</c:v>
                </c:pt>
                <c:pt idx="2103">
                  <c:v>48598142.055137999</c:v>
                </c:pt>
                <c:pt idx="2104">
                  <c:v>36812316.114997</c:v>
                </c:pt>
                <c:pt idx="2105">
                  <c:v>27941998.431659002</c:v>
                </c:pt>
                <c:pt idx="2106">
                  <c:v>32503987.342519999</c:v>
                </c:pt>
                <c:pt idx="2107">
                  <c:v>30277027.444678001</c:v>
                </c:pt>
                <c:pt idx="2108">
                  <c:v>21654777.805491999</c:v>
                </c:pt>
                <c:pt idx="2109">
                  <c:v>37507553.077335998</c:v>
                </c:pt>
                <c:pt idx="2110">
                  <c:v>41087971.781767003</c:v>
                </c:pt>
                <c:pt idx="2111">
                  <c:v>35176654.146365002</c:v>
                </c:pt>
                <c:pt idx="2112">
                  <c:v>43822072.788217999</c:v>
                </c:pt>
                <c:pt idx="2113">
                  <c:v>23569916.508673001</c:v>
                </c:pt>
                <c:pt idx="2114">
                  <c:v>32018685.296918001</c:v>
                </c:pt>
                <c:pt idx="2115">
                  <c:v>28396641.221678998</c:v>
                </c:pt>
                <c:pt idx="2116">
                  <c:v>29905106.082341999</c:v>
                </c:pt>
                <c:pt idx="2117">
                  <c:v>41479435.783206999</c:v>
                </c:pt>
                <c:pt idx="2118">
                  <c:v>34531767.532329001</c:v>
                </c:pt>
                <c:pt idx="2119">
                  <c:v>30967841.513006002</c:v>
                </c:pt>
                <c:pt idx="2120">
                  <c:v>45616274.007045999</c:v>
                </c:pt>
                <c:pt idx="2121">
                  <c:v>54955671.338844001</c:v>
                </c:pt>
                <c:pt idx="2122">
                  <c:v>45097709.136537001</c:v>
                </c:pt>
                <c:pt idx="2123">
                  <c:v>34072979.302992001</c:v>
                </c:pt>
                <c:pt idx="2124">
                  <c:v>44248304.627112001</c:v>
                </c:pt>
                <c:pt idx="2125">
                  <c:v>26708925.271494001</c:v>
                </c:pt>
                <c:pt idx="2126">
                  <c:v>23978359.508797001</c:v>
                </c:pt>
                <c:pt idx="2127">
                  <c:v>46207697.865877002</c:v>
                </c:pt>
                <c:pt idx="2128">
                  <c:v>34123498.581276998</c:v>
                </c:pt>
                <c:pt idx="2129">
                  <c:v>32146430.147546999</c:v>
                </c:pt>
                <c:pt idx="2130">
                  <c:v>38201105.858969003</c:v>
                </c:pt>
                <c:pt idx="2131">
                  <c:v>28909152.256007001</c:v>
                </c:pt>
                <c:pt idx="2132">
                  <c:v>56849169.599721</c:v>
                </c:pt>
                <c:pt idx="2133">
                  <c:v>27762985.891745999</c:v>
                </c:pt>
                <c:pt idx="2134">
                  <c:v>35674134.507775001</c:v>
                </c:pt>
                <c:pt idx="2135">
                  <c:v>33335655.227898002</c:v>
                </c:pt>
                <c:pt idx="2136">
                  <c:v>30481077.455215</c:v>
                </c:pt>
                <c:pt idx="2137">
                  <c:v>33165575.500546999</c:v>
                </c:pt>
                <c:pt idx="2138">
                  <c:v>34936378.381461002</c:v>
                </c:pt>
                <c:pt idx="2139">
                  <c:v>34935642.256275997</c:v>
                </c:pt>
                <c:pt idx="2140">
                  <c:v>34438284.753035001</c:v>
                </c:pt>
                <c:pt idx="2141">
                  <c:v>27218206.159846</c:v>
                </c:pt>
                <c:pt idx="2142">
                  <c:v>39651516.140437998</c:v>
                </c:pt>
                <c:pt idx="2143">
                  <c:v>39086112.617564999</c:v>
                </c:pt>
                <c:pt idx="2144">
                  <c:v>33458556.395291999</c:v>
                </c:pt>
                <c:pt idx="2145">
                  <c:v>31130807.752487</c:v>
                </c:pt>
                <c:pt idx="2146">
                  <c:v>32892799.655188002</c:v>
                </c:pt>
                <c:pt idx="2147">
                  <c:v>38351026.608747996</c:v>
                </c:pt>
                <c:pt idx="2148">
                  <c:v>39620500.596170999</c:v>
                </c:pt>
                <c:pt idx="2149">
                  <c:v>51577543.725525998</c:v>
                </c:pt>
                <c:pt idx="2150">
                  <c:v>70138484.644761994</c:v>
                </c:pt>
                <c:pt idx="2151">
                  <c:v>41410131.491182998</c:v>
                </c:pt>
                <c:pt idx="2152">
                  <c:v>31359775.446933001</c:v>
                </c:pt>
                <c:pt idx="2153">
                  <c:v>24175641.058148999</c:v>
                </c:pt>
                <c:pt idx="2154">
                  <c:v>20413008.334734</c:v>
                </c:pt>
                <c:pt idx="2155">
                  <c:v>26076522.071045998</c:v>
                </c:pt>
                <c:pt idx="2156">
                  <c:v>53285100.245870002</c:v>
                </c:pt>
                <c:pt idx="2157">
                  <c:v>82122622.095222995</c:v>
                </c:pt>
                <c:pt idx="2158">
                  <c:v>51238961.974450998</c:v>
                </c:pt>
                <c:pt idx="2159">
                  <c:v>30005765.826228999</c:v>
                </c:pt>
                <c:pt idx="2160">
                  <c:v>33954968.914466001</c:v>
                </c:pt>
                <c:pt idx="2161">
                  <c:v>28926296.089398999</c:v>
                </c:pt>
                <c:pt idx="2162">
                  <c:v>38175959.863632999</c:v>
                </c:pt>
                <c:pt idx="2163">
                  <c:v>37895223.832868002</c:v>
                </c:pt>
                <c:pt idx="2164">
                  <c:v>29156021.409209002</c:v>
                </c:pt>
                <c:pt idx="2165">
                  <c:v>23486788.625222001</c:v>
                </c:pt>
                <c:pt idx="2166">
                  <c:v>18672813.5185</c:v>
                </c:pt>
                <c:pt idx="2167">
                  <c:v>20987110.215833999</c:v>
                </c:pt>
                <c:pt idx="2168">
                  <c:v>22184290.362500999</c:v>
                </c:pt>
                <c:pt idx="2169">
                  <c:v>28656498.530772001</c:v>
                </c:pt>
                <c:pt idx="2170">
                  <c:v>27986355.349048998</c:v>
                </c:pt>
                <c:pt idx="2171">
                  <c:v>37599358.842652</c:v>
                </c:pt>
                <c:pt idx="2172">
                  <c:v>26408363.004025001</c:v>
                </c:pt>
                <c:pt idx="2173">
                  <c:v>23901916.133450001</c:v>
                </c:pt>
                <c:pt idx="2174">
                  <c:v>41075688.012699001</c:v>
                </c:pt>
                <c:pt idx="2175">
                  <c:v>59747483.856050998</c:v>
                </c:pt>
                <c:pt idx="2176">
                  <c:v>27272126.561721999</c:v>
                </c:pt>
                <c:pt idx="2177">
                  <c:v>29845795.278388001</c:v>
                </c:pt>
                <c:pt idx="2178">
                  <c:v>26751783.319244999</c:v>
                </c:pt>
                <c:pt idx="2179">
                  <c:v>35350116.568582997</c:v>
                </c:pt>
                <c:pt idx="2180">
                  <c:v>60575301.161710002</c:v>
                </c:pt>
                <c:pt idx="2181">
                  <c:v>61886150.708333999</c:v>
                </c:pt>
                <c:pt idx="2182">
                  <c:v>54895400.193552002</c:v>
                </c:pt>
                <c:pt idx="2183">
                  <c:v>47380218.330784999</c:v>
                </c:pt>
                <c:pt idx="2184">
                  <c:v>36782213.816435002</c:v>
                </c:pt>
                <c:pt idx="2185">
                  <c:v>34872190.108274996</c:v>
                </c:pt>
                <c:pt idx="2186">
                  <c:v>31507057.817575</c:v>
                </c:pt>
                <c:pt idx="2187">
                  <c:v>22636735.015147999</c:v>
                </c:pt>
                <c:pt idx="2188">
                  <c:v>27354656.535425998</c:v>
                </c:pt>
                <c:pt idx="2189">
                  <c:v>35277944.562177002</c:v>
                </c:pt>
                <c:pt idx="2190">
                  <c:v>57282092.089628004</c:v>
                </c:pt>
                <c:pt idx="2191">
                  <c:v>41323413.077799</c:v>
                </c:pt>
                <c:pt idx="2192">
                  <c:v>34765346.503314003</c:v>
                </c:pt>
                <c:pt idx="2193">
                  <c:v>31951010.923243999</c:v>
                </c:pt>
                <c:pt idx="2194">
                  <c:v>32364574.037478998</c:v>
                </c:pt>
                <c:pt idx="2195">
                  <c:v>30533650.512526002</c:v>
                </c:pt>
                <c:pt idx="2196">
                  <c:v>33196900.237868</c:v>
                </c:pt>
                <c:pt idx="2197">
                  <c:v>25375607.013753999</c:v>
                </c:pt>
                <c:pt idx="2198">
                  <c:v>35088989.725096002</c:v>
                </c:pt>
                <c:pt idx="2199">
                  <c:v>28169882.926601</c:v>
                </c:pt>
                <c:pt idx="2200">
                  <c:v>34389571.489804998</c:v>
                </c:pt>
                <c:pt idx="2201">
                  <c:v>22126014.638604999</c:v>
                </c:pt>
                <c:pt idx="2202">
                  <c:v>29617710.115107</c:v>
                </c:pt>
                <c:pt idx="2203">
                  <c:v>26637497.580814999</c:v>
                </c:pt>
                <c:pt idx="2204">
                  <c:v>20667938.007513002</c:v>
                </c:pt>
                <c:pt idx="2205">
                  <c:v>27443427.704016998</c:v>
                </c:pt>
                <c:pt idx="2206">
                  <c:v>41968278.191655003</c:v>
                </c:pt>
                <c:pt idx="2207">
                  <c:v>30029063.829971999</c:v>
                </c:pt>
                <c:pt idx="2208">
                  <c:v>24325129.756705001</c:v>
                </c:pt>
                <c:pt idx="2209">
                  <c:v>23579715.471312001</c:v>
                </c:pt>
                <c:pt idx="2210">
                  <c:v>27028360.601055</c:v>
                </c:pt>
                <c:pt idx="2211">
                  <c:v>28654715.039714999</c:v>
                </c:pt>
                <c:pt idx="2212">
                  <c:v>23600924.886213999</c:v>
                </c:pt>
                <c:pt idx="2213">
                  <c:v>23571253.615059</c:v>
                </c:pt>
                <c:pt idx="2214">
                  <c:v>23183890.004944</c:v>
                </c:pt>
                <c:pt idx="2215">
                  <c:v>19582744.103916001</c:v>
                </c:pt>
                <c:pt idx="2216">
                  <c:v>38493713.060122997</c:v>
                </c:pt>
                <c:pt idx="2217">
                  <c:v>38067160.766177997</c:v>
                </c:pt>
                <c:pt idx="2218">
                  <c:v>53102279.102776997</c:v>
                </c:pt>
                <c:pt idx="2219">
                  <c:v>32603212.717307001</c:v>
                </c:pt>
                <c:pt idx="2220">
                  <c:v>38357369.161619999</c:v>
                </c:pt>
                <c:pt idx="2221">
                  <c:v>31990823.112272002</c:v>
                </c:pt>
                <c:pt idx="2222">
                  <c:v>28536666.769919999</c:v>
                </c:pt>
                <c:pt idx="2223">
                  <c:v>43887602.263061002</c:v>
                </c:pt>
                <c:pt idx="2224">
                  <c:v>37423874.379768997</c:v>
                </c:pt>
                <c:pt idx="2225">
                  <c:v>26171610.197058</c:v>
                </c:pt>
                <c:pt idx="2226">
                  <c:v>46048359.013778001</c:v>
                </c:pt>
                <c:pt idx="2227">
                  <c:v>45685499.465078004</c:v>
                </c:pt>
                <c:pt idx="2228">
                  <c:v>30537256.399728</c:v>
                </c:pt>
                <c:pt idx="2229">
                  <c:v>22421168.075270001</c:v>
                </c:pt>
                <c:pt idx="2230">
                  <c:v>19324158.376850002</c:v>
                </c:pt>
                <c:pt idx="2231">
                  <c:v>25882685.669461999</c:v>
                </c:pt>
                <c:pt idx="2232">
                  <c:v>25053687.901581999</c:v>
                </c:pt>
                <c:pt idx="2233">
                  <c:v>29352635.429186001</c:v>
                </c:pt>
                <c:pt idx="2234">
                  <c:v>25648956.197225001</c:v>
                </c:pt>
                <c:pt idx="2235">
                  <c:v>23631999.811930999</c:v>
                </c:pt>
                <c:pt idx="2236">
                  <c:v>26570479.474516001</c:v>
                </c:pt>
                <c:pt idx="2237">
                  <c:v>35153211.784277998</c:v>
                </c:pt>
                <c:pt idx="2238">
                  <c:v>21738561.956319001</c:v>
                </c:pt>
                <c:pt idx="2239">
                  <c:v>15013387.798304001</c:v>
                </c:pt>
                <c:pt idx="2240">
                  <c:v>34206634.655272998</c:v>
                </c:pt>
                <c:pt idx="2241">
                  <c:v>31999522.494314998</c:v>
                </c:pt>
                <c:pt idx="2242">
                  <c:v>24543827.532209001</c:v>
                </c:pt>
                <c:pt idx="2243">
                  <c:v>25988466.551277999</c:v>
                </c:pt>
                <c:pt idx="2244">
                  <c:v>25517873.699724998</c:v>
                </c:pt>
                <c:pt idx="2245">
                  <c:v>25452748.633016001</c:v>
                </c:pt>
                <c:pt idx="2246">
                  <c:v>24071774.716102</c:v>
                </c:pt>
                <c:pt idx="2247">
                  <c:v>33539552.689544</c:v>
                </c:pt>
                <c:pt idx="2248">
                  <c:v>27380838.634638999</c:v>
                </c:pt>
                <c:pt idx="2249">
                  <c:v>32049306.671234</c:v>
                </c:pt>
                <c:pt idx="2250">
                  <c:v>29792922.242387</c:v>
                </c:pt>
                <c:pt idx="2251">
                  <c:v>27951168.770009998</c:v>
                </c:pt>
                <c:pt idx="2252">
                  <c:v>36232771.617098004</c:v>
                </c:pt>
                <c:pt idx="2253">
                  <c:v>33638707.420884997</c:v>
                </c:pt>
                <c:pt idx="2254">
                  <c:v>65542866.382129997</c:v>
                </c:pt>
                <c:pt idx="2255">
                  <c:v>38465951.209646001</c:v>
                </c:pt>
                <c:pt idx="2256">
                  <c:v>23425380.018066</c:v>
                </c:pt>
                <c:pt idx="2257">
                  <c:v>19345425.125565</c:v>
                </c:pt>
                <c:pt idx="2258">
                  <c:v>10914932.513483999</c:v>
                </c:pt>
                <c:pt idx="2259">
                  <c:v>18552823.065848999</c:v>
                </c:pt>
                <c:pt idx="2260">
                  <c:v>18004227.564045001</c:v>
                </c:pt>
                <c:pt idx="2261">
                  <c:v>20972435.831599999</c:v>
                </c:pt>
                <c:pt idx="2262">
                  <c:v>21665363.060399</c:v>
                </c:pt>
                <c:pt idx="2263">
                  <c:v>38412417.810996003</c:v>
                </c:pt>
                <c:pt idx="2264">
                  <c:v>24645671.833588999</c:v>
                </c:pt>
                <c:pt idx="2265">
                  <c:v>37171507.323591001</c:v>
                </c:pt>
                <c:pt idx="2266">
                  <c:v>28650901.317446001</c:v>
                </c:pt>
                <c:pt idx="2267">
                  <c:v>23748991.501488999</c:v>
                </c:pt>
                <c:pt idx="2268">
                  <c:v>23842951.379999999</c:v>
                </c:pt>
                <c:pt idx="2269">
                  <c:v>24052245.386634</c:v>
                </c:pt>
                <c:pt idx="2270">
                  <c:v>20780782.210115999</c:v>
                </c:pt>
                <c:pt idx="2271">
                  <c:v>30360217.781032</c:v>
                </c:pt>
                <c:pt idx="2272">
                  <c:v>32842869.072287999</c:v>
                </c:pt>
                <c:pt idx="2273">
                  <c:v>31533508.157118998</c:v>
                </c:pt>
                <c:pt idx="2274">
                  <c:v>39081888.344255999</c:v>
                </c:pt>
                <c:pt idx="2275">
                  <c:v>31811479.879124999</c:v>
                </c:pt>
                <c:pt idx="2276">
                  <c:v>31214667.665849</c:v>
                </c:pt>
                <c:pt idx="2277">
                  <c:v>34296992.741853997</c:v>
                </c:pt>
                <c:pt idx="2278">
                  <c:v>50867657.974403001</c:v>
                </c:pt>
                <c:pt idx="2279">
                  <c:v>72283601.550816</c:v>
                </c:pt>
                <c:pt idx="2280">
                  <c:v>50807198.446588002</c:v>
                </c:pt>
                <c:pt idx="2281">
                  <c:v>43970971.767576002</c:v>
                </c:pt>
                <c:pt idx="2282">
                  <c:v>34464689.020764999</c:v>
                </c:pt>
                <c:pt idx="2283">
                  <c:v>26811350.077714</c:v>
                </c:pt>
                <c:pt idx="2284">
                  <c:v>28096003.191672999</c:v>
                </c:pt>
                <c:pt idx="2285">
                  <c:v>26169692.585836001</c:v>
                </c:pt>
                <c:pt idx="2286">
                  <c:v>18678268.421117999</c:v>
                </c:pt>
                <c:pt idx="2287">
                  <c:v>22979012.749414999</c:v>
                </c:pt>
                <c:pt idx="2288">
                  <c:v>24378762.465707</c:v>
                </c:pt>
                <c:pt idx="2289">
                  <c:v>22952916.65092</c:v>
                </c:pt>
                <c:pt idx="2290">
                  <c:v>16295016.553719999</c:v>
                </c:pt>
                <c:pt idx="2291">
                  <c:v>17133010.610881001</c:v>
                </c:pt>
                <c:pt idx="2292">
                  <c:v>27651548.415155999</c:v>
                </c:pt>
                <c:pt idx="2293">
                  <c:v>22370061.125418</c:v>
                </c:pt>
                <c:pt idx="2294">
                  <c:v>17469845.728349</c:v>
                </c:pt>
                <c:pt idx="2295">
                  <c:v>26074980.201051001</c:v>
                </c:pt>
                <c:pt idx="2296">
                  <c:v>37618976.220473997</c:v>
                </c:pt>
                <c:pt idx="2297">
                  <c:v>31141852.701701999</c:v>
                </c:pt>
                <c:pt idx="2298">
                  <c:v>27186764.707265001</c:v>
                </c:pt>
                <c:pt idx="2299">
                  <c:v>40813810.710575998</c:v>
                </c:pt>
                <c:pt idx="2300">
                  <c:v>39035396.766213</c:v>
                </c:pt>
                <c:pt idx="2301">
                  <c:v>26147475.733963002</c:v>
                </c:pt>
                <c:pt idx="2302">
                  <c:v>23546049.262091</c:v>
                </c:pt>
                <c:pt idx="2303">
                  <c:v>35123829.229812004</c:v>
                </c:pt>
                <c:pt idx="2304">
                  <c:v>46166117.543062001</c:v>
                </c:pt>
                <c:pt idx="2305">
                  <c:v>43219290.691845</c:v>
                </c:pt>
                <c:pt idx="2306">
                  <c:v>36401552.119332999</c:v>
                </c:pt>
                <c:pt idx="2307">
                  <c:v>34144316.897679999</c:v>
                </c:pt>
                <c:pt idx="2308">
                  <c:v>30703394.427554999</c:v>
                </c:pt>
                <c:pt idx="2309">
                  <c:v>30869336.906132001</c:v>
                </c:pt>
                <c:pt idx="2310">
                  <c:v>23382145.205267999</c:v>
                </c:pt>
                <c:pt idx="2311">
                  <c:v>26880135.293981001</c:v>
                </c:pt>
                <c:pt idx="2312">
                  <c:v>28995569.66688</c:v>
                </c:pt>
                <c:pt idx="2313">
                  <c:v>30512741.076313999</c:v>
                </c:pt>
                <c:pt idx="2314">
                  <c:v>35973010.546902001</c:v>
                </c:pt>
                <c:pt idx="2315">
                  <c:v>47923823.743371002</c:v>
                </c:pt>
                <c:pt idx="2316">
                  <c:v>31095811.603606999</c:v>
                </c:pt>
                <c:pt idx="2317">
                  <c:v>32655784.750799999</c:v>
                </c:pt>
                <c:pt idx="2318">
                  <c:v>26444004.158280998</c:v>
                </c:pt>
                <c:pt idx="2319">
                  <c:v>35157196.484160997</c:v>
                </c:pt>
                <c:pt idx="2320">
                  <c:v>26299219.903703</c:v>
                </c:pt>
                <c:pt idx="2321">
                  <c:v>26038705.303415</c:v>
                </c:pt>
                <c:pt idx="2322">
                  <c:v>25589259.413863</c:v>
                </c:pt>
                <c:pt idx="2323">
                  <c:v>45026290.660222001</c:v>
                </c:pt>
                <c:pt idx="2324">
                  <c:v>31313573.609402001</c:v>
                </c:pt>
                <c:pt idx="2325">
                  <c:v>38097560.995793</c:v>
                </c:pt>
                <c:pt idx="2326">
                  <c:v>23669354.837616</c:v>
                </c:pt>
                <c:pt idx="2327">
                  <c:v>23450447.179414</c:v>
                </c:pt>
                <c:pt idx="2328">
                  <c:v>24384922.778965998</c:v>
                </c:pt>
                <c:pt idx="2329">
                  <c:v>25109122.530365001</c:v>
                </c:pt>
                <c:pt idx="2330">
                  <c:v>28021700.619887002</c:v>
                </c:pt>
                <c:pt idx="2331">
                  <c:v>24604021.891146</c:v>
                </c:pt>
                <c:pt idx="2332">
                  <c:v>23812840.890896</c:v>
                </c:pt>
                <c:pt idx="2333">
                  <c:v>26451595.769184999</c:v>
                </c:pt>
                <c:pt idx="2334">
                  <c:v>25678614.158746</c:v>
                </c:pt>
                <c:pt idx="2335">
                  <c:v>23955610.271535002</c:v>
                </c:pt>
                <c:pt idx="2336">
                  <c:v>20357112.987824999</c:v>
                </c:pt>
                <c:pt idx="2337">
                  <c:v>24803139.146276999</c:v>
                </c:pt>
                <c:pt idx="2338">
                  <c:v>26429581.63329</c:v>
                </c:pt>
                <c:pt idx="2339">
                  <c:v>22190648.272643998</c:v>
                </c:pt>
                <c:pt idx="2340">
                  <c:v>20398884.764616001</c:v>
                </c:pt>
                <c:pt idx="2341">
                  <c:v>32011551.332685001</c:v>
                </c:pt>
                <c:pt idx="2342">
                  <c:v>48411403.784153998</c:v>
                </c:pt>
                <c:pt idx="2343">
                  <c:v>41894263.312743999</c:v>
                </c:pt>
                <c:pt idx="2344">
                  <c:v>31940212.714179002</c:v>
                </c:pt>
                <c:pt idx="2345">
                  <c:v>20257708.444876999</c:v>
                </c:pt>
                <c:pt idx="2346">
                  <c:v>33809403.486708</c:v>
                </c:pt>
                <c:pt idx="2347">
                  <c:v>22605616.065257002</c:v>
                </c:pt>
                <c:pt idx="2348">
                  <c:v>27342970.676105998</c:v>
                </c:pt>
                <c:pt idx="2349">
                  <c:v>27902221.052446999</c:v>
                </c:pt>
                <c:pt idx="2350">
                  <c:v>30242099.891608</c:v>
                </c:pt>
                <c:pt idx="2351">
                  <c:v>34723417.058541</c:v>
                </c:pt>
                <c:pt idx="2352">
                  <c:v>37864045.501529001</c:v>
                </c:pt>
                <c:pt idx="2353">
                  <c:v>30576940.611499</c:v>
                </c:pt>
                <c:pt idx="2354">
                  <c:v>24669679.343246002</c:v>
                </c:pt>
                <c:pt idx="2355">
                  <c:v>25773144.303916</c:v>
                </c:pt>
                <c:pt idx="2356">
                  <c:v>20816525.746179</c:v>
                </c:pt>
                <c:pt idx="2357">
                  <c:v>26506328.058781002</c:v>
                </c:pt>
                <c:pt idx="2358">
                  <c:v>22449932.243627001</c:v>
                </c:pt>
                <c:pt idx="2359">
                  <c:v>22514131.778811</c:v>
                </c:pt>
                <c:pt idx="2360">
                  <c:v>22049174.021850001</c:v>
                </c:pt>
                <c:pt idx="2361">
                  <c:v>18231529.506510999</c:v>
                </c:pt>
                <c:pt idx="2362">
                  <c:v>18300830.727081001</c:v>
                </c:pt>
                <c:pt idx="2363">
                  <c:v>25153647.353916999</c:v>
                </c:pt>
                <c:pt idx="2364">
                  <c:v>18819163.190891001</c:v>
                </c:pt>
                <c:pt idx="2365">
                  <c:v>23904593.417672999</c:v>
                </c:pt>
                <c:pt idx="2366">
                  <c:v>19984629.549373999</c:v>
                </c:pt>
                <c:pt idx="2367">
                  <c:v>26061364.444688</c:v>
                </c:pt>
                <c:pt idx="2368">
                  <c:v>26033954.787622999</c:v>
                </c:pt>
                <c:pt idx="2369">
                  <c:v>23766455.789933</c:v>
                </c:pt>
                <c:pt idx="2370">
                  <c:v>23123698.717459001</c:v>
                </c:pt>
                <c:pt idx="2371">
                  <c:v>18471810.390508</c:v>
                </c:pt>
                <c:pt idx="2372">
                  <c:v>25295114.437984001</c:v>
                </c:pt>
                <c:pt idx="2373">
                  <c:v>19565535.769986998</c:v>
                </c:pt>
                <c:pt idx="2374">
                  <c:v>19720801.873847999</c:v>
                </c:pt>
                <c:pt idx="2375">
                  <c:v>18576123.117228001</c:v>
                </c:pt>
                <c:pt idx="2376">
                  <c:v>28030555.622276001</c:v>
                </c:pt>
                <c:pt idx="2377">
                  <c:v>28386427.612725999</c:v>
                </c:pt>
                <c:pt idx="2378">
                  <c:v>38310084.124582998</c:v>
                </c:pt>
                <c:pt idx="2379">
                  <c:v>27491118.173007</c:v>
                </c:pt>
                <c:pt idx="2380">
                  <c:v>25429469.057999</c:v>
                </c:pt>
                <c:pt idx="2381">
                  <c:v>20099940.12968</c:v>
                </c:pt>
                <c:pt idx="2382">
                  <c:v>22085546.182201002</c:v>
                </c:pt>
                <c:pt idx="2383">
                  <c:v>26373801.977818001</c:v>
                </c:pt>
                <c:pt idx="2384">
                  <c:v>20173407.265932001</c:v>
                </c:pt>
                <c:pt idx="2385">
                  <c:v>20531551.108651999</c:v>
                </c:pt>
                <c:pt idx="2386">
                  <c:v>22301377.267138001</c:v>
                </c:pt>
                <c:pt idx="2387">
                  <c:v>17223397.364369001</c:v>
                </c:pt>
                <c:pt idx="2388">
                  <c:v>27262805.722116001</c:v>
                </c:pt>
                <c:pt idx="2389">
                  <c:v>32505570.165240001</c:v>
                </c:pt>
                <c:pt idx="2390">
                  <c:v>23952705.699703</c:v>
                </c:pt>
                <c:pt idx="2391">
                  <c:v>25351723.386080999</c:v>
                </c:pt>
                <c:pt idx="2392">
                  <c:v>24628893.503242999</c:v>
                </c:pt>
                <c:pt idx="2393">
                  <c:v>19495473.852600001</c:v>
                </c:pt>
                <c:pt idx="2394">
                  <c:v>26897974.299835999</c:v>
                </c:pt>
                <c:pt idx="2395">
                  <c:v>23801977.157476999</c:v>
                </c:pt>
                <c:pt idx="2396">
                  <c:v>23277372.784240998</c:v>
                </c:pt>
                <c:pt idx="2397">
                  <c:v>26966681.705931</c:v>
                </c:pt>
                <c:pt idx="2398">
                  <c:v>33916443.664737999</c:v>
                </c:pt>
                <c:pt idx="2399">
                  <c:v>27041745.998353999</c:v>
                </c:pt>
                <c:pt idx="2400">
                  <c:v>25089879.869954001</c:v>
                </c:pt>
                <c:pt idx="2401">
                  <c:v>24080425.978696998</c:v>
                </c:pt>
                <c:pt idx="2402">
                  <c:v>23446094.928846002</c:v>
                </c:pt>
                <c:pt idx="2403">
                  <c:v>23866247.336105999</c:v>
                </c:pt>
                <c:pt idx="2404">
                  <c:v>34604789.307724997</c:v>
                </c:pt>
                <c:pt idx="2405">
                  <c:v>34566459.607247002</c:v>
                </c:pt>
                <c:pt idx="2406">
                  <c:v>18709338.227742001</c:v>
                </c:pt>
                <c:pt idx="2407">
                  <c:v>21568575.39641</c:v>
                </c:pt>
                <c:pt idx="2408">
                  <c:v>16751791.956754001</c:v>
                </c:pt>
                <c:pt idx="2409">
                  <c:v>18411478.839947999</c:v>
                </c:pt>
                <c:pt idx="2410">
                  <c:v>16673471.922907</c:v>
                </c:pt>
                <c:pt idx="2411">
                  <c:v>14314107.778450999</c:v>
                </c:pt>
                <c:pt idx="2412">
                  <c:v>17083359.530310001</c:v>
                </c:pt>
                <c:pt idx="2413">
                  <c:v>16597605.980944</c:v>
                </c:pt>
                <c:pt idx="2414">
                  <c:v>19170972.671284001</c:v>
                </c:pt>
                <c:pt idx="2415">
                  <c:v>14371535.780995</c:v>
                </c:pt>
                <c:pt idx="2416">
                  <c:v>15004292.198672</c:v>
                </c:pt>
                <c:pt idx="2417">
                  <c:v>18792495.801918</c:v>
                </c:pt>
                <c:pt idx="2418">
                  <c:v>23186545.788988002</c:v>
                </c:pt>
                <c:pt idx="2419">
                  <c:v>20673082.693257999</c:v>
                </c:pt>
                <c:pt idx="2420">
                  <c:v>22419646.681634001</c:v>
                </c:pt>
                <c:pt idx="2421">
                  <c:v>30680660.547561999</c:v>
                </c:pt>
                <c:pt idx="2422">
                  <c:v>41952864.610783003</c:v>
                </c:pt>
                <c:pt idx="2423">
                  <c:v>23465108.254012998</c:v>
                </c:pt>
                <c:pt idx="2424">
                  <c:v>18681278.446210001</c:v>
                </c:pt>
                <c:pt idx="2425">
                  <c:v>20562464.271113999</c:v>
                </c:pt>
                <c:pt idx="2426">
                  <c:v>18157412.245793998</c:v>
                </c:pt>
                <c:pt idx="2427">
                  <c:v>23234434.878681</c:v>
                </c:pt>
                <c:pt idx="2428">
                  <c:v>16802744.310077999</c:v>
                </c:pt>
                <c:pt idx="2429">
                  <c:v>27016385.001223002</c:v>
                </c:pt>
                <c:pt idx="2430">
                  <c:v>19511803.750635002</c:v>
                </c:pt>
                <c:pt idx="2431">
                  <c:v>16743617.793375</c:v>
                </c:pt>
                <c:pt idx="2432">
                  <c:v>15161881.345709</c:v>
                </c:pt>
                <c:pt idx="2433">
                  <c:v>17662006.139772002</c:v>
                </c:pt>
                <c:pt idx="2434">
                  <c:v>15465300.065562</c:v>
                </c:pt>
                <c:pt idx="2435">
                  <c:v>20481207.927073002</c:v>
                </c:pt>
                <c:pt idx="2436">
                  <c:v>20179404.792118002</c:v>
                </c:pt>
                <c:pt idx="2437">
                  <c:v>24310784.018068001</c:v>
                </c:pt>
                <c:pt idx="2438">
                  <c:v>22461219.837722</c:v>
                </c:pt>
                <c:pt idx="2439">
                  <c:v>29144948.816904999</c:v>
                </c:pt>
                <c:pt idx="2440">
                  <c:v>20094560.989601001</c:v>
                </c:pt>
                <c:pt idx="2441">
                  <c:v>42523105.673983</c:v>
                </c:pt>
                <c:pt idx="2442">
                  <c:v>39343266.023166999</c:v>
                </c:pt>
                <c:pt idx="2443">
                  <c:v>22986092.45129</c:v>
                </c:pt>
                <c:pt idx="2444">
                  <c:v>27366872.732503001</c:v>
                </c:pt>
                <c:pt idx="2445">
                  <c:v>19122031.096627999</c:v>
                </c:pt>
                <c:pt idx="2446">
                  <c:v>15416129.15566</c:v>
                </c:pt>
                <c:pt idx="2447">
                  <c:v>24227318.274657998</c:v>
                </c:pt>
                <c:pt idx="2448">
                  <c:v>44387330.928926997</c:v>
                </c:pt>
                <c:pt idx="2449">
                  <c:v>27086643.491675999</c:v>
                </c:pt>
                <c:pt idx="2450">
                  <c:v>33243174.766479999</c:v>
                </c:pt>
                <c:pt idx="2451">
                  <c:v>30923038.210942999</c:v>
                </c:pt>
                <c:pt idx="2452">
                  <c:v>32222672.854554001</c:v>
                </c:pt>
                <c:pt idx="2453">
                  <c:v>25688129.523782998</c:v>
                </c:pt>
                <c:pt idx="2454">
                  <c:v>28781365.428838</c:v>
                </c:pt>
                <c:pt idx="2455">
                  <c:v>20998682.431350999</c:v>
                </c:pt>
                <c:pt idx="2456">
                  <c:v>18177574.294822</c:v>
                </c:pt>
                <c:pt idx="2457">
                  <c:v>19835367.114606999</c:v>
                </c:pt>
                <c:pt idx="2458">
                  <c:v>18474039.242419999</c:v>
                </c:pt>
                <c:pt idx="2459">
                  <c:v>24075492.199473001</c:v>
                </c:pt>
                <c:pt idx="2460">
                  <c:v>28021137.519954</c:v>
                </c:pt>
                <c:pt idx="2461">
                  <c:v>26090804.332965001</c:v>
                </c:pt>
                <c:pt idx="2462">
                  <c:v>23361442.580304999</c:v>
                </c:pt>
                <c:pt idx="2463">
                  <c:v>18173914.145263001</c:v>
                </c:pt>
                <c:pt idx="2464">
                  <c:v>16996997.405611001</c:v>
                </c:pt>
                <c:pt idx="2465">
                  <c:v>17388626.241758</c:v>
                </c:pt>
                <c:pt idx="2466">
                  <c:v>17934632.507693</c:v>
                </c:pt>
                <c:pt idx="2467">
                  <c:v>18042693.432325002</c:v>
                </c:pt>
                <c:pt idx="2468">
                  <c:v>28889069.040968999</c:v>
                </c:pt>
                <c:pt idx="2469">
                  <c:v>54051284.728216998</c:v>
                </c:pt>
                <c:pt idx="2470">
                  <c:v>27029340.394935999</c:v>
                </c:pt>
                <c:pt idx="2471">
                  <c:v>35732891.426159002</c:v>
                </c:pt>
                <c:pt idx="2472">
                  <c:v>27826140.108690999</c:v>
                </c:pt>
                <c:pt idx="2473">
                  <c:v>27223767.539540999</c:v>
                </c:pt>
                <c:pt idx="2474">
                  <c:v>22098040.857788999</c:v>
                </c:pt>
                <c:pt idx="2475">
                  <c:v>24659471.877200998</c:v>
                </c:pt>
                <c:pt idx="2476">
                  <c:v>23197817.001993999</c:v>
                </c:pt>
                <c:pt idx="2477">
                  <c:v>21478187.619105</c:v>
                </c:pt>
                <c:pt idx="2478">
                  <c:v>21899969.944713999</c:v>
                </c:pt>
                <c:pt idx="2479">
                  <c:v>26210169.232783001</c:v>
                </c:pt>
                <c:pt idx="2480">
                  <c:v>17318471.156927999</c:v>
                </c:pt>
                <c:pt idx="2481">
                  <c:v>24493837.56786</c:v>
                </c:pt>
                <c:pt idx="2482">
                  <c:v>17188108.403524</c:v>
                </c:pt>
                <c:pt idx="2483">
                  <c:v>21467736.484363001</c:v>
                </c:pt>
                <c:pt idx="2484">
                  <c:v>19547529.881790001</c:v>
                </c:pt>
                <c:pt idx="2485">
                  <c:v>23046125.046976</c:v>
                </c:pt>
                <c:pt idx="2486">
                  <c:v>22533024.293444999</c:v>
                </c:pt>
                <c:pt idx="2487">
                  <c:v>31835905.106548999</c:v>
                </c:pt>
                <c:pt idx="2488">
                  <c:v>31216701.992332</c:v>
                </c:pt>
                <c:pt idx="2489">
                  <c:v>22223093.066923</c:v>
                </c:pt>
                <c:pt idx="2490">
                  <c:v>24845316.355018999</c:v>
                </c:pt>
                <c:pt idx="2491">
                  <c:v>29304275.383188002</c:v>
                </c:pt>
                <c:pt idx="2492">
                  <c:v>43997848.015431002</c:v>
                </c:pt>
                <c:pt idx="2493">
                  <c:v>34267405.423777997</c:v>
                </c:pt>
                <c:pt idx="2494">
                  <c:v>31563896.100917</c:v>
                </c:pt>
                <c:pt idx="2495">
                  <c:v>42862824.886921003</c:v>
                </c:pt>
                <c:pt idx="2496">
                  <c:v>30811450.233098</c:v>
                </c:pt>
                <c:pt idx="2497">
                  <c:v>31826490.075681001</c:v>
                </c:pt>
                <c:pt idx="2498">
                  <c:v>25403164.100618999</c:v>
                </c:pt>
                <c:pt idx="2499">
                  <c:v>22790282.128490001</c:v>
                </c:pt>
                <c:pt idx="2500">
                  <c:v>39083705.621308997</c:v>
                </c:pt>
                <c:pt idx="2501">
                  <c:v>29648937.589713</c:v>
                </c:pt>
                <c:pt idx="2502">
                  <c:v>45591217.083878003</c:v>
                </c:pt>
                <c:pt idx="2503">
                  <c:v>36298732.119342998</c:v>
                </c:pt>
                <c:pt idx="2504">
                  <c:v>35943460.086276002</c:v>
                </c:pt>
                <c:pt idx="2505">
                  <c:v>49228171.021505997</c:v>
                </c:pt>
                <c:pt idx="2506">
                  <c:v>29061181.047166001</c:v>
                </c:pt>
                <c:pt idx="2507">
                  <c:v>25382244.426228002</c:v>
                </c:pt>
                <c:pt idx="2508">
                  <c:v>25475497.870278001</c:v>
                </c:pt>
                <c:pt idx="2509">
                  <c:v>20126637.209376</c:v>
                </c:pt>
                <c:pt idx="2510">
                  <c:v>20464354.858011</c:v>
                </c:pt>
                <c:pt idx="2511">
                  <c:v>16067647.039261</c:v>
                </c:pt>
                <c:pt idx="2512">
                  <c:v>15432068.979015</c:v>
                </c:pt>
                <c:pt idx="2513">
                  <c:v>16409287.958696</c:v>
                </c:pt>
                <c:pt idx="2514">
                  <c:v>18467647.54628</c:v>
                </c:pt>
                <c:pt idx="2515">
                  <c:v>29668002.105783001</c:v>
                </c:pt>
                <c:pt idx="2516">
                  <c:v>33521714.707509</c:v>
                </c:pt>
                <c:pt idx="2517">
                  <c:v>41093135.920054004</c:v>
                </c:pt>
                <c:pt idx="2518">
                  <c:v>40674370.786264002</c:v>
                </c:pt>
                <c:pt idx="2519">
                  <c:v>33568611.717501998</c:v>
                </c:pt>
                <c:pt idx="2520">
                  <c:v>45438114.307575002</c:v>
                </c:pt>
                <c:pt idx="2521">
                  <c:v>30148920.162457</c:v>
                </c:pt>
                <c:pt idx="2522">
                  <c:v>35263660.252623998</c:v>
                </c:pt>
                <c:pt idx="2523">
                  <c:v>46542545.752494</c:v>
                </c:pt>
                <c:pt idx="2524">
                  <c:v>40879830.594267003</c:v>
                </c:pt>
                <c:pt idx="2525">
                  <c:v>43534640.987352997</c:v>
                </c:pt>
                <c:pt idx="2526">
                  <c:v>47125149.418751001</c:v>
                </c:pt>
                <c:pt idx="2527">
                  <c:v>36298273.448853001</c:v>
                </c:pt>
                <c:pt idx="2528">
                  <c:v>59488228.551974997</c:v>
                </c:pt>
                <c:pt idx="2529">
                  <c:v>88266721.147340998</c:v>
                </c:pt>
                <c:pt idx="2530">
                  <c:v>74737967.820566997</c:v>
                </c:pt>
                <c:pt idx="2531">
                  <c:v>92774126.222224995</c:v>
                </c:pt>
                <c:pt idx="2532">
                  <c:v>54868355.015715003</c:v>
                </c:pt>
                <c:pt idx="2533">
                  <c:v>51033801.121320002</c:v>
                </c:pt>
                <c:pt idx="2534">
                  <c:v>47649075.000614002</c:v>
                </c:pt>
                <c:pt idx="2535">
                  <c:v>42012444.678885996</c:v>
                </c:pt>
                <c:pt idx="2536">
                  <c:v>37586143.399152003</c:v>
                </c:pt>
                <c:pt idx="2537">
                  <c:v>44864108.665372998</c:v>
                </c:pt>
                <c:pt idx="2538">
                  <c:v>36006715.661209002</c:v>
                </c:pt>
                <c:pt idx="2539">
                  <c:v>29273296.696369</c:v>
                </c:pt>
                <c:pt idx="2540">
                  <c:v>33262031.447484002</c:v>
                </c:pt>
                <c:pt idx="2541">
                  <c:v>32096038.846519001</c:v>
                </c:pt>
                <c:pt idx="2542">
                  <c:v>46563290.353996001</c:v>
                </c:pt>
                <c:pt idx="2543">
                  <c:v>40191639.547807001</c:v>
                </c:pt>
                <c:pt idx="2544">
                  <c:v>37302471.058196001</c:v>
                </c:pt>
                <c:pt idx="2545">
                  <c:v>28089575.661899999</c:v>
                </c:pt>
                <c:pt idx="2546">
                  <c:v>30696236.915507</c:v>
                </c:pt>
                <c:pt idx="2547">
                  <c:v>33234751.815313</c:v>
                </c:pt>
                <c:pt idx="2548">
                  <c:v>35080110.151073001</c:v>
                </c:pt>
                <c:pt idx="2549">
                  <c:v>42730190.281244002</c:v>
                </c:pt>
                <c:pt idx="2550">
                  <c:v>38711755.592068002</c:v>
                </c:pt>
                <c:pt idx="2551">
                  <c:v>58347069.681838997</c:v>
                </c:pt>
                <c:pt idx="2552">
                  <c:v>33321920.708641</c:v>
                </c:pt>
                <c:pt idx="2553">
                  <c:v>35452215.800660998</c:v>
                </c:pt>
                <c:pt idx="2554">
                  <c:v>31961324.866365999</c:v>
                </c:pt>
                <c:pt idx="2555">
                  <c:v>32632160.149096999</c:v>
                </c:pt>
                <c:pt idx="2556">
                  <c:v>27965046.623794001</c:v>
                </c:pt>
                <c:pt idx="2557">
                  <c:v>33140637.340273999</c:v>
                </c:pt>
                <c:pt idx="2558">
                  <c:v>44185098.195445001</c:v>
                </c:pt>
                <c:pt idx="2559">
                  <c:v>49306540.198620997</c:v>
                </c:pt>
                <c:pt idx="2560">
                  <c:v>36042982.368299</c:v>
                </c:pt>
                <c:pt idx="2561">
                  <c:v>31357511.785206001</c:v>
                </c:pt>
                <c:pt idx="2562">
                  <c:v>27857403.416930001</c:v>
                </c:pt>
                <c:pt idx="2563">
                  <c:v>31391026.469354998</c:v>
                </c:pt>
                <c:pt idx="2564">
                  <c:v>35060736.441950001</c:v>
                </c:pt>
                <c:pt idx="2565">
                  <c:v>38727278.721472003</c:v>
                </c:pt>
                <c:pt idx="2566">
                  <c:v>31550625.371240001</c:v>
                </c:pt>
                <c:pt idx="2567">
                  <c:v>44424105.449773997</c:v>
                </c:pt>
                <c:pt idx="2568">
                  <c:v>29026516.615338001</c:v>
                </c:pt>
                <c:pt idx="2569">
                  <c:v>28257060.010474</c:v>
                </c:pt>
                <c:pt idx="2570">
                  <c:v>26327867.356802002</c:v>
                </c:pt>
                <c:pt idx="2571">
                  <c:v>25067628.208268002</c:v>
                </c:pt>
                <c:pt idx="2572">
                  <c:v>23103942.100382999</c:v>
                </c:pt>
                <c:pt idx="2573">
                  <c:v>30282683.015634</c:v>
                </c:pt>
                <c:pt idx="2574">
                  <c:v>31117314.854290999</c:v>
                </c:pt>
                <c:pt idx="2575">
                  <c:v>28834356.203915998</c:v>
                </c:pt>
                <c:pt idx="2576">
                  <c:v>34218118.822437003</c:v>
                </c:pt>
                <c:pt idx="2577">
                  <c:v>27756249.168919999</c:v>
                </c:pt>
                <c:pt idx="2578">
                  <c:v>24915501.130573001</c:v>
                </c:pt>
                <c:pt idx="2579">
                  <c:v>23708267.090571001</c:v>
                </c:pt>
                <c:pt idx="2580">
                  <c:v>41065723.191535003</c:v>
                </c:pt>
                <c:pt idx="2581">
                  <c:v>32159307.731088001</c:v>
                </c:pt>
                <c:pt idx="2582">
                  <c:v>24942170.567182999</c:v>
                </c:pt>
                <c:pt idx="2583">
                  <c:v>35392636.756375998</c:v>
                </c:pt>
                <c:pt idx="2584">
                  <c:v>31704288.176022999</c:v>
                </c:pt>
                <c:pt idx="2585">
                  <c:v>22428962.402150001</c:v>
                </c:pt>
                <c:pt idx="2586">
                  <c:v>28893790.889855001</c:v>
                </c:pt>
                <c:pt idx="2587">
                  <c:v>21272891.621991001</c:v>
                </c:pt>
                <c:pt idx="2588">
                  <c:v>22828808.402035002</c:v>
                </c:pt>
                <c:pt idx="2589">
                  <c:v>23452259.337377001</c:v>
                </c:pt>
                <c:pt idx="2590">
                  <c:v>30156138.079771999</c:v>
                </c:pt>
                <c:pt idx="2591">
                  <c:v>30106187.020509001</c:v>
                </c:pt>
                <c:pt idx="2592">
                  <c:v>36528652.988403</c:v>
                </c:pt>
                <c:pt idx="2593">
                  <c:v>47626424.049884997</c:v>
                </c:pt>
                <c:pt idx="2594">
                  <c:v>64989609.436705001</c:v>
                </c:pt>
                <c:pt idx="2595">
                  <c:v>34447965.976595998</c:v>
                </c:pt>
                <c:pt idx="2596">
                  <c:v>37956951.871257998</c:v>
                </c:pt>
                <c:pt idx="2597">
                  <c:v>35988336.07942</c:v>
                </c:pt>
                <c:pt idx="2598">
                  <c:v>26597364.936735</c:v>
                </c:pt>
                <c:pt idx="2599">
                  <c:v>34399590.573325999</c:v>
                </c:pt>
                <c:pt idx="2600">
                  <c:v>44290764.409639001</c:v>
                </c:pt>
                <c:pt idx="2601">
                  <c:v>38680175.924048997</c:v>
                </c:pt>
                <c:pt idx="2602">
                  <c:v>48862691.522395</c:v>
                </c:pt>
                <c:pt idx="2603">
                  <c:v>40273341.252704002</c:v>
                </c:pt>
                <c:pt idx="2604">
                  <c:v>50142408.809492998</c:v>
                </c:pt>
                <c:pt idx="2605">
                  <c:v>52249328.087598003</c:v>
                </c:pt>
                <c:pt idx="2606">
                  <c:v>35756940.912357002</c:v>
                </c:pt>
                <c:pt idx="2607">
                  <c:v>33326233.030304</c:v>
                </c:pt>
                <c:pt idx="2608">
                  <c:v>29515445.024503998</c:v>
                </c:pt>
                <c:pt idx="2609">
                  <c:v>32028227.515965998</c:v>
                </c:pt>
                <c:pt idx="2610">
                  <c:v>33393177.539313</c:v>
                </c:pt>
                <c:pt idx="2611">
                  <c:v>40039674.284633003</c:v>
                </c:pt>
                <c:pt idx="2612">
                  <c:v>33886627.594075002</c:v>
                </c:pt>
                <c:pt idx="2613">
                  <c:v>29666577.696853999</c:v>
                </c:pt>
                <c:pt idx="2614">
                  <c:v>29159987.850159001</c:v>
                </c:pt>
                <c:pt idx="2615">
                  <c:v>25538126.367839001</c:v>
                </c:pt>
                <c:pt idx="2616">
                  <c:v>27487748.103147</c:v>
                </c:pt>
                <c:pt idx="2617">
                  <c:v>38638684.827302001</c:v>
                </c:pt>
                <c:pt idx="2618">
                  <c:v>25834414.171502002</c:v>
                </c:pt>
                <c:pt idx="2619">
                  <c:v>44951703.173165001</c:v>
                </c:pt>
                <c:pt idx="2620">
                  <c:v>28660515.390760999</c:v>
                </c:pt>
                <c:pt idx="2621">
                  <c:v>22880584.041976999</c:v>
                </c:pt>
                <c:pt idx="2622">
                  <c:v>23350788.186849002</c:v>
                </c:pt>
                <c:pt idx="2623">
                  <c:v>17744787.479421999</c:v>
                </c:pt>
                <c:pt idx="2624">
                  <c:v>27006570.638564002</c:v>
                </c:pt>
                <c:pt idx="2625">
                  <c:v>32120009.943202998</c:v>
                </c:pt>
                <c:pt idx="2626">
                  <c:v>47124895.444757</c:v>
                </c:pt>
                <c:pt idx="2627">
                  <c:v>29265747.649349</c:v>
                </c:pt>
                <c:pt idx="2628">
                  <c:v>33821612.998571999</c:v>
                </c:pt>
                <c:pt idx="2629">
                  <c:v>33880275.264625996</c:v>
                </c:pt>
                <c:pt idx="2630">
                  <c:v>44008476.733081996</c:v>
                </c:pt>
                <c:pt idx="2631">
                  <c:v>30569931.242199</c:v>
                </c:pt>
                <c:pt idx="2632">
                  <c:v>26517798.77465</c:v>
                </c:pt>
                <c:pt idx="2633">
                  <c:v>26415893.886432</c:v>
                </c:pt>
                <c:pt idx="2634">
                  <c:v>34650512.830155998</c:v>
                </c:pt>
                <c:pt idx="2635">
                  <c:v>25142838.648616999</c:v>
                </c:pt>
                <c:pt idx="2636">
                  <c:v>27967253.472004</c:v>
                </c:pt>
                <c:pt idx="2637">
                  <c:v>20500117.272693999</c:v>
                </c:pt>
                <c:pt idx="2638">
                  <c:v>32411147.651177</c:v>
                </c:pt>
                <c:pt idx="2639">
                  <c:v>23327310.410296001</c:v>
                </c:pt>
                <c:pt idx="2640">
                  <c:v>23464123.999469999</c:v>
                </c:pt>
                <c:pt idx="2641">
                  <c:v>24335191.899335999</c:v>
                </c:pt>
                <c:pt idx="2642">
                  <c:v>21307089.872200999</c:v>
                </c:pt>
                <c:pt idx="2643">
                  <c:v>20080215.936694</c:v>
                </c:pt>
                <c:pt idx="2644">
                  <c:v>19937579.123498</c:v>
                </c:pt>
                <c:pt idx="2645">
                  <c:v>36637435.476673998</c:v>
                </c:pt>
                <c:pt idx="2646">
                  <c:v>30129819.713165</c:v>
                </c:pt>
                <c:pt idx="2647">
                  <c:v>25641003.666032001</c:v>
                </c:pt>
                <c:pt idx="2648">
                  <c:v>30412377.333122998</c:v>
                </c:pt>
                <c:pt idx="2649">
                  <c:v>21424718.793148</c:v>
                </c:pt>
                <c:pt idx="2650">
                  <c:v>25548807.555980999</c:v>
                </c:pt>
                <c:pt idx="2651">
                  <c:v>23276841.106858</c:v>
                </c:pt>
                <c:pt idx="2652">
                  <c:v>22885009.937378</c:v>
                </c:pt>
                <c:pt idx="2653">
                  <c:v>22350404.060431998</c:v>
                </c:pt>
                <c:pt idx="2654">
                  <c:v>21507418.584353998</c:v>
                </c:pt>
                <c:pt idx="2655">
                  <c:v>40191539.799640998</c:v>
                </c:pt>
                <c:pt idx="2656">
                  <c:v>46980117.695313998</c:v>
                </c:pt>
                <c:pt idx="2657">
                  <c:v>34176663.169316001</c:v>
                </c:pt>
                <c:pt idx="2658">
                  <c:v>32842076.443156</c:v>
                </c:pt>
                <c:pt idx="2659">
                  <c:v>22001368.122811999</c:v>
                </c:pt>
                <c:pt idx="2660">
                  <c:v>23242012.078145999</c:v>
                </c:pt>
                <c:pt idx="2661">
                  <c:v>24023096.304944001</c:v>
                </c:pt>
                <c:pt idx="2662">
                  <c:v>18486686.239960998</c:v>
                </c:pt>
                <c:pt idx="2663">
                  <c:v>17134237.609142002</c:v>
                </c:pt>
                <c:pt idx="2664">
                  <c:v>19159967.789469998</c:v>
                </c:pt>
                <c:pt idx="2665">
                  <c:v>23907024.057108998</c:v>
                </c:pt>
                <c:pt idx="2666">
                  <c:v>25217128.932130001</c:v>
                </c:pt>
                <c:pt idx="2667">
                  <c:v>20496132.638960999</c:v>
                </c:pt>
                <c:pt idx="2668">
                  <c:v>23104619.33303</c:v>
                </c:pt>
                <c:pt idx="2669">
                  <c:v>18473393.232170001</c:v>
                </c:pt>
                <c:pt idx="2670">
                  <c:v>18490990.584116001</c:v>
                </c:pt>
                <c:pt idx="2671">
                  <c:v>18605200.626272999</c:v>
                </c:pt>
                <c:pt idx="2672">
                  <c:v>17517464.466628</c:v>
                </c:pt>
                <c:pt idx="2673">
                  <c:v>20966530.698298998</c:v>
                </c:pt>
                <c:pt idx="2674">
                  <c:v>25544134.687934</c:v>
                </c:pt>
                <c:pt idx="2675">
                  <c:v>17865258.595362999</c:v>
                </c:pt>
                <c:pt idx="2676">
                  <c:v>18486619.133724999</c:v>
                </c:pt>
                <c:pt idx="2677">
                  <c:v>16903060.483562998</c:v>
                </c:pt>
                <c:pt idx="2678">
                  <c:v>28080333.703518</c:v>
                </c:pt>
                <c:pt idx="2679">
                  <c:v>20730579.631774001</c:v>
                </c:pt>
                <c:pt idx="2680">
                  <c:v>23205917.707173999</c:v>
                </c:pt>
                <c:pt idx="2681">
                  <c:v>25269709.029059</c:v>
                </c:pt>
                <c:pt idx="2682">
                  <c:v>23711845.295010999</c:v>
                </c:pt>
                <c:pt idx="2683">
                  <c:v>23295928.907421</c:v>
                </c:pt>
                <c:pt idx="2684">
                  <c:v>21739354.556882001</c:v>
                </c:pt>
                <c:pt idx="2685">
                  <c:v>24591754.237762999</c:v>
                </c:pt>
                <c:pt idx="2686">
                  <c:v>20711587.471356999</c:v>
                </c:pt>
                <c:pt idx="2687">
                  <c:v>22519047.313067999</c:v>
                </c:pt>
                <c:pt idx="2688">
                  <c:v>19109061.123392001</c:v>
                </c:pt>
                <c:pt idx="2689">
                  <c:v>33996219.925226003</c:v>
                </c:pt>
                <c:pt idx="2690">
                  <c:v>24373888.176456001</c:v>
                </c:pt>
                <c:pt idx="2691">
                  <c:v>32138722.829879999</c:v>
                </c:pt>
                <c:pt idx="2692">
                  <c:v>40558774.276717</c:v>
                </c:pt>
                <c:pt idx="2693">
                  <c:v>27344033.543974001</c:v>
                </c:pt>
                <c:pt idx="2694">
                  <c:v>27174189.628637999</c:v>
                </c:pt>
                <c:pt idx="2695">
                  <c:v>29177328.961816002</c:v>
                </c:pt>
                <c:pt idx="2696">
                  <c:v>31659881.469216</c:v>
                </c:pt>
                <c:pt idx="2697">
                  <c:v>34834808.458429001</c:v>
                </c:pt>
                <c:pt idx="2698">
                  <c:v>28228009.395977002</c:v>
                </c:pt>
                <c:pt idx="2699">
                  <c:v>27539531.604403999</c:v>
                </c:pt>
                <c:pt idx="2700">
                  <c:v>29589240.615961999</c:v>
                </c:pt>
                <c:pt idx="2701">
                  <c:v>28014005.369545002</c:v>
                </c:pt>
                <c:pt idx="2702">
                  <c:v>36382867.781429999</c:v>
                </c:pt>
                <c:pt idx="2703">
                  <c:v>29437040.359553002</c:v>
                </c:pt>
                <c:pt idx="2704">
                  <c:v>35560907.708755001</c:v>
                </c:pt>
                <c:pt idx="2705">
                  <c:v>20739337.246881001</c:v>
                </c:pt>
                <c:pt idx="2706">
                  <c:v>20630019.949365001</c:v>
                </c:pt>
                <c:pt idx="2707">
                  <c:v>38497630.013309002</c:v>
                </c:pt>
                <c:pt idx="2708">
                  <c:v>30316930.955345999</c:v>
                </c:pt>
                <c:pt idx="2709">
                  <c:v>31061354.740635</c:v>
                </c:pt>
                <c:pt idx="2710">
                  <c:v>22326146.366615999</c:v>
                </c:pt>
                <c:pt idx="2711">
                  <c:v>43372025.624141999</c:v>
                </c:pt>
                <c:pt idx="2712">
                  <c:v>30780680.922938</c:v>
                </c:pt>
                <c:pt idx="2713">
                  <c:v>28684724.324058</c:v>
                </c:pt>
                <c:pt idx="2714">
                  <c:v>26837107.066147</c:v>
                </c:pt>
                <c:pt idx="2715">
                  <c:v>20370932.348235</c:v>
                </c:pt>
                <c:pt idx="2716">
                  <c:v>22231433.248482</c:v>
                </c:pt>
                <c:pt idx="2717">
                  <c:v>26806673.538228001</c:v>
                </c:pt>
                <c:pt idx="2718">
                  <c:v>25391388.099856</c:v>
                </c:pt>
                <c:pt idx="2719">
                  <c:v>35445820.292625003</c:v>
                </c:pt>
                <c:pt idx="2720">
                  <c:v>84278637.858439997</c:v>
                </c:pt>
                <c:pt idx="2721">
                  <c:v>41203850.298166998</c:v>
                </c:pt>
                <c:pt idx="2722">
                  <c:v>41431229.257726997</c:v>
                </c:pt>
                <c:pt idx="2723">
                  <c:v>28903865.499015</c:v>
                </c:pt>
                <c:pt idx="2724">
                  <c:v>31181952.360123999</c:v>
                </c:pt>
                <c:pt idx="2725">
                  <c:v>39147322.333504997</c:v>
                </c:pt>
                <c:pt idx="2726">
                  <c:v>37340059.211966999</c:v>
                </c:pt>
                <c:pt idx="2727">
                  <c:v>37498190.632517003</c:v>
                </c:pt>
                <c:pt idx="2728">
                  <c:v>34143669.338522002</c:v>
                </c:pt>
                <c:pt idx="2729">
                  <c:v>28735973.496263999</c:v>
                </c:pt>
                <c:pt idx="2730">
                  <c:v>28389788.803546</c:v>
                </c:pt>
                <c:pt idx="2731">
                  <c:v>47159860.299984999</c:v>
                </c:pt>
                <c:pt idx="2732">
                  <c:v>35287568.597566001</c:v>
                </c:pt>
                <c:pt idx="2733">
                  <c:v>31723257.981337</c:v>
                </c:pt>
                <c:pt idx="2734">
                  <c:v>31995177.241753999</c:v>
                </c:pt>
                <c:pt idx="2735">
                  <c:v>24488668.283983</c:v>
                </c:pt>
                <c:pt idx="2736">
                  <c:v>23503026.013489999</c:v>
                </c:pt>
                <c:pt idx="2737">
                  <c:v>28066690.356509</c:v>
                </c:pt>
                <c:pt idx="2738">
                  <c:v>26827865.171457</c:v>
                </c:pt>
                <c:pt idx="2739">
                  <c:v>19988434.089967001</c:v>
                </c:pt>
                <c:pt idx="2740">
                  <c:v>19828616.663137</c:v>
                </c:pt>
                <c:pt idx="2741">
                  <c:v>9351766.4792295992</c:v>
                </c:pt>
                <c:pt idx="2742">
                  <c:v>25217434.002103001</c:v>
                </c:pt>
                <c:pt idx="2743">
                  <c:v>18250995.243003</c:v>
                </c:pt>
                <c:pt idx="2744">
                  <c:v>48375311.211346</c:v>
                </c:pt>
                <c:pt idx="2745">
                  <c:v>26468893.176709</c:v>
                </c:pt>
                <c:pt idx="2746">
                  <c:v>21881825.968889002</c:v>
                </c:pt>
                <c:pt idx="2747">
                  <c:v>23819892.163406</c:v>
                </c:pt>
                <c:pt idx="2748">
                  <c:v>22832380.712962002</c:v>
                </c:pt>
                <c:pt idx="2749">
                  <c:v>20817645.615302999</c:v>
                </c:pt>
                <c:pt idx="2750">
                  <c:v>22982840.043106001</c:v>
                </c:pt>
                <c:pt idx="2751">
                  <c:v>20947970.858633999</c:v>
                </c:pt>
                <c:pt idx="2752">
                  <c:v>31168315.480207998</c:v>
                </c:pt>
                <c:pt idx="2753">
                  <c:v>42889379.860639997</c:v>
                </c:pt>
                <c:pt idx="2754">
                  <c:v>35992064.168923996</c:v>
                </c:pt>
                <c:pt idx="2755">
                  <c:v>36151803.332102999</c:v>
                </c:pt>
                <c:pt idx="2756">
                  <c:v>87515019.531406999</c:v>
                </c:pt>
                <c:pt idx="2757">
                  <c:v>30183786.179832</c:v>
                </c:pt>
                <c:pt idx="2758">
                  <c:v>25563553.478918999</c:v>
                </c:pt>
                <c:pt idx="2759">
                  <c:v>24079395.121975001</c:v>
                </c:pt>
                <c:pt idx="2760">
                  <c:v>29121868.357280001</c:v>
                </c:pt>
                <c:pt idx="2761">
                  <c:v>21555011.187454998</c:v>
                </c:pt>
                <c:pt idx="2762">
                  <c:v>16962526.508652002</c:v>
                </c:pt>
                <c:pt idx="2763">
                  <c:v>17743593.691009998</c:v>
                </c:pt>
                <c:pt idx="2764">
                  <c:v>20095151.153462</c:v>
                </c:pt>
                <c:pt idx="2765">
                  <c:v>22298505.718336999</c:v>
                </c:pt>
                <c:pt idx="2766">
                  <c:v>26162457.437153999</c:v>
                </c:pt>
                <c:pt idx="2767">
                  <c:v>51454177.874860004</c:v>
                </c:pt>
                <c:pt idx="2768">
                  <c:v>40235265.283262998</c:v>
                </c:pt>
                <c:pt idx="2769">
                  <c:v>44329319.254144996</c:v>
                </c:pt>
                <c:pt idx="2770">
                  <c:v>27818951.339621998</c:v>
                </c:pt>
                <c:pt idx="2771">
                  <c:v>27477535.813221</c:v>
                </c:pt>
                <c:pt idx="2772">
                  <c:v>29139825.291588001</c:v>
                </c:pt>
                <c:pt idx="2773">
                  <c:v>27717007.342495002</c:v>
                </c:pt>
                <c:pt idx="2774">
                  <c:v>21683366.626139998</c:v>
                </c:pt>
                <c:pt idx="2775">
                  <c:v>30320819.736200999</c:v>
                </c:pt>
                <c:pt idx="2776">
                  <c:v>30521494.855074</c:v>
                </c:pt>
                <c:pt idx="2777">
                  <c:v>29092767.492040999</c:v>
                </c:pt>
                <c:pt idx="2778">
                  <c:v>35970593.501560003</c:v>
                </c:pt>
                <c:pt idx="2779">
                  <c:v>32458021.186826002</c:v>
                </c:pt>
                <c:pt idx="2780">
                  <c:v>40894734.127705999</c:v>
                </c:pt>
                <c:pt idx="2781">
                  <c:v>67618414.115634993</c:v>
                </c:pt>
                <c:pt idx="2782">
                  <c:v>34003514.869566001</c:v>
                </c:pt>
                <c:pt idx="2783">
                  <c:v>26933814.844597001</c:v>
                </c:pt>
                <c:pt idx="2784">
                  <c:v>26291876.041813999</c:v>
                </c:pt>
                <c:pt idx="2785">
                  <c:v>26976639.292052999</c:v>
                </c:pt>
                <c:pt idx="2786">
                  <c:v>31772920.488113999</c:v>
                </c:pt>
                <c:pt idx="2787">
                  <c:v>40595902.159337997</c:v>
                </c:pt>
                <c:pt idx="2788">
                  <c:v>29554444.775805</c:v>
                </c:pt>
                <c:pt idx="2789">
                  <c:v>22887541.341529999</c:v>
                </c:pt>
                <c:pt idx="2790">
                  <c:v>51675726.011390999</c:v>
                </c:pt>
                <c:pt idx="2791">
                  <c:v>55583505.375386</c:v>
                </c:pt>
                <c:pt idx="2792">
                  <c:v>43070522.608052</c:v>
                </c:pt>
                <c:pt idx="2793">
                  <c:v>26242197.934537999</c:v>
                </c:pt>
                <c:pt idx="2794">
                  <c:v>45363362.003204003</c:v>
                </c:pt>
                <c:pt idx="2795">
                  <c:v>37655919.936745003</c:v>
                </c:pt>
                <c:pt idx="2796">
                  <c:v>29363915.286979999</c:v>
                </c:pt>
                <c:pt idx="2797">
                  <c:v>30014266.282953002</c:v>
                </c:pt>
                <c:pt idx="2798">
                  <c:v>30416204.536405999</c:v>
                </c:pt>
                <c:pt idx="2799">
                  <c:v>28791362.716340002</c:v>
                </c:pt>
                <c:pt idx="2800">
                  <c:v>22803043.512279</c:v>
                </c:pt>
                <c:pt idx="2801">
                  <c:v>29624411.351535</c:v>
                </c:pt>
                <c:pt idx="2802">
                  <c:v>25337569.482119001</c:v>
                </c:pt>
                <c:pt idx="2803">
                  <c:v>21483982.332934</c:v>
                </c:pt>
                <c:pt idx="2804">
                  <c:v>22802936.041887</c:v>
                </c:pt>
                <c:pt idx="2805">
                  <c:v>27947633.957438</c:v>
                </c:pt>
                <c:pt idx="2806">
                  <c:v>25178129.044119999</c:v>
                </c:pt>
                <c:pt idx="2807">
                  <c:v>31186829.095601998</c:v>
                </c:pt>
                <c:pt idx="2808">
                  <c:v>24444291.802994002</c:v>
                </c:pt>
                <c:pt idx="2809">
                  <c:v>21771046.903443001</c:v>
                </c:pt>
                <c:pt idx="2810">
                  <c:v>17580754.001207002</c:v>
                </c:pt>
                <c:pt idx="2811">
                  <c:v>27023112.810293</c:v>
                </c:pt>
                <c:pt idx="2812">
                  <c:v>28726967.673900001</c:v>
                </c:pt>
                <c:pt idx="2813">
                  <c:v>33802197.133396</c:v>
                </c:pt>
                <c:pt idx="2814">
                  <c:v>34086661.123185001</c:v>
                </c:pt>
                <c:pt idx="2815">
                  <c:v>46666530.843470998</c:v>
                </c:pt>
                <c:pt idx="2816">
                  <c:v>55592750.926918998</c:v>
                </c:pt>
                <c:pt idx="2817">
                  <c:v>70491828.672133997</c:v>
                </c:pt>
                <c:pt idx="2818">
                  <c:v>44069602.088935003</c:v>
                </c:pt>
                <c:pt idx="2819">
                  <c:v>35038089.409406997</c:v>
                </c:pt>
                <c:pt idx="2820">
                  <c:v>35357079.783540003</c:v>
                </c:pt>
                <c:pt idx="2821">
                  <c:v>37118731.413046002</c:v>
                </c:pt>
                <c:pt idx="2822">
                  <c:v>28591141.319936998</c:v>
                </c:pt>
                <c:pt idx="2823">
                  <c:v>27212529.37678</c:v>
                </c:pt>
                <c:pt idx="2824">
                  <c:v>22182139.403804999</c:v>
                </c:pt>
                <c:pt idx="2825">
                  <c:v>25435029.919891</c:v>
                </c:pt>
                <c:pt idx="2826">
                  <c:v>25400941.528089002</c:v>
                </c:pt>
                <c:pt idx="2827">
                  <c:v>33220493.357461002</c:v>
                </c:pt>
                <c:pt idx="2828">
                  <c:v>25228514.408434998</c:v>
                </c:pt>
                <c:pt idx="2829">
                  <c:v>26182524.011815999</c:v>
                </c:pt>
                <c:pt idx="2830">
                  <c:v>22370844.232411001</c:v>
                </c:pt>
                <c:pt idx="2831">
                  <c:v>30183296.932659999</c:v>
                </c:pt>
                <c:pt idx="2832">
                  <c:v>23423470.087216999</c:v>
                </c:pt>
                <c:pt idx="2833">
                  <c:v>27654959.635224</c:v>
                </c:pt>
                <c:pt idx="2834">
                  <c:v>27783562.153852999</c:v>
                </c:pt>
                <c:pt idx="2835">
                  <c:v>24558685.924658999</c:v>
                </c:pt>
                <c:pt idx="2836">
                  <c:v>21279053.530572001</c:v>
                </c:pt>
                <c:pt idx="2837">
                  <c:v>24166870.165518001</c:v>
                </c:pt>
                <c:pt idx="2838">
                  <c:v>20441522.568918999</c:v>
                </c:pt>
                <c:pt idx="2839">
                  <c:v>17388173.141376</c:v>
                </c:pt>
                <c:pt idx="2840">
                  <c:v>23566800.105082002</c:v>
                </c:pt>
                <c:pt idx="2841">
                  <c:v>21977073.728774998</c:v>
                </c:pt>
                <c:pt idx="2842">
                  <c:v>26980152.027894001</c:v>
                </c:pt>
                <c:pt idx="2843">
                  <c:v>46407171.329007998</c:v>
                </c:pt>
                <c:pt idx="2844">
                  <c:v>65495277.678542003</c:v>
                </c:pt>
                <c:pt idx="2845">
                  <c:v>47107150.327191003</c:v>
                </c:pt>
                <c:pt idx="2846">
                  <c:v>36975505.823959</c:v>
                </c:pt>
                <c:pt idx="2847">
                  <c:v>21589498.994644001</c:v>
                </c:pt>
                <c:pt idx="2848">
                  <c:v>26770703.385825001</c:v>
                </c:pt>
                <c:pt idx="2849">
                  <c:v>22670934.011696</c:v>
                </c:pt>
                <c:pt idx="2850">
                  <c:v>22832294.722555</c:v>
                </c:pt>
                <c:pt idx="2851">
                  <c:v>28588190.953506</c:v>
                </c:pt>
                <c:pt idx="2852">
                  <c:v>21614336.821732</c:v>
                </c:pt>
                <c:pt idx="2853">
                  <c:v>21636860.99377</c:v>
                </c:pt>
                <c:pt idx="2854">
                  <c:v>30495275.370629001</c:v>
                </c:pt>
                <c:pt idx="2855">
                  <c:v>32119634.587802</c:v>
                </c:pt>
                <c:pt idx="2856">
                  <c:v>20049003.182868998</c:v>
                </c:pt>
                <c:pt idx="2857">
                  <c:v>16563161.466558</c:v>
                </c:pt>
                <c:pt idx="2858">
                  <c:v>27101140.370613001</c:v>
                </c:pt>
                <c:pt idx="2859">
                  <c:v>24598526.562755998</c:v>
                </c:pt>
                <c:pt idx="2860">
                  <c:v>27594030.763340998</c:v>
                </c:pt>
                <c:pt idx="2861">
                  <c:v>27867897.258894999</c:v>
                </c:pt>
                <c:pt idx="2862">
                  <c:v>24396854.152591001</c:v>
                </c:pt>
                <c:pt idx="2863">
                  <c:v>31156269.965991002</c:v>
                </c:pt>
                <c:pt idx="2864">
                  <c:v>23657556.247003</c:v>
                </c:pt>
                <c:pt idx="2865">
                  <c:v>43806644.035345003</c:v>
                </c:pt>
                <c:pt idx="2866">
                  <c:v>37057748.474936999</c:v>
                </c:pt>
                <c:pt idx="2867">
                  <c:v>29847077.643962</c:v>
                </c:pt>
                <c:pt idx="2868">
                  <c:v>46486339.325838998</c:v>
                </c:pt>
                <c:pt idx="2869">
                  <c:v>27086035.779491998</c:v>
                </c:pt>
                <c:pt idx="2870">
                  <c:v>26175458.767000001</c:v>
                </c:pt>
                <c:pt idx="2871">
                  <c:v>21555494.572429001</c:v>
                </c:pt>
                <c:pt idx="2872">
                  <c:v>20634044.237585001</c:v>
                </c:pt>
                <c:pt idx="2873">
                  <c:v>41191893.274232</c:v>
                </c:pt>
                <c:pt idx="2874">
                  <c:v>23549127.533149999</c:v>
                </c:pt>
                <c:pt idx="2875">
                  <c:v>22791638.967976</c:v>
                </c:pt>
                <c:pt idx="2876">
                  <c:v>24590171.262299001</c:v>
                </c:pt>
                <c:pt idx="2877">
                  <c:v>23218892.350566</c:v>
                </c:pt>
                <c:pt idx="2878">
                  <c:v>26306996.831664</c:v>
                </c:pt>
                <c:pt idx="2879">
                  <c:v>39352640.650728002</c:v>
                </c:pt>
                <c:pt idx="2880">
                  <c:v>47094784.060626</c:v>
                </c:pt>
                <c:pt idx="2881">
                  <c:v>26682945.897498</c:v>
                </c:pt>
                <c:pt idx="2882">
                  <c:v>25410674.109453999</c:v>
                </c:pt>
                <c:pt idx="2883">
                  <c:v>23831437.343587998</c:v>
                </c:pt>
                <c:pt idx="2884">
                  <c:v>23416795.315338001</c:v>
                </c:pt>
                <c:pt idx="2885">
                  <c:v>21771513.333942998</c:v>
                </c:pt>
                <c:pt idx="2886">
                  <c:v>24638080.447884999</c:v>
                </c:pt>
                <c:pt idx="2887">
                  <c:v>20495750.307023</c:v>
                </c:pt>
                <c:pt idx="2888">
                  <c:v>17195228.574236002</c:v>
                </c:pt>
                <c:pt idx="2889">
                  <c:v>27145627.615481</c:v>
                </c:pt>
                <c:pt idx="2890">
                  <c:v>12654544.132133</c:v>
                </c:pt>
                <c:pt idx="2891">
                  <c:v>18384269.065606002</c:v>
                </c:pt>
                <c:pt idx="2892">
                  <c:v>28524295.692311</c:v>
                </c:pt>
                <c:pt idx="2893">
                  <c:v>21462190.176513001</c:v>
                </c:pt>
                <c:pt idx="2894">
                  <c:v>33173799.349050999</c:v>
                </c:pt>
                <c:pt idx="2895">
                  <c:v>27009520.893975001</c:v>
                </c:pt>
                <c:pt idx="2896">
                  <c:v>30345008.633506998</c:v>
                </c:pt>
                <c:pt idx="2897">
                  <c:v>20806973.362050001</c:v>
                </c:pt>
                <c:pt idx="2898">
                  <c:v>28683323.595856</c:v>
                </c:pt>
                <c:pt idx="2899">
                  <c:v>20601371.664202001</c:v>
                </c:pt>
                <c:pt idx="2900">
                  <c:v>65629124.803242996</c:v>
                </c:pt>
                <c:pt idx="2901">
                  <c:v>40196189.11411</c:v>
                </c:pt>
                <c:pt idx="2902">
                  <c:v>34172253.201223001</c:v>
                </c:pt>
                <c:pt idx="2903">
                  <c:v>70214653.100942001</c:v>
                </c:pt>
                <c:pt idx="2904">
                  <c:v>27030754.62703</c:v>
                </c:pt>
                <c:pt idx="2905">
                  <c:v>42123237.644488998</c:v>
                </c:pt>
                <c:pt idx="2906">
                  <c:v>59064459.621859998</c:v>
                </c:pt>
                <c:pt idx="2907">
                  <c:v>40097411.637254998</c:v>
                </c:pt>
                <c:pt idx="2908">
                  <c:v>28817003.344872002</c:v>
                </c:pt>
                <c:pt idx="2909">
                  <c:v>25742724.210191</c:v>
                </c:pt>
                <c:pt idx="2910">
                  <c:v>18595579.561188001</c:v>
                </c:pt>
                <c:pt idx="2911">
                  <c:v>28084954.995292999</c:v>
                </c:pt>
                <c:pt idx="2912">
                  <c:v>18574434.854219001</c:v>
                </c:pt>
                <c:pt idx="2913">
                  <c:v>24018311.190357</c:v>
                </c:pt>
                <c:pt idx="2914">
                  <c:v>17948393.304302</c:v>
                </c:pt>
                <c:pt idx="2915">
                  <c:v>22587914.911203999</c:v>
                </c:pt>
                <c:pt idx="2916">
                  <c:v>22634141.706106</c:v>
                </c:pt>
                <c:pt idx="2917">
                  <c:v>20348252.293212</c:v>
                </c:pt>
                <c:pt idx="2918">
                  <c:v>24639477.550430998</c:v>
                </c:pt>
                <c:pt idx="2919">
                  <c:v>19055769.560437001</c:v>
                </c:pt>
                <c:pt idx="2920">
                  <c:v>17164112.945689</c:v>
                </c:pt>
                <c:pt idx="2921">
                  <c:v>20895973.244406998</c:v>
                </c:pt>
                <c:pt idx="2922">
                  <c:v>21459586.743894</c:v>
                </c:pt>
                <c:pt idx="2923">
                  <c:v>24990746.758710001</c:v>
                </c:pt>
                <c:pt idx="2924">
                  <c:v>24268881.488990001</c:v>
                </c:pt>
                <c:pt idx="2925">
                  <c:v>16255358.877898</c:v>
                </c:pt>
                <c:pt idx="2926">
                  <c:v>21367943.281955</c:v>
                </c:pt>
                <c:pt idx="2927">
                  <c:v>23503136.305231001</c:v>
                </c:pt>
                <c:pt idx="2928">
                  <c:v>21890595.397551</c:v>
                </c:pt>
                <c:pt idx="2929">
                  <c:v>14949498.854734</c:v>
                </c:pt>
                <c:pt idx="2930">
                  <c:v>19468231.525621999</c:v>
                </c:pt>
                <c:pt idx="2931">
                  <c:v>15367065.71353</c:v>
                </c:pt>
                <c:pt idx="2932">
                  <c:v>26662457.811368998</c:v>
                </c:pt>
                <c:pt idx="2933">
                  <c:v>15084312.536248</c:v>
                </c:pt>
                <c:pt idx="2934">
                  <c:v>18730541.987449002</c:v>
                </c:pt>
                <c:pt idx="2935">
                  <c:v>17702761.051428001</c:v>
                </c:pt>
                <c:pt idx="2936">
                  <c:v>18556031.853998002</c:v>
                </c:pt>
                <c:pt idx="2937">
                  <c:v>19734316.473467</c:v>
                </c:pt>
                <c:pt idx="2938">
                  <c:v>16741242.157412</c:v>
                </c:pt>
                <c:pt idx="2939">
                  <c:v>17732752.961569</c:v>
                </c:pt>
                <c:pt idx="2940">
                  <c:v>16701959.609786</c:v>
                </c:pt>
                <c:pt idx="2941">
                  <c:v>20460045.186592001</c:v>
                </c:pt>
                <c:pt idx="2942">
                  <c:v>38038605.668738</c:v>
                </c:pt>
                <c:pt idx="2943">
                  <c:v>16994515.252565999</c:v>
                </c:pt>
                <c:pt idx="2944">
                  <c:v>16671749.642739</c:v>
                </c:pt>
                <c:pt idx="2945">
                  <c:v>21640658.774948999</c:v>
                </c:pt>
                <c:pt idx="2946">
                  <c:v>35898992.955045</c:v>
                </c:pt>
                <c:pt idx="2947">
                  <c:v>21652128.971960001</c:v>
                </c:pt>
                <c:pt idx="2948">
                  <c:v>18005810.682760999</c:v>
                </c:pt>
                <c:pt idx="2949">
                  <c:v>26547997.117176998</c:v>
                </c:pt>
                <c:pt idx="2950">
                  <c:v>19594918.549334001</c:v>
                </c:pt>
                <c:pt idx="2951">
                  <c:v>19871004.838651001</c:v>
                </c:pt>
                <c:pt idx="2952">
                  <c:v>24377245.675547</c:v>
                </c:pt>
                <c:pt idx="2953">
                  <c:v>20765888.167259</c:v>
                </c:pt>
                <c:pt idx="2954">
                  <c:v>21233787.809246998</c:v>
                </c:pt>
                <c:pt idx="2955">
                  <c:v>20917455.887639999</c:v>
                </c:pt>
                <c:pt idx="2956">
                  <c:v>17127187.736416001</c:v>
                </c:pt>
                <c:pt idx="2957">
                  <c:v>25918112.489980999</c:v>
                </c:pt>
                <c:pt idx="2958">
                  <c:v>20080597.905260999</c:v>
                </c:pt>
                <c:pt idx="2959">
                  <c:v>20752853.210049</c:v>
                </c:pt>
                <c:pt idx="2960">
                  <c:v>20254302.439591002</c:v>
                </c:pt>
                <c:pt idx="2961">
                  <c:v>19497010.998991001</c:v>
                </c:pt>
                <c:pt idx="2962">
                  <c:v>21286487.923188999</c:v>
                </c:pt>
                <c:pt idx="2963">
                  <c:v>22369052.628022999</c:v>
                </c:pt>
                <c:pt idx="2964">
                  <c:v>18513155.405531</c:v>
                </c:pt>
                <c:pt idx="2965">
                  <c:v>23374086.998381</c:v>
                </c:pt>
                <c:pt idx="2966">
                  <c:v>25290634.564920999</c:v>
                </c:pt>
                <c:pt idx="2967">
                  <c:v>25266046.629836999</c:v>
                </c:pt>
                <c:pt idx="2968">
                  <c:v>24606861.615554001</c:v>
                </c:pt>
                <c:pt idx="2969">
                  <c:v>31450237.369729001</c:v>
                </c:pt>
                <c:pt idx="2970">
                  <c:v>55578089.545890003</c:v>
                </c:pt>
                <c:pt idx="2971">
                  <c:v>38188773.181123003</c:v>
                </c:pt>
                <c:pt idx="2972">
                  <c:v>30140836.950426999</c:v>
                </c:pt>
                <c:pt idx="2973">
                  <c:v>23045467.166368999</c:v>
                </c:pt>
                <c:pt idx="2974">
                  <c:v>20458262.369488999</c:v>
                </c:pt>
                <c:pt idx="2975">
                  <c:v>28426967.219944999</c:v>
                </c:pt>
                <c:pt idx="2976">
                  <c:v>24579931.587786999</c:v>
                </c:pt>
                <c:pt idx="2977">
                  <c:v>23862767.665320002</c:v>
                </c:pt>
                <c:pt idx="2978">
                  <c:v>24055210.960161</c:v>
                </c:pt>
                <c:pt idx="2979">
                  <c:v>26079939.989647001</c:v>
                </c:pt>
                <c:pt idx="2980">
                  <c:v>27022730.218378</c:v>
                </c:pt>
                <c:pt idx="2981">
                  <c:v>25083944.885619</c:v>
                </c:pt>
                <c:pt idx="2982">
                  <c:v>28332420.370698001</c:v>
                </c:pt>
                <c:pt idx="2983">
                  <c:v>20176831.666954</c:v>
                </c:pt>
                <c:pt idx="2984">
                  <c:v>27947487.342969999</c:v>
                </c:pt>
                <c:pt idx="2985">
                  <c:v>27060951.316950001</c:v>
                </c:pt>
                <c:pt idx="2986">
                  <c:v>27385580.836442001</c:v>
                </c:pt>
                <c:pt idx="2987">
                  <c:v>40626918.909593001</c:v>
                </c:pt>
                <c:pt idx="2988">
                  <c:v>52921768.799918003</c:v>
                </c:pt>
                <c:pt idx="2989">
                  <c:v>28635689.602722</c:v>
                </c:pt>
                <c:pt idx="2990">
                  <c:v>23535875.91296</c:v>
                </c:pt>
                <c:pt idx="2991">
                  <c:v>10252748.665211</c:v>
                </c:pt>
                <c:pt idx="2992">
                  <c:v>22345081.398839001</c:v>
                </c:pt>
                <c:pt idx="2993">
                  <c:v>20606057.726606</c:v>
                </c:pt>
                <c:pt idx="2994">
                  <c:v>29179983.552269999</c:v>
                </c:pt>
                <c:pt idx="2995">
                  <c:v>30782896.964173</c:v>
                </c:pt>
                <c:pt idx="2996">
                  <c:v>33287544.376929998</c:v>
                </c:pt>
                <c:pt idx="2997">
                  <c:v>32303070.248468</c:v>
                </c:pt>
                <c:pt idx="2998">
                  <c:v>23237512.349034999</c:v>
                </c:pt>
                <c:pt idx="2999">
                  <c:v>21340468.795219999</c:v>
                </c:pt>
                <c:pt idx="3000">
                  <c:v>23291743.875335999</c:v>
                </c:pt>
                <c:pt idx="3001">
                  <c:v>20305077.742651001</c:v>
                </c:pt>
                <c:pt idx="3002">
                  <c:v>27915959.501639999</c:v>
                </c:pt>
                <c:pt idx="3003">
                  <c:v>25023990.243932001</c:v>
                </c:pt>
                <c:pt idx="3004">
                  <c:v>31187012.45775</c:v>
                </c:pt>
                <c:pt idx="3005">
                  <c:v>43601084.256857999</c:v>
                </c:pt>
                <c:pt idx="3006">
                  <c:v>79089354.227208003</c:v>
                </c:pt>
                <c:pt idx="3007">
                  <c:v>21965917.102207001</c:v>
                </c:pt>
                <c:pt idx="3008">
                  <c:v>20757729.490125999</c:v>
                </c:pt>
                <c:pt idx="3009">
                  <c:v>26513442.505516998</c:v>
                </c:pt>
                <c:pt idx="3010">
                  <c:v>17840424.178927001</c:v>
                </c:pt>
                <c:pt idx="3011">
                  <c:v>17235411.553068001</c:v>
                </c:pt>
                <c:pt idx="3012">
                  <c:v>12767817.429063</c:v>
                </c:pt>
                <c:pt idx="3013">
                  <c:v>15016872.743417</c:v>
                </c:pt>
                <c:pt idx="3014">
                  <c:v>14434148.550492</c:v>
                </c:pt>
                <c:pt idx="3015">
                  <c:v>18870904.784352999</c:v>
                </c:pt>
                <c:pt idx="3016">
                  <c:v>25447513.791209999</c:v>
                </c:pt>
                <c:pt idx="3017">
                  <c:v>23256080.166191999</c:v>
                </c:pt>
                <c:pt idx="3018">
                  <c:v>21057800.729042001</c:v>
                </c:pt>
                <c:pt idx="3019">
                  <c:v>21161644.495607</c:v>
                </c:pt>
                <c:pt idx="3020">
                  <c:v>23306959.813616998</c:v>
                </c:pt>
                <c:pt idx="3021">
                  <c:v>20985716.694873001</c:v>
                </c:pt>
                <c:pt idx="3022">
                  <c:v>25705037.224691</c:v>
                </c:pt>
                <c:pt idx="3023">
                  <c:v>28059111.024808001</c:v>
                </c:pt>
                <c:pt idx="3024">
                  <c:v>21823132.300983999</c:v>
                </c:pt>
                <c:pt idx="3025">
                  <c:v>27405683.042396002</c:v>
                </c:pt>
                <c:pt idx="3026">
                  <c:v>22400371.784382001</c:v>
                </c:pt>
                <c:pt idx="3027">
                  <c:v>23566990.859517999</c:v>
                </c:pt>
                <c:pt idx="3028">
                  <c:v>29550470.442001</c:v>
                </c:pt>
                <c:pt idx="3029">
                  <c:v>27218930.899418999</c:v>
                </c:pt>
                <c:pt idx="3030">
                  <c:v>20679371.891256001</c:v>
                </c:pt>
                <c:pt idx="3031">
                  <c:v>25052904.858821001</c:v>
                </c:pt>
                <c:pt idx="3032">
                  <c:v>21178348.478703</c:v>
                </c:pt>
                <c:pt idx="3033">
                  <c:v>17936401.558277</c:v>
                </c:pt>
                <c:pt idx="3034">
                  <c:v>24693520.375224002</c:v>
                </c:pt>
                <c:pt idx="3035">
                  <c:v>33727951.238365002</c:v>
                </c:pt>
                <c:pt idx="3036">
                  <c:v>48229070.872832</c:v>
                </c:pt>
                <c:pt idx="3037">
                  <c:v>30886980.510471001</c:v>
                </c:pt>
                <c:pt idx="3038">
                  <c:v>28467969.724199999</c:v>
                </c:pt>
                <c:pt idx="3039">
                  <c:v>25541867.116232999</c:v>
                </c:pt>
                <c:pt idx="3040">
                  <c:v>18520086.885090999</c:v>
                </c:pt>
                <c:pt idx="3041">
                  <c:v>22507585.564424001</c:v>
                </c:pt>
                <c:pt idx="3042">
                  <c:v>21383976.727065001</c:v>
                </c:pt>
                <c:pt idx="3043">
                  <c:v>22197602.758216999</c:v>
                </c:pt>
                <c:pt idx="3044">
                  <c:v>21361473.701345999</c:v>
                </c:pt>
                <c:pt idx="3045">
                  <c:v>28033007.273178</c:v>
                </c:pt>
                <c:pt idx="3046">
                  <c:v>20515808.617931001</c:v>
                </c:pt>
                <c:pt idx="3047">
                  <c:v>21948145.862367</c:v>
                </c:pt>
                <c:pt idx="3048">
                  <c:v>22421761.881078999</c:v>
                </c:pt>
                <c:pt idx="3049">
                  <c:v>24444482.505233001</c:v>
                </c:pt>
                <c:pt idx="3050">
                  <c:v>18735745.684388001</c:v>
                </c:pt>
                <c:pt idx="3051">
                  <c:v>27161616.709582999</c:v>
                </c:pt>
                <c:pt idx="3052">
                  <c:v>16387433.028414</c:v>
                </c:pt>
                <c:pt idx="3053">
                  <c:v>16284483.867534</c:v>
                </c:pt>
                <c:pt idx="3054">
                  <c:v>14919178.117587</c:v>
                </c:pt>
                <c:pt idx="3055">
                  <c:v>13257190.85437</c:v>
                </c:pt>
                <c:pt idx="3056">
                  <c:v>32126750.134413999</c:v>
                </c:pt>
                <c:pt idx="3057">
                  <c:v>17923581.248555001</c:v>
                </c:pt>
                <c:pt idx="3058">
                  <c:v>17694814.162581999</c:v>
                </c:pt>
                <c:pt idx="3059">
                  <c:v>27070415.180888999</c:v>
                </c:pt>
                <c:pt idx="3060">
                  <c:v>22469683.612305</c:v>
                </c:pt>
                <c:pt idx="3061">
                  <c:v>18823643.75719</c:v>
                </c:pt>
                <c:pt idx="3062">
                  <c:v>18103326.456955999</c:v>
                </c:pt>
                <c:pt idx="3063">
                  <c:v>16211322.124304</c:v>
                </c:pt>
                <c:pt idx="3064">
                  <c:v>22583171.652256001</c:v>
                </c:pt>
                <c:pt idx="3065">
                  <c:v>17212092.270780001</c:v>
                </c:pt>
                <c:pt idx="3066">
                  <c:v>34349202.629329003</c:v>
                </c:pt>
                <c:pt idx="3067">
                  <c:v>45333172.352342002</c:v>
                </c:pt>
                <c:pt idx="3068">
                  <c:v>20218937.042815</c:v>
                </c:pt>
                <c:pt idx="3069">
                  <c:v>19949369.008317001</c:v>
                </c:pt>
                <c:pt idx="3070">
                  <c:v>17960427.100575</c:v>
                </c:pt>
                <c:pt idx="3071">
                  <c:v>21415869.115329001</c:v>
                </c:pt>
                <c:pt idx="3072">
                  <c:v>17747626.215271</c:v>
                </c:pt>
                <c:pt idx="3073">
                  <c:v>18161917.797623999</c:v>
                </c:pt>
                <c:pt idx="3074">
                  <c:v>16819615.564732999</c:v>
                </c:pt>
                <c:pt idx="3075">
                  <c:v>16798830.441496</c:v>
                </c:pt>
                <c:pt idx="3076">
                  <c:v>21994038.256000999</c:v>
                </c:pt>
                <c:pt idx="3077">
                  <c:v>16407627.853749</c:v>
                </c:pt>
                <c:pt idx="3078">
                  <c:v>18012625.726142</c:v>
                </c:pt>
                <c:pt idx="3079">
                  <c:v>16594977.547219999</c:v>
                </c:pt>
                <c:pt idx="3080">
                  <c:v>19479705.069256</c:v>
                </c:pt>
                <c:pt idx="3081">
                  <c:v>16647769.487544</c:v>
                </c:pt>
                <c:pt idx="3082">
                  <c:v>14341271.443273</c:v>
                </c:pt>
                <c:pt idx="3083">
                  <c:v>12582585.942105999</c:v>
                </c:pt>
                <c:pt idx="3084">
                  <c:v>16307689.513854999</c:v>
                </c:pt>
                <c:pt idx="3085">
                  <c:v>18067362.532125998</c:v>
                </c:pt>
                <c:pt idx="3086">
                  <c:v>19361922.033836</c:v>
                </c:pt>
                <c:pt idx="3087">
                  <c:v>20387439.439383</c:v>
                </c:pt>
                <c:pt idx="3088">
                  <c:v>16859809.119846001</c:v>
                </c:pt>
                <c:pt idx="3089">
                  <c:v>15944564.792763</c:v>
                </c:pt>
                <c:pt idx="3090">
                  <c:v>21148067.952064</c:v>
                </c:pt>
                <c:pt idx="3091">
                  <c:v>30167538.324081998</c:v>
                </c:pt>
                <c:pt idx="3092">
                  <c:v>20400851.369743001</c:v>
                </c:pt>
                <c:pt idx="3093">
                  <c:v>15822901.076586001</c:v>
                </c:pt>
                <c:pt idx="3094">
                  <c:v>15149970.518679</c:v>
                </c:pt>
                <c:pt idx="3095">
                  <c:v>40814474.091031998</c:v>
                </c:pt>
                <c:pt idx="3096">
                  <c:v>29861485.454509001</c:v>
                </c:pt>
                <c:pt idx="3097">
                  <c:v>19692107.729740001</c:v>
                </c:pt>
                <c:pt idx="3098">
                  <c:v>28943074.435612999</c:v>
                </c:pt>
                <c:pt idx="3099">
                  <c:v>23694860.484101001</c:v>
                </c:pt>
                <c:pt idx="3100">
                  <c:v>17808859.315033998</c:v>
                </c:pt>
                <c:pt idx="3101">
                  <c:v>17544743.742587999</c:v>
                </c:pt>
                <c:pt idx="3102">
                  <c:v>17092130.060651001</c:v>
                </c:pt>
                <c:pt idx="3103">
                  <c:v>20130695.048578002</c:v>
                </c:pt>
                <c:pt idx="3104">
                  <c:v>11858559.921832999</c:v>
                </c:pt>
                <c:pt idx="3105">
                  <c:v>14772257.293896001</c:v>
                </c:pt>
                <c:pt idx="3106">
                  <c:v>13477578.123616001</c:v>
                </c:pt>
                <c:pt idx="3107">
                  <c:v>15526972.771373</c:v>
                </c:pt>
                <c:pt idx="3108">
                  <c:v>15194193.586048</c:v>
                </c:pt>
                <c:pt idx="3109">
                  <c:v>22324213.483964998</c:v>
                </c:pt>
                <c:pt idx="3110">
                  <c:v>17596798.394308999</c:v>
                </c:pt>
                <c:pt idx="3111">
                  <c:v>15410695.039903</c:v>
                </c:pt>
                <c:pt idx="3112">
                  <c:v>16334095.694739999</c:v>
                </c:pt>
                <c:pt idx="3113">
                  <c:v>21534941.608079001</c:v>
                </c:pt>
                <c:pt idx="3114">
                  <c:v>18142516.418699998</c:v>
                </c:pt>
                <c:pt idx="3115">
                  <c:v>17277225.185242001</c:v>
                </c:pt>
                <c:pt idx="3116">
                  <c:v>11900425.843171</c:v>
                </c:pt>
                <c:pt idx="3117">
                  <c:v>15777872.823232999</c:v>
                </c:pt>
                <c:pt idx="3118">
                  <c:v>15576213.888054</c:v>
                </c:pt>
                <c:pt idx="3119">
                  <c:v>28533079.029899001</c:v>
                </c:pt>
                <c:pt idx="3120">
                  <c:v>48177999.385880001</c:v>
                </c:pt>
                <c:pt idx="3121">
                  <c:v>17551250.621932998</c:v>
                </c:pt>
                <c:pt idx="3122">
                  <c:v>14403552.735199001</c:v>
                </c:pt>
                <c:pt idx="3123">
                  <c:v>17052722.599243</c:v>
                </c:pt>
                <c:pt idx="3124">
                  <c:v>14917837.526660001</c:v>
                </c:pt>
                <c:pt idx="3125">
                  <c:v>13673516.552881001</c:v>
                </c:pt>
                <c:pt idx="3126">
                  <c:v>14056352.731831999</c:v>
                </c:pt>
                <c:pt idx="3127">
                  <c:v>14606506.582253</c:v>
                </c:pt>
                <c:pt idx="3128">
                  <c:v>22451395.913938999</c:v>
                </c:pt>
                <c:pt idx="3129">
                  <c:v>16021337.335847</c:v>
                </c:pt>
                <c:pt idx="3130">
                  <c:v>13633700.522219</c:v>
                </c:pt>
                <c:pt idx="3131">
                  <c:v>20869191.275646001</c:v>
                </c:pt>
                <c:pt idx="3132">
                  <c:v>17177662.522914</c:v>
                </c:pt>
                <c:pt idx="3133">
                  <c:v>19953064.211082</c:v>
                </c:pt>
                <c:pt idx="3134">
                  <c:v>34617483.468413003</c:v>
                </c:pt>
                <c:pt idx="3135">
                  <c:v>15974312.962409001</c:v>
                </c:pt>
                <c:pt idx="3136">
                  <c:v>16811297.823785</c:v>
                </c:pt>
                <c:pt idx="3137">
                  <c:v>16569883.086403999</c:v>
                </c:pt>
                <c:pt idx="3138">
                  <c:v>14862701.383556999</c:v>
                </c:pt>
                <c:pt idx="3139">
                  <c:v>28470264.762037002</c:v>
                </c:pt>
                <c:pt idx="3140">
                  <c:v>17730071.929136999</c:v>
                </c:pt>
                <c:pt idx="3141">
                  <c:v>14033009.184799001</c:v>
                </c:pt>
                <c:pt idx="3142">
                  <c:v>9970650.7964862008</c:v>
                </c:pt>
                <c:pt idx="3143">
                  <c:v>16061213.594968</c:v>
                </c:pt>
                <c:pt idx="3144">
                  <c:v>13011677.055074999</c:v>
                </c:pt>
                <c:pt idx="3145">
                  <c:v>17294107.222394999</c:v>
                </c:pt>
                <c:pt idx="3146">
                  <c:v>18265384.483369</c:v>
                </c:pt>
                <c:pt idx="3147">
                  <c:v>23199174.396570001</c:v>
                </c:pt>
                <c:pt idx="3148">
                  <c:v>16386431.214484001</c:v>
                </c:pt>
                <c:pt idx="3149">
                  <c:v>14484389.36571</c:v>
                </c:pt>
                <c:pt idx="3150">
                  <c:v>17241078.071561001</c:v>
                </c:pt>
                <c:pt idx="3151">
                  <c:v>21836852.821444001</c:v>
                </c:pt>
                <c:pt idx="3152">
                  <c:v>20874001.521931998</c:v>
                </c:pt>
                <c:pt idx="3153">
                  <c:v>21020150.897558998</c:v>
                </c:pt>
                <c:pt idx="3154">
                  <c:v>15868949.295639001</c:v>
                </c:pt>
                <c:pt idx="3155">
                  <c:v>13156957.133273</c:v>
                </c:pt>
                <c:pt idx="3156">
                  <c:v>26907867.256406002</c:v>
                </c:pt>
                <c:pt idx="3157">
                  <c:v>30057810.660866</c:v>
                </c:pt>
                <c:pt idx="3158">
                  <c:v>23673638.138330001</c:v>
                </c:pt>
                <c:pt idx="3159">
                  <c:v>15183429.975236</c:v>
                </c:pt>
                <c:pt idx="3160">
                  <c:v>32812041.041768</c:v>
                </c:pt>
                <c:pt idx="3161">
                  <c:v>43054681.55302</c:v>
                </c:pt>
                <c:pt idx="3162">
                  <c:v>30411758.259294</c:v>
                </c:pt>
                <c:pt idx="3163">
                  <c:v>29549989.3869</c:v>
                </c:pt>
                <c:pt idx="3164">
                  <c:v>40864244.760963999</c:v>
                </c:pt>
                <c:pt idx="3165">
                  <c:v>25041512.777407002</c:v>
                </c:pt>
                <c:pt idx="3166">
                  <c:v>20729537.539358001</c:v>
                </c:pt>
                <c:pt idx="3167">
                  <c:v>20279956.181766</c:v>
                </c:pt>
                <c:pt idx="3168">
                  <c:v>19350064.906628001</c:v>
                </c:pt>
                <c:pt idx="3169">
                  <c:v>16826710.286529999</c:v>
                </c:pt>
                <c:pt idx="3170">
                  <c:v>19488193.859085999</c:v>
                </c:pt>
                <c:pt idx="3171">
                  <c:v>18336534.370003</c:v>
                </c:pt>
                <c:pt idx="3172">
                  <c:v>20793682.319441002</c:v>
                </c:pt>
                <c:pt idx="3173">
                  <c:v>22821181.535695001</c:v>
                </c:pt>
                <c:pt idx="3174">
                  <c:v>15264449.896166001</c:v>
                </c:pt>
                <c:pt idx="3175">
                  <c:v>16420383.035994001</c:v>
                </c:pt>
                <c:pt idx="3176">
                  <c:v>16099458.944762001</c:v>
                </c:pt>
                <c:pt idx="3177">
                  <c:v>19400656.553580999</c:v>
                </c:pt>
                <c:pt idx="3178">
                  <c:v>18530801.895955998</c:v>
                </c:pt>
                <c:pt idx="3179">
                  <c:v>13179157.229326</c:v>
                </c:pt>
                <c:pt idx="3180">
                  <c:v>13519918.949025</c:v>
                </c:pt>
                <c:pt idx="3181">
                  <c:v>14912449.726074001</c:v>
                </c:pt>
                <c:pt idx="3182">
                  <c:v>17079359.434491001</c:v>
                </c:pt>
                <c:pt idx="3183">
                  <c:v>24356980.511220999</c:v>
                </c:pt>
                <c:pt idx="3184">
                  <c:v>20354263.518277999</c:v>
                </c:pt>
                <c:pt idx="3185">
                  <c:v>15166102.433208</c:v>
                </c:pt>
                <c:pt idx="3186">
                  <c:v>14223930.311226999</c:v>
                </c:pt>
                <c:pt idx="3187">
                  <c:v>19648777.209662002</c:v>
                </c:pt>
                <c:pt idx="3188">
                  <c:v>15325749.35049</c:v>
                </c:pt>
                <c:pt idx="3189">
                  <c:v>19633507.706671</c:v>
                </c:pt>
                <c:pt idx="3190">
                  <c:v>19305488.441826999</c:v>
                </c:pt>
                <c:pt idx="3191">
                  <c:v>17453625.083023001</c:v>
                </c:pt>
                <c:pt idx="3192">
                  <c:v>15906330.142682999</c:v>
                </c:pt>
                <c:pt idx="3193">
                  <c:v>13862389.08152</c:v>
                </c:pt>
                <c:pt idx="3194">
                  <c:v>18912010.413851</c:v>
                </c:pt>
                <c:pt idx="3195">
                  <c:v>18935869.074898999</c:v>
                </c:pt>
                <c:pt idx="3196">
                  <c:v>21750007.714586001</c:v>
                </c:pt>
                <c:pt idx="3197">
                  <c:v>55277530.680537</c:v>
                </c:pt>
                <c:pt idx="3198">
                  <c:v>15159173.591868</c:v>
                </c:pt>
                <c:pt idx="3199">
                  <c:v>17049813.412135001</c:v>
                </c:pt>
                <c:pt idx="3200">
                  <c:v>13423178.696697</c:v>
                </c:pt>
                <c:pt idx="3201">
                  <c:v>14521051.853503</c:v>
                </c:pt>
                <c:pt idx="3202">
                  <c:v>14925947.690165</c:v>
                </c:pt>
                <c:pt idx="3203">
                  <c:v>16888342.851868</c:v>
                </c:pt>
                <c:pt idx="3204">
                  <c:v>19131162.200521</c:v>
                </c:pt>
                <c:pt idx="3205">
                  <c:v>16615448.707242999</c:v>
                </c:pt>
                <c:pt idx="3206">
                  <c:v>13713816.286362</c:v>
                </c:pt>
                <c:pt idx="3207">
                  <c:v>19229326.297178</c:v>
                </c:pt>
                <c:pt idx="3208">
                  <c:v>20961634.828315999</c:v>
                </c:pt>
                <c:pt idx="3209">
                  <c:v>19267751.056065001</c:v>
                </c:pt>
                <c:pt idx="3210">
                  <c:v>15004230.070284</c:v>
                </c:pt>
                <c:pt idx="3211">
                  <c:v>13876095.461952001</c:v>
                </c:pt>
                <c:pt idx="3212">
                  <c:v>14173257.084294001</c:v>
                </c:pt>
                <c:pt idx="3213">
                  <c:v>16686419.481396001</c:v>
                </c:pt>
                <c:pt idx="3214">
                  <c:v>18938032.396439999</c:v>
                </c:pt>
                <c:pt idx="3215">
                  <c:v>15539975.297098</c:v>
                </c:pt>
                <c:pt idx="3216">
                  <c:v>14849668.311325001</c:v>
                </c:pt>
                <c:pt idx="3217">
                  <c:v>17179635.750604998</c:v>
                </c:pt>
                <c:pt idx="3218">
                  <c:v>14234550.526608</c:v>
                </c:pt>
                <c:pt idx="3219">
                  <c:v>25533203.182255</c:v>
                </c:pt>
                <c:pt idx="3220">
                  <c:v>19693719.989216</c:v>
                </c:pt>
                <c:pt idx="3221">
                  <c:v>13608816.534516999</c:v>
                </c:pt>
                <c:pt idx="3222">
                  <c:v>16932889.840775002</c:v>
                </c:pt>
                <c:pt idx="3223">
                  <c:v>14912233.293719999</c:v>
                </c:pt>
                <c:pt idx="3224">
                  <c:v>17679397.094526999</c:v>
                </c:pt>
                <c:pt idx="3225">
                  <c:v>29808696.083629001</c:v>
                </c:pt>
                <c:pt idx="3226">
                  <c:v>54079011.469012</c:v>
                </c:pt>
                <c:pt idx="3227">
                  <c:v>24278942.619502001</c:v>
                </c:pt>
                <c:pt idx="3228">
                  <c:v>19711662.832582001</c:v>
                </c:pt>
                <c:pt idx="3229">
                  <c:v>17661291.926895</c:v>
                </c:pt>
                <c:pt idx="3230">
                  <c:v>26735249.439553</c:v>
                </c:pt>
                <c:pt idx="3231">
                  <c:v>19941618.200932</c:v>
                </c:pt>
                <c:pt idx="3232">
                  <c:v>16925224.52823</c:v>
                </c:pt>
                <c:pt idx="3233">
                  <c:v>24552367.824995998</c:v>
                </c:pt>
                <c:pt idx="3234">
                  <c:v>19440038.224034</c:v>
                </c:pt>
                <c:pt idx="3235">
                  <c:v>21545224.631432999</c:v>
                </c:pt>
                <c:pt idx="3236">
                  <c:v>30307424.36386</c:v>
                </c:pt>
                <c:pt idx="3237">
                  <c:v>28304185.611311</c:v>
                </c:pt>
                <c:pt idx="3238">
                  <c:v>24791537.600427002</c:v>
                </c:pt>
                <c:pt idx="3239">
                  <c:v>18169825.795173999</c:v>
                </c:pt>
                <c:pt idx="3240">
                  <c:v>19230069.782395002</c:v>
                </c:pt>
                <c:pt idx="3241">
                  <c:v>20780162</c:v>
                </c:pt>
                <c:pt idx="3242">
                  <c:v>24814626</c:v>
                </c:pt>
                <c:pt idx="3243">
                  <c:v>27691090</c:v>
                </c:pt>
                <c:pt idx="3244">
                  <c:v>23458889</c:v>
                </c:pt>
                <c:pt idx="3245">
                  <c:v>18332444</c:v>
                </c:pt>
                <c:pt idx="3246">
                  <c:v>16271921</c:v>
                </c:pt>
                <c:pt idx="3247">
                  <c:v>20207223</c:v>
                </c:pt>
                <c:pt idx="3248">
                  <c:v>18301987</c:v>
                </c:pt>
                <c:pt idx="3249">
                  <c:v>26009429</c:v>
                </c:pt>
                <c:pt idx="3250">
                  <c:v>21697775</c:v>
                </c:pt>
                <c:pt idx="3251">
                  <c:v>18821002</c:v>
                </c:pt>
                <c:pt idx="3252">
                  <c:v>19144388</c:v>
                </c:pt>
                <c:pt idx="3253">
                  <c:v>18469459</c:v>
                </c:pt>
                <c:pt idx="3254">
                  <c:v>19200208</c:v>
                </c:pt>
                <c:pt idx="3255">
                  <c:v>20834779</c:v>
                </c:pt>
                <c:pt idx="3256">
                  <c:v>20177833</c:v>
                </c:pt>
                <c:pt idx="3257">
                  <c:v>23598834</c:v>
                </c:pt>
                <c:pt idx="3258">
                  <c:v>22733494</c:v>
                </c:pt>
                <c:pt idx="3259">
                  <c:v>24444545</c:v>
                </c:pt>
                <c:pt idx="3260">
                  <c:v>22963681</c:v>
                </c:pt>
                <c:pt idx="3261">
                  <c:v>64263694</c:v>
                </c:pt>
                <c:pt idx="3262">
                  <c:v>19152519</c:v>
                </c:pt>
                <c:pt idx="3263">
                  <c:v>7164543</c:v>
                </c:pt>
                <c:pt idx="3264">
                  <c:v>8199927</c:v>
                </c:pt>
                <c:pt idx="3265">
                  <c:v>18117713</c:v>
                </c:pt>
                <c:pt idx="3266">
                  <c:v>13158703</c:v>
                </c:pt>
                <c:pt idx="3267">
                  <c:v>13246509</c:v>
                </c:pt>
                <c:pt idx="3268">
                  <c:v>16896469</c:v>
                </c:pt>
                <c:pt idx="3269">
                  <c:v>16662943</c:v>
                </c:pt>
                <c:pt idx="3270">
                  <c:v>20573648</c:v>
                </c:pt>
                <c:pt idx="3271">
                  <c:v>18139065</c:v>
                </c:pt>
                <c:pt idx="3272">
                  <c:v>15054575</c:v>
                </c:pt>
                <c:pt idx="3273">
                  <c:v>20201132</c:v>
                </c:pt>
                <c:pt idx="3274">
                  <c:v>17604780</c:v>
                </c:pt>
                <c:pt idx="3275">
                  <c:v>16935856</c:v>
                </c:pt>
                <c:pt idx="3276">
                  <c:v>19637838</c:v>
                </c:pt>
                <c:pt idx="3277">
                  <c:v>15300023</c:v>
                </c:pt>
                <c:pt idx="3278">
                  <c:v>26197507</c:v>
                </c:pt>
                <c:pt idx="3279">
                  <c:v>26085703</c:v>
                </c:pt>
                <c:pt idx="3280">
                  <c:v>27803811</c:v>
                </c:pt>
                <c:pt idx="3281">
                  <c:v>18389270</c:v>
                </c:pt>
                <c:pt idx="3282">
                  <c:v>15549453</c:v>
                </c:pt>
                <c:pt idx="3283">
                  <c:v>35647805</c:v>
                </c:pt>
                <c:pt idx="3284">
                  <c:v>23491703</c:v>
                </c:pt>
                <c:pt idx="3285">
                  <c:v>23581370</c:v>
                </c:pt>
                <c:pt idx="3286">
                  <c:v>54586260</c:v>
                </c:pt>
                <c:pt idx="3287">
                  <c:v>34223388</c:v>
                </c:pt>
                <c:pt idx="3288">
                  <c:v>25679149</c:v>
                </c:pt>
                <c:pt idx="3289">
                  <c:v>20532096</c:v>
                </c:pt>
                <c:pt idx="3290">
                  <c:v>16336188</c:v>
                </c:pt>
                <c:pt idx="3291">
                  <c:v>16309755</c:v>
                </c:pt>
                <c:pt idx="3292">
                  <c:v>22886844</c:v>
                </c:pt>
                <c:pt idx="3293">
                  <c:v>20817919</c:v>
                </c:pt>
                <c:pt idx="3294">
                  <c:v>18140592</c:v>
                </c:pt>
                <c:pt idx="3295">
                  <c:v>19121734</c:v>
                </c:pt>
                <c:pt idx="3296">
                  <c:v>23891731</c:v>
                </c:pt>
                <c:pt idx="3297">
                  <c:v>22758464</c:v>
                </c:pt>
                <c:pt idx="3298">
                  <c:v>21423051</c:v>
                </c:pt>
                <c:pt idx="3299">
                  <c:v>24114197</c:v>
                </c:pt>
                <c:pt idx="3300">
                  <c:v>23508728</c:v>
                </c:pt>
                <c:pt idx="3301">
                  <c:v>27524799</c:v>
                </c:pt>
                <c:pt idx="3302">
                  <c:v>26443656</c:v>
                </c:pt>
                <c:pt idx="3303">
                  <c:v>29387402</c:v>
                </c:pt>
                <c:pt idx="3304">
                  <c:v>19618954</c:v>
                </c:pt>
                <c:pt idx="3305">
                  <c:v>21127406</c:v>
                </c:pt>
                <c:pt idx="3306">
                  <c:v>32845658</c:v>
                </c:pt>
                <c:pt idx="3307">
                  <c:v>23007726</c:v>
                </c:pt>
                <c:pt idx="3308">
                  <c:v>29342923</c:v>
                </c:pt>
                <c:pt idx="3309">
                  <c:v>23433132</c:v>
                </c:pt>
                <c:pt idx="3310">
                  <c:v>23304625</c:v>
                </c:pt>
                <c:pt idx="3311">
                  <c:v>22034087</c:v>
                </c:pt>
                <c:pt idx="3312">
                  <c:v>32840134</c:v>
                </c:pt>
                <c:pt idx="3313">
                  <c:v>30380177</c:v>
                </c:pt>
                <c:pt idx="3314">
                  <c:v>24253567</c:v>
                </c:pt>
                <c:pt idx="3315">
                  <c:v>20473017</c:v>
                </c:pt>
                <c:pt idx="3316">
                  <c:v>19952846</c:v>
                </c:pt>
                <c:pt idx="3317">
                  <c:v>22474272</c:v>
                </c:pt>
                <c:pt idx="3318">
                  <c:v>19486850</c:v>
                </c:pt>
                <c:pt idx="3319">
                  <c:v>19185532</c:v>
                </c:pt>
                <c:pt idx="3320">
                  <c:v>18470542</c:v>
                </c:pt>
                <c:pt idx="3321">
                  <c:v>39675928</c:v>
                </c:pt>
                <c:pt idx="3322">
                  <c:v>21004548</c:v>
                </c:pt>
                <c:pt idx="3323">
                  <c:v>15774968</c:v>
                </c:pt>
                <c:pt idx="3324">
                  <c:v>16132906</c:v>
                </c:pt>
                <c:pt idx="3325">
                  <c:v>13766761</c:v>
                </c:pt>
                <c:pt idx="3326">
                  <c:v>21632016</c:v>
                </c:pt>
                <c:pt idx="3327">
                  <c:v>35184676</c:v>
                </c:pt>
                <c:pt idx="3328">
                  <c:v>19689503</c:v>
                </c:pt>
                <c:pt idx="3329">
                  <c:v>16092555</c:v>
                </c:pt>
                <c:pt idx="3330">
                  <c:v>30197997</c:v>
                </c:pt>
                <c:pt idx="3331">
                  <c:v>49209854</c:v>
                </c:pt>
                <c:pt idx="3332">
                  <c:v>50424998</c:v>
                </c:pt>
                <c:pt idx="3333">
                  <c:v>35868918</c:v>
                </c:pt>
                <c:pt idx="3334">
                  <c:v>50199696</c:v>
                </c:pt>
                <c:pt idx="3335">
                  <c:v>38024368</c:v>
                </c:pt>
                <c:pt idx="3336">
                  <c:v>23839220</c:v>
                </c:pt>
                <c:pt idx="3337">
                  <c:v>19251172</c:v>
                </c:pt>
                <c:pt idx="3338">
                  <c:v>17199890</c:v>
                </c:pt>
                <c:pt idx="3339">
                  <c:v>21967826</c:v>
                </c:pt>
                <c:pt idx="3340">
                  <c:v>21120192</c:v>
                </c:pt>
                <c:pt idx="3341">
                  <c:v>20807279</c:v>
                </c:pt>
                <c:pt idx="3342">
                  <c:v>19484993</c:v>
                </c:pt>
                <c:pt idx="3343">
                  <c:v>20545526</c:v>
                </c:pt>
                <c:pt idx="3344">
                  <c:v>22232289</c:v>
                </c:pt>
                <c:pt idx="3345">
                  <c:v>18973165</c:v>
                </c:pt>
                <c:pt idx="3346">
                  <c:v>16579430</c:v>
                </c:pt>
                <c:pt idx="3347">
                  <c:v>14973976</c:v>
                </c:pt>
                <c:pt idx="3348">
                  <c:v>36461075</c:v>
                </c:pt>
                <c:pt idx="3349">
                  <c:v>58938100</c:v>
                </c:pt>
                <c:pt idx="3350">
                  <c:v>30757434</c:v>
                </c:pt>
                <c:pt idx="3351">
                  <c:v>20136053</c:v>
                </c:pt>
                <c:pt idx="3352">
                  <c:v>15104204</c:v>
                </c:pt>
                <c:pt idx="3353">
                  <c:v>23307241</c:v>
                </c:pt>
                <c:pt idx="3354">
                  <c:v>23491330</c:v>
                </c:pt>
                <c:pt idx="3355">
                  <c:v>15324233</c:v>
                </c:pt>
                <c:pt idx="3356">
                  <c:v>22821935</c:v>
                </c:pt>
                <c:pt idx="3357">
                  <c:v>23618819</c:v>
                </c:pt>
                <c:pt idx="3358">
                  <c:v>19902796</c:v>
                </c:pt>
                <c:pt idx="3359">
                  <c:v>21992323</c:v>
                </c:pt>
                <c:pt idx="3360">
                  <c:v>23849781</c:v>
                </c:pt>
                <c:pt idx="3361">
                  <c:v>21336509</c:v>
                </c:pt>
                <c:pt idx="3362">
                  <c:v>15441808</c:v>
                </c:pt>
                <c:pt idx="3363">
                  <c:v>19216906</c:v>
                </c:pt>
                <c:pt idx="3364">
                  <c:v>18025612</c:v>
                </c:pt>
                <c:pt idx="3365">
                  <c:v>16883509</c:v>
                </c:pt>
                <c:pt idx="3366">
                  <c:v>20974293</c:v>
                </c:pt>
                <c:pt idx="3367">
                  <c:v>17086261</c:v>
                </c:pt>
                <c:pt idx="3368">
                  <c:v>13982211</c:v>
                </c:pt>
                <c:pt idx="3369">
                  <c:v>34770475</c:v>
                </c:pt>
                <c:pt idx="3370">
                  <c:v>16626495</c:v>
                </c:pt>
                <c:pt idx="3371">
                  <c:v>15743760</c:v>
                </c:pt>
                <c:pt idx="3372">
                  <c:v>14162688</c:v>
                </c:pt>
                <c:pt idx="3373">
                  <c:v>20154460</c:v>
                </c:pt>
                <c:pt idx="3374">
                  <c:v>15285624</c:v>
                </c:pt>
                <c:pt idx="3375">
                  <c:v>16469932</c:v>
                </c:pt>
                <c:pt idx="3376">
                  <c:v>15375944</c:v>
                </c:pt>
                <c:pt idx="3377">
                  <c:v>16399176</c:v>
                </c:pt>
                <c:pt idx="3378">
                  <c:v>18950582</c:v>
                </c:pt>
                <c:pt idx="3379">
                  <c:v>16814456</c:v>
                </c:pt>
                <c:pt idx="3380">
                  <c:v>15626104</c:v>
                </c:pt>
                <c:pt idx="3381">
                  <c:v>15414128</c:v>
                </c:pt>
                <c:pt idx="3382">
                  <c:v>17526452</c:v>
                </c:pt>
                <c:pt idx="3383">
                  <c:v>37576206</c:v>
                </c:pt>
                <c:pt idx="3384">
                  <c:v>24863952</c:v>
                </c:pt>
                <c:pt idx="3385">
                  <c:v>22305642</c:v>
                </c:pt>
                <c:pt idx="3386">
                  <c:v>17495099</c:v>
                </c:pt>
                <c:pt idx="3387">
                  <c:v>21578853</c:v>
                </c:pt>
                <c:pt idx="3388">
                  <c:v>34539236</c:v>
                </c:pt>
                <c:pt idx="3389">
                  <c:v>28368991</c:v>
                </c:pt>
                <c:pt idx="3390">
                  <c:v>19945375</c:v>
                </c:pt>
                <c:pt idx="3391">
                  <c:v>16319641</c:v>
                </c:pt>
                <c:pt idx="3392">
                  <c:v>13984829</c:v>
                </c:pt>
                <c:pt idx="3393">
                  <c:v>13981605</c:v>
                </c:pt>
                <c:pt idx="3394">
                  <c:v>11846586</c:v>
                </c:pt>
                <c:pt idx="3395">
                  <c:v>18659538</c:v>
                </c:pt>
                <c:pt idx="3396">
                  <c:v>16498740</c:v>
                </c:pt>
                <c:pt idx="3397">
                  <c:v>16459512</c:v>
                </c:pt>
                <c:pt idx="3398">
                  <c:v>12058848</c:v>
                </c:pt>
                <c:pt idx="3399">
                  <c:v>14927202</c:v>
                </c:pt>
                <c:pt idx="3400">
                  <c:v>15154374</c:v>
                </c:pt>
                <c:pt idx="3401">
                  <c:v>17503129</c:v>
                </c:pt>
                <c:pt idx="3402">
                  <c:v>21209666</c:v>
                </c:pt>
                <c:pt idx="3403">
                  <c:v>14066805</c:v>
                </c:pt>
                <c:pt idx="3404">
                  <c:v>13868644</c:v>
                </c:pt>
                <c:pt idx="3405">
                  <c:v>16396585</c:v>
                </c:pt>
                <c:pt idx="3406">
                  <c:v>16107000</c:v>
                </c:pt>
                <c:pt idx="3407">
                  <c:v>19125699</c:v>
                </c:pt>
                <c:pt idx="3408">
                  <c:v>14308027</c:v>
                </c:pt>
                <c:pt idx="3409">
                  <c:v>16469235</c:v>
                </c:pt>
                <c:pt idx="3410">
                  <c:v>26380434</c:v>
                </c:pt>
                <c:pt idx="3411">
                  <c:v>51617326</c:v>
                </c:pt>
                <c:pt idx="3412">
                  <c:v>28977628</c:v>
                </c:pt>
                <c:pt idx="3413">
                  <c:v>25349004</c:v>
                </c:pt>
                <c:pt idx="3414">
                  <c:v>19171569</c:v>
                </c:pt>
                <c:pt idx="3415">
                  <c:v>21355702</c:v>
                </c:pt>
                <c:pt idx="3416">
                  <c:v>16079144</c:v>
                </c:pt>
                <c:pt idx="3417">
                  <c:v>15531009</c:v>
                </c:pt>
                <c:pt idx="3418">
                  <c:v>20194372</c:v>
                </c:pt>
                <c:pt idx="3419">
                  <c:v>18688921</c:v>
                </c:pt>
                <c:pt idx="3420">
                  <c:v>19619160</c:v>
                </c:pt>
                <c:pt idx="3421">
                  <c:v>20269074</c:v>
                </c:pt>
                <c:pt idx="3422">
                  <c:v>25213272</c:v>
                </c:pt>
                <c:pt idx="3423">
                  <c:v>23760583</c:v>
                </c:pt>
                <c:pt idx="3424">
                  <c:v>21481016</c:v>
                </c:pt>
                <c:pt idx="3425">
                  <c:v>27723025</c:v>
                </c:pt>
                <c:pt idx="3426">
                  <c:v>18443254</c:v>
                </c:pt>
                <c:pt idx="3427">
                  <c:v>24324161</c:v>
                </c:pt>
                <c:pt idx="3428">
                  <c:v>21638579</c:v>
                </c:pt>
                <c:pt idx="3429">
                  <c:v>30835709</c:v>
                </c:pt>
                <c:pt idx="3430">
                  <c:v>17277893</c:v>
                </c:pt>
                <c:pt idx="3431">
                  <c:v>18015593</c:v>
                </c:pt>
                <c:pt idx="3432">
                  <c:v>20961569</c:v>
                </c:pt>
                <c:pt idx="3433">
                  <c:v>18127995</c:v>
                </c:pt>
                <c:pt idx="3434">
                  <c:v>16345078</c:v>
                </c:pt>
                <c:pt idx="3435">
                  <c:v>15509486</c:v>
                </c:pt>
                <c:pt idx="3436">
                  <c:v>31994846</c:v>
                </c:pt>
                <c:pt idx="3437">
                  <c:v>16771015</c:v>
                </c:pt>
                <c:pt idx="3438">
                  <c:v>14410542</c:v>
                </c:pt>
                <c:pt idx="3439">
                  <c:v>21611816</c:v>
                </c:pt>
                <c:pt idx="3440">
                  <c:v>18881608</c:v>
                </c:pt>
                <c:pt idx="3441">
                  <c:v>23624884</c:v>
                </c:pt>
                <c:pt idx="3442">
                  <c:v>17143786</c:v>
                </c:pt>
                <c:pt idx="3443">
                  <c:v>19711922</c:v>
                </c:pt>
                <c:pt idx="3444">
                  <c:v>15816585</c:v>
                </c:pt>
                <c:pt idx="3445">
                  <c:v>18913696</c:v>
                </c:pt>
                <c:pt idx="3446">
                  <c:v>52474093</c:v>
                </c:pt>
                <c:pt idx="3447">
                  <c:v>20009314</c:v>
                </c:pt>
                <c:pt idx="3448">
                  <c:v>19799580</c:v>
                </c:pt>
                <c:pt idx="3449">
                  <c:v>13533711</c:v>
                </c:pt>
                <c:pt idx="3450">
                  <c:v>15786468</c:v>
                </c:pt>
                <c:pt idx="3451">
                  <c:v>16213129</c:v>
                </c:pt>
                <c:pt idx="3452">
                  <c:v>17617775</c:v>
                </c:pt>
                <c:pt idx="3453">
                  <c:v>19728229</c:v>
                </c:pt>
                <c:pt idx="3454">
                  <c:v>22632336</c:v>
                </c:pt>
                <c:pt idx="3455">
                  <c:v>21222886</c:v>
                </c:pt>
                <c:pt idx="3456">
                  <c:v>15112321</c:v>
                </c:pt>
                <c:pt idx="3457">
                  <c:v>21388581</c:v>
                </c:pt>
                <c:pt idx="3458">
                  <c:v>14615208</c:v>
                </c:pt>
                <c:pt idx="3459">
                  <c:v>13363447</c:v>
                </c:pt>
                <c:pt idx="3460">
                  <c:v>18343602</c:v>
                </c:pt>
                <c:pt idx="3461">
                  <c:v>24133840</c:v>
                </c:pt>
                <c:pt idx="3462">
                  <c:v>14284238</c:v>
                </c:pt>
                <c:pt idx="3463">
                  <c:v>14684300</c:v>
                </c:pt>
                <c:pt idx="3464">
                  <c:v>14694654</c:v>
                </c:pt>
                <c:pt idx="3465">
                  <c:v>15559565</c:v>
                </c:pt>
                <c:pt idx="3466">
                  <c:v>19867765</c:v>
                </c:pt>
                <c:pt idx="3467">
                  <c:v>14665620</c:v>
                </c:pt>
                <c:pt idx="3468">
                  <c:v>15586204</c:v>
                </c:pt>
                <c:pt idx="3469">
                  <c:v>18962694</c:v>
                </c:pt>
                <c:pt idx="3470">
                  <c:v>14023532</c:v>
                </c:pt>
                <c:pt idx="3471">
                  <c:v>15532360</c:v>
                </c:pt>
                <c:pt idx="3472">
                  <c:v>18734716</c:v>
                </c:pt>
                <c:pt idx="3473">
                  <c:v>29986683</c:v>
                </c:pt>
                <c:pt idx="3474">
                  <c:v>36023004</c:v>
                </c:pt>
                <c:pt idx="3475">
                  <c:v>41023088</c:v>
                </c:pt>
                <c:pt idx="3476">
                  <c:v>34006424</c:v>
                </c:pt>
                <c:pt idx="3477">
                  <c:v>22374742</c:v>
                </c:pt>
                <c:pt idx="3478">
                  <c:v>20958663</c:v>
                </c:pt>
                <c:pt idx="3479">
                  <c:v>23024342</c:v>
                </c:pt>
                <c:pt idx="3480">
                  <c:v>27406496</c:v>
                </c:pt>
                <c:pt idx="3481">
                  <c:v>24019764</c:v>
                </c:pt>
                <c:pt idx="3482">
                  <c:v>26101480</c:v>
                </c:pt>
                <c:pt idx="3483">
                  <c:v>17980020</c:v>
                </c:pt>
                <c:pt idx="3484">
                  <c:v>26574851</c:v>
                </c:pt>
                <c:pt idx="3485">
                  <c:v>25273114</c:v>
                </c:pt>
                <c:pt idx="3486">
                  <c:v>28505746</c:v>
                </c:pt>
                <c:pt idx="3487">
                  <c:v>19092752</c:v>
                </c:pt>
                <c:pt idx="3488">
                  <c:v>33815114</c:v>
                </c:pt>
                <c:pt idx="3489">
                  <c:v>23245314</c:v>
                </c:pt>
                <c:pt idx="3490">
                  <c:v>26802542</c:v>
                </c:pt>
                <c:pt idx="3491">
                  <c:v>31769248</c:v>
                </c:pt>
                <c:pt idx="3492">
                  <c:v>34421046</c:v>
                </c:pt>
                <c:pt idx="3493">
                  <c:v>28019793</c:v>
                </c:pt>
                <c:pt idx="3494">
                  <c:v>25709079</c:v>
                </c:pt>
                <c:pt idx="3495">
                  <c:v>14386730</c:v>
                </c:pt>
                <c:pt idx="3496">
                  <c:v>23963993</c:v>
                </c:pt>
                <c:pt idx="3497">
                  <c:v>19562722</c:v>
                </c:pt>
                <c:pt idx="3498">
                  <c:v>34615102</c:v>
                </c:pt>
                <c:pt idx="3499">
                  <c:v>22318155</c:v>
                </c:pt>
                <c:pt idx="3500">
                  <c:v>22608710</c:v>
                </c:pt>
                <c:pt idx="3501">
                  <c:v>21965900</c:v>
                </c:pt>
                <c:pt idx="3502">
                  <c:v>14696078</c:v>
                </c:pt>
                <c:pt idx="3503">
                  <c:v>35756229</c:v>
                </c:pt>
                <c:pt idx="3504">
                  <c:v>24669180</c:v>
                </c:pt>
                <c:pt idx="3505">
                  <c:v>21248102</c:v>
                </c:pt>
                <c:pt idx="3506">
                  <c:v>23727694</c:v>
                </c:pt>
                <c:pt idx="3507">
                  <c:v>20705560</c:v>
                </c:pt>
                <c:pt idx="3508">
                  <c:v>24527176</c:v>
                </c:pt>
                <c:pt idx="3509">
                  <c:v>28573545</c:v>
                </c:pt>
                <c:pt idx="3510">
                  <c:v>70836105</c:v>
                </c:pt>
                <c:pt idx="3511">
                  <c:v>16963019</c:v>
                </c:pt>
                <c:pt idx="3512">
                  <c:v>14683582</c:v>
                </c:pt>
                <c:pt idx="3513">
                  <c:v>5855880</c:v>
                </c:pt>
                <c:pt idx="3514">
                  <c:v>8842175</c:v>
                </c:pt>
                <c:pt idx="3515">
                  <c:v>10893408</c:v>
                </c:pt>
                <c:pt idx="3516">
                  <c:v>13944512</c:v>
                </c:pt>
                <c:pt idx="3517">
                  <c:v>15601554</c:v>
                </c:pt>
                <c:pt idx="3518">
                  <c:v>25571567</c:v>
                </c:pt>
                <c:pt idx="3519">
                  <c:v>25250260</c:v>
                </c:pt>
                <c:pt idx="3520">
                  <c:v>23037665</c:v>
                </c:pt>
                <c:pt idx="3521">
                  <c:v>25564196</c:v>
                </c:pt>
                <c:pt idx="3522">
                  <c:v>18162616</c:v>
                </c:pt>
                <c:pt idx="3523">
                  <c:v>18491036</c:v>
                </c:pt>
                <c:pt idx="3524">
                  <c:v>23519895</c:v>
                </c:pt>
                <c:pt idx="3525">
                  <c:v>28545800</c:v>
                </c:pt>
                <c:pt idx="3526">
                  <c:v>28184302</c:v>
                </c:pt>
                <c:pt idx="3527">
                  <c:v>23225839</c:v>
                </c:pt>
                <c:pt idx="3528">
                  <c:v>34246650</c:v>
                </c:pt>
                <c:pt idx="3529">
                  <c:v>26129992</c:v>
                </c:pt>
                <c:pt idx="3530">
                  <c:v>37980510</c:v>
                </c:pt>
                <c:pt idx="3531">
                  <c:v>25349378</c:v>
                </c:pt>
                <c:pt idx="3532">
                  <c:v>38000159</c:v>
                </c:pt>
                <c:pt idx="3533">
                  <c:v>29291235</c:v>
                </c:pt>
                <c:pt idx="3534">
                  <c:v>29213923</c:v>
                </c:pt>
                <c:pt idx="3535">
                  <c:v>36875403</c:v>
                </c:pt>
                <c:pt idx="3536">
                  <c:v>128855323</c:v>
                </c:pt>
                <c:pt idx="3537">
                  <c:v>58566819</c:v>
                </c:pt>
                <c:pt idx="3538">
                  <c:v>42219858</c:v>
                </c:pt>
                <c:pt idx="3539">
                  <c:v>61424123</c:v>
                </c:pt>
                <c:pt idx="3540">
                  <c:v>45012374</c:v>
                </c:pt>
                <c:pt idx="3541">
                  <c:v>66289247</c:v>
                </c:pt>
                <c:pt idx="3542">
                  <c:v>53515311</c:v>
                </c:pt>
                <c:pt idx="3543">
                  <c:v>45480526</c:v>
                </c:pt>
                <c:pt idx="3544">
                  <c:v>44857850</c:v>
                </c:pt>
                <c:pt idx="3545">
                  <c:v>42491012</c:v>
                </c:pt>
                <c:pt idx="3546">
                  <c:v>40802362</c:v>
                </c:pt>
                <c:pt idx="3547">
                  <c:v>34091553</c:v>
                </c:pt>
                <c:pt idx="3548">
                  <c:v>32078794</c:v>
                </c:pt>
                <c:pt idx="3549">
                  <c:v>23223417</c:v>
                </c:pt>
                <c:pt idx="3550">
                  <c:v>28234001</c:v>
                </c:pt>
                <c:pt idx="3551">
                  <c:v>34015249</c:v>
                </c:pt>
                <c:pt idx="3552">
                  <c:v>43238300</c:v>
                </c:pt>
                <c:pt idx="3553">
                  <c:v>33884700</c:v>
                </c:pt>
                <c:pt idx="3554">
                  <c:v>43625500</c:v>
                </c:pt>
                <c:pt idx="3555">
                  <c:v>34214348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5-4B92-AA74-5CD410694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29045"/>
        <c:axId val="81181444"/>
      </c:barChart>
      <c:catAx>
        <c:axId val="78629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181444"/>
        <c:crosses val="autoZero"/>
        <c:auto val="1"/>
        <c:lblAlgn val="ctr"/>
        <c:lblOffset val="100"/>
        <c:noMultiLvlLbl val="0"/>
      </c:catAx>
      <c:valAx>
        <c:axId val="811814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Volume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862904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S&amp;P 500 Daily Trading Volume (2012-2026)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'[1]MSFT Analysis'!$E$5:$E$3560</c:f>
              <c:numCache>
                <c:formatCode>General</c:formatCode>
                <c:ptCount val="3556"/>
                <c:pt idx="0">
                  <c:v>2397750000</c:v>
                </c:pt>
                <c:pt idx="1">
                  <c:v>2031572222</c:v>
                </c:pt>
                <c:pt idx="2">
                  <c:v>1873111111</c:v>
                </c:pt>
                <c:pt idx="3">
                  <c:v>2345533333</c:v>
                </c:pt>
                <c:pt idx="4">
                  <c:v>2204511111</c:v>
                </c:pt>
                <c:pt idx="5">
                  <c:v>2233272222</c:v>
                </c:pt>
                <c:pt idx="6">
                  <c:v>2051316667</c:v>
                </c:pt>
                <c:pt idx="7">
                  <c:v>2228050000</c:v>
                </c:pt>
                <c:pt idx="8">
                  <c:v>2275644444</c:v>
                </c:pt>
                <c:pt idx="9">
                  <c:v>2481050000</c:v>
                </c:pt>
                <c:pt idx="10">
                  <c:v>2173677778</c:v>
                </c:pt>
                <c:pt idx="11">
                  <c:v>2094950000</c:v>
                </c:pt>
                <c:pt idx="12">
                  <c:v>2051977778</c:v>
                </c:pt>
                <c:pt idx="13">
                  <c:v>2450505556</c:v>
                </c:pt>
                <c:pt idx="14">
                  <c:v>2512261111</c:v>
                </c:pt>
                <c:pt idx="15">
                  <c:v>2226322222</c:v>
                </c:pt>
                <c:pt idx="16">
                  <c:v>2032783333</c:v>
                </c:pt>
                <c:pt idx="17">
                  <c:v>2353083333</c:v>
                </c:pt>
                <c:pt idx="18">
                  <c:v>2502422222</c:v>
                </c:pt>
                <c:pt idx="19">
                  <c:v>2289400000</c:v>
                </c:pt>
                <c:pt idx="20">
                  <c:v>2560305556</c:v>
                </c:pt>
                <c:pt idx="21">
                  <c:v>1877611111</c:v>
                </c:pt>
                <c:pt idx="22">
                  <c:v>2079144444</c:v>
                </c:pt>
                <c:pt idx="23">
                  <c:v>2275961111</c:v>
                </c:pt>
                <c:pt idx="24">
                  <c:v>2338827778</c:v>
                </c:pt>
                <c:pt idx="25">
                  <c:v>2154211111</c:v>
                </c:pt>
                <c:pt idx="26">
                  <c:v>2010022222</c:v>
                </c:pt>
                <c:pt idx="27">
                  <c:v>2160844444</c:v>
                </c:pt>
                <c:pt idx="28">
                  <c:v>2266855556</c:v>
                </c:pt>
                <c:pt idx="29">
                  <c:v>2282711111</c:v>
                </c:pt>
                <c:pt idx="30">
                  <c:v>2065355556</c:v>
                </c:pt>
                <c:pt idx="31">
                  <c:v>2108444444</c:v>
                </c:pt>
                <c:pt idx="32">
                  <c:v>2018727778</c:v>
                </c:pt>
                <c:pt idx="33">
                  <c:v>2103583333</c:v>
                </c:pt>
                <c:pt idx="34">
                  <c:v>1947422222</c:v>
                </c:pt>
                <c:pt idx="35">
                  <c:v>2027161111</c:v>
                </c:pt>
                <c:pt idx="36">
                  <c:v>1988400000</c:v>
                </c:pt>
                <c:pt idx="37">
                  <c:v>2490205556</c:v>
                </c:pt>
                <c:pt idx="38">
                  <c:v>2177355556</c:v>
                </c:pt>
                <c:pt idx="39">
                  <c:v>1824161111</c:v>
                </c:pt>
                <c:pt idx="40">
                  <c:v>1905266667</c:v>
                </c:pt>
                <c:pt idx="41">
                  <c:v>2328366667</c:v>
                </c:pt>
                <c:pt idx="42">
                  <c:v>1989100000</c:v>
                </c:pt>
                <c:pt idx="43">
                  <c:v>1968366667</c:v>
                </c:pt>
                <c:pt idx="44">
                  <c:v>2021927778</c:v>
                </c:pt>
                <c:pt idx="45">
                  <c:v>1712150000</c:v>
                </c:pt>
                <c:pt idx="46">
                  <c:v>2436927778</c:v>
                </c:pt>
                <c:pt idx="47">
                  <c:v>2501266667</c:v>
                </c:pt>
                <c:pt idx="48">
                  <c:v>2373138889</c:v>
                </c:pt>
                <c:pt idx="49">
                  <c:v>2868861111</c:v>
                </c:pt>
                <c:pt idx="50">
                  <c:v>2184761111</c:v>
                </c:pt>
                <c:pt idx="51">
                  <c:v>2052933333</c:v>
                </c:pt>
                <c:pt idx="52">
                  <c:v>1985327778</c:v>
                </c:pt>
                <c:pt idx="53">
                  <c:v>2078105556</c:v>
                </c:pt>
                <c:pt idx="54">
                  <c:v>1929416667</c:v>
                </c:pt>
                <c:pt idx="55">
                  <c:v>1987194444</c:v>
                </c:pt>
                <c:pt idx="56">
                  <c:v>1952022222</c:v>
                </c:pt>
                <c:pt idx="57">
                  <c:v>2162666667</c:v>
                </c:pt>
                <c:pt idx="58">
                  <c:v>2128888889</c:v>
                </c:pt>
                <c:pt idx="59">
                  <c:v>2042716667</c:v>
                </c:pt>
                <c:pt idx="60">
                  <c:v>1984450000</c:v>
                </c:pt>
                <c:pt idx="61">
                  <c:v>2123383333</c:v>
                </c:pt>
                <c:pt idx="62">
                  <c:v>2187938889</c:v>
                </c:pt>
                <c:pt idx="63">
                  <c:v>1835411111</c:v>
                </c:pt>
                <c:pt idx="64">
                  <c:v>1927211111</c:v>
                </c:pt>
                <c:pt idx="65">
                  <c:v>2573183333</c:v>
                </c:pt>
                <c:pt idx="66">
                  <c:v>2079466667</c:v>
                </c:pt>
                <c:pt idx="67">
                  <c:v>2010155556</c:v>
                </c:pt>
                <c:pt idx="68">
                  <c:v>2017311111</c:v>
                </c:pt>
                <c:pt idx="69">
                  <c:v>1985988889</c:v>
                </c:pt>
                <c:pt idx="70">
                  <c:v>1920111111</c:v>
                </c:pt>
                <c:pt idx="71">
                  <c:v>1923966667</c:v>
                </c:pt>
                <c:pt idx="72">
                  <c:v>2322233333</c:v>
                </c:pt>
                <c:pt idx="73">
                  <c:v>2129622222</c:v>
                </c:pt>
                <c:pt idx="74">
                  <c:v>2030477778</c:v>
                </c:pt>
                <c:pt idx="75">
                  <c:v>2009500000</c:v>
                </c:pt>
                <c:pt idx="76">
                  <c:v>2221350000</c:v>
                </c:pt>
                <c:pt idx="77">
                  <c:v>2241500000</c:v>
                </c:pt>
                <c:pt idx="78">
                  <c:v>2025461111</c:v>
                </c:pt>
                <c:pt idx="79">
                  <c:v>1985561111</c:v>
                </c:pt>
                <c:pt idx="80">
                  <c:v>2115527778</c:v>
                </c:pt>
                <c:pt idx="81">
                  <c:v>2113255556</c:v>
                </c:pt>
                <c:pt idx="82">
                  <c:v>2224950000</c:v>
                </c:pt>
                <c:pt idx="83">
                  <c:v>2208411111</c:v>
                </c:pt>
                <c:pt idx="84">
                  <c:v>1977438889</c:v>
                </c:pt>
                <c:pt idx="85">
                  <c:v>2367594444</c:v>
                </c:pt>
                <c:pt idx="86">
                  <c:v>2382522222</c:v>
                </c:pt>
                <c:pt idx="87">
                  <c:v>2071105556</c:v>
                </c:pt>
                <c:pt idx="88">
                  <c:v>2149483333</c:v>
                </c:pt>
                <c:pt idx="89">
                  <c:v>2048955556</c:v>
                </c:pt>
                <c:pt idx="90">
                  <c:v>2285577778</c:v>
                </c:pt>
                <c:pt idx="91">
                  <c:v>2378011111</c:v>
                </c:pt>
                <c:pt idx="92">
                  <c:v>2591266667</c:v>
                </c:pt>
                <c:pt idx="93">
                  <c:v>2506927778</c:v>
                </c:pt>
                <c:pt idx="94">
                  <c:v>2103750000</c:v>
                </c:pt>
                <c:pt idx="95">
                  <c:v>2290933333</c:v>
                </c:pt>
                <c:pt idx="96">
                  <c:v>2282405556</c:v>
                </c:pt>
                <c:pt idx="97">
                  <c:v>2187594444</c:v>
                </c:pt>
                <c:pt idx="98">
                  <c:v>1595922222</c:v>
                </c:pt>
                <c:pt idx="99">
                  <c:v>1912022222</c:v>
                </c:pt>
                <c:pt idx="100">
                  <c:v>1963494444</c:v>
                </c:pt>
                <c:pt idx="101">
                  <c:v>2532011111</c:v>
                </c:pt>
                <c:pt idx="102">
                  <c:v>2594083333</c:v>
                </c:pt>
                <c:pt idx="103">
                  <c:v>2228866667</c:v>
                </c:pt>
                <c:pt idx="104">
                  <c:v>1890683333</c:v>
                </c:pt>
                <c:pt idx="105">
                  <c:v>2371311111</c:v>
                </c:pt>
                <c:pt idx="106">
                  <c:v>2365633333</c:v>
                </c:pt>
                <c:pt idx="107">
                  <c:v>1942883333</c:v>
                </c:pt>
                <c:pt idx="108">
                  <c:v>1965294444</c:v>
                </c:pt>
                <c:pt idx="109">
                  <c:v>1912733333</c:v>
                </c:pt>
                <c:pt idx="110">
                  <c:v>1948061111</c:v>
                </c:pt>
                <c:pt idx="111">
                  <c:v>2048733333</c:v>
                </c:pt>
                <c:pt idx="112">
                  <c:v>2445316667</c:v>
                </c:pt>
                <c:pt idx="113">
                  <c:v>1810794444</c:v>
                </c:pt>
                <c:pt idx="114">
                  <c:v>2119638889</c:v>
                </c:pt>
                <c:pt idx="115">
                  <c:v>2053166667</c:v>
                </c:pt>
                <c:pt idx="116">
                  <c:v>2274705556</c:v>
                </c:pt>
                <c:pt idx="117">
                  <c:v>2928605556</c:v>
                </c:pt>
                <c:pt idx="118">
                  <c:v>1945455556</c:v>
                </c:pt>
                <c:pt idx="119">
                  <c:v>1896077778</c:v>
                </c:pt>
                <c:pt idx="120">
                  <c:v>1826061111</c:v>
                </c:pt>
                <c:pt idx="121">
                  <c:v>2205205556</c:v>
                </c:pt>
                <c:pt idx="122">
                  <c:v>2550266667</c:v>
                </c:pt>
                <c:pt idx="123">
                  <c:v>1834250000</c:v>
                </c:pt>
                <c:pt idx="124">
                  <c:v>1175772222</c:v>
                </c:pt>
                <c:pt idx="125">
                  <c:v>1689733333</c:v>
                </c:pt>
                <c:pt idx="126">
                  <c:v>1525077778</c:v>
                </c:pt>
                <c:pt idx="127">
                  <c:v>1613811111</c:v>
                </c:pt>
                <c:pt idx="128">
                  <c:v>1928111111</c:v>
                </c:pt>
                <c:pt idx="129">
                  <c:v>1903494444</c:v>
                </c:pt>
                <c:pt idx="130">
                  <c:v>2030244444</c:v>
                </c:pt>
                <c:pt idx="131">
                  <c:v>1784961111</c:v>
                </c:pt>
                <c:pt idx="132">
                  <c:v>1590400000</c:v>
                </c:pt>
                <c:pt idx="133">
                  <c:v>1981488889</c:v>
                </c:pt>
                <c:pt idx="134">
                  <c:v>2023683333</c:v>
                </c:pt>
                <c:pt idx="135">
                  <c:v>2246311111</c:v>
                </c:pt>
                <c:pt idx="136">
                  <c:v>2180566667</c:v>
                </c:pt>
                <c:pt idx="137">
                  <c:v>2065100000</c:v>
                </c:pt>
                <c:pt idx="138">
                  <c:v>2161827778</c:v>
                </c:pt>
                <c:pt idx="139">
                  <c:v>2066205556</c:v>
                </c:pt>
                <c:pt idx="140">
                  <c:v>2460722222</c:v>
                </c:pt>
                <c:pt idx="141">
                  <c:v>2443894444</c:v>
                </c:pt>
                <c:pt idx="142">
                  <c:v>1784477778</c:v>
                </c:pt>
                <c:pt idx="143">
                  <c:v>2123094444</c:v>
                </c:pt>
                <c:pt idx="144">
                  <c:v>2467177778</c:v>
                </c:pt>
                <c:pt idx="145">
                  <c:v>2329855556</c:v>
                </c:pt>
                <c:pt idx="146">
                  <c:v>2083983333</c:v>
                </c:pt>
                <c:pt idx="147">
                  <c:v>1734472222</c:v>
                </c:pt>
                <c:pt idx="148">
                  <c:v>2045827778</c:v>
                </c:pt>
                <c:pt idx="149">
                  <c:v>1789883333</c:v>
                </c:pt>
                <c:pt idx="150">
                  <c:v>1733116667</c:v>
                </c:pt>
                <c:pt idx="151">
                  <c:v>1537766667</c:v>
                </c:pt>
                <c:pt idx="152">
                  <c:v>1388883333</c:v>
                </c:pt>
                <c:pt idx="153">
                  <c:v>1628277778</c:v>
                </c:pt>
                <c:pt idx="154">
                  <c:v>1475416667</c:v>
                </c:pt>
                <c:pt idx="155">
                  <c:v>1730055556</c:v>
                </c:pt>
                <c:pt idx="156">
                  <c:v>1623883333</c:v>
                </c:pt>
                <c:pt idx="157">
                  <c:v>1536844444</c:v>
                </c:pt>
                <c:pt idx="158">
                  <c:v>1823861111</c:v>
                </c:pt>
                <c:pt idx="159">
                  <c:v>1701494444</c:v>
                </c:pt>
                <c:pt idx="160">
                  <c:v>1671244444</c:v>
                </c:pt>
                <c:pt idx="161">
                  <c:v>1443772222</c:v>
                </c:pt>
                <c:pt idx="162">
                  <c:v>1373611111</c:v>
                </c:pt>
                <c:pt idx="163">
                  <c:v>1460605556</c:v>
                </c:pt>
                <c:pt idx="164">
                  <c:v>1428455556</c:v>
                </c:pt>
                <c:pt idx="165">
                  <c:v>1405711111</c:v>
                </c:pt>
                <c:pt idx="166">
                  <c:v>1632361111</c:v>
                </c:pt>
                <c:pt idx="167">
                  <c:v>1777950000</c:v>
                </c:pt>
                <c:pt idx="168">
                  <c:v>1882838889</c:v>
                </c:pt>
                <c:pt idx="169">
                  <c:v>2196038889</c:v>
                </c:pt>
                <c:pt idx="170">
                  <c:v>2065344444</c:v>
                </c:pt>
                <c:pt idx="171">
                  <c:v>1790927778</c:v>
                </c:pt>
                <c:pt idx="172">
                  <c:v>1949794444</c:v>
                </c:pt>
                <c:pt idx="173">
                  <c:v>2022888889</c:v>
                </c:pt>
                <c:pt idx="174">
                  <c:v>2559194444</c:v>
                </c:pt>
                <c:pt idx="175">
                  <c:v>2801105556</c:v>
                </c:pt>
                <c:pt idx="176">
                  <c:v>1934683333</c:v>
                </c:pt>
                <c:pt idx="177">
                  <c:v>1876327778</c:v>
                </c:pt>
                <c:pt idx="178">
                  <c:v>1917422222</c:v>
                </c:pt>
                <c:pt idx="179">
                  <c:v>1879177778</c:v>
                </c:pt>
                <c:pt idx="180">
                  <c:v>2685483333</c:v>
                </c:pt>
                <c:pt idx="181">
                  <c:v>1671622222</c:v>
                </c:pt>
                <c:pt idx="182">
                  <c:v>2077722222</c:v>
                </c:pt>
                <c:pt idx="183">
                  <c:v>1980766667</c:v>
                </c:pt>
                <c:pt idx="184">
                  <c:v>1750183333</c:v>
                </c:pt>
                <c:pt idx="185">
                  <c:v>1949572222</c:v>
                </c:pt>
                <c:pt idx="186">
                  <c:v>1947266667</c:v>
                </c:pt>
                <c:pt idx="187">
                  <c:v>1845438889</c:v>
                </c:pt>
                <c:pt idx="188">
                  <c:v>1962022222</c:v>
                </c:pt>
                <c:pt idx="189">
                  <c:v>2008811111</c:v>
                </c:pt>
                <c:pt idx="190">
                  <c:v>1762744444</c:v>
                </c:pt>
                <c:pt idx="191">
                  <c:v>1293733333</c:v>
                </c:pt>
                <c:pt idx="192">
                  <c:v>1786844444</c:v>
                </c:pt>
                <c:pt idx="193">
                  <c:v>1791700000</c:v>
                </c:pt>
                <c:pt idx="194">
                  <c:v>2040300000</c:v>
                </c:pt>
                <c:pt idx="195">
                  <c:v>1741527778</c:v>
                </c:pt>
                <c:pt idx="196">
                  <c:v>1935450000</c:v>
                </c:pt>
                <c:pt idx="197">
                  <c:v>1982650000</c:v>
                </c:pt>
                <c:pt idx="198">
                  <c:v>2030733333</c:v>
                </c:pt>
                <c:pt idx="199">
                  <c:v>2155572222</c:v>
                </c:pt>
                <c:pt idx="200">
                  <c:v>2152872222</c:v>
                </c:pt>
                <c:pt idx="201">
                  <c:v>1786788889</c:v>
                </c:pt>
                <c:pt idx="202">
                  <c:v>1993150000</c:v>
                </c:pt>
                <c:pt idx="203">
                  <c:v>1881094444</c:v>
                </c:pt>
                <c:pt idx="204">
                  <c:v>1951466667</c:v>
                </c:pt>
                <c:pt idx="205">
                  <c:v>1824950000</c:v>
                </c:pt>
                <c:pt idx="206">
                  <c:v>1987283333</c:v>
                </c:pt>
                <c:pt idx="207">
                  <c:v>2183272222</c:v>
                </c:pt>
                <c:pt idx="208">
                  <c:v>2073600000</c:v>
                </c:pt>
                <c:pt idx="209">
                  <c:v>1622800000</c:v>
                </c:pt>
                <c:pt idx="210">
                  <c:v>1837205556</c:v>
                </c:pt>
                <c:pt idx="211">
                  <c:v>2420272222</c:v>
                </c:pt>
                <c:pt idx="212">
                  <c:v>2099733333</c:v>
                </c:pt>
                <c:pt idx="213">
                  <c:v>2026305556</c:v>
                </c:pt>
                <c:pt idx="214">
                  <c:v>1426411111</c:v>
                </c:pt>
                <c:pt idx="215">
                  <c:v>1919750000</c:v>
                </c:pt>
                <c:pt idx="216">
                  <c:v>2283061111</c:v>
                </c:pt>
                <c:pt idx="217">
                  <c:v>2182705556</c:v>
                </c:pt>
                <c:pt idx="218">
                  <c:v>2247727778</c:v>
                </c:pt>
                <c:pt idx="219">
                  <c:v>1874888889</c:v>
                </c:pt>
                <c:pt idx="220">
                  <c:v>1781755556</c:v>
                </c:pt>
                <c:pt idx="221">
                  <c:v>1481716667</c:v>
                </c:pt>
                <c:pt idx="222">
                  <c:v>836088889</c:v>
                </c:pt>
                <c:pt idx="223">
                  <c:v>1638311111</c:v>
                </c:pt>
                <c:pt idx="224">
                  <c:v>1846177778</c:v>
                </c:pt>
                <c:pt idx="225">
                  <c:v>1866250000</c:v>
                </c:pt>
                <c:pt idx="226">
                  <c:v>1864916667</c:v>
                </c:pt>
                <c:pt idx="227">
                  <c:v>2203333333</c:v>
                </c:pt>
                <c:pt idx="228">
                  <c:v>1707933333</c:v>
                </c:pt>
                <c:pt idx="229">
                  <c:v>1804283333</c:v>
                </c:pt>
                <c:pt idx="230">
                  <c:v>2363288889</c:v>
                </c:pt>
                <c:pt idx="231">
                  <c:v>1794277778</c:v>
                </c:pt>
                <c:pt idx="232">
                  <c:v>1736200000</c:v>
                </c:pt>
                <c:pt idx="233">
                  <c:v>1666350000</c:v>
                </c:pt>
                <c:pt idx="234">
                  <c:v>2027905556</c:v>
                </c:pt>
                <c:pt idx="235">
                  <c:v>2060583333</c:v>
                </c:pt>
                <c:pt idx="236">
                  <c:v>1861088889</c:v>
                </c:pt>
                <c:pt idx="237">
                  <c:v>1783427778</c:v>
                </c:pt>
                <c:pt idx="238">
                  <c:v>1919783333</c:v>
                </c:pt>
                <c:pt idx="239">
                  <c:v>2390133333</c:v>
                </c:pt>
                <c:pt idx="240">
                  <c:v>2149888889</c:v>
                </c:pt>
                <c:pt idx="241">
                  <c:v>2048100000</c:v>
                </c:pt>
                <c:pt idx="242">
                  <c:v>2905088889</c:v>
                </c:pt>
                <c:pt idx="243">
                  <c:v>693866667</c:v>
                </c:pt>
                <c:pt idx="244">
                  <c:v>1269461111</c:v>
                </c:pt>
                <c:pt idx="245">
                  <c:v>1572322222</c:v>
                </c:pt>
                <c:pt idx="246">
                  <c:v>1348155556</c:v>
                </c:pt>
                <c:pt idx="247">
                  <c:v>1780183333</c:v>
                </c:pt>
                <c:pt idx="248">
                  <c:v>2334777778</c:v>
                </c:pt>
                <c:pt idx="249">
                  <c:v>2127627778</c:v>
                </c:pt>
                <c:pt idx="250">
                  <c:v>1902383333</c:v>
                </c:pt>
                <c:pt idx="251">
                  <c:v>1836094444</c:v>
                </c:pt>
                <c:pt idx="252">
                  <c:v>2000888889</c:v>
                </c:pt>
                <c:pt idx="253">
                  <c:v>2041327778</c:v>
                </c:pt>
                <c:pt idx="254">
                  <c:v>2267688889</c:v>
                </c:pt>
                <c:pt idx="255">
                  <c:v>1855916667</c:v>
                </c:pt>
                <c:pt idx="256">
                  <c:v>1668338889</c:v>
                </c:pt>
                <c:pt idx="257">
                  <c:v>1741861111</c:v>
                </c:pt>
                <c:pt idx="258">
                  <c:v>1880044444</c:v>
                </c:pt>
                <c:pt idx="259">
                  <c:v>2059283333</c:v>
                </c:pt>
                <c:pt idx="260">
                  <c:v>2108744444</c:v>
                </c:pt>
                <c:pt idx="261">
                  <c:v>1983861111</c:v>
                </c:pt>
                <c:pt idx="262">
                  <c:v>1973338889</c:v>
                </c:pt>
                <c:pt idx="263">
                  <c:v>2055238889</c:v>
                </c:pt>
                <c:pt idx="264">
                  <c:v>1931272222</c:v>
                </c:pt>
                <c:pt idx="265">
                  <c:v>1882522222</c:v>
                </c:pt>
                <c:pt idx="266">
                  <c:v>2194244444</c:v>
                </c:pt>
                <c:pt idx="267">
                  <c:v>2070450000</c:v>
                </c:pt>
                <c:pt idx="268">
                  <c:v>2222155556</c:v>
                </c:pt>
                <c:pt idx="269">
                  <c:v>2131288889</c:v>
                </c:pt>
                <c:pt idx="270">
                  <c:v>1883333333</c:v>
                </c:pt>
                <c:pt idx="271">
                  <c:v>2010200000</c:v>
                </c:pt>
                <c:pt idx="272">
                  <c:v>2006427778</c:v>
                </c:pt>
                <c:pt idx="273">
                  <c:v>2008100000</c:v>
                </c:pt>
                <c:pt idx="274">
                  <c:v>1658972222</c:v>
                </c:pt>
                <c:pt idx="275">
                  <c:v>1491166667</c:v>
                </c:pt>
                <c:pt idx="276">
                  <c:v>1896872222</c:v>
                </c:pt>
                <c:pt idx="277">
                  <c:v>1881044444</c:v>
                </c:pt>
                <c:pt idx="278">
                  <c:v>2088744444</c:v>
                </c:pt>
                <c:pt idx="279">
                  <c:v>2132505556</c:v>
                </c:pt>
                <c:pt idx="280">
                  <c:v>2082727778</c:v>
                </c:pt>
                <c:pt idx="281">
                  <c:v>2355872222</c:v>
                </c:pt>
                <c:pt idx="282">
                  <c:v>2374777778</c:v>
                </c:pt>
                <c:pt idx="283">
                  <c:v>1899622222</c:v>
                </c:pt>
                <c:pt idx="284">
                  <c:v>2228361111</c:v>
                </c:pt>
                <c:pt idx="285">
                  <c:v>2208488889</c:v>
                </c:pt>
                <c:pt idx="286">
                  <c:v>1973250000</c:v>
                </c:pt>
                <c:pt idx="287">
                  <c:v>2173511111</c:v>
                </c:pt>
                <c:pt idx="288">
                  <c:v>2053116667</c:v>
                </c:pt>
                <c:pt idx="289">
                  <c:v>1896905556</c:v>
                </c:pt>
                <c:pt idx="290">
                  <c:v>2005938889</c:v>
                </c:pt>
                <c:pt idx="291">
                  <c:v>2042716667</c:v>
                </c:pt>
                <c:pt idx="292">
                  <c:v>2019283333</c:v>
                </c:pt>
                <c:pt idx="293">
                  <c:v>2029033333</c:v>
                </c:pt>
                <c:pt idx="294">
                  <c:v>1717266667</c:v>
                </c:pt>
                <c:pt idx="295">
                  <c:v>1819394444</c:v>
                </c:pt>
                <c:pt idx="296">
                  <c:v>1707683333</c:v>
                </c:pt>
                <c:pt idx="297">
                  <c:v>1921811111</c:v>
                </c:pt>
                <c:pt idx="298">
                  <c:v>2875472222</c:v>
                </c:pt>
                <c:pt idx="299">
                  <c:v>1758088889</c:v>
                </c:pt>
                <c:pt idx="300">
                  <c:v>2109005556</c:v>
                </c:pt>
                <c:pt idx="301">
                  <c:v>1860605556</c:v>
                </c:pt>
                <c:pt idx="302">
                  <c:v>1801816667</c:v>
                </c:pt>
                <c:pt idx="303">
                  <c:v>1637988889</c:v>
                </c:pt>
                <c:pt idx="304">
                  <c:v>1765650000</c:v>
                </c:pt>
                <c:pt idx="305">
                  <c:v>1594033333</c:v>
                </c:pt>
                <c:pt idx="306">
                  <c:v>1619005556</c:v>
                </c:pt>
                <c:pt idx="307">
                  <c:v>1835800000</c:v>
                </c:pt>
                <c:pt idx="308">
                  <c:v>1529505556</c:v>
                </c:pt>
                <c:pt idx="309">
                  <c:v>1840088889</c:v>
                </c:pt>
                <c:pt idx="310">
                  <c:v>2255894444</c:v>
                </c:pt>
                <c:pt idx="311">
                  <c:v>1861483333</c:v>
                </c:pt>
                <c:pt idx="312">
                  <c:v>1953005556</c:v>
                </c:pt>
                <c:pt idx="313">
                  <c:v>1603955556</c:v>
                </c:pt>
                <c:pt idx="314">
                  <c:v>1807100000</c:v>
                </c:pt>
                <c:pt idx="315">
                  <c:v>1918527778</c:v>
                </c:pt>
                <c:pt idx="316">
                  <c:v>1885527778</c:v>
                </c:pt>
                <c:pt idx="317">
                  <c:v>1781272222</c:v>
                </c:pt>
                <c:pt idx="318">
                  <c:v>2588961111</c:v>
                </c:pt>
                <c:pt idx="319">
                  <c:v>2030388889</c:v>
                </c:pt>
                <c:pt idx="320">
                  <c:v>2361283333</c:v>
                </c:pt>
                <c:pt idx="321">
                  <c:v>2161555556</c:v>
                </c:pt>
                <c:pt idx="322">
                  <c:v>1983261111</c:v>
                </c:pt>
                <c:pt idx="323">
                  <c:v>1655488889</c:v>
                </c:pt>
                <c:pt idx="324">
                  <c:v>1980638889</c:v>
                </c:pt>
                <c:pt idx="325">
                  <c:v>1999022222</c:v>
                </c:pt>
                <c:pt idx="326">
                  <c:v>2171433333</c:v>
                </c:pt>
                <c:pt idx="327">
                  <c:v>1777011111</c:v>
                </c:pt>
                <c:pt idx="328">
                  <c:v>1606222222</c:v>
                </c:pt>
                <c:pt idx="329">
                  <c:v>2080594444</c:v>
                </c:pt>
                <c:pt idx="330">
                  <c:v>1961288889</c:v>
                </c:pt>
                <c:pt idx="331">
                  <c:v>1870527778</c:v>
                </c:pt>
                <c:pt idx="332">
                  <c:v>2002172222</c:v>
                </c:pt>
                <c:pt idx="333">
                  <c:v>1701244444</c:v>
                </c:pt>
                <c:pt idx="334">
                  <c:v>1838655556</c:v>
                </c:pt>
                <c:pt idx="335">
                  <c:v>1974833333</c:v>
                </c:pt>
                <c:pt idx="336">
                  <c:v>1920777778</c:v>
                </c:pt>
                <c:pt idx="337">
                  <c:v>1714705556</c:v>
                </c:pt>
                <c:pt idx="338">
                  <c:v>1617000000</c:v>
                </c:pt>
                <c:pt idx="339">
                  <c:v>1920994444</c:v>
                </c:pt>
                <c:pt idx="340">
                  <c:v>2031911111</c:v>
                </c:pt>
                <c:pt idx="341">
                  <c:v>1951738889</c:v>
                </c:pt>
                <c:pt idx="342">
                  <c:v>1911505556</c:v>
                </c:pt>
                <c:pt idx="343">
                  <c:v>1819488889</c:v>
                </c:pt>
                <c:pt idx="344">
                  <c:v>1951977778</c:v>
                </c:pt>
                <c:pt idx="345">
                  <c:v>2422788889</c:v>
                </c:pt>
                <c:pt idx="346">
                  <c:v>2191950000</c:v>
                </c:pt>
                <c:pt idx="347">
                  <c:v>1532266667</c:v>
                </c:pt>
                <c:pt idx="348">
                  <c:v>1920777778</c:v>
                </c:pt>
                <c:pt idx="349">
                  <c:v>1992855556</c:v>
                </c:pt>
                <c:pt idx="350">
                  <c:v>1943677778</c:v>
                </c:pt>
                <c:pt idx="351">
                  <c:v>2277555556</c:v>
                </c:pt>
                <c:pt idx="352">
                  <c:v>2195594444</c:v>
                </c:pt>
                <c:pt idx="353">
                  <c:v>2029911111</c:v>
                </c:pt>
                <c:pt idx="354">
                  <c:v>2017972222</c:v>
                </c:pt>
                <c:pt idx="355">
                  <c:v>1970766667</c:v>
                </c:pt>
                <c:pt idx="356">
                  <c:v>1873327778</c:v>
                </c:pt>
                <c:pt idx="357">
                  <c:v>1654850000</c:v>
                </c:pt>
                <c:pt idx="358">
                  <c:v>1908727778</c:v>
                </c:pt>
                <c:pt idx="359">
                  <c:v>1779194444</c:v>
                </c:pt>
                <c:pt idx="360">
                  <c:v>1877011111</c:v>
                </c:pt>
                <c:pt idx="361">
                  <c:v>1633000000</c:v>
                </c:pt>
                <c:pt idx="362">
                  <c:v>1742822222</c:v>
                </c:pt>
                <c:pt idx="363">
                  <c:v>1733877778</c:v>
                </c:pt>
                <c:pt idx="364">
                  <c:v>1969477778</c:v>
                </c:pt>
                <c:pt idx="365">
                  <c:v>2699361111</c:v>
                </c:pt>
                <c:pt idx="366">
                  <c:v>3220711111</c:v>
                </c:pt>
                <c:pt idx="367">
                  <c:v>2629811111</c:v>
                </c:pt>
                <c:pt idx="368">
                  <c:v>2089538889</c:v>
                </c:pt>
                <c:pt idx="369">
                  <c:v>1976855556</c:v>
                </c:pt>
                <c:pt idx="370">
                  <c:v>1869188889</c:v>
                </c:pt>
                <c:pt idx="371">
                  <c:v>2765105556</c:v>
                </c:pt>
                <c:pt idx="372">
                  <c:v>1724827778</c:v>
                </c:pt>
                <c:pt idx="373">
                  <c:v>1842850000</c:v>
                </c:pt>
                <c:pt idx="374">
                  <c:v>1092250000</c:v>
                </c:pt>
                <c:pt idx="375">
                  <c:v>1463411111</c:v>
                </c:pt>
                <c:pt idx="376">
                  <c:v>1952550000</c:v>
                </c:pt>
                <c:pt idx="377">
                  <c:v>1752977778</c:v>
                </c:pt>
                <c:pt idx="378">
                  <c:v>1672783333</c:v>
                </c:pt>
                <c:pt idx="379">
                  <c:v>1914633333</c:v>
                </c:pt>
                <c:pt idx="380">
                  <c:v>1688372222</c:v>
                </c:pt>
                <c:pt idx="381">
                  <c:v>1457333333</c:v>
                </c:pt>
                <c:pt idx="382">
                  <c:v>1712061111</c:v>
                </c:pt>
                <c:pt idx="383">
                  <c:v>1751911111</c:v>
                </c:pt>
                <c:pt idx="384">
                  <c:v>1917983333</c:v>
                </c:pt>
                <c:pt idx="385">
                  <c:v>1834766667</c:v>
                </c:pt>
                <c:pt idx="386">
                  <c:v>1543961111</c:v>
                </c:pt>
                <c:pt idx="387">
                  <c:v>1720100000</c:v>
                </c:pt>
                <c:pt idx="388">
                  <c:v>1853400000</c:v>
                </c:pt>
                <c:pt idx="389">
                  <c:v>1845833333</c:v>
                </c:pt>
                <c:pt idx="390">
                  <c:v>1534872222</c:v>
                </c:pt>
                <c:pt idx="391">
                  <c:v>1578066667</c:v>
                </c:pt>
                <c:pt idx="392">
                  <c:v>1844738889</c:v>
                </c:pt>
                <c:pt idx="393">
                  <c:v>2137438889</c:v>
                </c:pt>
                <c:pt idx="394">
                  <c:v>2097316667</c:v>
                </c:pt>
                <c:pt idx="395">
                  <c:v>1742572222</c:v>
                </c:pt>
                <c:pt idx="396">
                  <c:v>1405166667</c:v>
                </c:pt>
                <c:pt idx="397">
                  <c:v>1745116667</c:v>
                </c:pt>
                <c:pt idx="398">
                  <c:v>1672350000</c:v>
                </c:pt>
                <c:pt idx="399">
                  <c:v>1817588889</c:v>
                </c:pt>
                <c:pt idx="400">
                  <c:v>1643150000</c:v>
                </c:pt>
                <c:pt idx="401">
                  <c:v>1549533333</c:v>
                </c:pt>
                <c:pt idx="402">
                  <c:v>1686422222</c:v>
                </c:pt>
                <c:pt idx="403">
                  <c:v>1595238889</c:v>
                </c:pt>
                <c:pt idx="404">
                  <c:v>1903716667</c:v>
                </c:pt>
                <c:pt idx="405">
                  <c:v>1784138889</c:v>
                </c:pt>
                <c:pt idx="406">
                  <c:v>1613627778</c:v>
                </c:pt>
                <c:pt idx="407">
                  <c:v>1663383333</c:v>
                </c:pt>
                <c:pt idx="408">
                  <c:v>1628988889</c:v>
                </c:pt>
                <c:pt idx="409">
                  <c:v>1409700000</c:v>
                </c:pt>
                <c:pt idx="410">
                  <c:v>1434816667</c:v>
                </c:pt>
                <c:pt idx="411">
                  <c:v>1350372222</c:v>
                </c:pt>
                <c:pt idx="412">
                  <c:v>1788438889</c:v>
                </c:pt>
                <c:pt idx="413">
                  <c:v>1546672222</c:v>
                </c:pt>
                <c:pt idx="414">
                  <c:v>1404194444</c:v>
                </c:pt>
                <c:pt idx="415">
                  <c:v>1519055556</c:v>
                </c:pt>
                <c:pt idx="416">
                  <c:v>2073116667</c:v>
                </c:pt>
                <c:pt idx="417">
                  <c:v>1840083333</c:v>
                </c:pt>
                <c:pt idx="418">
                  <c:v>1642838889</c:v>
                </c:pt>
                <c:pt idx="419">
                  <c:v>1735488889</c:v>
                </c:pt>
                <c:pt idx="420">
                  <c:v>1723766667</c:v>
                </c:pt>
                <c:pt idx="421">
                  <c:v>2051000000</c:v>
                </c:pt>
                <c:pt idx="422">
                  <c:v>1741922222</c:v>
                </c:pt>
                <c:pt idx="423">
                  <c:v>1725716667</c:v>
                </c:pt>
                <c:pt idx="424">
                  <c:v>1520277778</c:v>
                </c:pt>
                <c:pt idx="425">
                  <c:v>1711000000</c:v>
                </c:pt>
                <c:pt idx="426">
                  <c:v>1541244444</c:v>
                </c:pt>
                <c:pt idx="427">
                  <c:v>2216533333</c:v>
                </c:pt>
                <c:pt idx="428">
                  <c:v>2077850000</c:v>
                </c:pt>
                <c:pt idx="429">
                  <c:v>2818905556</c:v>
                </c:pt>
                <c:pt idx="430">
                  <c:v>1737194444</c:v>
                </c:pt>
                <c:pt idx="431">
                  <c:v>1816072222</c:v>
                </c:pt>
                <c:pt idx="432">
                  <c:v>1749294444</c:v>
                </c:pt>
                <c:pt idx="433">
                  <c:v>1563294444</c:v>
                </c:pt>
                <c:pt idx="434">
                  <c:v>1639833333</c:v>
                </c:pt>
                <c:pt idx="435">
                  <c:v>1838127778</c:v>
                </c:pt>
                <c:pt idx="436">
                  <c:v>1799272222</c:v>
                </c:pt>
                <c:pt idx="437">
                  <c:v>1749222222</c:v>
                </c:pt>
                <c:pt idx="438">
                  <c:v>1822027778</c:v>
                </c:pt>
                <c:pt idx="439">
                  <c:v>1600150000</c:v>
                </c:pt>
                <c:pt idx="440">
                  <c:v>1488050000</c:v>
                </c:pt>
                <c:pt idx="441">
                  <c:v>1982905556</c:v>
                </c:pt>
                <c:pt idx="442">
                  <c:v>1987688889</c:v>
                </c:pt>
                <c:pt idx="443">
                  <c:v>1867944444</c:v>
                </c:pt>
                <c:pt idx="444">
                  <c:v>1635927778</c:v>
                </c:pt>
                <c:pt idx="445">
                  <c:v>1433655556</c:v>
                </c:pt>
                <c:pt idx="446">
                  <c:v>1848744444</c:v>
                </c:pt>
                <c:pt idx="447">
                  <c:v>1936766667</c:v>
                </c:pt>
                <c:pt idx="448">
                  <c:v>1918661111</c:v>
                </c:pt>
                <c:pt idx="449">
                  <c:v>2036050000</c:v>
                </c:pt>
                <c:pt idx="450">
                  <c:v>1695950000</c:v>
                </c:pt>
                <c:pt idx="451">
                  <c:v>2139355556</c:v>
                </c:pt>
                <c:pt idx="452">
                  <c:v>2062988889</c:v>
                </c:pt>
                <c:pt idx="453">
                  <c:v>2039833333</c:v>
                </c:pt>
                <c:pt idx="454">
                  <c:v>1764288889</c:v>
                </c:pt>
                <c:pt idx="455">
                  <c:v>1823500000</c:v>
                </c:pt>
                <c:pt idx="456">
                  <c:v>1865811111</c:v>
                </c:pt>
                <c:pt idx="457">
                  <c:v>1957244444</c:v>
                </c:pt>
                <c:pt idx="458">
                  <c:v>2125850000</c:v>
                </c:pt>
                <c:pt idx="459">
                  <c:v>2047938889</c:v>
                </c:pt>
                <c:pt idx="460">
                  <c:v>1774927778</c:v>
                </c:pt>
                <c:pt idx="461">
                  <c:v>1953711111</c:v>
                </c:pt>
                <c:pt idx="462">
                  <c:v>1845611111</c:v>
                </c:pt>
                <c:pt idx="463">
                  <c:v>2301777778</c:v>
                </c:pt>
                <c:pt idx="464">
                  <c:v>2131761111</c:v>
                </c:pt>
                <c:pt idx="465">
                  <c:v>1407811111</c:v>
                </c:pt>
                <c:pt idx="466">
                  <c:v>1789461111</c:v>
                </c:pt>
                <c:pt idx="467">
                  <c:v>1848600000</c:v>
                </c:pt>
                <c:pt idx="468">
                  <c:v>1743922222</c:v>
                </c:pt>
                <c:pt idx="469">
                  <c:v>1808233333</c:v>
                </c:pt>
                <c:pt idx="470">
                  <c:v>1760288889</c:v>
                </c:pt>
                <c:pt idx="471">
                  <c:v>1791361111</c:v>
                </c:pt>
                <c:pt idx="472">
                  <c:v>1727300000</c:v>
                </c:pt>
                <c:pt idx="473">
                  <c:v>1809238889</c:v>
                </c:pt>
                <c:pt idx="474">
                  <c:v>1697300000</c:v>
                </c:pt>
                <c:pt idx="475">
                  <c:v>1665855556</c:v>
                </c:pt>
                <c:pt idx="476">
                  <c:v>1903955556</c:v>
                </c:pt>
                <c:pt idx="477">
                  <c:v>1451994444</c:v>
                </c:pt>
                <c:pt idx="478">
                  <c:v>887944444</c:v>
                </c:pt>
                <c:pt idx="479">
                  <c:v>1719683333</c:v>
                </c:pt>
                <c:pt idx="480">
                  <c:v>1930933333</c:v>
                </c:pt>
                <c:pt idx="481">
                  <c:v>2005855556</c:v>
                </c:pt>
                <c:pt idx="482">
                  <c:v>1853822222</c:v>
                </c:pt>
                <c:pt idx="483">
                  <c:v>1750016667</c:v>
                </c:pt>
                <c:pt idx="484">
                  <c:v>1738611111</c:v>
                </c:pt>
                <c:pt idx="485">
                  <c:v>1731750000</c:v>
                </c:pt>
                <c:pt idx="486">
                  <c:v>1929022222</c:v>
                </c:pt>
                <c:pt idx="487">
                  <c:v>1837022222</c:v>
                </c:pt>
                <c:pt idx="488">
                  <c:v>1700594444</c:v>
                </c:pt>
                <c:pt idx="489">
                  <c:v>1783272222</c:v>
                </c:pt>
                <c:pt idx="490">
                  <c:v>1816683333</c:v>
                </c:pt>
                <c:pt idx="491">
                  <c:v>2404316667</c:v>
                </c:pt>
                <c:pt idx="492">
                  <c:v>1942894444</c:v>
                </c:pt>
                <c:pt idx="493">
                  <c:v>2832055556</c:v>
                </c:pt>
                <c:pt idx="494">
                  <c:v>1584188889</c:v>
                </c:pt>
                <c:pt idx="495">
                  <c:v>726461111</c:v>
                </c:pt>
                <c:pt idx="496">
                  <c:v>1101261111</c:v>
                </c:pt>
                <c:pt idx="497">
                  <c:v>1140511111</c:v>
                </c:pt>
                <c:pt idx="498">
                  <c:v>1274366667</c:v>
                </c:pt>
                <c:pt idx="499">
                  <c:v>1284911111</c:v>
                </c:pt>
                <c:pt idx="500">
                  <c:v>1711444444</c:v>
                </c:pt>
                <c:pt idx="501">
                  <c:v>1541261111</c:v>
                </c:pt>
                <c:pt idx="502">
                  <c:v>1830472222</c:v>
                </c:pt>
                <c:pt idx="503">
                  <c:v>1950972222</c:v>
                </c:pt>
                <c:pt idx="504">
                  <c:v>2028966667</c:v>
                </c:pt>
                <c:pt idx="505">
                  <c:v>1989527778</c:v>
                </c:pt>
                <c:pt idx="506">
                  <c:v>1853172222</c:v>
                </c:pt>
                <c:pt idx="507">
                  <c:v>1995194444</c:v>
                </c:pt>
                <c:pt idx="508">
                  <c:v>1862927778</c:v>
                </c:pt>
                <c:pt idx="509">
                  <c:v>2098777778</c:v>
                </c:pt>
                <c:pt idx="510">
                  <c:v>1939616667</c:v>
                </c:pt>
                <c:pt idx="511">
                  <c:v>2014511111</c:v>
                </c:pt>
                <c:pt idx="512">
                  <c:v>2101372222</c:v>
                </c:pt>
                <c:pt idx="513">
                  <c:v>1874538889</c:v>
                </c:pt>
                <c:pt idx="514">
                  <c:v>2206805556</c:v>
                </c:pt>
                <c:pt idx="515">
                  <c:v>2565805556</c:v>
                </c:pt>
                <c:pt idx="516">
                  <c:v>2247333333</c:v>
                </c:pt>
                <c:pt idx="517">
                  <c:v>1909905556</c:v>
                </c:pt>
                <c:pt idx="518">
                  <c:v>2202233333</c:v>
                </c:pt>
                <c:pt idx="519">
                  <c:v>1970838889</c:v>
                </c:pt>
                <c:pt idx="520">
                  <c:v>2255383333</c:v>
                </c:pt>
                <c:pt idx="521">
                  <c:v>2625577778</c:v>
                </c:pt>
                <c:pt idx="522">
                  <c:v>2260227778</c:v>
                </c:pt>
                <c:pt idx="523">
                  <c:v>2213494444</c:v>
                </c:pt>
                <c:pt idx="524">
                  <c:v>2125227778</c:v>
                </c:pt>
                <c:pt idx="525">
                  <c:v>2097772222</c:v>
                </c:pt>
                <c:pt idx="526">
                  <c:v>1840088889</c:v>
                </c:pt>
                <c:pt idx="527">
                  <c:v>2055211111</c:v>
                </c:pt>
                <c:pt idx="528">
                  <c:v>1847988889</c:v>
                </c:pt>
                <c:pt idx="529">
                  <c:v>1827505556</c:v>
                </c:pt>
                <c:pt idx="530">
                  <c:v>1730416667</c:v>
                </c:pt>
                <c:pt idx="531">
                  <c:v>1900616667</c:v>
                </c:pt>
                <c:pt idx="532">
                  <c:v>2034205556</c:v>
                </c:pt>
                <c:pt idx="533">
                  <c:v>1891655556</c:v>
                </c:pt>
                <c:pt idx="534">
                  <c:v>1891044444</c:v>
                </c:pt>
                <c:pt idx="535">
                  <c:v>2230294444</c:v>
                </c:pt>
                <c:pt idx="536">
                  <c:v>1953088889</c:v>
                </c:pt>
                <c:pt idx="537">
                  <c:v>2064850000</c:v>
                </c:pt>
                <c:pt idx="538">
                  <c:v>1970811111</c:v>
                </c:pt>
                <c:pt idx="539">
                  <c:v>2176361111</c:v>
                </c:pt>
                <c:pt idx="540">
                  <c:v>1904566667</c:v>
                </c:pt>
                <c:pt idx="541">
                  <c:v>2092094444</c:v>
                </c:pt>
                <c:pt idx="542">
                  <c:v>1884994444</c:v>
                </c:pt>
                <c:pt idx="543">
                  <c:v>1866916667</c:v>
                </c:pt>
                <c:pt idx="544">
                  <c:v>1980411111</c:v>
                </c:pt>
                <c:pt idx="545">
                  <c:v>1678527778</c:v>
                </c:pt>
                <c:pt idx="546">
                  <c:v>1884666667</c:v>
                </c:pt>
                <c:pt idx="547">
                  <c:v>1817144444</c:v>
                </c:pt>
                <c:pt idx="548">
                  <c:v>2039438889</c:v>
                </c:pt>
                <c:pt idx="549">
                  <c:v>1825255556</c:v>
                </c:pt>
                <c:pt idx="550">
                  <c:v>1589161111</c:v>
                </c:pt>
                <c:pt idx="551">
                  <c:v>1627883333</c:v>
                </c:pt>
                <c:pt idx="552">
                  <c:v>1827338889</c:v>
                </c:pt>
                <c:pt idx="553">
                  <c:v>1848633333</c:v>
                </c:pt>
                <c:pt idx="554">
                  <c:v>2928172222</c:v>
                </c:pt>
                <c:pt idx="555">
                  <c:v>1893888889</c:v>
                </c:pt>
                <c:pt idx="556">
                  <c:v>1778088889</c:v>
                </c:pt>
                <c:pt idx="557">
                  <c:v>1933805556</c:v>
                </c:pt>
                <c:pt idx="558">
                  <c:v>2074127778</c:v>
                </c:pt>
                <c:pt idx="559">
                  <c:v>1641955556</c:v>
                </c:pt>
                <c:pt idx="560">
                  <c:v>1819055556</c:v>
                </c:pt>
                <c:pt idx="561">
                  <c:v>1853438889</c:v>
                </c:pt>
                <c:pt idx="562">
                  <c:v>1739811111</c:v>
                </c:pt>
                <c:pt idx="563">
                  <c:v>1697555556</c:v>
                </c:pt>
                <c:pt idx="564">
                  <c:v>1990972222</c:v>
                </c:pt>
                <c:pt idx="565">
                  <c:v>2111966667</c:v>
                </c:pt>
                <c:pt idx="566">
                  <c:v>2067472222</c:v>
                </c:pt>
                <c:pt idx="567">
                  <c:v>1838138889</c:v>
                </c:pt>
                <c:pt idx="568">
                  <c:v>2088211111</c:v>
                </c:pt>
                <c:pt idx="569">
                  <c:v>2079700000</c:v>
                </c:pt>
                <c:pt idx="570">
                  <c:v>1728633333</c:v>
                </c:pt>
                <c:pt idx="571">
                  <c:v>2075800000</c:v>
                </c:pt>
                <c:pt idx="572">
                  <c:v>1752822222</c:v>
                </c:pt>
                <c:pt idx="573">
                  <c:v>1856350000</c:v>
                </c:pt>
                <c:pt idx="574">
                  <c:v>1468055556</c:v>
                </c:pt>
                <c:pt idx="575">
                  <c:v>1786355556</c:v>
                </c:pt>
                <c:pt idx="576">
                  <c:v>1714288889</c:v>
                </c:pt>
                <c:pt idx="577">
                  <c:v>1773238889</c:v>
                </c:pt>
                <c:pt idx="578">
                  <c:v>1785011111</c:v>
                </c:pt>
                <c:pt idx="579">
                  <c:v>2241488889</c:v>
                </c:pt>
                <c:pt idx="580">
                  <c:v>2026566667</c:v>
                </c:pt>
                <c:pt idx="581">
                  <c:v>2099572222</c:v>
                </c:pt>
                <c:pt idx="582">
                  <c:v>1898188889</c:v>
                </c:pt>
                <c:pt idx="583">
                  <c:v>1755311111</c:v>
                </c:pt>
                <c:pt idx="584">
                  <c:v>1518738889</c:v>
                </c:pt>
                <c:pt idx="585">
                  <c:v>1848477778</c:v>
                </c:pt>
                <c:pt idx="586">
                  <c:v>2018305556</c:v>
                </c:pt>
                <c:pt idx="587">
                  <c:v>1885233333</c:v>
                </c:pt>
                <c:pt idx="588">
                  <c:v>1680566667</c:v>
                </c:pt>
                <c:pt idx="589">
                  <c:v>1669855556</c:v>
                </c:pt>
                <c:pt idx="590">
                  <c:v>1619822222</c:v>
                </c:pt>
                <c:pt idx="591">
                  <c:v>1567811111</c:v>
                </c:pt>
                <c:pt idx="592">
                  <c:v>1973688889</c:v>
                </c:pt>
                <c:pt idx="593">
                  <c:v>1763138889</c:v>
                </c:pt>
                <c:pt idx="594">
                  <c:v>1480138889</c:v>
                </c:pt>
                <c:pt idx="595">
                  <c:v>1670944444</c:v>
                </c:pt>
                <c:pt idx="596">
                  <c:v>1542855556</c:v>
                </c:pt>
                <c:pt idx="597">
                  <c:v>1533222222</c:v>
                </c:pt>
                <c:pt idx="598">
                  <c:v>1331266667</c:v>
                </c:pt>
                <c:pt idx="599">
                  <c:v>1617233333</c:v>
                </c:pt>
                <c:pt idx="600">
                  <c:v>1653583333</c:v>
                </c:pt>
                <c:pt idx="601">
                  <c:v>1505027778</c:v>
                </c:pt>
                <c:pt idx="602">
                  <c:v>1813050000</c:v>
                </c:pt>
                <c:pt idx="603">
                  <c:v>1393900000</c:v>
                </c:pt>
                <c:pt idx="604">
                  <c:v>1592877778</c:v>
                </c:pt>
                <c:pt idx="605">
                  <c:v>1552177778</c:v>
                </c:pt>
                <c:pt idx="606">
                  <c:v>1729594444</c:v>
                </c:pt>
                <c:pt idx="607">
                  <c:v>1591277778</c:v>
                </c:pt>
                <c:pt idx="608">
                  <c:v>1562322222</c:v>
                </c:pt>
                <c:pt idx="609">
                  <c:v>1501311111</c:v>
                </c:pt>
                <c:pt idx="610">
                  <c:v>1505900000</c:v>
                </c:pt>
                <c:pt idx="611">
                  <c:v>1689155556</c:v>
                </c:pt>
                <c:pt idx="612">
                  <c:v>1443461111</c:v>
                </c:pt>
                <c:pt idx="613">
                  <c:v>1625627778</c:v>
                </c:pt>
                <c:pt idx="614">
                  <c:v>1650700000</c:v>
                </c:pt>
                <c:pt idx="615">
                  <c:v>1702900000</c:v>
                </c:pt>
                <c:pt idx="616">
                  <c:v>1640083333</c:v>
                </c:pt>
                <c:pt idx="617">
                  <c:v>2409022222</c:v>
                </c:pt>
                <c:pt idx="618">
                  <c:v>1509794444</c:v>
                </c:pt>
                <c:pt idx="619">
                  <c:v>1716500000</c:v>
                </c:pt>
                <c:pt idx="620">
                  <c:v>1725950000</c:v>
                </c:pt>
                <c:pt idx="621">
                  <c:v>1543800000</c:v>
                </c:pt>
                <c:pt idx="622">
                  <c:v>2383661111</c:v>
                </c:pt>
                <c:pt idx="623">
                  <c:v>1687416667</c:v>
                </c:pt>
                <c:pt idx="624">
                  <c:v>1771244444</c:v>
                </c:pt>
                <c:pt idx="625">
                  <c:v>1584155556</c:v>
                </c:pt>
                <c:pt idx="626">
                  <c:v>1110050000</c:v>
                </c:pt>
                <c:pt idx="627">
                  <c:v>1489588889</c:v>
                </c:pt>
                <c:pt idx="628">
                  <c:v>1834683333</c:v>
                </c:pt>
                <c:pt idx="629">
                  <c:v>1588222222</c:v>
                </c:pt>
                <c:pt idx="630">
                  <c:v>1758716667</c:v>
                </c:pt>
                <c:pt idx="631">
                  <c:v>1491461111</c:v>
                </c:pt>
                <c:pt idx="632">
                  <c:v>1524955556</c:v>
                </c:pt>
                <c:pt idx="633">
                  <c:v>1849300000</c:v>
                </c:pt>
                <c:pt idx="634">
                  <c:v>1883861111</c:v>
                </c:pt>
                <c:pt idx="635">
                  <c:v>1878711111</c:v>
                </c:pt>
                <c:pt idx="636">
                  <c:v>1725588889</c:v>
                </c:pt>
                <c:pt idx="637">
                  <c:v>1450644444</c:v>
                </c:pt>
                <c:pt idx="638">
                  <c:v>1605822222</c:v>
                </c:pt>
                <c:pt idx="639">
                  <c:v>1594288889</c:v>
                </c:pt>
                <c:pt idx="640">
                  <c:v>1779738889</c:v>
                </c:pt>
                <c:pt idx="641">
                  <c:v>1466088889</c:v>
                </c:pt>
                <c:pt idx="642">
                  <c:v>1557400000</c:v>
                </c:pt>
                <c:pt idx="643">
                  <c:v>1768500000</c:v>
                </c:pt>
                <c:pt idx="644">
                  <c:v>1915694444</c:v>
                </c:pt>
                <c:pt idx="645">
                  <c:v>2329444444</c:v>
                </c:pt>
                <c:pt idx="646">
                  <c:v>2105366667</c:v>
                </c:pt>
                <c:pt idx="647">
                  <c:v>1707177778</c:v>
                </c:pt>
                <c:pt idx="648">
                  <c:v>1923622222</c:v>
                </c:pt>
                <c:pt idx="649">
                  <c:v>1966194444</c:v>
                </c:pt>
                <c:pt idx="650">
                  <c:v>1794733333</c:v>
                </c:pt>
                <c:pt idx="651">
                  <c:v>1612377778</c:v>
                </c:pt>
                <c:pt idx="652">
                  <c:v>1547161111</c:v>
                </c:pt>
                <c:pt idx="653">
                  <c:v>1450944444</c:v>
                </c:pt>
                <c:pt idx="654">
                  <c:v>1510011111</c:v>
                </c:pt>
                <c:pt idx="655">
                  <c:v>1449700000</c:v>
                </c:pt>
                <c:pt idx="656">
                  <c:v>1679655556</c:v>
                </c:pt>
                <c:pt idx="657">
                  <c:v>1465644444</c:v>
                </c:pt>
                <c:pt idx="658">
                  <c:v>1475794444</c:v>
                </c:pt>
                <c:pt idx="659">
                  <c:v>1433088889</c:v>
                </c:pt>
                <c:pt idx="660">
                  <c:v>1466066667</c:v>
                </c:pt>
                <c:pt idx="661">
                  <c:v>1278811111</c:v>
                </c:pt>
                <c:pt idx="662">
                  <c:v>1241044444</c:v>
                </c:pt>
                <c:pt idx="663">
                  <c:v>1362194444</c:v>
                </c:pt>
                <c:pt idx="664">
                  <c:v>1302416667</c:v>
                </c:pt>
                <c:pt idx="665">
                  <c:v>1268000000</c:v>
                </c:pt>
                <c:pt idx="666">
                  <c:v>1255072222</c:v>
                </c:pt>
                <c:pt idx="667">
                  <c:v>1566655556</c:v>
                </c:pt>
                <c:pt idx="668">
                  <c:v>1561100000</c:v>
                </c:pt>
                <c:pt idx="669">
                  <c:v>1706894444</c:v>
                </c:pt>
                <c:pt idx="670">
                  <c:v>1565722222</c:v>
                </c:pt>
                <c:pt idx="671">
                  <c:v>1549494444</c:v>
                </c:pt>
                <c:pt idx="672">
                  <c:v>1601572222</c:v>
                </c:pt>
                <c:pt idx="673">
                  <c:v>1618016667</c:v>
                </c:pt>
                <c:pt idx="674">
                  <c:v>1634272222</c:v>
                </c:pt>
                <c:pt idx="675">
                  <c:v>1781427778</c:v>
                </c:pt>
                <c:pt idx="676">
                  <c:v>1542516667</c:v>
                </c:pt>
                <c:pt idx="677">
                  <c:v>1755727778</c:v>
                </c:pt>
                <c:pt idx="678">
                  <c:v>1783011111</c:v>
                </c:pt>
                <c:pt idx="679">
                  <c:v>1797411111</c:v>
                </c:pt>
                <c:pt idx="680">
                  <c:v>2711233333</c:v>
                </c:pt>
                <c:pt idx="681">
                  <c:v>1860927778</c:v>
                </c:pt>
                <c:pt idx="682">
                  <c:v>1821861111</c:v>
                </c:pt>
                <c:pt idx="683">
                  <c:v>1841027778</c:v>
                </c:pt>
                <c:pt idx="684">
                  <c:v>1818361111</c:v>
                </c:pt>
                <c:pt idx="685">
                  <c:v>1627466667</c:v>
                </c:pt>
                <c:pt idx="686">
                  <c:v>1719133333</c:v>
                </c:pt>
                <c:pt idx="687">
                  <c:v>2195055556</c:v>
                </c:pt>
                <c:pt idx="688">
                  <c:v>2326994444</c:v>
                </c:pt>
                <c:pt idx="689">
                  <c:v>2229172222</c:v>
                </c:pt>
                <c:pt idx="690">
                  <c:v>1978316667</c:v>
                </c:pt>
                <c:pt idx="691">
                  <c:v>1865677778</c:v>
                </c:pt>
                <c:pt idx="692">
                  <c:v>2048816667</c:v>
                </c:pt>
                <c:pt idx="693">
                  <c:v>2467716667</c:v>
                </c:pt>
                <c:pt idx="694">
                  <c:v>2413344444</c:v>
                </c:pt>
                <c:pt idx="695">
                  <c:v>2528077778</c:v>
                </c:pt>
                <c:pt idx="696">
                  <c:v>2418100000</c:v>
                </c:pt>
                <c:pt idx="697">
                  <c:v>2673338889</c:v>
                </c:pt>
                <c:pt idx="698">
                  <c:v>3383777778</c:v>
                </c:pt>
                <c:pt idx="699">
                  <c:v>2818416667</c:v>
                </c:pt>
                <c:pt idx="700">
                  <c:v>2490066667</c:v>
                </c:pt>
                <c:pt idx="701">
                  <c:v>1850672222</c:v>
                </c:pt>
                <c:pt idx="702">
                  <c:v>2215050000</c:v>
                </c:pt>
                <c:pt idx="703">
                  <c:v>2089961111</c:v>
                </c:pt>
                <c:pt idx="704">
                  <c:v>2105138889</c:v>
                </c:pt>
                <c:pt idx="705">
                  <c:v>1710211111</c:v>
                </c:pt>
                <c:pt idx="706">
                  <c:v>1966033333</c:v>
                </c:pt>
                <c:pt idx="707">
                  <c:v>2029588889</c:v>
                </c:pt>
                <c:pt idx="708">
                  <c:v>2077972222</c:v>
                </c:pt>
                <c:pt idx="709">
                  <c:v>1992305556</c:v>
                </c:pt>
                <c:pt idx="710">
                  <c:v>2384605556</c:v>
                </c:pt>
                <c:pt idx="711">
                  <c:v>1975244444</c:v>
                </c:pt>
                <c:pt idx="712">
                  <c:v>2197922222</c:v>
                </c:pt>
                <c:pt idx="713">
                  <c:v>2092550000</c:v>
                </c:pt>
                <c:pt idx="714">
                  <c:v>2038761111</c:v>
                </c:pt>
                <c:pt idx="715">
                  <c:v>2057933333</c:v>
                </c:pt>
                <c:pt idx="716">
                  <c:v>1824966667</c:v>
                </c:pt>
                <c:pt idx="717">
                  <c:v>1643511111</c:v>
                </c:pt>
                <c:pt idx="718">
                  <c:v>1803694444</c:v>
                </c:pt>
                <c:pt idx="719">
                  <c:v>1919594444</c:v>
                </c:pt>
                <c:pt idx="720">
                  <c:v>1792850000</c:v>
                </c:pt>
                <c:pt idx="721">
                  <c:v>1751605556</c:v>
                </c:pt>
                <c:pt idx="722">
                  <c:v>1897883333</c:v>
                </c:pt>
                <c:pt idx="723">
                  <c:v>1883805556</c:v>
                </c:pt>
                <c:pt idx="724">
                  <c:v>1737938889</c:v>
                </c:pt>
                <c:pt idx="725">
                  <c:v>2175788889</c:v>
                </c:pt>
                <c:pt idx="726">
                  <c:v>1737811111</c:v>
                </c:pt>
                <c:pt idx="727">
                  <c:v>1884966667</c:v>
                </c:pt>
                <c:pt idx="728">
                  <c:v>1525144444</c:v>
                </c:pt>
                <c:pt idx="729">
                  <c:v>1391466667</c:v>
                </c:pt>
                <c:pt idx="730">
                  <c:v>2310561111</c:v>
                </c:pt>
                <c:pt idx="731">
                  <c:v>2048138889</c:v>
                </c:pt>
                <c:pt idx="732">
                  <c:v>2007044444</c:v>
                </c:pt>
                <c:pt idx="733">
                  <c:v>1893522222</c:v>
                </c:pt>
                <c:pt idx="734">
                  <c:v>1899788889</c:v>
                </c:pt>
                <c:pt idx="735">
                  <c:v>2111661111</c:v>
                </c:pt>
                <c:pt idx="736">
                  <c:v>2205638889</c:v>
                </c:pt>
                <c:pt idx="737">
                  <c:v>2285800000</c:v>
                </c:pt>
                <c:pt idx="738">
                  <c:v>2176638889</c:v>
                </c:pt>
                <c:pt idx="739">
                  <c:v>2309805556</c:v>
                </c:pt>
                <c:pt idx="740">
                  <c:v>2423327778</c:v>
                </c:pt>
                <c:pt idx="741">
                  <c:v>2754822222</c:v>
                </c:pt>
                <c:pt idx="742">
                  <c:v>2745761111</c:v>
                </c:pt>
                <c:pt idx="743">
                  <c:v>2612988889</c:v>
                </c:pt>
                <c:pt idx="744">
                  <c:v>3591961111</c:v>
                </c:pt>
                <c:pt idx="745">
                  <c:v>1871955556</c:v>
                </c:pt>
                <c:pt idx="746">
                  <c:v>1691083333</c:v>
                </c:pt>
                <c:pt idx="747">
                  <c:v>787211111</c:v>
                </c:pt>
                <c:pt idx="748">
                  <c:v>964016667</c:v>
                </c:pt>
                <c:pt idx="749">
                  <c:v>1362422222</c:v>
                </c:pt>
                <c:pt idx="750">
                  <c:v>1355711111</c:v>
                </c:pt>
                <c:pt idx="751">
                  <c:v>1447816667</c:v>
                </c:pt>
                <c:pt idx="752">
                  <c:v>1504833333</c:v>
                </c:pt>
                <c:pt idx="753">
                  <c:v>2110622222</c:v>
                </c:pt>
                <c:pt idx="754">
                  <c:v>2477838889</c:v>
                </c:pt>
                <c:pt idx="755">
                  <c:v>2114155556</c:v>
                </c:pt>
                <c:pt idx="756">
                  <c:v>2185561111</c:v>
                </c:pt>
                <c:pt idx="757">
                  <c:v>1868966667</c:v>
                </c:pt>
                <c:pt idx="758">
                  <c:v>1920255556</c:v>
                </c:pt>
                <c:pt idx="759">
                  <c:v>2281833333</c:v>
                </c:pt>
                <c:pt idx="760">
                  <c:v>2432600000</c:v>
                </c:pt>
                <c:pt idx="761">
                  <c:v>2375955556</c:v>
                </c:pt>
                <c:pt idx="762">
                  <c:v>2253561111</c:v>
                </c:pt>
                <c:pt idx="763">
                  <c:v>2191300000</c:v>
                </c:pt>
                <c:pt idx="764">
                  <c:v>2072261111</c:v>
                </c:pt>
                <c:pt idx="765">
                  <c:v>2320027778</c:v>
                </c:pt>
                <c:pt idx="766">
                  <c:v>1985311111</c:v>
                </c:pt>
                <c:pt idx="767">
                  <c:v>1925422222</c:v>
                </c:pt>
                <c:pt idx="768">
                  <c:v>1849894444</c:v>
                </c:pt>
                <c:pt idx="769">
                  <c:v>2259738889</c:v>
                </c:pt>
                <c:pt idx="770">
                  <c:v>2292855556</c:v>
                </c:pt>
                <c:pt idx="771">
                  <c:v>2538138889</c:v>
                </c:pt>
                <c:pt idx="772">
                  <c:v>2226850000</c:v>
                </c:pt>
                <c:pt idx="773">
                  <c:v>2564388889</c:v>
                </c:pt>
                <c:pt idx="774">
                  <c:v>2301066667</c:v>
                </c:pt>
                <c:pt idx="775">
                  <c:v>2123327778</c:v>
                </c:pt>
                <c:pt idx="776">
                  <c:v>2351650000</c:v>
                </c:pt>
                <c:pt idx="777">
                  <c:v>1971966667</c:v>
                </c:pt>
                <c:pt idx="778">
                  <c:v>2038805556</c:v>
                </c:pt>
                <c:pt idx="779">
                  <c:v>1998255556</c:v>
                </c:pt>
                <c:pt idx="780">
                  <c:v>2104638889</c:v>
                </c:pt>
                <c:pt idx="781">
                  <c:v>1959694444</c:v>
                </c:pt>
                <c:pt idx="782">
                  <c:v>1867638889</c:v>
                </c:pt>
                <c:pt idx="783">
                  <c:v>1872233333</c:v>
                </c:pt>
                <c:pt idx="784">
                  <c:v>1803944444</c:v>
                </c:pt>
                <c:pt idx="785">
                  <c:v>1823111111</c:v>
                </c:pt>
                <c:pt idx="786">
                  <c:v>1718711111</c:v>
                </c:pt>
                <c:pt idx="787">
                  <c:v>1777688889</c:v>
                </c:pt>
                <c:pt idx="788">
                  <c:v>1840188889</c:v>
                </c:pt>
                <c:pt idx="789">
                  <c:v>1893716667</c:v>
                </c:pt>
                <c:pt idx="790">
                  <c:v>1970766667</c:v>
                </c:pt>
                <c:pt idx="791">
                  <c:v>1894161111</c:v>
                </c:pt>
                <c:pt idx="792">
                  <c:v>1812388889</c:v>
                </c:pt>
                <c:pt idx="793">
                  <c:v>1900616667</c:v>
                </c:pt>
                <c:pt idx="794">
                  <c:v>1723905556</c:v>
                </c:pt>
                <c:pt idx="795">
                  <c:v>2140872222</c:v>
                </c:pt>
                <c:pt idx="796">
                  <c:v>1860605556</c:v>
                </c:pt>
                <c:pt idx="797">
                  <c:v>2038277778</c:v>
                </c:pt>
                <c:pt idx="798">
                  <c:v>1892538889</c:v>
                </c:pt>
                <c:pt idx="799">
                  <c:v>1892144444</c:v>
                </c:pt>
                <c:pt idx="800">
                  <c:v>1943644444</c:v>
                </c:pt>
                <c:pt idx="801">
                  <c:v>1830888889</c:v>
                </c:pt>
                <c:pt idx="802">
                  <c:v>1789911111</c:v>
                </c:pt>
                <c:pt idx="803">
                  <c:v>2293450000</c:v>
                </c:pt>
                <c:pt idx="804">
                  <c:v>1836233333</c:v>
                </c:pt>
                <c:pt idx="805">
                  <c:v>3085622222</c:v>
                </c:pt>
                <c:pt idx="806">
                  <c:v>1815533333</c:v>
                </c:pt>
                <c:pt idx="807">
                  <c:v>1772122222</c:v>
                </c:pt>
                <c:pt idx="808">
                  <c:v>1956188889</c:v>
                </c:pt>
                <c:pt idx="809">
                  <c:v>1950372222</c:v>
                </c:pt>
                <c:pt idx="810">
                  <c:v>1671416667</c:v>
                </c:pt>
                <c:pt idx="811">
                  <c:v>1620938889</c:v>
                </c:pt>
                <c:pt idx="812">
                  <c:v>1875861111</c:v>
                </c:pt>
                <c:pt idx="813">
                  <c:v>1968483333</c:v>
                </c:pt>
                <c:pt idx="814">
                  <c:v>1719977778</c:v>
                </c:pt>
                <c:pt idx="815">
                  <c:v>1834983333</c:v>
                </c:pt>
                <c:pt idx="816">
                  <c:v>1703061111</c:v>
                </c:pt>
                <c:pt idx="817">
                  <c:v>1814072222</c:v>
                </c:pt>
                <c:pt idx="818">
                  <c:v>1762422222</c:v>
                </c:pt>
                <c:pt idx="819">
                  <c:v>1753444444</c:v>
                </c:pt>
                <c:pt idx="820">
                  <c:v>1615788889</c:v>
                </c:pt>
                <c:pt idx="821">
                  <c:v>1834038889</c:v>
                </c:pt>
                <c:pt idx="822">
                  <c:v>2229866667</c:v>
                </c:pt>
                <c:pt idx="823">
                  <c:v>1907844444</c:v>
                </c:pt>
                <c:pt idx="824">
                  <c:v>2015333333</c:v>
                </c:pt>
                <c:pt idx="825">
                  <c:v>1666755556</c:v>
                </c:pt>
                <c:pt idx="826">
                  <c:v>1801894444</c:v>
                </c:pt>
                <c:pt idx="827">
                  <c:v>1860266667</c:v>
                </c:pt>
                <c:pt idx="828">
                  <c:v>2020372222</c:v>
                </c:pt>
                <c:pt idx="829">
                  <c:v>1875433333</c:v>
                </c:pt>
                <c:pt idx="830">
                  <c:v>1910416667</c:v>
                </c:pt>
                <c:pt idx="831">
                  <c:v>1970150000</c:v>
                </c:pt>
                <c:pt idx="832">
                  <c:v>2263872222</c:v>
                </c:pt>
                <c:pt idx="833">
                  <c:v>2505377778</c:v>
                </c:pt>
                <c:pt idx="834">
                  <c:v>1877438889</c:v>
                </c:pt>
                <c:pt idx="835">
                  <c:v>1717544444</c:v>
                </c:pt>
                <c:pt idx="836">
                  <c:v>2107750000</c:v>
                </c:pt>
                <c:pt idx="837">
                  <c:v>2106783333</c:v>
                </c:pt>
                <c:pt idx="838">
                  <c:v>2042577778</c:v>
                </c:pt>
                <c:pt idx="839">
                  <c:v>1888577778</c:v>
                </c:pt>
                <c:pt idx="840">
                  <c:v>1662594444</c:v>
                </c:pt>
                <c:pt idx="841">
                  <c:v>1744177778</c:v>
                </c:pt>
                <c:pt idx="842">
                  <c:v>1874588889</c:v>
                </c:pt>
                <c:pt idx="843">
                  <c:v>1792077778</c:v>
                </c:pt>
                <c:pt idx="844">
                  <c:v>1717822222</c:v>
                </c:pt>
                <c:pt idx="845">
                  <c:v>1604550000</c:v>
                </c:pt>
                <c:pt idx="846">
                  <c:v>1831127778</c:v>
                </c:pt>
                <c:pt idx="847">
                  <c:v>1681044444</c:v>
                </c:pt>
                <c:pt idx="848">
                  <c:v>1705811111</c:v>
                </c:pt>
                <c:pt idx="849">
                  <c:v>1428811111</c:v>
                </c:pt>
                <c:pt idx="850">
                  <c:v>1856738889</c:v>
                </c:pt>
                <c:pt idx="851">
                  <c:v>1737755556</c:v>
                </c:pt>
                <c:pt idx="852">
                  <c:v>1655750000</c:v>
                </c:pt>
                <c:pt idx="853">
                  <c:v>2181883333</c:v>
                </c:pt>
                <c:pt idx="854">
                  <c:v>1673172222</c:v>
                </c:pt>
                <c:pt idx="855">
                  <c:v>1694083333</c:v>
                </c:pt>
                <c:pt idx="856">
                  <c:v>1722211111</c:v>
                </c:pt>
                <c:pt idx="857">
                  <c:v>1777805556</c:v>
                </c:pt>
                <c:pt idx="858">
                  <c:v>1802050000</c:v>
                </c:pt>
                <c:pt idx="859">
                  <c:v>1620638889</c:v>
                </c:pt>
                <c:pt idx="860">
                  <c:v>1685877778</c:v>
                </c:pt>
                <c:pt idx="861">
                  <c:v>1896844444</c:v>
                </c:pt>
                <c:pt idx="862">
                  <c:v>1738111111</c:v>
                </c:pt>
                <c:pt idx="863">
                  <c:v>1510777778</c:v>
                </c:pt>
                <c:pt idx="864">
                  <c:v>1700872222</c:v>
                </c:pt>
                <c:pt idx="865">
                  <c:v>1622166667</c:v>
                </c:pt>
                <c:pt idx="866">
                  <c:v>1790133333</c:v>
                </c:pt>
                <c:pt idx="867">
                  <c:v>1955755556</c:v>
                </c:pt>
                <c:pt idx="868">
                  <c:v>2472116667</c:v>
                </c:pt>
                <c:pt idx="869">
                  <c:v>1683344444</c:v>
                </c:pt>
                <c:pt idx="870">
                  <c:v>1717327778</c:v>
                </c:pt>
                <c:pt idx="871">
                  <c:v>1723600000</c:v>
                </c:pt>
                <c:pt idx="872">
                  <c:v>1785894444</c:v>
                </c:pt>
                <c:pt idx="873">
                  <c:v>2791927778</c:v>
                </c:pt>
                <c:pt idx="874">
                  <c:v>2043866667</c:v>
                </c:pt>
                <c:pt idx="875">
                  <c:v>2265855556</c:v>
                </c:pt>
                <c:pt idx="876">
                  <c:v>2070700000</c:v>
                </c:pt>
                <c:pt idx="877">
                  <c:v>1664744444</c:v>
                </c:pt>
                <c:pt idx="878">
                  <c:v>1936866667</c:v>
                </c:pt>
                <c:pt idx="879">
                  <c:v>2477033333</c:v>
                </c:pt>
                <c:pt idx="880">
                  <c:v>2004877778</c:v>
                </c:pt>
                <c:pt idx="881">
                  <c:v>1914894444</c:v>
                </c:pt>
                <c:pt idx="882">
                  <c:v>1702816667</c:v>
                </c:pt>
                <c:pt idx="883">
                  <c:v>1720405556</c:v>
                </c:pt>
                <c:pt idx="884">
                  <c:v>1667844444</c:v>
                </c:pt>
                <c:pt idx="885">
                  <c:v>1812116667</c:v>
                </c:pt>
                <c:pt idx="886">
                  <c:v>1792822222</c:v>
                </c:pt>
                <c:pt idx="887">
                  <c:v>1868194444</c:v>
                </c:pt>
                <c:pt idx="888">
                  <c:v>1803261111</c:v>
                </c:pt>
                <c:pt idx="889">
                  <c:v>1857605556</c:v>
                </c:pt>
                <c:pt idx="890">
                  <c:v>2052261111</c:v>
                </c:pt>
                <c:pt idx="891">
                  <c:v>2096005556</c:v>
                </c:pt>
                <c:pt idx="892">
                  <c:v>2150022222</c:v>
                </c:pt>
                <c:pt idx="893">
                  <c:v>2131527778</c:v>
                </c:pt>
                <c:pt idx="894">
                  <c:v>2287633333</c:v>
                </c:pt>
                <c:pt idx="895">
                  <c:v>2243833333</c:v>
                </c:pt>
                <c:pt idx="896">
                  <c:v>1988561111</c:v>
                </c:pt>
                <c:pt idx="897">
                  <c:v>2045188889</c:v>
                </c:pt>
                <c:pt idx="898">
                  <c:v>1931538889</c:v>
                </c:pt>
                <c:pt idx="899">
                  <c:v>1970394444</c:v>
                </c:pt>
                <c:pt idx="900">
                  <c:v>2204822222</c:v>
                </c:pt>
                <c:pt idx="901">
                  <c:v>2359205556</c:v>
                </c:pt>
                <c:pt idx="902">
                  <c:v>2001288889</c:v>
                </c:pt>
                <c:pt idx="903">
                  <c:v>1952477778</c:v>
                </c:pt>
                <c:pt idx="904">
                  <c:v>2060488889</c:v>
                </c:pt>
                <c:pt idx="905">
                  <c:v>2371738889</c:v>
                </c:pt>
                <c:pt idx="906">
                  <c:v>1789611111</c:v>
                </c:pt>
                <c:pt idx="907">
                  <c:v>1553105556</c:v>
                </c:pt>
                <c:pt idx="908">
                  <c:v>1593161111</c:v>
                </c:pt>
                <c:pt idx="909">
                  <c:v>1638883333</c:v>
                </c:pt>
                <c:pt idx="910">
                  <c:v>1951622222</c:v>
                </c:pt>
                <c:pt idx="911">
                  <c:v>2179150000</c:v>
                </c:pt>
                <c:pt idx="912">
                  <c:v>2787911111</c:v>
                </c:pt>
                <c:pt idx="913">
                  <c:v>3673716667</c:v>
                </c:pt>
                <c:pt idx="914">
                  <c:v>2879755556</c:v>
                </c:pt>
                <c:pt idx="915">
                  <c:v>2965694444</c:v>
                </c:pt>
                <c:pt idx="916">
                  <c:v>2781327778</c:v>
                </c:pt>
                <c:pt idx="917">
                  <c:v>2193933333</c:v>
                </c:pt>
                <c:pt idx="918">
                  <c:v>2175055556</c:v>
                </c:pt>
                <c:pt idx="919">
                  <c:v>2428805556</c:v>
                </c:pt>
                <c:pt idx="920">
                  <c:v>2079233333</c:v>
                </c:pt>
                <c:pt idx="921">
                  <c:v>1955944444</c:v>
                </c:pt>
                <c:pt idx="922">
                  <c:v>1759494444</c:v>
                </c:pt>
                <c:pt idx="923">
                  <c:v>1971472222</c:v>
                </c:pt>
                <c:pt idx="924">
                  <c:v>2028955556</c:v>
                </c:pt>
                <c:pt idx="925">
                  <c:v>2014622222</c:v>
                </c:pt>
                <c:pt idx="926">
                  <c:v>1788105556</c:v>
                </c:pt>
                <c:pt idx="927">
                  <c:v>1666777778</c:v>
                </c:pt>
                <c:pt idx="928">
                  <c:v>1799922222</c:v>
                </c:pt>
                <c:pt idx="929">
                  <c:v>2017044444</c:v>
                </c:pt>
                <c:pt idx="930">
                  <c:v>2324327778</c:v>
                </c:pt>
                <c:pt idx="931">
                  <c:v>3345133333</c:v>
                </c:pt>
                <c:pt idx="932">
                  <c:v>1816305556</c:v>
                </c:pt>
                <c:pt idx="933">
                  <c:v>2115700000</c:v>
                </c:pt>
                <c:pt idx="934">
                  <c:v>1772516667</c:v>
                </c:pt>
                <c:pt idx="935">
                  <c:v>2273072222</c:v>
                </c:pt>
                <c:pt idx="936">
                  <c:v>2067705556</c:v>
                </c:pt>
                <c:pt idx="937">
                  <c:v>2403700000</c:v>
                </c:pt>
                <c:pt idx="938">
                  <c:v>2295772222</c:v>
                </c:pt>
                <c:pt idx="939">
                  <c:v>2513927778</c:v>
                </c:pt>
                <c:pt idx="940">
                  <c:v>2213111111</c:v>
                </c:pt>
                <c:pt idx="941">
                  <c:v>2432538889</c:v>
                </c:pt>
                <c:pt idx="942">
                  <c:v>2408050000</c:v>
                </c:pt>
                <c:pt idx="943">
                  <c:v>2334666667</c:v>
                </c:pt>
                <c:pt idx="944">
                  <c:v>2592483333</c:v>
                </c:pt>
                <c:pt idx="945">
                  <c:v>2188411111</c:v>
                </c:pt>
                <c:pt idx="946">
                  <c:v>2059388889</c:v>
                </c:pt>
                <c:pt idx="947">
                  <c:v>1607361111</c:v>
                </c:pt>
                <c:pt idx="948">
                  <c:v>1889955556</c:v>
                </c:pt>
                <c:pt idx="949">
                  <c:v>2024772222</c:v>
                </c:pt>
                <c:pt idx="950">
                  <c:v>2081272222</c:v>
                </c:pt>
                <c:pt idx="951">
                  <c:v>1997461111</c:v>
                </c:pt>
                <c:pt idx="952">
                  <c:v>1826288889</c:v>
                </c:pt>
                <c:pt idx="953">
                  <c:v>1850833333</c:v>
                </c:pt>
                <c:pt idx="954">
                  <c:v>2015438889</c:v>
                </c:pt>
                <c:pt idx="955">
                  <c:v>2461583333</c:v>
                </c:pt>
                <c:pt idx="956">
                  <c:v>2282477778</c:v>
                </c:pt>
                <c:pt idx="957">
                  <c:v>1881000000</c:v>
                </c:pt>
                <c:pt idx="958">
                  <c:v>2342711111</c:v>
                </c:pt>
                <c:pt idx="959">
                  <c:v>2610061111</c:v>
                </c:pt>
                <c:pt idx="960">
                  <c:v>2227188889</c:v>
                </c:pt>
                <c:pt idx="961">
                  <c:v>2364555556</c:v>
                </c:pt>
                <c:pt idx="962">
                  <c:v>2088900000</c:v>
                </c:pt>
                <c:pt idx="963">
                  <c:v>2373366667</c:v>
                </c:pt>
                <c:pt idx="964">
                  <c:v>2266038889</c:v>
                </c:pt>
                <c:pt idx="965">
                  <c:v>2251050000</c:v>
                </c:pt>
                <c:pt idx="966">
                  <c:v>2427233333</c:v>
                </c:pt>
                <c:pt idx="967">
                  <c:v>2156861111</c:v>
                </c:pt>
                <c:pt idx="968">
                  <c:v>2123022222</c:v>
                </c:pt>
                <c:pt idx="969">
                  <c:v>2051338889</c:v>
                </c:pt>
                <c:pt idx="970">
                  <c:v>2231316667</c:v>
                </c:pt>
                <c:pt idx="971">
                  <c:v>2377083333</c:v>
                </c:pt>
                <c:pt idx="972">
                  <c:v>2078466667</c:v>
                </c:pt>
                <c:pt idx="973">
                  <c:v>2459638889</c:v>
                </c:pt>
                <c:pt idx="974">
                  <c:v>2181327778</c:v>
                </c:pt>
                <c:pt idx="975">
                  <c:v>2015616667</c:v>
                </c:pt>
                <c:pt idx="976">
                  <c:v>2183111111</c:v>
                </c:pt>
                <c:pt idx="977">
                  <c:v>1993322222</c:v>
                </c:pt>
                <c:pt idx="978">
                  <c:v>2158294444</c:v>
                </c:pt>
                <c:pt idx="979">
                  <c:v>1584966667</c:v>
                </c:pt>
                <c:pt idx="980">
                  <c:v>814911111</c:v>
                </c:pt>
                <c:pt idx="981">
                  <c:v>2375016667</c:v>
                </c:pt>
                <c:pt idx="982">
                  <c:v>2062288889</c:v>
                </c:pt>
                <c:pt idx="983">
                  <c:v>2194800000</c:v>
                </c:pt>
                <c:pt idx="984">
                  <c:v>2392494444</c:v>
                </c:pt>
                <c:pt idx="985">
                  <c:v>2341616667</c:v>
                </c:pt>
                <c:pt idx="986">
                  <c:v>2246566667</c:v>
                </c:pt>
                <c:pt idx="987">
                  <c:v>2318650000</c:v>
                </c:pt>
                <c:pt idx="988">
                  <c:v>2436250000</c:v>
                </c:pt>
                <c:pt idx="989">
                  <c:v>2063972222</c:v>
                </c:pt>
                <c:pt idx="990">
                  <c:v>2389477778</c:v>
                </c:pt>
                <c:pt idx="991">
                  <c:v>2562466667</c:v>
                </c:pt>
                <c:pt idx="992">
                  <c:v>2418633333</c:v>
                </c:pt>
                <c:pt idx="993">
                  <c:v>2575250000</c:v>
                </c:pt>
                <c:pt idx="994">
                  <c:v>2404105556</c:v>
                </c:pt>
                <c:pt idx="995">
                  <c:v>3712816667</c:v>
                </c:pt>
                <c:pt idx="996">
                  <c:v>2089044444</c:v>
                </c:pt>
                <c:pt idx="997">
                  <c:v>1956033333</c:v>
                </c:pt>
                <c:pt idx="998">
                  <c:v>1935605556</c:v>
                </c:pt>
                <c:pt idx="999">
                  <c:v>784366667</c:v>
                </c:pt>
                <c:pt idx="1000">
                  <c:v>1384727778</c:v>
                </c:pt>
                <c:pt idx="1001">
                  <c:v>1412222222</c:v>
                </c:pt>
                <c:pt idx="1002">
                  <c:v>1315238889</c:v>
                </c:pt>
                <c:pt idx="1003">
                  <c:v>1475183333</c:v>
                </c:pt>
                <c:pt idx="1004">
                  <c:v>2391600000</c:v>
                </c:pt>
                <c:pt idx="1005">
                  <c:v>2059233333</c:v>
                </c:pt>
                <c:pt idx="1006">
                  <c:v>2409255556</c:v>
                </c:pt>
                <c:pt idx="1007">
                  <c:v>2820327778</c:v>
                </c:pt>
                <c:pt idx="1008">
                  <c:v>2591633333</c:v>
                </c:pt>
                <c:pt idx="1009">
                  <c:v>2559605556</c:v>
                </c:pt>
                <c:pt idx="1010">
                  <c:v>2715144444</c:v>
                </c:pt>
                <c:pt idx="1011">
                  <c:v>2826127778</c:v>
                </c:pt>
                <c:pt idx="1012">
                  <c:v>2911727778</c:v>
                </c:pt>
                <c:pt idx="1013">
                  <c:v>3038033333</c:v>
                </c:pt>
                <c:pt idx="1014">
                  <c:v>2737972222</c:v>
                </c:pt>
                <c:pt idx="1015">
                  <c:v>3564483333</c:v>
                </c:pt>
                <c:pt idx="1016">
                  <c:v>2821561111</c:v>
                </c:pt>
                <c:pt idx="1017">
                  <c:v>2723200000</c:v>
                </c:pt>
                <c:pt idx="1018">
                  <c:v>2445211111</c:v>
                </c:pt>
                <c:pt idx="1019">
                  <c:v>2421077778</c:v>
                </c:pt>
                <c:pt idx="1020">
                  <c:v>2641133333</c:v>
                </c:pt>
                <c:pt idx="1021">
                  <c:v>2607227778</c:v>
                </c:pt>
                <c:pt idx="1022">
                  <c:v>3054205556</c:v>
                </c:pt>
                <c:pt idx="1023">
                  <c:v>2401405556</c:v>
                </c:pt>
                <c:pt idx="1024">
                  <c:v>2479550000</c:v>
                </c:pt>
                <c:pt idx="1025">
                  <c:v>2873861111</c:v>
                </c:pt>
                <c:pt idx="1026">
                  <c:v>2885177778</c:v>
                </c:pt>
                <c:pt idx="1027">
                  <c:v>2738855556</c:v>
                </c:pt>
                <c:pt idx="1028">
                  <c:v>3131366667</c:v>
                </c:pt>
                <c:pt idx="1029">
                  <c:v>2879566667</c:v>
                </c:pt>
                <c:pt idx="1030">
                  <c:v>2483983333</c:v>
                </c:pt>
                <c:pt idx="1031">
                  <c:v>3056000000</c:v>
                </c:pt>
                <c:pt idx="1032">
                  <c:v>2609400000</c:v>
                </c:pt>
                <c:pt idx="1033">
                  <c:v>2539261111</c:v>
                </c:pt>
                <c:pt idx="1034">
                  <c:v>2784188889</c:v>
                </c:pt>
                <c:pt idx="1035">
                  <c:v>2464716667</c:v>
                </c:pt>
                <c:pt idx="1036">
                  <c:v>2301583333</c:v>
                </c:pt>
                <c:pt idx="1037">
                  <c:v>2252616667</c:v>
                </c:pt>
                <c:pt idx="1038">
                  <c:v>2161472222</c:v>
                </c:pt>
                <c:pt idx="1039">
                  <c:v>2398472222</c:v>
                </c:pt>
                <c:pt idx="1040">
                  <c:v>2287894444</c:v>
                </c:pt>
                <c:pt idx="1041">
                  <c:v>2415838889</c:v>
                </c:pt>
                <c:pt idx="1042">
                  <c:v>2548988889</c:v>
                </c:pt>
                <c:pt idx="1043">
                  <c:v>2677638889</c:v>
                </c:pt>
                <c:pt idx="1044">
                  <c:v>2592561111</c:v>
                </c:pt>
                <c:pt idx="1045">
                  <c:v>2823166667</c:v>
                </c:pt>
                <c:pt idx="1046">
                  <c:v>3361072222</c:v>
                </c:pt>
                <c:pt idx="1047">
                  <c:v>2760100000</c:v>
                </c:pt>
                <c:pt idx="1048">
                  <c:v>2578694444</c:v>
                </c:pt>
                <c:pt idx="1049">
                  <c:v>2243400000</c:v>
                </c:pt>
                <c:pt idx="1050">
                  <c:v>2431550000</c:v>
                </c:pt>
                <c:pt idx="1051">
                  <c:v>2265900000</c:v>
                </c:pt>
                <c:pt idx="1052">
                  <c:v>1937694444</c:v>
                </c:pt>
                <c:pt idx="1053">
                  <c:v>1977933333</c:v>
                </c:pt>
                <c:pt idx="1054">
                  <c:v>2253900000</c:v>
                </c:pt>
                <c:pt idx="1055">
                  <c:v>2516933333</c:v>
                </c:pt>
                <c:pt idx="1056">
                  <c:v>3612855556</c:v>
                </c:pt>
                <c:pt idx="1057">
                  <c:v>1875888889</c:v>
                </c:pt>
                <c:pt idx="1058">
                  <c:v>1899144444</c:v>
                </c:pt>
                <c:pt idx="1059">
                  <c:v>2021950000</c:v>
                </c:pt>
                <c:pt idx="1060">
                  <c:v>1893177778</c:v>
                </c:pt>
                <c:pt idx="1061">
                  <c:v>1560605556</c:v>
                </c:pt>
                <c:pt idx="1062">
                  <c:v>2123516667</c:v>
                </c:pt>
                <c:pt idx="1063">
                  <c:v>1994616667</c:v>
                </c:pt>
                <c:pt idx="1064">
                  <c:v>2064044444</c:v>
                </c:pt>
                <c:pt idx="1065">
                  <c:v>2083327778</c:v>
                </c:pt>
                <c:pt idx="1066">
                  <c:v>1936505556</c:v>
                </c:pt>
                <c:pt idx="1067">
                  <c:v>2308288889</c:v>
                </c:pt>
                <c:pt idx="1068">
                  <c:v>2083777778</c:v>
                </c:pt>
                <c:pt idx="1069">
                  <c:v>2111805556</c:v>
                </c:pt>
                <c:pt idx="1070">
                  <c:v>1866405556</c:v>
                </c:pt>
                <c:pt idx="1071">
                  <c:v>1982133333</c:v>
                </c:pt>
                <c:pt idx="1072">
                  <c:v>2355411111</c:v>
                </c:pt>
                <c:pt idx="1073">
                  <c:v>2328794444</c:v>
                </c:pt>
                <c:pt idx="1074">
                  <c:v>2092150000</c:v>
                </c:pt>
                <c:pt idx="1075">
                  <c:v>2056361111</c:v>
                </c:pt>
                <c:pt idx="1076">
                  <c:v>1842711111</c:v>
                </c:pt>
                <c:pt idx="1077">
                  <c:v>2164905556</c:v>
                </c:pt>
                <c:pt idx="1078">
                  <c:v>2324933333</c:v>
                </c:pt>
                <c:pt idx="1079">
                  <c:v>2319605556</c:v>
                </c:pt>
                <c:pt idx="1080">
                  <c:v>2105877778</c:v>
                </c:pt>
                <c:pt idx="1081">
                  <c:v>1844300000</c:v>
                </c:pt>
                <c:pt idx="1082">
                  <c:v>1976216667</c:v>
                </c:pt>
                <c:pt idx="1083">
                  <c:v>2277838889</c:v>
                </c:pt>
                <c:pt idx="1084">
                  <c:v>2394355556</c:v>
                </c:pt>
                <c:pt idx="1085">
                  <c:v>2613733333</c:v>
                </c:pt>
                <c:pt idx="1086">
                  <c:v>2133950000</c:v>
                </c:pt>
                <c:pt idx="1087">
                  <c:v>2318550000</c:v>
                </c:pt>
                <c:pt idx="1088">
                  <c:v>2254755556</c:v>
                </c:pt>
                <c:pt idx="1089">
                  <c:v>2226961111</c:v>
                </c:pt>
                <c:pt idx="1090">
                  <c:v>2109083333</c:v>
                </c:pt>
                <c:pt idx="1091">
                  <c:v>2104788889</c:v>
                </c:pt>
                <c:pt idx="1092">
                  <c:v>2000111111</c:v>
                </c:pt>
                <c:pt idx="1093">
                  <c:v>2123322222</c:v>
                </c:pt>
                <c:pt idx="1094">
                  <c:v>2101327778</c:v>
                </c:pt>
                <c:pt idx="1095">
                  <c:v>1988822222</c:v>
                </c:pt>
                <c:pt idx="1096">
                  <c:v>1945200000</c:v>
                </c:pt>
                <c:pt idx="1097">
                  <c:v>2282755556</c:v>
                </c:pt>
                <c:pt idx="1098">
                  <c:v>2278511111</c:v>
                </c:pt>
                <c:pt idx="1099">
                  <c:v>2137094444</c:v>
                </c:pt>
                <c:pt idx="1100">
                  <c:v>1948694444</c:v>
                </c:pt>
                <c:pt idx="1101">
                  <c:v>1697488889</c:v>
                </c:pt>
                <c:pt idx="1102">
                  <c:v>2015188889</c:v>
                </c:pt>
                <c:pt idx="1103">
                  <c:v>2143977778</c:v>
                </c:pt>
                <c:pt idx="1104">
                  <c:v>1794994444</c:v>
                </c:pt>
                <c:pt idx="1105">
                  <c:v>1710638889</c:v>
                </c:pt>
                <c:pt idx="1106">
                  <c:v>2508005556</c:v>
                </c:pt>
                <c:pt idx="1107">
                  <c:v>1958427778</c:v>
                </c:pt>
                <c:pt idx="1108">
                  <c:v>2018177778</c:v>
                </c:pt>
                <c:pt idx="1109">
                  <c:v>2015433333</c:v>
                </c:pt>
                <c:pt idx="1110">
                  <c:v>1912233333</c:v>
                </c:pt>
                <c:pt idx="1111">
                  <c:v>1963738889</c:v>
                </c:pt>
                <c:pt idx="1112">
                  <c:v>1978922222</c:v>
                </c:pt>
                <c:pt idx="1113">
                  <c:v>1827955556</c:v>
                </c:pt>
                <c:pt idx="1114">
                  <c:v>1952783333</c:v>
                </c:pt>
                <c:pt idx="1115">
                  <c:v>1884461111</c:v>
                </c:pt>
                <c:pt idx="1116">
                  <c:v>2088761111</c:v>
                </c:pt>
                <c:pt idx="1117">
                  <c:v>1969288889</c:v>
                </c:pt>
                <c:pt idx="1118">
                  <c:v>2015711111</c:v>
                </c:pt>
                <c:pt idx="1119">
                  <c:v>2751461111</c:v>
                </c:pt>
                <c:pt idx="1120">
                  <c:v>1926355556</c:v>
                </c:pt>
                <c:pt idx="1121">
                  <c:v>1796044444</c:v>
                </c:pt>
                <c:pt idx="1122">
                  <c:v>1760088889</c:v>
                </c:pt>
                <c:pt idx="1123">
                  <c:v>1832188889</c:v>
                </c:pt>
                <c:pt idx="1124">
                  <c:v>4220805556</c:v>
                </c:pt>
                <c:pt idx="1125">
                  <c:v>3017344444</c:v>
                </c:pt>
                <c:pt idx="1126">
                  <c:v>2436561111</c:v>
                </c:pt>
                <c:pt idx="1127">
                  <c:v>2356522222</c:v>
                </c:pt>
                <c:pt idx="1128">
                  <c:v>2568233333</c:v>
                </c:pt>
                <c:pt idx="1129">
                  <c:v>1921605556</c:v>
                </c:pt>
                <c:pt idx="1130">
                  <c:v>2032433333</c:v>
                </c:pt>
                <c:pt idx="1131">
                  <c:v>2171877778</c:v>
                </c:pt>
                <c:pt idx="1132">
                  <c:v>2002527778</c:v>
                </c:pt>
                <c:pt idx="1133">
                  <c:v>2004166667</c:v>
                </c:pt>
                <c:pt idx="1134">
                  <c:v>1807411111</c:v>
                </c:pt>
                <c:pt idx="1135">
                  <c:v>2276566667</c:v>
                </c:pt>
                <c:pt idx="1136">
                  <c:v>1945733333</c:v>
                </c:pt>
                <c:pt idx="1137">
                  <c:v>1925338889</c:v>
                </c:pt>
                <c:pt idx="1138">
                  <c:v>1734777778</c:v>
                </c:pt>
                <c:pt idx="1139">
                  <c:v>1671838889</c:v>
                </c:pt>
                <c:pt idx="1140">
                  <c:v>1649077778</c:v>
                </c:pt>
                <c:pt idx="1141">
                  <c:v>1784366667</c:v>
                </c:pt>
                <c:pt idx="1142">
                  <c:v>1910500000</c:v>
                </c:pt>
                <c:pt idx="1143">
                  <c:v>1679600000</c:v>
                </c:pt>
                <c:pt idx="1144">
                  <c:v>1698466667</c:v>
                </c:pt>
                <c:pt idx="1145">
                  <c:v>1912416667</c:v>
                </c:pt>
                <c:pt idx="1146">
                  <c:v>2219722222</c:v>
                </c:pt>
                <c:pt idx="1147">
                  <c:v>2035688889</c:v>
                </c:pt>
                <c:pt idx="1148">
                  <c:v>2243800000</c:v>
                </c:pt>
                <c:pt idx="1149">
                  <c:v>1947772222</c:v>
                </c:pt>
                <c:pt idx="1150">
                  <c:v>2138194444</c:v>
                </c:pt>
                <c:pt idx="1151">
                  <c:v>2103627778</c:v>
                </c:pt>
                <c:pt idx="1152">
                  <c:v>2060666667</c:v>
                </c:pt>
                <c:pt idx="1153">
                  <c:v>2035038889</c:v>
                </c:pt>
                <c:pt idx="1154">
                  <c:v>1848638889</c:v>
                </c:pt>
                <c:pt idx="1155">
                  <c:v>1852388889</c:v>
                </c:pt>
                <c:pt idx="1156">
                  <c:v>1808305556</c:v>
                </c:pt>
                <c:pt idx="1157">
                  <c:v>1901755556</c:v>
                </c:pt>
                <c:pt idx="1158">
                  <c:v>1667033333</c:v>
                </c:pt>
                <c:pt idx="1159">
                  <c:v>1710294444</c:v>
                </c:pt>
                <c:pt idx="1160">
                  <c:v>1775777778</c:v>
                </c:pt>
                <c:pt idx="1161">
                  <c:v>1882727778</c:v>
                </c:pt>
                <c:pt idx="1162">
                  <c:v>1833650000</c:v>
                </c:pt>
                <c:pt idx="1163">
                  <c:v>1713777778</c:v>
                </c:pt>
                <c:pt idx="1164">
                  <c:v>1543083333</c:v>
                </c:pt>
                <c:pt idx="1165">
                  <c:v>1689716667</c:v>
                </c:pt>
                <c:pt idx="1166">
                  <c:v>1749044444</c:v>
                </c:pt>
                <c:pt idx="1167">
                  <c:v>1649616667</c:v>
                </c:pt>
                <c:pt idx="1168">
                  <c:v>1856855556</c:v>
                </c:pt>
                <c:pt idx="1169">
                  <c:v>1474877778</c:v>
                </c:pt>
                <c:pt idx="1170">
                  <c:v>1670444444</c:v>
                </c:pt>
                <c:pt idx="1171">
                  <c:v>2092438889</c:v>
                </c:pt>
                <c:pt idx="1172">
                  <c:v>1884511111</c:v>
                </c:pt>
                <c:pt idx="1173">
                  <c:v>1717288889</c:v>
                </c:pt>
                <c:pt idx="1174">
                  <c:v>1915361111</c:v>
                </c:pt>
                <c:pt idx="1175">
                  <c:v>1844122222</c:v>
                </c:pt>
                <c:pt idx="1176">
                  <c:v>2071022222</c:v>
                </c:pt>
                <c:pt idx="1177">
                  <c:v>2352200000</c:v>
                </c:pt>
                <c:pt idx="1178">
                  <c:v>2228044444</c:v>
                </c:pt>
                <c:pt idx="1179">
                  <c:v>2300927778</c:v>
                </c:pt>
                <c:pt idx="1180">
                  <c:v>2035611111</c:v>
                </c:pt>
                <c:pt idx="1181">
                  <c:v>1874288889</c:v>
                </c:pt>
                <c:pt idx="1182">
                  <c:v>2785755556</c:v>
                </c:pt>
                <c:pt idx="1183">
                  <c:v>1757222222</c:v>
                </c:pt>
                <c:pt idx="1184">
                  <c:v>1744850000</c:v>
                </c:pt>
                <c:pt idx="1185">
                  <c:v>2062272222</c:v>
                </c:pt>
                <c:pt idx="1186">
                  <c:v>1973794444</c:v>
                </c:pt>
                <c:pt idx="1187">
                  <c:v>1842883333</c:v>
                </c:pt>
                <c:pt idx="1188">
                  <c:v>1786761111</c:v>
                </c:pt>
                <c:pt idx="1189">
                  <c:v>1909872222</c:v>
                </c:pt>
                <c:pt idx="1190">
                  <c:v>2161922222</c:v>
                </c:pt>
                <c:pt idx="1191">
                  <c:v>2360677778</c:v>
                </c:pt>
                <c:pt idx="1192">
                  <c:v>2318522222</c:v>
                </c:pt>
                <c:pt idx="1193">
                  <c:v>1743083333</c:v>
                </c:pt>
                <c:pt idx="1194">
                  <c:v>2083827778</c:v>
                </c:pt>
                <c:pt idx="1195">
                  <c:v>2170305556</c:v>
                </c:pt>
                <c:pt idx="1196">
                  <c:v>1923083333</c:v>
                </c:pt>
                <c:pt idx="1197">
                  <c:v>2011050000</c:v>
                </c:pt>
                <c:pt idx="1198">
                  <c:v>1620305556</c:v>
                </c:pt>
                <c:pt idx="1199">
                  <c:v>1910150000</c:v>
                </c:pt>
                <c:pt idx="1200">
                  <c:v>1653944444</c:v>
                </c:pt>
                <c:pt idx="1201">
                  <c:v>1989138889</c:v>
                </c:pt>
                <c:pt idx="1202">
                  <c:v>1793416667</c:v>
                </c:pt>
                <c:pt idx="1203">
                  <c:v>1572438889</c:v>
                </c:pt>
                <c:pt idx="1204">
                  <c:v>1761111111</c:v>
                </c:pt>
                <c:pt idx="1205">
                  <c:v>1868150000</c:v>
                </c:pt>
                <c:pt idx="1206">
                  <c:v>1853983333</c:v>
                </c:pt>
                <c:pt idx="1207">
                  <c:v>1916027778</c:v>
                </c:pt>
                <c:pt idx="1208">
                  <c:v>1865177778</c:v>
                </c:pt>
                <c:pt idx="1209">
                  <c:v>2084077778</c:v>
                </c:pt>
                <c:pt idx="1210">
                  <c:v>2097333333</c:v>
                </c:pt>
                <c:pt idx="1211">
                  <c:v>2336016667</c:v>
                </c:pt>
                <c:pt idx="1212">
                  <c:v>2233061111</c:v>
                </c:pt>
                <c:pt idx="1213">
                  <c:v>2179111111</c:v>
                </c:pt>
                <c:pt idx="1214">
                  <c:v>2517866667</c:v>
                </c:pt>
                <c:pt idx="1215">
                  <c:v>2360322222</c:v>
                </c:pt>
                <c:pt idx="1216">
                  <c:v>2159300000</c:v>
                </c:pt>
                <c:pt idx="1217">
                  <c:v>2132144444</c:v>
                </c:pt>
                <c:pt idx="1218">
                  <c:v>2075588889</c:v>
                </c:pt>
                <c:pt idx="1219">
                  <c:v>2176072222</c:v>
                </c:pt>
                <c:pt idx="1220">
                  <c:v>3480083333</c:v>
                </c:pt>
                <c:pt idx="1221">
                  <c:v>3584244444</c:v>
                </c:pt>
                <c:pt idx="1222">
                  <c:v>2771138889</c:v>
                </c:pt>
                <c:pt idx="1223">
                  <c:v>2981777778</c:v>
                </c:pt>
                <c:pt idx="1224">
                  <c:v>2524366667</c:v>
                </c:pt>
                <c:pt idx="1225">
                  <c:v>2128105556</c:v>
                </c:pt>
                <c:pt idx="1226">
                  <c:v>2116200000</c:v>
                </c:pt>
                <c:pt idx="1227">
                  <c:v>1984666667</c:v>
                </c:pt>
                <c:pt idx="1228">
                  <c:v>2003894444</c:v>
                </c:pt>
                <c:pt idx="1229">
                  <c:v>2198855556</c:v>
                </c:pt>
                <c:pt idx="1230">
                  <c:v>1899244444</c:v>
                </c:pt>
                <c:pt idx="1231">
                  <c:v>880333333</c:v>
                </c:pt>
                <c:pt idx="1232">
                  <c:v>1947583333</c:v>
                </c:pt>
                <c:pt idx="1233">
                  <c:v>2059200000</c:v>
                </c:pt>
                <c:pt idx="1234">
                  <c:v>3074433333</c:v>
                </c:pt>
                <c:pt idx="1235">
                  <c:v>2813188889</c:v>
                </c:pt>
                <c:pt idx="1236">
                  <c:v>2099722222</c:v>
                </c:pt>
                <c:pt idx="1237">
                  <c:v>2164016667</c:v>
                </c:pt>
                <c:pt idx="1238">
                  <c:v>2141844444</c:v>
                </c:pt>
                <c:pt idx="1239">
                  <c:v>2501011111</c:v>
                </c:pt>
                <c:pt idx="1240">
                  <c:v>2333655556</c:v>
                </c:pt>
                <c:pt idx="1241">
                  <c:v>2158044444</c:v>
                </c:pt>
                <c:pt idx="1242">
                  <c:v>2241394444</c:v>
                </c:pt>
                <c:pt idx="1243">
                  <c:v>2143105556</c:v>
                </c:pt>
                <c:pt idx="1244">
                  <c:v>2448316667</c:v>
                </c:pt>
                <c:pt idx="1245">
                  <c:v>2315666667</c:v>
                </c:pt>
                <c:pt idx="1246">
                  <c:v>3289077778</c:v>
                </c:pt>
                <c:pt idx="1247">
                  <c:v>1804650000</c:v>
                </c:pt>
                <c:pt idx="1248">
                  <c:v>1832655556</c:v>
                </c:pt>
                <c:pt idx="1249">
                  <c:v>1584572222</c:v>
                </c:pt>
                <c:pt idx="1250">
                  <c:v>1597955556</c:v>
                </c:pt>
                <c:pt idx="1251">
                  <c:v>1122527778</c:v>
                </c:pt>
                <c:pt idx="1252">
                  <c:v>1103933333</c:v>
                </c:pt>
                <c:pt idx="1253">
                  <c:v>1329088889</c:v>
                </c:pt>
                <c:pt idx="1254">
                  <c:v>1297983333</c:v>
                </c:pt>
                <c:pt idx="1255">
                  <c:v>1483833333</c:v>
                </c:pt>
                <c:pt idx="1256">
                  <c:v>2094738889</c:v>
                </c:pt>
                <c:pt idx="1257">
                  <c:v>2091605556</c:v>
                </c:pt>
                <c:pt idx="1258">
                  <c:v>2089900000</c:v>
                </c:pt>
                <c:pt idx="1259">
                  <c:v>1855494444</c:v>
                </c:pt>
                <c:pt idx="1260">
                  <c:v>1787561111</c:v>
                </c:pt>
                <c:pt idx="1261">
                  <c:v>2021550000</c:v>
                </c:pt>
                <c:pt idx="1262">
                  <c:v>2011338889</c:v>
                </c:pt>
                <c:pt idx="1263">
                  <c:v>1923405556</c:v>
                </c:pt>
                <c:pt idx="1264">
                  <c:v>1711816667</c:v>
                </c:pt>
                <c:pt idx="1265">
                  <c:v>1991661111</c:v>
                </c:pt>
                <c:pt idx="1266">
                  <c:v>1841805556</c:v>
                </c:pt>
                <c:pt idx="1267">
                  <c:v>1758872222</c:v>
                </c:pt>
                <c:pt idx="1268">
                  <c:v>1958316667</c:v>
                </c:pt>
                <c:pt idx="1269">
                  <c:v>1751505556</c:v>
                </c:pt>
                <c:pt idx="1270">
                  <c:v>2117200000</c:v>
                </c:pt>
                <c:pt idx="1271">
                  <c:v>2136677778</c:v>
                </c:pt>
                <c:pt idx="1272">
                  <c:v>2005755556</c:v>
                </c:pt>
                <c:pt idx="1273">
                  <c:v>1742161111</c:v>
                </c:pt>
                <c:pt idx="1274">
                  <c:v>1995150000</c:v>
                </c:pt>
                <c:pt idx="1275">
                  <c:v>2270805556</c:v>
                </c:pt>
                <c:pt idx="1276">
                  <c:v>2175894444</c:v>
                </c:pt>
                <c:pt idx="1277">
                  <c:v>2115394444</c:v>
                </c:pt>
                <c:pt idx="1278">
                  <c:v>1998872222</c:v>
                </c:pt>
                <c:pt idx="1279">
                  <c:v>1727250000</c:v>
                </c:pt>
                <c:pt idx="1280">
                  <c:v>1915938889</c:v>
                </c:pt>
                <c:pt idx="1281">
                  <c:v>2005411111</c:v>
                </c:pt>
                <c:pt idx="1282">
                  <c:v>2043300000</c:v>
                </c:pt>
                <c:pt idx="1283">
                  <c:v>1930566667</c:v>
                </c:pt>
                <c:pt idx="1284">
                  <c:v>1860961111</c:v>
                </c:pt>
                <c:pt idx="1285">
                  <c:v>1956061111</c:v>
                </c:pt>
                <c:pt idx="1286">
                  <c:v>2097550000</c:v>
                </c:pt>
                <c:pt idx="1287">
                  <c:v>2040205556</c:v>
                </c:pt>
                <c:pt idx="1288">
                  <c:v>1951700000</c:v>
                </c:pt>
                <c:pt idx="1289">
                  <c:v>1988766667</c:v>
                </c:pt>
                <c:pt idx="1290">
                  <c:v>1927038889</c:v>
                </c:pt>
                <c:pt idx="1291">
                  <c:v>2230700000</c:v>
                </c:pt>
                <c:pt idx="1292">
                  <c:v>2128650000</c:v>
                </c:pt>
                <c:pt idx="1293">
                  <c:v>1990338889</c:v>
                </c:pt>
                <c:pt idx="1294">
                  <c:v>2338966667</c:v>
                </c:pt>
                <c:pt idx="1295">
                  <c:v>2413988889</c:v>
                </c:pt>
                <c:pt idx="1296">
                  <c:v>2122955556</c:v>
                </c:pt>
                <c:pt idx="1297">
                  <c:v>1975144444</c:v>
                </c:pt>
                <c:pt idx="1298">
                  <c:v>1795944444</c:v>
                </c:pt>
                <c:pt idx="1299">
                  <c:v>1954661111</c:v>
                </c:pt>
                <c:pt idx="1300">
                  <c:v>2117833333</c:v>
                </c:pt>
                <c:pt idx="1301">
                  <c:v>2064633333</c:v>
                </c:pt>
                <c:pt idx="1302">
                  <c:v>1907194444</c:v>
                </c:pt>
                <c:pt idx="1303">
                  <c:v>1741055556</c:v>
                </c:pt>
                <c:pt idx="1304">
                  <c:v>1762572222</c:v>
                </c:pt>
                <c:pt idx="1305">
                  <c:v>2170466667</c:v>
                </c:pt>
                <c:pt idx="1306">
                  <c:v>1869811111</c:v>
                </c:pt>
                <c:pt idx="1307">
                  <c:v>2876688889</c:v>
                </c:pt>
                <c:pt idx="1308">
                  <c:v>1697183333</c:v>
                </c:pt>
                <c:pt idx="1309">
                  <c:v>2369772222</c:v>
                </c:pt>
                <c:pt idx="1310">
                  <c:v>1984850000</c:v>
                </c:pt>
                <c:pt idx="1311">
                  <c:v>1811444444</c:v>
                </c:pt>
                <c:pt idx="1312">
                  <c:v>1652850000</c:v>
                </c:pt>
                <c:pt idx="1313">
                  <c:v>1800127778</c:v>
                </c:pt>
                <c:pt idx="1314">
                  <c:v>1870988889</c:v>
                </c:pt>
                <c:pt idx="1315">
                  <c:v>1726077778</c:v>
                </c:pt>
                <c:pt idx="1316">
                  <c:v>1754677778</c:v>
                </c:pt>
                <c:pt idx="1317">
                  <c:v>1863394444</c:v>
                </c:pt>
                <c:pt idx="1318">
                  <c:v>1898000000</c:v>
                </c:pt>
                <c:pt idx="1319">
                  <c:v>1781244444</c:v>
                </c:pt>
                <c:pt idx="1320">
                  <c:v>2094733333</c:v>
                </c:pt>
                <c:pt idx="1321">
                  <c:v>1778844444</c:v>
                </c:pt>
                <c:pt idx="1322">
                  <c:v>1696194444</c:v>
                </c:pt>
                <c:pt idx="1323">
                  <c:v>1547450000</c:v>
                </c:pt>
                <c:pt idx="1324">
                  <c:v>1731900000</c:v>
                </c:pt>
                <c:pt idx="1325">
                  <c:v>1776083333</c:v>
                </c:pt>
                <c:pt idx="1326">
                  <c:v>1746605556</c:v>
                </c:pt>
                <c:pt idx="1327">
                  <c:v>1569283333</c:v>
                </c:pt>
                <c:pt idx="1328">
                  <c:v>1816577778</c:v>
                </c:pt>
                <c:pt idx="1329">
                  <c:v>1955500000</c:v>
                </c:pt>
                <c:pt idx="1330">
                  <c:v>2026344444</c:v>
                </c:pt>
                <c:pt idx="1331">
                  <c:v>1946311111</c:v>
                </c:pt>
                <c:pt idx="1332">
                  <c:v>2050361111</c:v>
                </c:pt>
                <c:pt idx="1333">
                  <c:v>2219577778</c:v>
                </c:pt>
                <c:pt idx="1334">
                  <c:v>2281066667</c:v>
                </c:pt>
                <c:pt idx="1335">
                  <c:v>2276922222</c:v>
                </c:pt>
                <c:pt idx="1336">
                  <c:v>2065705556</c:v>
                </c:pt>
                <c:pt idx="1337">
                  <c:v>1777355556</c:v>
                </c:pt>
                <c:pt idx="1338">
                  <c:v>2118711111</c:v>
                </c:pt>
                <c:pt idx="1339">
                  <c:v>2163327778</c:v>
                </c:pt>
                <c:pt idx="1340">
                  <c:v>2423633333</c:v>
                </c:pt>
                <c:pt idx="1341">
                  <c:v>1966744444</c:v>
                </c:pt>
                <c:pt idx="1342">
                  <c:v>1905244444</c:v>
                </c:pt>
                <c:pt idx="1343">
                  <c:v>2029772222</c:v>
                </c:pt>
                <c:pt idx="1344">
                  <c:v>2024183333</c:v>
                </c:pt>
                <c:pt idx="1345">
                  <c:v>2070788889</c:v>
                </c:pt>
                <c:pt idx="1346">
                  <c:v>1836461111</c:v>
                </c:pt>
                <c:pt idx="1347">
                  <c:v>1929777778</c:v>
                </c:pt>
                <c:pt idx="1348">
                  <c:v>1900438889</c:v>
                </c:pt>
                <c:pt idx="1349">
                  <c:v>2312777778</c:v>
                </c:pt>
                <c:pt idx="1350">
                  <c:v>2399677778</c:v>
                </c:pt>
                <c:pt idx="1351">
                  <c:v>2125088889</c:v>
                </c:pt>
                <c:pt idx="1352">
                  <c:v>1762683333</c:v>
                </c:pt>
                <c:pt idx="1353">
                  <c:v>1785316667</c:v>
                </c:pt>
                <c:pt idx="1354">
                  <c:v>1883277778</c:v>
                </c:pt>
                <c:pt idx="1355">
                  <c:v>1964105556</c:v>
                </c:pt>
                <c:pt idx="1356">
                  <c:v>1558355556</c:v>
                </c:pt>
                <c:pt idx="1357">
                  <c:v>1779533333</c:v>
                </c:pt>
                <c:pt idx="1358">
                  <c:v>2508950000</c:v>
                </c:pt>
                <c:pt idx="1359">
                  <c:v>2142855556</c:v>
                </c:pt>
                <c:pt idx="1360">
                  <c:v>1923155556</c:v>
                </c:pt>
                <c:pt idx="1361">
                  <c:v>1618111111</c:v>
                </c:pt>
                <c:pt idx="1362">
                  <c:v>1865466667</c:v>
                </c:pt>
                <c:pt idx="1363">
                  <c:v>1984611111</c:v>
                </c:pt>
                <c:pt idx="1364">
                  <c:v>2071588889</c:v>
                </c:pt>
                <c:pt idx="1365">
                  <c:v>2237411111</c:v>
                </c:pt>
                <c:pt idx="1366">
                  <c:v>2237638889</c:v>
                </c:pt>
                <c:pt idx="1367">
                  <c:v>1819722222</c:v>
                </c:pt>
                <c:pt idx="1368">
                  <c:v>1975327778</c:v>
                </c:pt>
                <c:pt idx="1369">
                  <c:v>1862805556</c:v>
                </c:pt>
                <c:pt idx="1370">
                  <c:v>2935955556</c:v>
                </c:pt>
                <c:pt idx="1371">
                  <c:v>1813722222</c:v>
                </c:pt>
                <c:pt idx="1372">
                  <c:v>1898061111</c:v>
                </c:pt>
                <c:pt idx="1373">
                  <c:v>1997122222</c:v>
                </c:pt>
                <c:pt idx="1374">
                  <c:v>1926783333</c:v>
                </c:pt>
                <c:pt idx="1375">
                  <c:v>2932405556</c:v>
                </c:pt>
                <c:pt idx="1376">
                  <c:v>1799427778</c:v>
                </c:pt>
                <c:pt idx="1377">
                  <c:v>1979950000</c:v>
                </c:pt>
                <c:pt idx="1378">
                  <c:v>1944888889</c:v>
                </c:pt>
                <c:pt idx="1379">
                  <c:v>2166822222</c:v>
                </c:pt>
                <c:pt idx="1380">
                  <c:v>1867550000</c:v>
                </c:pt>
                <c:pt idx="1381">
                  <c:v>1090161111</c:v>
                </c:pt>
                <c:pt idx="1382">
                  <c:v>1870677778</c:v>
                </c:pt>
                <c:pt idx="1383">
                  <c:v>1869177778</c:v>
                </c:pt>
                <c:pt idx="1384">
                  <c:v>1611850000</c:v>
                </c:pt>
                <c:pt idx="1385">
                  <c:v>1666183333</c:v>
                </c:pt>
                <c:pt idx="1386">
                  <c:v>1725972222</c:v>
                </c:pt>
                <c:pt idx="1387">
                  <c:v>1762011111</c:v>
                </c:pt>
                <c:pt idx="1388">
                  <c:v>1704261111</c:v>
                </c:pt>
                <c:pt idx="1389">
                  <c:v>1520355556</c:v>
                </c:pt>
                <c:pt idx="1390">
                  <c:v>1551761111</c:v>
                </c:pt>
                <c:pt idx="1391">
                  <c:v>1645627778</c:v>
                </c:pt>
                <c:pt idx="1392">
                  <c:v>1699866667</c:v>
                </c:pt>
                <c:pt idx="1393">
                  <c:v>1768211111</c:v>
                </c:pt>
                <c:pt idx="1394">
                  <c:v>1699761111</c:v>
                </c:pt>
                <c:pt idx="1395">
                  <c:v>1672355556</c:v>
                </c:pt>
                <c:pt idx="1396">
                  <c:v>2282255556</c:v>
                </c:pt>
                <c:pt idx="1397">
                  <c:v>1976122222</c:v>
                </c:pt>
                <c:pt idx="1398">
                  <c:v>2219733333</c:v>
                </c:pt>
                <c:pt idx="1399">
                  <c:v>1830427778</c:v>
                </c:pt>
                <c:pt idx="1400">
                  <c:v>1927338889</c:v>
                </c:pt>
                <c:pt idx="1401">
                  <c:v>1922700000</c:v>
                </c:pt>
                <c:pt idx="1402">
                  <c:v>1932544444</c:v>
                </c:pt>
                <c:pt idx="1403">
                  <c:v>2025011111</c:v>
                </c:pt>
                <c:pt idx="1404">
                  <c:v>1797300000</c:v>
                </c:pt>
                <c:pt idx="1405">
                  <c:v>1628766667</c:v>
                </c:pt>
                <c:pt idx="1406">
                  <c:v>1858133333</c:v>
                </c:pt>
                <c:pt idx="1407">
                  <c:v>1837811111</c:v>
                </c:pt>
                <c:pt idx="1408">
                  <c:v>2011705556</c:v>
                </c:pt>
                <c:pt idx="1409">
                  <c:v>1755516667</c:v>
                </c:pt>
                <c:pt idx="1410">
                  <c:v>1568083333</c:v>
                </c:pt>
                <c:pt idx="1411">
                  <c:v>1618388889</c:v>
                </c:pt>
                <c:pt idx="1412">
                  <c:v>1640916667</c:v>
                </c:pt>
                <c:pt idx="1413">
                  <c:v>1745900000</c:v>
                </c:pt>
                <c:pt idx="1414">
                  <c:v>1897600000</c:v>
                </c:pt>
                <c:pt idx="1415">
                  <c:v>1548972222</c:v>
                </c:pt>
                <c:pt idx="1416">
                  <c:v>1543050000</c:v>
                </c:pt>
                <c:pt idx="1417">
                  <c:v>1547383333</c:v>
                </c:pt>
                <c:pt idx="1418">
                  <c:v>1581438889</c:v>
                </c:pt>
                <c:pt idx="1419">
                  <c:v>1438211111</c:v>
                </c:pt>
                <c:pt idx="1420">
                  <c:v>1487611111</c:v>
                </c:pt>
                <c:pt idx="1421">
                  <c:v>1520877778</c:v>
                </c:pt>
                <c:pt idx="1422">
                  <c:v>1463144444</c:v>
                </c:pt>
                <c:pt idx="1423">
                  <c:v>1860061111</c:v>
                </c:pt>
                <c:pt idx="1424">
                  <c:v>1505961111</c:v>
                </c:pt>
                <c:pt idx="1425">
                  <c:v>1939033333</c:v>
                </c:pt>
                <c:pt idx="1426">
                  <c:v>1874672222</c:v>
                </c:pt>
                <c:pt idx="1427">
                  <c:v>1863294444</c:v>
                </c:pt>
                <c:pt idx="1428">
                  <c:v>1834716667</c:v>
                </c:pt>
                <c:pt idx="1429">
                  <c:v>1828755556</c:v>
                </c:pt>
                <c:pt idx="1430">
                  <c:v>1794955556</c:v>
                </c:pt>
                <c:pt idx="1431">
                  <c:v>1871138889</c:v>
                </c:pt>
                <c:pt idx="1432">
                  <c:v>1896922222</c:v>
                </c:pt>
                <c:pt idx="1433">
                  <c:v>2696205556</c:v>
                </c:pt>
                <c:pt idx="1434">
                  <c:v>1774611111</c:v>
                </c:pt>
                <c:pt idx="1435">
                  <c:v>1805055556</c:v>
                </c:pt>
                <c:pt idx="1436">
                  <c:v>1961116667</c:v>
                </c:pt>
                <c:pt idx="1437">
                  <c:v>1628255556</c:v>
                </c:pt>
                <c:pt idx="1438">
                  <c:v>1592200000</c:v>
                </c:pt>
                <c:pt idx="1439">
                  <c:v>1832161111</c:v>
                </c:pt>
                <c:pt idx="1440">
                  <c:v>1690616667</c:v>
                </c:pt>
                <c:pt idx="1441">
                  <c:v>1920016667</c:v>
                </c:pt>
                <c:pt idx="1442">
                  <c:v>1760344444</c:v>
                </c:pt>
                <c:pt idx="1443">
                  <c:v>1784400000</c:v>
                </c:pt>
                <c:pt idx="1444">
                  <c:v>1777627778</c:v>
                </c:pt>
                <c:pt idx="1445">
                  <c:v>1704916667</c:v>
                </c:pt>
                <c:pt idx="1446">
                  <c:v>1676177778</c:v>
                </c:pt>
                <c:pt idx="1447">
                  <c:v>1691733333</c:v>
                </c:pt>
                <c:pt idx="1448">
                  <c:v>1602538889</c:v>
                </c:pt>
                <c:pt idx="1449">
                  <c:v>1379983333</c:v>
                </c:pt>
                <c:pt idx="1450">
                  <c:v>1644722222</c:v>
                </c:pt>
                <c:pt idx="1451">
                  <c:v>1653383333</c:v>
                </c:pt>
                <c:pt idx="1452">
                  <c:v>1750838889</c:v>
                </c:pt>
                <c:pt idx="1453">
                  <c:v>1749688889</c:v>
                </c:pt>
                <c:pt idx="1454">
                  <c:v>1620011111</c:v>
                </c:pt>
                <c:pt idx="1455">
                  <c:v>1605216667</c:v>
                </c:pt>
                <c:pt idx="1456">
                  <c:v>1665605556</c:v>
                </c:pt>
                <c:pt idx="1457">
                  <c:v>1661505556</c:v>
                </c:pt>
                <c:pt idx="1458">
                  <c:v>1880361111</c:v>
                </c:pt>
                <c:pt idx="1459">
                  <c:v>1784283333</c:v>
                </c:pt>
                <c:pt idx="1460">
                  <c:v>1904072222</c:v>
                </c:pt>
                <c:pt idx="1461">
                  <c:v>2152505556</c:v>
                </c:pt>
                <c:pt idx="1462">
                  <c:v>2149472222</c:v>
                </c:pt>
                <c:pt idx="1463">
                  <c:v>2159505556</c:v>
                </c:pt>
                <c:pt idx="1464">
                  <c:v>2032705556</c:v>
                </c:pt>
                <c:pt idx="1465">
                  <c:v>2126238889</c:v>
                </c:pt>
                <c:pt idx="1466">
                  <c:v>2118433333</c:v>
                </c:pt>
                <c:pt idx="1467">
                  <c:v>2249038889</c:v>
                </c:pt>
                <c:pt idx="1468">
                  <c:v>1982061111</c:v>
                </c:pt>
                <c:pt idx="1469">
                  <c:v>1966155556</c:v>
                </c:pt>
                <c:pt idx="1470">
                  <c:v>2116472222</c:v>
                </c:pt>
                <c:pt idx="1471">
                  <c:v>2166311111</c:v>
                </c:pt>
                <c:pt idx="1472">
                  <c:v>2128672222</c:v>
                </c:pt>
                <c:pt idx="1473">
                  <c:v>1937172222</c:v>
                </c:pt>
                <c:pt idx="1474">
                  <c:v>1890516667</c:v>
                </c:pt>
                <c:pt idx="1475">
                  <c:v>2023200000</c:v>
                </c:pt>
                <c:pt idx="1476">
                  <c:v>1977161111</c:v>
                </c:pt>
                <c:pt idx="1477">
                  <c:v>1840394444</c:v>
                </c:pt>
                <c:pt idx="1478">
                  <c:v>1833422222</c:v>
                </c:pt>
                <c:pt idx="1479">
                  <c:v>1668633333</c:v>
                </c:pt>
                <c:pt idx="1480">
                  <c:v>1851511111</c:v>
                </c:pt>
                <c:pt idx="1481">
                  <c:v>1534972222</c:v>
                </c:pt>
                <c:pt idx="1482">
                  <c:v>749877778</c:v>
                </c:pt>
                <c:pt idx="1483">
                  <c:v>1670477778</c:v>
                </c:pt>
                <c:pt idx="1484">
                  <c:v>1938011111</c:v>
                </c:pt>
                <c:pt idx="1485">
                  <c:v>2265711111</c:v>
                </c:pt>
                <c:pt idx="1486">
                  <c:v>2743605556</c:v>
                </c:pt>
                <c:pt idx="1487">
                  <c:v>2190177778</c:v>
                </c:pt>
                <c:pt idx="1488">
                  <c:v>2235083333</c:v>
                </c:pt>
                <c:pt idx="1489">
                  <c:v>1966133333</c:v>
                </c:pt>
                <c:pt idx="1490">
                  <c:v>1793888889</c:v>
                </c:pt>
                <c:pt idx="1491">
                  <c:v>1829111111</c:v>
                </c:pt>
                <c:pt idx="1492">
                  <c:v>1725638889</c:v>
                </c:pt>
                <c:pt idx="1493">
                  <c:v>1717750000</c:v>
                </c:pt>
                <c:pt idx="1494">
                  <c:v>1975377778</c:v>
                </c:pt>
                <c:pt idx="1495">
                  <c:v>1967983333</c:v>
                </c:pt>
                <c:pt idx="1496">
                  <c:v>1905572222</c:v>
                </c:pt>
                <c:pt idx="1497">
                  <c:v>3179955556</c:v>
                </c:pt>
                <c:pt idx="1498">
                  <c:v>2069255556</c:v>
                </c:pt>
                <c:pt idx="1499">
                  <c:v>1871438889</c:v>
                </c:pt>
                <c:pt idx="1500">
                  <c:v>1800572222</c:v>
                </c:pt>
                <c:pt idx="1501">
                  <c:v>1818550000</c:v>
                </c:pt>
                <c:pt idx="1502">
                  <c:v>1333238889</c:v>
                </c:pt>
                <c:pt idx="1503">
                  <c:v>1093766667</c:v>
                </c:pt>
                <c:pt idx="1504">
                  <c:v>1223377778</c:v>
                </c:pt>
                <c:pt idx="1505">
                  <c:v>1196294444</c:v>
                </c:pt>
                <c:pt idx="1506">
                  <c:v>1357494444</c:v>
                </c:pt>
                <c:pt idx="1507">
                  <c:v>1870694444</c:v>
                </c:pt>
                <c:pt idx="1508">
                  <c:v>1965922222</c:v>
                </c:pt>
                <c:pt idx="1509">
                  <c:v>2052922222</c:v>
                </c:pt>
                <c:pt idx="1510">
                  <c:v>1798122222</c:v>
                </c:pt>
                <c:pt idx="1511">
                  <c:v>1801472222</c:v>
                </c:pt>
                <c:pt idx="1512">
                  <c:v>1918600000</c:v>
                </c:pt>
                <c:pt idx="1513">
                  <c:v>1986861111</c:v>
                </c:pt>
                <c:pt idx="1514">
                  <c:v>2022955556</c:v>
                </c:pt>
                <c:pt idx="1515">
                  <c:v>1985538889</c:v>
                </c:pt>
                <c:pt idx="1516">
                  <c:v>2403316667</c:v>
                </c:pt>
                <c:pt idx="1517">
                  <c:v>2098916667</c:v>
                </c:pt>
                <c:pt idx="1518">
                  <c:v>2045261111</c:v>
                </c:pt>
                <c:pt idx="1519">
                  <c:v>2021905556</c:v>
                </c:pt>
                <c:pt idx="1520">
                  <c:v>1928766667</c:v>
                </c:pt>
                <c:pt idx="1521">
                  <c:v>1955361111</c:v>
                </c:pt>
                <c:pt idx="1522">
                  <c:v>2230038889</c:v>
                </c:pt>
                <c:pt idx="1523">
                  <c:v>2130638889</c:v>
                </c:pt>
                <c:pt idx="1524">
                  <c:v>1912905556</c:v>
                </c:pt>
                <c:pt idx="1525">
                  <c:v>1985461111</c:v>
                </c:pt>
                <c:pt idx="1526">
                  <c:v>2217027778</c:v>
                </c:pt>
                <c:pt idx="1527">
                  <c:v>2367377778</c:v>
                </c:pt>
                <c:pt idx="1528">
                  <c:v>2188027778</c:v>
                </c:pt>
                <c:pt idx="1529">
                  <c:v>2389516667</c:v>
                </c:pt>
                <c:pt idx="1530">
                  <c:v>2935255556</c:v>
                </c:pt>
                <c:pt idx="1531">
                  <c:v>3273144444</c:v>
                </c:pt>
                <c:pt idx="1532">
                  <c:v>2570316667</c:v>
                </c:pt>
                <c:pt idx="1533">
                  <c:v>2947466667</c:v>
                </c:pt>
                <c:pt idx="1534">
                  <c:v>3155594444</c:v>
                </c:pt>
                <c:pt idx="1535">
                  <c:v>2253216667</c:v>
                </c:pt>
                <c:pt idx="1536">
                  <c:v>1929372222</c:v>
                </c:pt>
                <c:pt idx="1537">
                  <c:v>2224300000</c:v>
                </c:pt>
                <c:pt idx="1538">
                  <c:v>2047172222</c:v>
                </c:pt>
                <c:pt idx="1539">
                  <c:v>2020811111</c:v>
                </c:pt>
                <c:pt idx="1540">
                  <c:v>2015338889</c:v>
                </c:pt>
                <c:pt idx="1541">
                  <c:v>2099666667</c:v>
                </c:pt>
                <c:pt idx="1542">
                  <c:v>2056261111</c:v>
                </c:pt>
                <c:pt idx="1543">
                  <c:v>1771772222</c:v>
                </c:pt>
                <c:pt idx="1544">
                  <c:v>1902583333</c:v>
                </c:pt>
                <c:pt idx="1545">
                  <c:v>2080600000</c:v>
                </c:pt>
                <c:pt idx="1546">
                  <c:v>2350366667</c:v>
                </c:pt>
                <c:pt idx="1547">
                  <c:v>2502205556</c:v>
                </c:pt>
                <c:pt idx="1548">
                  <c:v>2156916667</c:v>
                </c:pt>
                <c:pt idx="1549">
                  <c:v>2061561111</c:v>
                </c:pt>
                <c:pt idx="1550">
                  <c:v>1872605556</c:v>
                </c:pt>
                <c:pt idx="1551">
                  <c:v>1885150000</c:v>
                </c:pt>
                <c:pt idx="1552">
                  <c:v>1784622222</c:v>
                </c:pt>
                <c:pt idx="1553">
                  <c:v>1868944444</c:v>
                </c:pt>
                <c:pt idx="1554">
                  <c:v>1769455556</c:v>
                </c:pt>
                <c:pt idx="1555">
                  <c:v>1834250000</c:v>
                </c:pt>
                <c:pt idx="1556">
                  <c:v>1884088889</c:v>
                </c:pt>
                <c:pt idx="1557">
                  <c:v>1944627778</c:v>
                </c:pt>
                <c:pt idx="1558">
                  <c:v>2984633333</c:v>
                </c:pt>
                <c:pt idx="1559">
                  <c:v>1834516667</c:v>
                </c:pt>
                <c:pt idx="1560">
                  <c:v>1811683333</c:v>
                </c:pt>
                <c:pt idx="1561">
                  <c:v>1897505556</c:v>
                </c:pt>
                <c:pt idx="1562">
                  <c:v>2077666667</c:v>
                </c:pt>
                <c:pt idx="1563">
                  <c:v>2119488889</c:v>
                </c:pt>
                <c:pt idx="1564">
                  <c:v>1950611111</c:v>
                </c:pt>
                <c:pt idx="1565">
                  <c:v>2059083333</c:v>
                </c:pt>
                <c:pt idx="1566">
                  <c:v>2146944444</c:v>
                </c:pt>
                <c:pt idx="1567">
                  <c:v>1981105556</c:v>
                </c:pt>
                <c:pt idx="1568">
                  <c:v>1999177778</c:v>
                </c:pt>
                <c:pt idx="1569">
                  <c:v>1884894444</c:v>
                </c:pt>
                <c:pt idx="1570">
                  <c:v>1861300000</c:v>
                </c:pt>
                <c:pt idx="1571">
                  <c:v>1766094444</c:v>
                </c:pt>
                <c:pt idx="1572">
                  <c:v>1833166667</c:v>
                </c:pt>
                <c:pt idx="1573">
                  <c:v>1701644444</c:v>
                </c:pt>
                <c:pt idx="1574">
                  <c:v>1968850000</c:v>
                </c:pt>
                <c:pt idx="1575">
                  <c:v>1678200000</c:v>
                </c:pt>
                <c:pt idx="1576">
                  <c:v>1678511111</c:v>
                </c:pt>
                <c:pt idx="1577">
                  <c:v>1644950000</c:v>
                </c:pt>
                <c:pt idx="1578">
                  <c:v>1677611111</c:v>
                </c:pt>
                <c:pt idx="1579">
                  <c:v>1796866667</c:v>
                </c:pt>
                <c:pt idx="1580">
                  <c:v>1879672222</c:v>
                </c:pt>
                <c:pt idx="1581">
                  <c:v>1860761111</c:v>
                </c:pt>
                <c:pt idx="1582">
                  <c:v>1882550000</c:v>
                </c:pt>
                <c:pt idx="1583">
                  <c:v>1676377778</c:v>
                </c:pt>
                <c:pt idx="1584">
                  <c:v>2059300000</c:v>
                </c:pt>
                <c:pt idx="1585">
                  <c:v>1944133333</c:v>
                </c:pt>
                <c:pt idx="1586">
                  <c:v>2036511111</c:v>
                </c:pt>
                <c:pt idx="1587">
                  <c:v>1788350000</c:v>
                </c:pt>
                <c:pt idx="1588">
                  <c:v>2074738889</c:v>
                </c:pt>
                <c:pt idx="1589">
                  <c:v>1977694444</c:v>
                </c:pt>
                <c:pt idx="1590">
                  <c:v>2228205556</c:v>
                </c:pt>
                <c:pt idx="1591">
                  <c:v>2139705556</c:v>
                </c:pt>
                <c:pt idx="1592">
                  <c:v>1848455556</c:v>
                </c:pt>
                <c:pt idx="1593">
                  <c:v>1798866667</c:v>
                </c:pt>
                <c:pt idx="1594">
                  <c:v>2065316667</c:v>
                </c:pt>
                <c:pt idx="1595">
                  <c:v>2171944444</c:v>
                </c:pt>
                <c:pt idx="1596">
                  <c:v>1851694444</c:v>
                </c:pt>
                <c:pt idx="1597">
                  <c:v>1590388889</c:v>
                </c:pt>
                <c:pt idx="1598">
                  <c:v>1651477778</c:v>
                </c:pt>
                <c:pt idx="1599">
                  <c:v>1828155556</c:v>
                </c:pt>
                <c:pt idx="1600">
                  <c:v>1779261111</c:v>
                </c:pt>
                <c:pt idx="1601">
                  <c:v>1930777778</c:v>
                </c:pt>
                <c:pt idx="1602">
                  <c:v>1871494444</c:v>
                </c:pt>
                <c:pt idx="1603">
                  <c:v>1677716667</c:v>
                </c:pt>
                <c:pt idx="1604">
                  <c:v>1870172222</c:v>
                </c:pt>
                <c:pt idx="1605">
                  <c:v>1847938889</c:v>
                </c:pt>
                <c:pt idx="1606">
                  <c:v>1808905556</c:v>
                </c:pt>
                <c:pt idx="1607">
                  <c:v>1664033333</c:v>
                </c:pt>
                <c:pt idx="1608">
                  <c:v>2076050000</c:v>
                </c:pt>
                <c:pt idx="1609">
                  <c:v>1978361111</c:v>
                </c:pt>
                <c:pt idx="1610">
                  <c:v>2352983333</c:v>
                </c:pt>
                <c:pt idx="1611">
                  <c:v>2046738889</c:v>
                </c:pt>
                <c:pt idx="1612">
                  <c:v>1875838889</c:v>
                </c:pt>
                <c:pt idx="1613">
                  <c:v>1954327778</c:v>
                </c:pt>
                <c:pt idx="1614">
                  <c:v>2028688889</c:v>
                </c:pt>
                <c:pt idx="1615">
                  <c:v>2061850000</c:v>
                </c:pt>
                <c:pt idx="1616">
                  <c:v>1735116667</c:v>
                </c:pt>
                <c:pt idx="1617">
                  <c:v>1795738889</c:v>
                </c:pt>
                <c:pt idx="1618">
                  <c:v>1889450000</c:v>
                </c:pt>
                <c:pt idx="1619">
                  <c:v>2099572222</c:v>
                </c:pt>
                <c:pt idx="1620">
                  <c:v>1959383333</c:v>
                </c:pt>
                <c:pt idx="1621">
                  <c:v>3015994444</c:v>
                </c:pt>
                <c:pt idx="1622">
                  <c:v>1826194444</c:v>
                </c:pt>
                <c:pt idx="1623">
                  <c:v>2034150000</c:v>
                </c:pt>
                <c:pt idx="1624">
                  <c:v>1848666667</c:v>
                </c:pt>
                <c:pt idx="1625">
                  <c:v>1833366667</c:v>
                </c:pt>
                <c:pt idx="1626">
                  <c:v>3028083333</c:v>
                </c:pt>
                <c:pt idx="1627">
                  <c:v>2030600000</c:v>
                </c:pt>
                <c:pt idx="1628">
                  <c:v>1975050000</c:v>
                </c:pt>
                <c:pt idx="1629">
                  <c:v>2097827778</c:v>
                </c:pt>
                <c:pt idx="1630">
                  <c:v>1904522222</c:v>
                </c:pt>
                <c:pt idx="1631">
                  <c:v>1980900000</c:v>
                </c:pt>
                <c:pt idx="1632">
                  <c:v>1707583333</c:v>
                </c:pt>
                <c:pt idx="1633">
                  <c:v>1061927778</c:v>
                </c:pt>
                <c:pt idx="1634">
                  <c:v>1640788889</c:v>
                </c:pt>
                <c:pt idx="1635">
                  <c:v>1419322222</c:v>
                </c:pt>
                <c:pt idx="1636">
                  <c:v>1694466667</c:v>
                </c:pt>
                <c:pt idx="1637">
                  <c:v>1702138889</c:v>
                </c:pt>
                <c:pt idx="1638">
                  <c:v>1647077778</c:v>
                </c:pt>
                <c:pt idx="1639">
                  <c:v>1567605556</c:v>
                </c:pt>
                <c:pt idx="1640">
                  <c:v>1452222222</c:v>
                </c:pt>
                <c:pt idx="1641">
                  <c:v>1562350000</c:v>
                </c:pt>
                <c:pt idx="1642">
                  <c:v>1694850000</c:v>
                </c:pt>
                <c:pt idx="1643">
                  <c:v>1716544444</c:v>
                </c:pt>
                <c:pt idx="1644">
                  <c:v>1814833333</c:v>
                </c:pt>
                <c:pt idx="1645">
                  <c:v>1794561111</c:v>
                </c:pt>
                <c:pt idx="1646">
                  <c:v>1615238889</c:v>
                </c:pt>
                <c:pt idx="1647">
                  <c:v>1898627778</c:v>
                </c:pt>
                <c:pt idx="1648">
                  <c:v>1973894444</c:v>
                </c:pt>
                <c:pt idx="1649">
                  <c:v>2029627778</c:v>
                </c:pt>
                <c:pt idx="1650">
                  <c:v>1897616667</c:v>
                </c:pt>
                <c:pt idx="1651">
                  <c:v>1803205556</c:v>
                </c:pt>
                <c:pt idx="1652">
                  <c:v>2162277778</c:v>
                </c:pt>
                <c:pt idx="1653">
                  <c:v>1942772222</c:v>
                </c:pt>
                <c:pt idx="1654">
                  <c:v>1926322222</c:v>
                </c:pt>
                <c:pt idx="1655">
                  <c:v>1683550000</c:v>
                </c:pt>
                <c:pt idx="1656">
                  <c:v>1596966667</c:v>
                </c:pt>
                <c:pt idx="1657">
                  <c:v>1757094444</c:v>
                </c:pt>
                <c:pt idx="1658">
                  <c:v>1651222222</c:v>
                </c:pt>
                <c:pt idx="1659">
                  <c:v>1692805556</c:v>
                </c:pt>
                <c:pt idx="1660">
                  <c:v>1808911111</c:v>
                </c:pt>
                <c:pt idx="1661">
                  <c:v>1754694444</c:v>
                </c:pt>
                <c:pt idx="1662">
                  <c:v>1653872222</c:v>
                </c:pt>
                <c:pt idx="1663">
                  <c:v>2025038889</c:v>
                </c:pt>
                <c:pt idx="1664">
                  <c:v>1788822222</c:v>
                </c:pt>
                <c:pt idx="1665">
                  <c:v>1680055556</c:v>
                </c:pt>
                <c:pt idx="1666">
                  <c:v>1526677778</c:v>
                </c:pt>
                <c:pt idx="1667">
                  <c:v>1748411111</c:v>
                </c:pt>
                <c:pt idx="1668">
                  <c:v>1494200000</c:v>
                </c:pt>
                <c:pt idx="1669">
                  <c:v>1507727778</c:v>
                </c:pt>
                <c:pt idx="1670">
                  <c:v>1442327778</c:v>
                </c:pt>
                <c:pt idx="1671">
                  <c:v>1585600000</c:v>
                </c:pt>
                <c:pt idx="1672">
                  <c:v>1490661111</c:v>
                </c:pt>
                <c:pt idx="1673">
                  <c:v>1551033333</c:v>
                </c:pt>
                <c:pt idx="1674">
                  <c:v>1556766667</c:v>
                </c:pt>
                <c:pt idx="1675">
                  <c:v>1600144444</c:v>
                </c:pt>
                <c:pt idx="1676">
                  <c:v>1709477778</c:v>
                </c:pt>
                <c:pt idx="1677">
                  <c:v>1800694444</c:v>
                </c:pt>
                <c:pt idx="1678">
                  <c:v>1744216667</c:v>
                </c:pt>
                <c:pt idx="1679">
                  <c:v>1636816667</c:v>
                </c:pt>
                <c:pt idx="1680">
                  <c:v>1517444444</c:v>
                </c:pt>
                <c:pt idx="1681">
                  <c:v>1610922222</c:v>
                </c:pt>
                <c:pt idx="1682">
                  <c:v>1813850000</c:v>
                </c:pt>
                <c:pt idx="1683">
                  <c:v>1808294444</c:v>
                </c:pt>
                <c:pt idx="1684">
                  <c:v>1749888889</c:v>
                </c:pt>
                <c:pt idx="1685">
                  <c:v>1637644444</c:v>
                </c:pt>
                <c:pt idx="1686">
                  <c:v>1708116667</c:v>
                </c:pt>
                <c:pt idx="1687">
                  <c:v>1822233333</c:v>
                </c:pt>
                <c:pt idx="1688">
                  <c:v>1854294444</c:v>
                </c:pt>
                <c:pt idx="1689">
                  <c:v>3115338889</c:v>
                </c:pt>
                <c:pt idx="1690">
                  <c:v>1873450000</c:v>
                </c:pt>
                <c:pt idx="1691">
                  <c:v>1825266667</c:v>
                </c:pt>
                <c:pt idx="1692">
                  <c:v>1882566667</c:v>
                </c:pt>
                <c:pt idx="1693">
                  <c:v>1700472222</c:v>
                </c:pt>
                <c:pt idx="1694">
                  <c:v>1906833333</c:v>
                </c:pt>
                <c:pt idx="1695">
                  <c:v>1868994444</c:v>
                </c:pt>
                <c:pt idx="1696">
                  <c:v>1889933333</c:v>
                </c:pt>
                <c:pt idx="1697">
                  <c:v>1999283333</c:v>
                </c:pt>
                <c:pt idx="1698">
                  <c:v>1942700000</c:v>
                </c:pt>
                <c:pt idx="1699">
                  <c:v>1849433333</c:v>
                </c:pt>
                <c:pt idx="1700">
                  <c:v>1850177778</c:v>
                </c:pt>
                <c:pt idx="1701">
                  <c:v>1955833333</c:v>
                </c:pt>
                <c:pt idx="1702">
                  <c:v>2500694444</c:v>
                </c:pt>
                <c:pt idx="1703">
                  <c:v>2717016667</c:v>
                </c:pt>
                <c:pt idx="1704">
                  <c:v>2203355556</c:v>
                </c:pt>
                <c:pt idx="1705">
                  <c:v>1833411111</c:v>
                </c:pt>
                <c:pt idx="1706">
                  <c:v>1904633333</c:v>
                </c:pt>
                <c:pt idx="1707">
                  <c:v>1845394444</c:v>
                </c:pt>
                <c:pt idx="1708">
                  <c:v>2009133333</c:v>
                </c:pt>
                <c:pt idx="1709">
                  <c:v>1981383333</c:v>
                </c:pt>
                <c:pt idx="1710">
                  <c:v>1837300000</c:v>
                </c:pt>
                <c:pt idx="1711">
                  <c:v>2415877778</c:v>
                </c:pt>
                <c:pt idx="1712">
                  <c:v>2616283333</c:v>
                </c:pt>
                <c:pt idx="1713">
                  <c:v>2574872222</c:v>
                </c:pt>
                <c:pt idx="1714">
                  <c:v>2668416667</c:v>
                </c:pt>
                <c:pt idx="1715">
                  <c:v>2596500000</c:v>
                </c:pt>
                <c:pt idx="1716">
                  <c:v>2836877778</c:v>
                </c:pt>
                <c:pt idx="1717">
                  <c:v>2840233333</c:v>
                </c:pt>
                <c:pt idx="1718">
                  <c:v>2615788889</c:v>
                </c:pt>
                <c:pt idx="1719">
                  <c:v>2354405556</c:v>
                </c:pt>
                <c:pt idx="1720">
                  <c:v>2012955556</c:v>
                </c:pt>
                <c:pt idx="1721">
                  <c:v>1950477778</c:v>
                </c:pt>
                <c:pt idx="1722">
                  <c:v>2174861111</c:v>
                </c:pt>
                <c:pt idx="1723">
                  <c:v>2016938889</c:v>
                </c:pt>
                <c:pt idx="1724">
                  <c:v>2232827778</c:v>
                </c:pt>
                <c:pt idx="1725">
                  <c:v>2039405556</c:v>
                </c:pt>
                <c:pt idx="1726">
                  <c:v>2273022222</c:v>
                </c:pt>
                <c:pt idx="1727">
                  <c:v>2445761111</c:v>
                </c:pt>
                <c:pt idx="1728">
                  <c:v>2321744444</c:v>
                </c:pt>
                <c:pt idx="1729">
                  <c:v>2208433333</c:v>
                </c:pt>
                <c:pt idx="1730">
                  <c:v>2096055556</c:v>
                </c:pt>
                <c:pt idx="1731">
                  <c:v>2421055556</c:v>
                </c:pt>
                <c:pt idx="1732">
                  <c:v>1796416667</c:v>
                </c:pt>
                <c:pt idx="1733">
                  <c:v>917583333</c:v>
                </c:pt>
                <c:pt idx="1734">
                  <c:v>1913305556</c:v>
                </c:pt>
                <c:pt idx="1735">
                  <c:v>1936233333</c:v>
                </c:pt>
                <c:pt idx="1736">
                  <c:v>2195372222</c:v>
                </c:pt>
                <c:pt idx="1737">
                  <c:v>1978205556</c:v>
                </c:pt>
                <c:pt idx="1738">
                  <c:v>2588100000</c:v>
                </c:pt>
                <c:pt idx="1739">
                  <c:v>2325588889</c:v>
                </c:pt>
                <c:pt idx="1740">
                  <c:v>2499911111</c:v>
                </c:pt>
                <c:pt idx="1741">
                  <c:v>2856372222</c:v>
                </c:pt>
                <c:pt idx="1742">
                  <c:v>2342605556</c:v>
                </c:pt>
                <c:pt idx="1743">
                  <c:v>2306127778</c:v>
                </c:pt>
                <c:pt idx="1744">
                  <c:v>2169927778</c:v>
                </c:pt>
                <c:pt idx="1745">
                  <c:v>2199383333</c:v>
                </c:pt>
                <c:pt idx="1746">
                  <c:v>2182066667</c:v>
                </c:pt>
                <c:pt idx="1747">
                  <c:v>2241677778</c:v>
                </c:pt>
                <c:pt idx="1748">
                  <c:v>2564638889</c:v>
                </c:pt>
                <c:pt idx="1749">
                  <c:v>2483822222</c:v>
                </c:pt>
                <c:pt idx="1750">
                  <c:v>2848855556</c:v>
                </c:pt>
                <c:pt idx="1751">
                  <c:v>3103211111</c:v>
                </c:pt>
                <c:pt idx="1752">
                  <c:v>4227227778</c:v>
                </c:pt>
                <c:pt idx="1753">
                  <c:v>1452183333</c:v>
                </c:pt>
                <c:pt idx="1754">
                  <c:v>2352216667</c:v>
                </c:pt>
                <c:pt idx="1755">
                  <c:v>2275894444</c:v>
                </c:pt>
                <c:pt idx="1756">
                  <c:v>2057011111</c:v>
                </c:pt>
                <c:pt idx="1757">
                  <c:v>1912705556</c:v>
                </c:pt>
                <c:pt idx="1758">
                  <c:v>2073977778</c:v>
                </c:pt>
                <c:pt idx="1759">
                  <c:v>2123811111</c:v>
                </c:pt>
                <c:pt idx="1760">
                  <c:v>2340783333</c:v>
                </c:pt>
                <c:pt idx="1761">
                  <c:v>2280394444</c:v>
                </c:pt>
                <c:pt idx="1762">
                  <c:v>2268350000</c:v>
                </c:pt>
                <c:pt idx="1763">
                  <c:v>2251377778</c:v>
                </c:pt>
                <c:pt idx="1764">
                  <c:v>2058055556</c:v>
                </c:pt>
                <c:pt idx="1765">
                  <c:v>1908050000</c:v>
                </c:pt>
                <c:pt idx="1766">
                  <c:v>2035805556</c:v>
                </c:pt>
                <c:pt idx="1767">
                  <c:v>1984627778</c:v>
                </c:pt>
                <c:pt idx="1768">
                  <c:v>2146538889</c:v>
                </c:pt>
                <c:pt idx="1769">
                  <c:v>2095705556</c:v>
                </c:pt>
                <c:pt idx="1770">
                  <c:v>2214850000</c:v>
                </c:pt>
                <c:pt idx="1771">
                  <c:v>2171127778</c:v>
                </c:pt>
                <c:pt idx="1772">
                  <c:v>1853116667</c:v>
                </c:pt>
                <c:pt idx="1773">
                  <c:v>1907361111</c:v>
                </c:pt>
                <c:pt idx="1774">
                  <c:v>2118933333</c:v>
                </c:pt>
                <c:pt idx="1775">
                  <c:v>2007116667</c:v>
                </c:pt>
                <c:pt idx="1776">
                  <c:v>1946777778</c:v>
                </c:pt>
                <c:pt idx="1777">
                  <c:v>2148783333</c:v>
                </c:pt>
                <c:pt idx="1778">
                  <c:v>2732027778</c:v>
                </c:pt>
                <c:pt idx="1779">
                  <c:v>2088483333</c:v>
                </c:pt>
                <c:pt idx="1780">
                  <c:v>1866577778</c:v>
                </c:pt>
                <c:pt idx="1781">
                  <c:v>1978016667</c:v>
                </c:pt>
                <c:pt idx="1782">
                  <c:v>1929272222</c:v>
                </c:pt>
                <c:pt idx="1783">
                  <c:v>2277494444</c:v>
                </c:pt>
                <c:pt idx="1784">
                  <c:v>2012405556</c:v>
                </c:pt>
                <c:pt idx="1785">
                  <c:v>1867761111</c:v>
                </c:pt>
                <c:pt idx="1786">
                  <c:v>2126538889</c:v>
                </c:pt>
                <c:pt idx="1787">
                  <c:v>2039316667</c:v>
                </c:pt>
                <c:pt idx="1788">
                  <c:v>2131500000</c:v>
                </c:pt>
                <c:pt idx="1789">
                  <c:v>2022983333</c:v>
                </c:pt>
                <c:pt idx="1790">
                  <c:v>1963172222</c:v>
                </c:pt>
                <c:pt idx="1791">
                  <c:v>2130805556</c:v>
                </c:pt>
                <c:pt idx="1792">
                  <c:v>1977616667</c:v>
                </c:pt>
                <c:pt idx="1793">
                  <c:v>1904338889</c:v>
                </c:pt>
                <c:pt idx="1794">
                  <c:v>2113544444</c:v>
                </c:pt>
                <c:pt idx="1795">
                  <c:v>2025377778</c:v>
                </c:pt>
                <c:pt idx="1796">
                  <c:v>2092850000</c:v>
                </c:pt>
                <c:pt idx="1797">
                  <c:v>2442738889</c:v>
                </c:pt>
                <c:pt idx="1798">
                  <c:v>2206822222</c:v>
                </c:pt>
                <c:pt idx="1799">
                  <c:v>2177672222</c:v>
                </c:pt>
                <c:pt idx="1800">
                  <c:v>1992050000</c:v>
                </c:pt>
                <c:pt idx="1801">
                  <c:v>2103666667</c:v>
                </c:pt>
                <c:pt idx="1802">
                  <c:v>2169366667</c:v>
                </c:pt>
                <c:pt idx="1803">
                  <c:v>1901738889</c:v>
                </c:pt>
                <c:pt idx="1804">
                  <c:v>2082794444</c:v>
                </c:pt>
                <c:pt idx="1805">
                  <c:v>1896794444</c:v>
                </c:pt>
                <c:pt idx="1806">
                  <c:v>2092305556</c:v>
                </c:pt>
                <c:pt idx="1807">
                  <c:v>1927627778</c:v>
                </c:pt>
                <c:pt idx="1808">
                  <c:v>3312627778</c:v>
                </c:pt>
                <c:pt idx="1809">
                  <c:v>1973438889</c:v>
                </c:pt>
                <c:pt idx="1810">
                  <c:v>2011233333</c:v>
                </c:pt>
                <c:pt idx="1811">
                  <c:v>2095111111</c:v>
                </c:pt>
                <c:pt idx="1812">
                  <c:v>1970444444</c:v>
                </c:pt>
                <c:pt idx="1813">
                  <c:v>2354000000</c:v>
                </c:pt>
                <c:pt idx="1814">
                  <c:v>1875877778</c:v>
                </c:pt>
                <c:pt idx="1815">
                  <c:v>1814472222</c:v>
                </c:pt>
                <c:pt idx="1816">
                  <c:v>1873850000</c:v>
                </c:pt>
                <c:pt idx="1817">
                  <c:v>1754538889</c:v>
                </c:pt>
                <c:pt idx="1818">
                  <c:v>2078166667</c:v>
                </c:pt>
                <c:pt idx="1819">
                  <c:v>1944866667</c:v>
                </c:pt>
                <c:pt idx="1820">
                  <c:v>1803833333</c:v>
                </c:pt>
                <c:pt idx="1821">
                  <c:v>1972355556</c:v>
                </c:pt>
                <c:pt idx="1822">
                  <c:v>1675100000</c:v>
                </c:pt>
                <c:pt idx="1823">
                  <c:v>1748233333</c:v>
                </c:pt>
                <c:pt idx="1824">
                  <c:v>1696683333</c:v>
                </c:pt>
                <c:pt idx="1825">
                  <c:v>1671100000</c:v>
                </c:pt>
                <c:pt idx="1826">
                  <c:v>1701322222</c:v>
                </c:pt>
                <c:pt idx="1827">
                  <c:v>1632522222</c:v>
                </c:pt>
                <c:pt idx="1828">
                  <c:v>2049161111</c:v>
                </c:pt>
                <c:pt idx="1829">
                  <c:v>1715738889</c:v>
                </c:pt>
                <c:pt idx="1830">
                  <c:v>1890116667</c:v>
                </c:pt>
                <c:pt idx="1831">
                  <c:v>2001277778</c:v>
                </c:pt>
                <c:pt idx="1832">
                  <c:v>1948250000</c:v>
                </c:pt>
                <c:pt idx="1833">
                  <c:v>1665527778</c:v>
                </c:pt>
                <c:pt idx="1834">
                  <c:v>2019461111</c:v>
                </c:pt>
                <c:pt idx="1835">
                  <c:v>1916088889</c:v>
                </c:pt>
                <c:pt idx="1836">
                  <c:v>1902933333</c:v>
                </c:pt>
                <c:pt idx="1837">
                  <c:v>1804722222</c:v>
                </c:pt>
                <c:pt idx="1838">
                  <c:v>1732655556</c:v>
                </c:pt>
                <c:pt idx="1839">
                  <c:v>2177405556</c:v>
                </c:pt>
                <c:pt idx="1840">
                  <c:v>2025472222</c:v>
                </c:pt>
                <c:pt idx="1841">
                  <c:v>2099383333</c:v>
                </c:pt>
                <c:pt idx="1842">
                  <c:v>1854511111</c:v>
                </c:pt>
                <c:pt idx="1843">
                  <c:v>1767511111</c:v>
                </c:pt>
                <c:pt idx="1844">
                  <c:v>2092833333</c:v>
                </c:pt>
                <c:pt idx="1845">
                  <c:v>1936550000</c:v>
                </c:pt>
                <c:pt idx="1846">
                  <c:v>2021566667</c:v>
                </c:pt>
                <c:pt idx="1847">
                  <c:v>1960888889</c:v>
                </c:pt>
                <c:pt idx="1848">
                  <c:v>2163350000</c:v>
                </c:pt>
                <c:pt idx="1849">
                  <c:v>1845955556</c:v>
                </c:pt>
                <c:pt idx="1850">
                  <c:v>1736638889</c:v>
                </c:pt>
                <c:pt idx="1851">
                  <c:v>1854477778</c:v>
                </c:pt>
                <c:pt idx="1852">
                  <c:v>1809972222</c:v>
                </c:pt>
                <c:pt idx="1853">
                  <c:v>1827150000</c:v>
                </c:pt>
                <c:pt idx="1854">
                  <c:v>1788166667</c:v>
                </c:pt>
                <c:pt idx="1855">
                  <c:v>1773616667</c:v>
                </c:pt>
                <c:pt idx="1856">
                  <c:v>2162211111</c:v>
                </c:pt>
                <c:pt idx="1857">
                  <c:v>1604105556</c:v>
                </c:pt>
                <c:pt idx="1858">
                  <c:v>2289672222</c:v>
                </c:pt>
                <c:pt idx="1859">
                  <c:v>2055583333</c:v>
                </c:pt>
                <c:pt idx="1860">
                  <c:v>1818772222</c:v>
                </c:pt>
                <c:pt idx="1861">
                  <c:v>2211677778</c:v>
                </c:pt>
                <c:pt idx="1862">
                  <c:v>2191005556</c:v>
                </c:pt>
                <c:pt idx="1863">
                  <c:v>2116905556</c:v>
                </c:pt>
                <c:pt idx="1864">
                  <c:v>1971572222</c:v>
                </c:pt>
                <c:pt idx="1865">
                  <c:v>1886894444</c:v>
                </c:pt>
                <c:pt idx="1866">
                  <c:v>1789027778</c:v>
                </c:pt>
                <c:pt idx="1867">
                  <c:v>1782894444</c:v>
                </c:pt>
                <c:pt idx="1868">
                  <c:v>1971344444</c:v>
                </c:pt>
                <c:pt idx="1869">
                  <c:v>1685627778</c:v>
                </c:pt>
                <c:pt idx="1870">
                  <c:v>1705450000</c:v>
                </c:pt>
                <c:pt idx="1871">
                  <c:v>1623516667</c:v>
                </c:pt>
                <c:pt idx="1872">
                  <c:v>1561188889</c:v>
                </c:pt>
                <c:pt idx="1873">
                  <c:v>1909788889</c:v>
                </c:pt>
                <c:pt idx="1874">
                  <c:v>1826605556</c:v>
                </c:pt>
                <c:pt idx="1875">
                  <c:v>2169966667</c:v>
                </c:pt>
                <c:pt idx="1876">
                  <c:v>2777844444</c:v>
                </c:pt>
                <c:pt idx="1877">
                  <c:v>1742361111</c:v>
                </c:pt>
                <c:pt idx="1878">
                  <c:v>1987805556</c:v>
                </c:pt>
                <c:pt idx="1879">
                  <c:v>1932294444</c:v>
                </c:pt>
                <c:pt idx="1880">
                  <c:v>1734955556</c:v>
                </c:pt>
                <c:pt idx="1881">
                  <c:v>3011500000</c:v>
                </c:pt>
                <c:pt idx="1882">
                  <c:v>1951816667</c:v>
                </c:pt>
                <c:pt idx="1883">
                  <c:v>1781577778</c:v>
                </c:pt>
                <c:pt idx="1884">
                  <c:v>1090955556</c:v>
                </c:pt>
                <c:pt idx="1885">
                  <c:v>1352338889</c:v>
                </c:pt>
                <c:pt idx="1886">
                  <c:v>1613638889</c:v>
                </c:pt>
                <c:pt idx="1887">
                  <c:v>1682338889</c:v>
                </c:pt>
                <c:pt idx="1888">
                  <c:v>1752355556</c:v>
                </c:pt>
                <c:pt idx="1889">
                  <c:v>1752566667</c:v>
                </c:pt>
                <c:pt idx="1890">
                  <c:v>1652755556</c:v>
                </c:pt>
                <c:pt idx="1891">
                  <c:v>1597205556</c:v>
                </c:pt>
                <c:pt idx="1892">
                  <c:v>1828138889</c:v>
                </c:pt>
                <c:pt idx="1893">
                  <c:v>1767555556</c:v>
                </c:pt>
                <c:pt idx="1894">
                  <c:v>1831433333</c:v>
                </c:pt>
                <c:pt idx="1895">
                  <c:v>1811311111</c:v>
                </c:pt>
                <c:pt idx="1896">
                  <c:v>1668733333</c:v>
                </c:pt>
                <c:pt idx="1897">
                  <c:v>1840922222</c:v>
                </c:pt>
                <c:pt idx="1898">
                  <c:v>1904988889</c:v>
                </c:pt>
                <c:pt idx="1899">
                  <c:v>2025150000</c:v>
                </c:pt>
                <c:pt idx="1900">
                  <c:v>1809772222</c:v>
                </c:pt>
                <c:pt idx="1901">
                  <c:v>1779838889</c:v>
                </c:pt>
                <c:pt idx="1902">
                  <c:v>2019072222</c:v>
                </c:pt>
                <c:pt idx="1903">
                  <c:v>2568572222</c:v>
                </c:pt>
                <c:pt idx="1904">
                  <c:v>2645722222</c:v>
                </c:pt>
                <c:pt idx="1905">
                  <c:v>2152588889</c:v>
                </c:pt>
                <c:pt idx="1906">
                  <c:v>2507627778</c:v>
                </c:pt>
                <c:pt idx="1907">
                  <c:v>2307911111</c:v>
                </c:pt>
                <c:pt idx="1908">
                  <c:v>2495416667</c:v>
                </c:pt>
                <c:pt idx="1909">
                  <c:v>2281316667</c:v>
                </c:pt>
                <c:pt idx="1910">
                  <c:v>1861466667</c:v>
                </c:pt>
                <c:pt idx="1911">
                  <c:v>1584238889</c:v>
                </c:pt>
                <c:pt idx="1912">
                  <c:v>2140888889</c:v>
                </c:pt>
                <c:pt idx="1913">
                  <c:v>2395850000</c:v>
                </c:pt>
                <c:pt idx="1914">
                  <c:v>2243333333</c:v>
                </c:pt>
                <c:pt idx="1915">
                  <c:v>1943416667</c:v>
                </c:pt>
                <c:pt idx="1916">
                  <c:v>1784933333</c:v>
                </c:pt>
                <c:pt idx="1917">
                  <c:v>1703500000</c:v>
                </c:pt>
                <c:pt idx="1918">
                  <c:v>1672883333</c:v>
                </c:pt>
                <c:pt idx="1919">
                  <c:v>1606044444</c:v>
                </c:pt>
                <c:pt idx="1920">
                  <c:v>2187388889</c:v>
                </c:pt>
                <c:pt idx="1921">
                  <c:v>1587555556</c:v>
                </c:pt>
                <c:pt idx="1922">
                  <c:v>1963127778</c:v>
                </c:pt>
                <c:pt idx="1923">
                  <c:v>1720788889</c:v>
                </c:pt>
                <c:pt idx="1924">
                  <c:v>1764550000</c:v>
                </c:pt>
                <c:pt idx="1925">
                  <c:v>1671361111</c:v>
                </c:pt>
                <c:pt idx="1926">
                  <c:v>1903772222</c:v>
                </c:pt>
                <c:pt idx="1927">
                  <c:v>1757366667</c:v>
                </c:pt>
                <c:pt idx="1928">
                  <c:v>2161500000</c:v>
                </c:pt>
                <c:pt idx="1929">
                  <c:v>1782377778</c:v>
                </c:pt>
                <c:pt idx="1930">
                  <c:v>2223827778</c:v>
                </c:pt>
                <c:pt idx="1931">
                  <c:v>2439316667</c:v>
                </c:pt>
                <c:pt idx="1932">
                  <c:v>2181972222</c:v>
                </c:pt>
                <c:pt idx="1933">
                  <c:v>2106588889</c:v>
                </c:pt>
                <c:pt idx="1934">
                  <c:v>1955588889</c:v>
                </c:pt>
                <c:pt idx="1935">
                  <c:v>2374800000</c:v>
                </c:pt>
                <c:pt idx="1936">
                  <c:v>2039911111</c:v>
                </c:pt>
                <c:pt idx="1937">
                  <c:v>1908633333</c:v>
                </c:pt>
                <c:pt idx="1938">
                  <c:v>1806272222</c:v>
                </c:pt>
                <c:pt idx="1939">
                  <c:v>3385966667</c:v>
                </c:pt>
                <c:pt idx="1940">
                  <c:v>1770327778</c:v>
                </c:pt>
                <c:pt idx="1941">
                  <c:v>2148977778</c:v>
                </c:pt>
                <c:pt idx="1942">
                  <c:v>1843816667</c:v>
                </c:pt>
                <c:pt idx="1943">
                  <c:v>1709577778</c:v>
                </c:pt>
                <c:pt idx="1944">
                  <c:v>1802027778</c:v>
                </c:pt>
                <c:pt idx="1945">
                  <c:v>1804227778</c:v>
                </c:pt>
                <c:pt idx="1946">
                  <c:v>1976688889</c:v>
                </c:pt>
                <c:pt idx="1947">
                  <c:v>2173622222</c:v>
                </c:pt>
                <c:pt idx="1948">
                  <c:v>1946466667</c:v>
                </c:pt>
                <c:pt idx="1949">
                  <c:v>1661572222</c:v>
                </c:pt>
                <c:pt idx="1950">
                  <c:v>1633411111</c:v>
                </c:pt>
                <c:pt idx="1951">
                  <c:v>1864694444</c:v>
                </c:pt>
                <c:pt idx="1952">
                  <c:v>1514900000</c:v>
                </c:pt>
                <c:pt idx="1953">
                  <c:v>1787361111</c:v>
                </c:pt>
                <c:pt idx="1954">
                  <c:v>1989144444</c:v>
                </c:pt>
                <c:pt idx="1955">
                  <c:v>1420566667</c:v>
                </c:pt>
                <c:pt idx="1956">
                  <c:v>1855966667</c:v>
                </c:pt>
                <c:pt idx="1957">
                  <c:v>1790316667</c:v>
                </c:pt>
                <c:pt idx="1958">
                  <c:v>1731088889</c:v>
                </c:pt>
                <c:pt idx="1959">
                  <c:v>1813494444</c:v>
                </c:pt>
                <c:pt idx="1960">
                  <c:v>1817566667</c:v>
                </c:pt>
                <c:pt idx="1961">
                  <c:v>1957716667</c:v>
                </c:pt>
                <c:pt idx="1962">
                  <c:v>1884927778</c:v>
                </c:pt>
                <c:pt idx="1963">
                  <c:v>2051444444</c:v>
                </c:pt>
                <c:pt idx="1964">
                  <c:v>1872427778</c:v>
                </c:pt>
                <c:pt idx="1965">
                  <c:v>1956238889</c:v>
                </c:pt>
                <c:pt idx="1966">
                  <c:v>1994405556</c:v>
                </c:pt>
                <c:pt idx="1967">
                  <c:v>2097794444</c:v>
                </c:pt>
                <c:pt idx="1968">
                  <c:v>2299600000</c:v>
                </c:pt>
                <c:pt idx="1969">
                  <c:v>2183444444</c:v>
                </c:pt>
                <c:pt idx="1970">
                  <c:v>2303805556</c:v>
                </c:pt>
                <c:pt idx="1971">
                  <c:v>2492294444</c:v>
                </c:pt>
                <c:pt idx="1972">
                  <c:v>2476772222</c:v>
                </c:pt>
                <c:pt idx="1973">
                  <c:v>2302577778</c:v>
                </c:pt>
                <c:pt idx="1974">
                  <c:v>1943972222</c:v>
                </c:pt>
                <c:pt idx="1975">
                  <c:v>1686405556</c:v>
                </c:pt>
                <c:pt idx="1976">
                  <c:v>1925561111</c:v>
                </c:pt>
                <c:pt idx="1977">
                  <c:v>1949600000</c:v>
                </c:pt>
                <c:pt idx="1978">
                  <c:v>1820038889</c:v>
                </c:pt>
                <c:pt idx="1979">
                  <c:v>1853138889</c:v>
                </c:pt>
                <c:pt idx="1980">
                  <c:v>1909272222</c:v>
                </c:pt>
                <c:pt idx="1981">
                  <c:v>1994483333</c:v>
                </c:pt>
                <c:pt idx="1982">
                  <c:v>2241605556</c:v>
                </c:pt>
                <c:pt idx="1983">
                  <c:v>2066977778</c:v>
                </c:pt>
                <c:pt idx="1984">
                  <c:v>1792655556</c:v>
                </c:pt>
                <c:pt idx="1985">
                  <c:v>1950850000</c:v>
                </c:pt>
                <c:pt idx="1986">
                  <c:v>2553105556</c:v>
                </c:pt>
                <c:pt idx="1987">
                  <c:v>1685050000</c:v>
                </c:pt>
                <c:pt idx="1988">
                  <c:v>968344444</c:v>
                </c:pt>
                <c:pt idx="1989">
                  <c:v>1815966667</c:v>
                </c:pt>
                <c:pt idx="1990">
                  <c:v>2029661111</c:v>
                </c:pt>
                <c:pt idx="1991">
                  <c:v>2052794444</c:v>
                </c:pt>
                <c:pt idx="1992">
                  <c:v>1864305556</c:v>
                </c:pt>
                <c:pt idx="1993">
                  <c:v>1933044444</c:v>
                </c:pt>
                <c:pt idx="1994">
                  <c:v>1858883333</c:v>
                </c:pt>
                <c:pt idx="1995">
                  <c:v>1857661111</c:v>
                </c:pt>
                <c:pt idx="1996">
                  <c:v>1806966667</c:v>
                </c:pt>
                <c:pt idx="1997">
                  <c:v>2217050000</c:v>
                </c:pt>
                <c:pt idx="1998">
                  <c:v>2076038889</c:v>
                </c:pt>
                <c:pt idx="1999">
                  <c:v>2250994444</c:v>
                </c:pt>
                <c:pt idx="2000">
                  <c:v>2131966667</c:v>
                </c:pt>
                <c:pt idx="2001">
                  <c:v>2230044444</c:v>
                </c:pt>
                <c:pt idx="2002">
                  <c:v>2066916667</c:v>
                </c:pt>
                <c:pt idx="2003">
                  <c:v>3585705556</c:v>
                </c:pt>
                <c:pt idx="2004">
                  <c:v>1700338889</c:v>
                </c:pt>
                <c:pt idx="2005">
                  <c:v>720300000</c:v>
                </c:pt>
                <c:pt idx="2006">
                  <c:v>1200377778</c:v>
                </c:pt>
                <c:pt idx="2007">
                  <c:v>1349261111</c:v>
                </c:pt>
                <c:pt idx="2008">
                  <c:v>1674050000</c:v>
                </c:pt>
                <c:pt idx="2009">
                  <c:v>1607672222</c:v>
                </c:pt>
                <c:pt idx="2010">
                  <c:v>1921250000</c:v>
                </c:pt>
                <c:pt idx="2011">
                  <c:v>1922938889</c:v>
                </c:pt>
                <c:pt idx="2012">
                  <c:v>2041150000</c:v>
                </c:pt>
                <c:pt idx="2013">
                  <c:v>1900211111</c:v>
                </c:pt>
                <c:pt idx="2014">
                  <c:v>2067161111</c:v>
                </c:pt>
                <c:pt idx="2015">
                  <c:v>2021327778</c:v>
                </c:pt>
                <c:pt idx="2016">
                  <c:v>1784983333</c:v>
                </c:pt>
                <c:pt idx="2017">
                  <c:v>1920211111</c:v>
                </c:pt>
                <c:pt idx="2018">
                  <c:v>2036183333</c:v>
                </c:pt>
                <c:pt idx="2019">
                  <c:v>2064911111</c:v>
                </c:pt>
                <c:pt idx="2020">
                  <c:v>1963933333</c:v>
                </c:pt>
                <c:pt idx="2021">
                  <c:v>2054538889</c:v>
                </c:pt>
                <c:pt idx="2022">
                  <c:v>2280744444</c:v>
                </c:pt>
                <c:pt idx="2023">
                  <c:v>2011027778</c:v>
                </c:pt>
                <c:pt idx="2024">
                  <c:v>2091588889</c:v>
                </c:pt>
                <c:pt idx="2025">
                  <c:v>2059516667</c:v>
                </c:pt>
                <c:pt idx="2026">
                  <c:v>2123944444</c:v>
                </c:pt>
                <c:pt idx="2027">
                  <c:v>1959288889</c:v>
                </c:pt>
                <c:pt idx="2028">
                  <c:v>1991388889</c:v>
                </c:pt>
                <c:pt idx="2029">
                  <c:v>2104027778</c:v>
                </c:pt>
                <c:pt idx="2030">
                  <c:v>2515461111</c:v>
                </c:pt>
                <c:pt idx="2031">
                  <c:v>2087727778</c:v>
                </c:pt>
                <c:pt idx="2032">
                  <c:v>2219622222</c:v>
                </c:pt>
                <c:pt idx="2033">
                  <c:v>2287627778</c:v>
                </c:pt>
                <c:pt idx="2034">
                  <c:v>2149094444</c:v>
                </c:pt>
                <c:pt idx="2035">
                  <c:v>2072583333</c:v>
                </c:pt>
                <c:pt idx="2036">
                  <c:v>1916861111</c:v>
                </c:pt>
                <c:pt idx="2037">
                  <c:v>2089194444</c:v>
                </c:pt>
                <c:pt idx="2038">
                  <c:v>2181322222</c:v>
                </c:pt>
                <c:pt idx="2039">
                  <c:v>1943466667</c:v>
                </c:pt>
                <c:pt idx="2040">
                  <c:v>1887800000</c:v>
                </c:pt>
                <c:pt idx="2041">
                  <c:v>2081511111</c:v>
                </c:pt>
                <c:pt idx="2042">
                  <c:v>2000083333</c:v>
                </c:pt>
                <c:pt idx="2043">
                  <c:v>2226288889</c:v>
                </c:pt>
                <c:pt idx="2044">
                  <c:v>2166261111</c:v>
                </c:pt>
                <c:pt idx="2045">
                  <c:v>2690533333</c:v>
                </c:pt>
                <c:pt idx="2046">
                  <c:v>3106394444</c:v>
                </c:pt>
                <c:pt idx="2047">
                  <c:v>3043394444</c:v>
                </c:pt>
                <c:pt idx="2048">
                  <c:v>3921577778</c:v>
                </c:pt>
                <c:pt idx="2049">
                  <c:v>4757694444</c:v>
                </c:pt>
                <c:pt idx="2050">
                  <c:v>3542444444</c:v>
                </c:pt>
                <c:pt idx="2051">
                  <c:v>3531077778</c:v>
                </c:pt>
                <c:pt idx="2052">
                  <c:v>2797488889</c:v>
                </c:pt>
                <c:pt idx="2053">
                  <c:v>3097527778</c:v>
                </c:pt>
                <c:pt idx="2054">
                  <c:v>3640077778</c:v>
                </c:pt>
                <c:pt idx="2055">
                  <c:v>4679472222</c:v>
                </c:pt>
                <c:pt idx="2056">
                  <c:v>4242200000</c:v>
                </c:pt>
                <c:pt idx="2057">
                  <c:v>4096727778</c:v>
                </c:pt>
                <c:pt idx="2058">
                  <c:v>4905211111</c:v>
                </c:pt>
                <c:pt idx="2059">
                  <c:v>4588150000</c:v>
                </c:pt>
                <c:pt idx="2060">
                  <c:v>4323077778</c:v>
                </c:pt>
                <c:pt idx="2061">
                  <c:v>4643611111</c:v>
                </c:pt>
                <c:pt idx="2062">
                  <c:v>4864322222</c:v>
                </c:pt>
                <c:pt idx="2063">
                  <c:v>4414838889</c:v>
                </c:pt>
                <c:pt idx="2064">
                  <c:v>5024827778</c:v>
                </c:pt>
                <c:pt idx="2065">
                  <c:v>4112322222</c:v>
                </c:pt>
                <c:pt idx="2066">
                  <c:v>4192972222</c:v>
                </c:pt>
                <c:pt idx="2067">
                  <c:v>4603150000</c:v>
                </c:pt>
                <c:pt idx="2068">
                  <c:v>4307311111</c:v>
                </c:pt>
                <c:pt idx="2069">
                  <c:v>3441294444</c:v>
                </c:pt>
                <c:pt idx="2070">
                  <c:v>3192344444</c:v>
                </c:pt>
                <c:pt idx="2071">
                  <c:v>3649050000</c:v>
                </c:pt>
                <c:pt idx="2072">
                  <c:v>3304388889</c:v>
                </c:pt>
                <c:pt idx="2073">
                  <c:v>3586105556</c:v>
                </c:pt>
                <c:pt idx="2074">
                  <c:v>3381772222</c:v>
                </c:pt>
                <c:pt idx="2075">
                  <c:v>3551033333</c:v>
                </c:pt>
                <c:pt idx="2076">
                  <c:v>3911511111</c:v>
                </c:pt>
                <c:pt idx="2077">
                  <c:v>3253538889</c:v>
                </c:pt>
                <c:pt idx="2078">
                  <c:v>4377855556</c:v>
                </c:pt>
                <c:pt idx="2079">
                  <c:v>2930172222</c:v>
                </c:pt>
                <c:pt idx="2080">
                  <c:v>3093000000</c:v>
                </c:pt>
                <c:pt idx="2081">
                  <c:v>2890772222</c:v>
                </c:pt>
                <c:pt idx="2082">
                  <c:v>2877772222</c:v>
                </c:pt>
                <c:pt idx="2083">
                  <c:v>3217855556</c:v>
                </c:pt>
                <c:pt idx="2084">
                  <c:v>2900088889</c:v>
                </c:pt>
                <c:pt idx="2085">
                  <c:v>2819905556</c:v>
                </c:pt>
                <c:pt idx="2086">
                  <c:v>2805366667</c:v>
                </c:pt>
                <c:pt idx="2087">
                  <c:v>3198066667</c:v>
                </c:pt>
                <c:pt idx="2088">
                  <c:v>2985822222</c:v>
                </c:pt>
                <c:pt idx="2089">
                  <c:v>2885700000</c:v>
                </c:pt>
                <c:pt idx="2090">
                  <c:v>3151600000</c:v>
                </c:pt>
                <c:pt idx="2091">
                  <c:v>3677855556</c:v>
                </c:pt>
                <c:pt idx="2092">
                  <c:v>3623955556</c:v>
                </c:pt>
                <c:pt idx="2093">
                  <c:v>2640644444</c:v>
                </c:pt>
                <c:pt idx="2094">
                  <c:v>2623966667</c:v>
                </c:pt>
                <c:pt idx="2095">
                  <c:v>2849772222</c:v>
                </c:pt>
                <c:pt idx="2096">
                  <c:v>2701066667</c:v>
                </c:pt>
                <c:pt idx="2097">
                  <c:v>2869244444</c:v>
                </c:pt>
                <c:pt idx="2098">
                  <c:v>2698422222</c:v>
                </c:pt>
                <c:pt idx="2099">
                  <c:v>2596977372</c:v>
                </c:pt>
                <c:pt idx="2100">
                  <c:v>2661481924</c:v>
                </c:pt>
                <c:pt idx="2101">
                  <c:v>3538682040</c:v>
                </c:pt>
                <c:pt idx="2102">
                  <c:v>3342014465</c:v>
                </c:pt>
                <c:pt idx="2103">
                  <c:v>3291068217</c:v>
                </c:pt>
                <c:pt idx="2104">
                  <c:v>3637568897</c:v>
                </c:pt>
                <c:pt idx="2105">
                  <c:v>2852880746</c:v>
                </c:pt>
                <c:pt idx="2106">
                  <c:v>2845135067</c:v>
                </c:pt>
                <c:pt idx="2107">
                  <c:v>2778169917</c:v>
                </c:pt>
                <c:pt idx="2108">
                  <c:v>2184181839</c:v>
                </c:pt>
                <c:pt idx="2109">
                  <c:v>3349414121</c:v>
                </c:pt>
                <c:pt idx="2110">
                  <c:v>3652902255</c:v>
                </c:pt>
                <c:pt idx="2111">
                  <c:v>3136898114</c:v>
                </c:pt>
                <c:pt idx="2112">
                  <c:v>4372835504</c:v>
                </c:pt>
                <c:pt idx="2113">
                  <c:v>2494242374</c:v>
                </c:pt>
                <c:pt idx="2114">
                  <c:v>2800242756</c:v>
                </c:pt>
                <c:pt idx="2115">
                  <c:v>3152227961</c:v>
                </c:pt>
                <c:pt idx="2116">
                  <c:v>3731253343</c:v>
                </c:pt>
                <c:pt idx="2117">
                  <c:v>4794161515</c:v>
                </c:pt>
                <c:pt idx="2118">
                  <c:v>3706403397</c:v>
                </c:pt>
                <c:pt idx="2119">
                  <c:v>3172476044</c:v>
                </c:pt>
                <c:pt idx="2120">
                  <c:v>3577280352</c:v>
                </c:pt>
                <c:pt idx="2121">
                  <c:v>4119364753</c:v>
                </c:pt>
                <c:pt idx="2122">
                  <c:v>3379014946</c:v>
                </c:pt>
                <c:pt idx="2123">
                  <c:v>3208285727</c:v>
                </c:pt>
                <c:pt idx="2124">
                  <c:v>3290522357</c:v>
                </c:pt>
                <c:pt idx="2125">
                  <c:v>2482661567</c:v>
                </c:pt>
                <c:pt idx="2126">
                  <c:v>2406434155</c:v>
                </c:pt>
                <c:pt idx="2127">
                  <c:v>4998415138</c:v>
                </c:pt>
                <c:pt idx="2128">
                  <c:v>2572599763</c:v>
                </c:pt>
                <c:pt idx="2129">
                  <c:v>2736647372</c:v>
                </c:pt>
                <c:pt idx="2130">
                  <c:v>3216148237</c:v>
                </c:pt>
                <c:pt idx="2131">
                  <c:v>2738077000</c:v>
                </c:pt>
                <c:pt idx="2132">
                  <c:v>4393618253</c:v>
                </c:pt>
                <c:pt idx="2133">
                  <c:v>2650231761</c:v>
                </c:pt>
                <c:pt idx="2134">
                  <c:v>2762700300</c:v>
                </c:pt>
                <c:pt idx="2135">
                  <c:v>2709350469</c:v>
                </c:pt>
                <c:pt idx="2136">
                  <c:v>2332622404</c:v>
                </c:pt>
                <c:pt idx="2137">
                  <c:v>2384007094</c:v>
                </c:pt>
                <c:pt idx="2138">
                  <c:v>2286066876</c:v>
                </c:pt>
                <c:pt idx="2139">
                  <c:v>2397542535</c:v>
                </c:pt>
                <c:pt idx="2140">
                  <c:v>2595438819</c:v>
                </c:pt>
                <c:pt idx="2141">
                  <c:v>2408266859</c:v>
                </c:pt>
                <c:pt idx="2142">
                  <c:v>2694338924</c:v>
                </c:pt>
                <c:pt idx="2143">
                  <c:v>2638225293</c:v>
                </c:pt>
                <c:pt idx="2144">
                  <c:v>2849504498</c:v>
                </c:pt>
                <c:pt idx="2145">
                  <c:v>2214117696</c:v>
                </c:pt>
                <c:pt idx="2146">
                  <c:v>2219964739</c:v>
                </c:pt>
                <c:pt idx="2147">
                  <c:v>2171304615</c:v>
                </c:pt>
                <c:pt idx="2148">
                  <c:v>2470338671</c:v>
                </c:pt>
                <c:pt idx="2149">
                  <c:v>2418091343</c:v>
                </c:pt>
                <c:pt idx="2150">
                  <c:v>2742056465</c:v>
                </c:pt>
                <c:pt idx="2151">
                  <c:v>2460505182</c:v>
                </c:pt>
                <c:pt idx="2152">
                  <c:v>2355871031</c:v>
                </c:pt>
                <c:pt idx="2153">
                  <c:v>2244363387</c:v>
                </c:pt>
                <c:pt idx="2154">
                  <c:v>2471114054</c:v>
                </c:pt>
                <c:pt idx="2155">
                  <c:v>2436861309</c:v>
                </c:pt>
                <c:pt idx="2156">
                  <c:v>3062620493</c:v>
                </c:pt>
                <c:pt idx="2157">
                  <c:v>2379546705</c:v>
                </c:pt>
                <c:pt idx="2158">
                  <c:v>2403695283</c:v>
                </c:pt>
                <c:pt idx="2159">
                  <c:v>2452040105</c:v>
                </c:pt>
                <c:pt idx="2160">
                  <c:v>2414075395</c:v>
                </c:pt>
                <c:pt idx="2161">
                  <c:v>2279160879</c:v>
                </c:pt>
                <c:pt idx="2162">
                  <c:v>2565981272</c:v>
                </c:pt>
                <c:pt idx="2163">
                  <c:v>2901184692</c:v>
                </c:pt>
                <c:pt idx="2164">
                  <c:v>2245860113</c:v>
                </c:pt>
                <c:pt idx="2165">
                  <c:v>1964649318</c:v>
                </c:pt>
                <c:pt idx="2166">
                  <c:v>1713105900</c:v>
                </c:pt>
                <c:pt idx="2167">
                  <c:v>1951363148</c:v>
                </c:pt>
                <c:pt idx="2168">
                  <c:v>1795551606</c:v>
                </c:pt>
                <c:pt idx="2169">
                  <c:v>2021428535</c:v>
                </c:pt>
                <c:pt idx="2170">
                  <c:v>1835659390</c:v>
                </c:pt>
                <c:pt idx="2171">
                  <c:v>1993642443</c:v>
                </c:pt>
                <c:pt idx="2172">
                  <c:v>2275646060</c:v>
                </c:pt>
                <c:pt idx="2173">
                  <c:v>2042901658</c:v>
                </c:pt>
                <c:pt idx="2174">
                  <c:v>2020851527</c:v>
                </c:pt>
                <c:pt idx="2175">
                  <c:v>2327431654</c:v>
                </c:pt>
                <c:pt idx="2176">
                  <c:v>2047770541</c:v>
                </c:pt>
                <c:pt idx="2177">
                  <c:v>2545947629</c:v>
                </c:pt>
                <c:pt idx="2178">
                  <c:v>2246655768</c:v>
                </c:pt>
                <c:pt idx="2179">
                  <c:v>2579961224</c:v>
                </c:pt>
                <c:pt idx="2180">
                  <c:v>3196862882</c:v>
                </c:pt>
                <c:pt idx="2181">
                  <c:v>3045943569</c:v>
                </c:pt>
                <c:pt idx="2182">
                  <c:v>3071728677</c:v>
                </c:pt>
                <c:pt idx="2183">
                  <c:v>2509091751</c:v>
                </c:pt>
                <c:pt idx="2184">
                  <c:v>2581883711</c:v>
                </c:pt>
                <c:pt idx="2185">
                  <c:v>2351289169</c:v>
                </c:pt>
                <c:pt idx="2186">
                  <c:v>2364625122</c:v>
                </c:pt>
                <c:pt idx="2187">
                  <c:v>2482063450</c:v>
                </c:pt>
                <c:pt idx="2188">
                  <c:v>2860737276</c:v>
                </c:pt>
                <c:pt idx="2189">
                  <c:v>2739627914</c:v>
                </c:pt>
                <c:pt idx="2190">
                  <c:v>4080814747</c:v>
                </c:pt>
                <c:pt idx="2191">
                  <c:v>2996245686</c:v>
                </c:pt>
                <c:pt idx="2192">
                  <c:v>2388040936</c:v>
                </c:pt>
                <c:pt idx="2193">
                  <c:v>2481367969</c:v>
                </c:pt>
                <c:pt idx="2194">
                  <c:v>2414616135</c:v>
                </c:pt>
                <c:pt idx="2195">
                  <c:v>2201331092</c:v>
                </c:pt>
                <c:pt idx="2196">
                  <c:v>2218484960</c:v>
                </c:pt>
                <c:pt idx="2197">
                  <c:v>1947640906</c:v>
                </c:pt>
                <c:pt idx="2198">
                  <c:v>2621466321</c:v>
                </c:pt>
                <c:pt idx="2199">
                  <c:v>2354422841</c:v>
                </c:pt>
                <c:pt idx="2200">
                  <c:v>2354722287</c:v>
                </c:pt>
                <c:pt idx="2201">
                  <c:v>2040745749</c:v>
                </c:pt>
                <c:pt idx="2202">
                  <c:v>2551091954</c:v>
                </c:pt>
                <c:pt idx="2203">
                  <c:v>2084054405</c:v>
                </c:pt>
                <c:pt idx="2204">
                  <c:v>2094828307</c:v>
                </c:pt>
                <c:pt idx="2205">
                  <c:v>2209050833</c:v>
                </c:pt>
                <c:pt idx="2206">
                  <c:v>2240199001</c:v>
                </c:pt>
                <c:pt idx="2207">
                  <c:v>2358329289</c:v>
                </c:pt>
                <c:pt idx="2208">
                  <c:v>2173872805</c:v>
                </c:pt>
                <c:pt idx="2209">
                  <c:v>2007238547</c:v>
                </c:pt>
                <c:pt idx="2210">
                  <c:v>2213545513</c:v>
                </c:pt>
                <c:pt idx="2211">
                  <c:v>2185827606</c:v>
                </c:pt>
                <c:pt idx="2212">
                  <c:v>2114290333</c:v>
                </c:pt>
                <c:pt idx="2213">
                  <c:v>2067107215</c:v>
                </c:pt>
                <c:pt idx="2214">
                  <c:v>2402859482</c:v>
                </c:pt>
                <c:pt idx="2215">
                  <c:v>2155522498</c:v>
                </c:pt>
                <c:pt idx="2216">
                  <c:v>2435786612</c:v>
                </c:pt>
                <c:pt idx="2217">
                  <c:v>2395101697</c:v>
                </c:pt>
                <c:pt idx="2218">
                  <c:v>3147943500</c:v>
                </c:pt>
                <c:pt idx="2219">
                  <c:v>2752625684</c:v>
                </c:pt>
                <c:pt idx="2220">
                  <c:v>3003852681</c:v>
                </c:pt>
                <c:pt idx="2221">
                  <c:v>2525535542</c:v>
                </c:pt>
                <c:pt idx="2222">
                  <c:v>2329577555</c:v>
                </c:pt>
                <c:pt idx="2223">
                  <c:v>2901095649</c:v>
                </c:pt>
                <c:pt idx="2224">
                  <c:v>2559015385</c:v>
                </c:pt>
                <c:pt idx="2225">
                  <c:v>2167007972</c:v>
                </c:pt>
                <c:pt idx="2226">
                  <c:v>5061429532</c:v>
                </c:pt>
                <c:pt idx="2227">
                  <c:v>3455507092</c:v>
                </c:pt>
                <c:pt idx="2228">
                  <c:v>2515389885</c:v>
                </c:pt>
                <c:pt idx="2229">
                  <c:v>2414732971</c:v>
                </c:pt>
                <c:pt idx="2230">
                  <c:v>2276724987</c:v>
                </c:pt>
                <c:pt idx="2231">
                  <c:v>2864430679</c:v>
                </c:pt>
                <c:pt idx="2232">
                  <c:v>2343226894</c:v>
                </c:pt>
                <c:pt idx="2233">
                  <c:v>2667939337</c:v>
                </c:pt>
                <c:pt idx="2234">
                  <c:v>2246332374</c:v>
                </c:pt>
                <c:pt idx="2235">
                  <c:v>2212968548</c:v>
                </c:pt>
                <c:pt idx="2236">
                  <c:v>2493130026</c:v>
                </c:pt>
                <c:pt idx="2237">
                  <c:v>3170708990</c:v>
                </c:pt>
                <c:pt idx="2238">
                  <c:v>2305668031</c:v>
                </c:pt>
                <c:pt idx="2239">
                  <c:v>1229199673</c:v>
                </c:pt>
                <c:pt idx="2240">
                  <c:v>3644157125</c:v>
                </c:pt>
                <c:pt idx="2241">
                  <c:v>2637657489</c:v>
                </c:pt>
                <c:pt idx="2242">
                  <c:v>2382771239</c:v>
                </c:pt>
                <c:pt idx="2243">
                  <c:v>2642754327</c:v>
                </c:pt>
                <c:pt idx="2244">
                  <c:v>2591912420</c:v>
                </c:pt>
                <c:pt idx="2245">
                  <c:v>2340001316</c:v>
                </c:pt>
                <c:pt idx="2246">
                  <c:v>2264899108</c:v>
                </c:pt>
                <c:pt idx="2247">
                  <c:v>2756415535</c:v>
                </c:pt>
                <c:pt idx="2248">
                  <c:v>2412666569</c:v>
                </c:pt>
                <c:pt idx="2249">
                  <c:v>2308878899</c:v>
                </c:pt>
                <c:pt idx="2250">
                  <c:v>2541186619</c:v>
                </c:pt>
                <c:pt idx="2251">
                  <c:v>2529938661</c:v>
                </c:pt>
                <c:pt idx="2252">
                  <c:v>2267390776</c:v>
                </c:pt>
                <c:pt idx="2253">
                  <c:v>2192253641</c:v>
                </c:pt>
                <c:pt idx="2254">
                  <c:v>4246742281</c:v>
                </c:pt>
                <c:pt idx="2255">
                  <c:v>2605975306</c:v>
                </c:pt>
                <c:pt idx="2256">
                  <c:v>2208070093</c:v>
                </c:pt>
                <c:pt idx="2257">
                  <c:v>1845296650</c:v>
                </c:pt>
                <c:pt idx="2258">
                  <c:v>818784928</c:v>
                </c:pt>
                <c:pt idx="2259">
                  <c:v>1662609796</c:v>
                </c:pt>
                <c:pt idx="2260">
                  <c:v>1638287436</c:v>
                </c:pt>
                <c:pt idx="2261">
                  <c:v>1559327835</c:v>
                </c:pt>
                <c:pt idx="2262">
                  <c:v>1658919486</c:v>
                </c:pt>
                <c:pt idx="2263">
                  <c:v>2728583078</c:v>
                </c:pt>
                <c:pt idx="2264">
                  <c:v>2384682941</c:v>
                </c:pt>
                <c:pt idx="2265">
                  <c:v>3191178708</c:v>
                </c:pt>
                <c:pt idx="2266">
                  <c:v>2585186415</c:v>
                </c:pt>
                <c:pt idx="2267">
                  <c:v>2374809302</c:v>
                </c:pt>
                <c:pt idx="2268">
                  <c:v>2335918128</c:v>
                </c:pt>
                <c:pt idx="2269">
                  <c:v>2632132471</c:v>
                </c:pt>
                <c:pt idx="2270">
                  <c:v>2344888465</c:v>
                </c:pt>
                <c:pt idx="2271">
                  <c:v>2708930219</c:v>
                </c:pt>
                <c:pt idx="2272">
                  <c:v>2741656357</c:v>
                </c:pt>
                <c:pt idx="2273">
                  <c:v>2485142099</c:v>
                </c:pt>
                <c:pt idx="2274">
                  <c:v>2350471631</c:v>
                </c:pt>
                <c:pt idx="2275">
                  <c:v>2591055660</c:v>
                </c:pt>
                <c:pt idx="2276">
                  <c:v>2290691535</c:v>
                </c:pt>
                <c:pt idx="2277">
                  <c:v>2796458161</c:v>
                </c:pt>
                <c:pt idx="2278">
                  <c:v>2562368503</c:v>
                </c:pt>
                <c:pt idx="2279">
                  <c:v>3808384652</c:v>
                </c:pt>
                <c:pt idx="2280">
                  <c:v>3261772860</c:v>
                </c:pt>
                <c:pt idx="2281">
                  <c:v>3315454292</c:v>
                </c:pt>
                <c:pt idx="2282">
                  <c:v>2457573861</c:v>
                </c:pt>
                <c:pt idx="2283">
                  <c:v>2415604684</c:v>
                </c:pt>
                <c:pt idx="2284">
                  <c:v>2273801634</c:v>
                </c:pt>
                <c:pt idx="2285">
                  <c:v>2367356951</c:v>
                </c:pt>
                <c:pt idx="2286">
                  <c:v>2152289897</c:v>
                </c:pt>
                <c:pt idx="2287">
                  <c:v>2161333144</c:v>
                </c:pt>
                <c:pt idx="2288">
                  <c:v>2067393950</c:v>
                </c:pt>
                <c:pt idx="2289">
                  <c:v>2291313102</c:v>
                </c:pt>
                <c:pt idx="2290">
                  <c:v>2126812632</c:v>
                </c:pt>
                <c:pt idx="2291">
                  <c:v>1829607166</c:v>
                </c:pt>
                <c:pt idx="2292">
                  <c:v>2305147298</c:v>
                </c:pt>
                <c:pt idx="2293">
                  <c:v>2161952392</c:v>
                </c:pt>
                <c:pt idx="2294">
                  <c:v>2025989354</c:v>
                </c:pt>
                <c:pt idx="2295">
                  <c:v>2315685076</c:v>
                </c:pt>
                <c:pt idx="2296">
                  <c:v>2752794505</c:v>
                </c:pt>
                <c:pt idx="2297">
                  <c:v>2947617135</c:v>
                </c:pt>
                <c:pt idx="2298">
                  <c:v>2788164696</c:v>
                </c:pt>
                <c:pt idx="2299">
                  <c:v>2924371959</c:v>
                </c:pt>
                <c:pt idx="2300">
                  <c:v>3129018166</c:v>
                </c:pt>
                <c:pt idx="2301">
                  <c:v>2406893663</c:v>
                </c:pt>
                <c:pt idx="2302">
                  <c:v>2296374171</c:v>
                </c:pt>
                <c:pt idx="2303">
                  <c:v>2718938203</c:v>
                </c:pt>
                <c:pt idx="2304">
                  <c:v>3471696122</c:v>
                </c:pt>
                <c:pt idx="2305">
                  <c:v>3320705802</c:v>
                </c:pt>
                <c:pt idx="2306">
                  <c:v>2998653462</c:v>
                </c:pt>
                <c:pt idx="2307">
                  <c:v>2786916293</c:v>
                </c:pt>
                <c:pt idx="2308">
                  <c:v>2661081667</c:v>
                </c:pt>
                <c:pt idx="2309">
                  <c:v>2570250267</c:v>
                </c:pt>
                <c:pt idx="2310">
                  <c:v>2277434098</c:v>
                </c:pt>
                <c:pt idx="2311">
                  <c:v>2393441121</c:v>
                </c:pt>
                <c:pt idx="2312">
                  <c:v>2372381008</c:v>
                </c:pt>
                <c:pt idx="2313">
                  <c:v>2458783556</c:v>
                </c:pt>
                <c:pt idx="2314">
                  <c:v>2686354391</c:v>
                </c:pt>
                <c:pt idx="2315">
                  <c:v>4647053019</c:v>
                </c:pt>
                <c:pt idx="2316">
                  <c:v>2362949344</c:v>
                </c:pt>
                <c:pt idx="2317">
                  <c:v>2494379928</c:v>
                </c:pt>
                <c:pt idx="2318">
                  <c:v>2414378604</c:v>
                </c:pt>
                <c:pt idx="2319">
                  <c:v>2385059895</c:v>
                </c:pt>
                <c:pt idx="2320">
                  <c:v>2655374920</c:v>
                </c:pt>
                <c:pt idx="2321">
                  <c:v>2418405500</c:v>
                </c:pt>
                <c:pt idx="2322">
                  <c:v>2134267391</c:v>
                </c:pt>
                <c:pt idx="2323">
                  <c:v>2420427567</c:v>
                </c:pt>
                <c:pt idx="2324">
                  <c:v>2178187603</c:v>
                </c:pt>
                <c:pt idx="2325">
                  <c:v>2241318486</c:v>
                </c:pt>
                <c:pt idx="2326">
                  <c:v>2147071522</c:v>
                </c:pt>
                <c:pt idx="2327">
                  <c:v>1963233249</c:v>
                </c:pt>
                <c:pt idx="2328">
                  <c:v>2011933177</c:v>
                </c:pt>
                <c:pt idx="2329">
                  <c:v>1880708120</c:v>
                </c:pt>
                <c:pt idx="2330">
                  <c:v>1923094540</c:v>
                </c:pt>
                <c:pt idx="2331">
                  <c:v>2060718961</c:v>
                </c:pt>
                <c:pt idx="2332">
                  <c:v>2092018943</c:v>
                </c:pt>
                <c:pt idx="2333">
                  <c:v>2130933628</c:v>
                </c:pt>
                <c:pt idx="2334">
                  <c:v>2205786949</c:v>
                </c:pt>
                <c:pt idx="2335">
                  <c:v>1999877307</c:v>
                </c:pt>
                <c:pt idx="2336">
                  <c:v>2292083378</c:v>
                </c:pt>
                <c:pt idx="2337">
                  <c:v>2126513143</c:v>
                </c:pt>
                <c:pt idx="2338">
                  <c:v>2392241341</c:v>
                </c:pt>
                <c:pt idx="2339">
                  <c:v>2008642236</c:v>
                </c:pt>
                <c:pt idx="2340">
                  <c:v>1937952599</c:v>
                </c:pt>
                <c:pt idx="2341">
                  <c:v>2034702320</c:v>
                </c:pt>
                <c:pt idx="2342">
                  <c:v>2145349329</c:v>
                </c:pt>
                <c:pt idx="2343">
                  <c:v>2502878449</c:v>
                </c:pt>
                <c:pt idx="2344">
                  <c:v>2428162998</c:v>
                </c:pt>
                <c:pt idx="2345">
                  <c:v>2182103434</c:v>
                </c:pt>
                <c:pt idx="2346">
                  <c:v>2552420121</c:v>
                </c:pt>
                <c:pt idx="2347">
                  <c:v>1769152889</c:v>
                </c:pt>
                <c:pt idx="2348">
                  <c:v>2239080813</c:v>
                </c:pt>
                <c:pt idx="2349">
                  <c:v>2048519190</c:v>
                </c:pt>
                <c:pt idx="2350">
                  <c:v>2320014566</c:v>
                </c:pt>
                <c:pt idx="2351">
                  <c:v>2432749321</c:v>
                </c:pt>
                <c:pt idx="2352">
                  <c:v>2406683784</c:v>
                </c:pt>
                <c:pt idx="2353">
                  <c:v>2163353723</c:v>
                </c:pt>
                <c:pt idx="2354">
                  <c:v>1904970402</c:v>
                </c:pt>
                <c:pt idx="2355">
                  <c:v>2278897644</c:v>
                </c:pt>
                <c:pt idx="2356">
                  <c:v>2324677838</c:v>
                </c:pt>
                <c:pt idx="2357">
                  <c:v>2414067271</c:v>
                </c:pt>
                <c:pt idx="2358">
                  <c:v>2159532191</c:v>
                </c:pt>
                <c:pt idx="2359">
                  <c:v>2196798084</c:v>
                </c:pt>
                <c:pt idx="2360">
                  <c:v>1848676717</c:v>
                </c:pt>
                <c:pt idx="2361">
                  <c:v>2117333013</c:v>
                </c:pt>
                <c:pt idx="2362">
                  <c:v>2087338274</c:v>
                </c:pt>
                <c:pt idx="2363">
                  <c:v>3407781249</c:v>
                </c:pt>
                <c:pt idx="2364">
                  <c:v>1958464949</c:v>
                </c:pt>
                <c:pt idx="2365">
                  <c:v>2096973335</c:v>
                </c:pt>
                <c:pt idx="2366">
                  <c:v>2028836814</c:v>
                </c:pt>
                <c:pt idx="2367">
                  <c:v>2194432214</c:v>
                </c:pt>
                <c:pt idx="2368">
                  <c:v>1872715862</c:v>
                </c:pt>
                <c:pt idx="2369">
                  <c:v>1745172301</c:v>
                </c:pt>
                <c:pt idx="2370">
                  <c:v>2109263760</c:v>
                </c:pt>
                <c:pt idx="2371">
                  <c:v>1792953976</c:v>
                </c:pt>
                <c:pt idx="2372">
                  <c:v>1949114428</c:v>
                </c:pt>
                <c:pt idx="2373">
                  <c:v>1679469973</c:v>
                </c:pt>
                <c:pt idx="2374">
                  <c:v>1846240506</c:v>
                </c:pt>
                <c:pt idx="2375">
                  <c:v>1830754386</c:v>
                </c:pt>
                <c:pt idx="2376">
                  <c:v>2220452064</c:v>
                </c:pt>
                <c:pt idx="2377">
                  <c:v>2583091087</c:v>
                </c:pt>
                <c:pt idx="2378">
                  <c:v>3608789593</c:v>
                </c:pt>
                <c:pt idx="2379">
                  <c:v>2040521589</c:v>
                </c:pt>
                <c:pt idx="2380">
                  <c:v>1786553582</c:v>
                </c:pt>
                <c:pt idx="2381">
                  <c:v>1771820909</c:v>
                </c:pt>
                <c:pt idx="2382">
                  <c:v>1871426376</c:v>
                </c:pt>
                <c:pt idx="2383">
                  <c:v>2751790926</c:v>
                </c:pt>
                <c:pt idx="2384">
                  <c:v>1992399601</c:v>
                </c:pt>
                <c:pt idx="2385">
                  <c:v>1830630923</c:v>
                </c:pt>
                <c:pt idx="2386">
                  <c:v>1949896699</c:v>
                </c:pt>
                <c:pt idx="2387">
                  <c:v>1803458464</c:v>
                </c:pt>
                <c:pt idx="2388">
                  <c:v>1535619737</c:v>
                </c:pt>
                <c:pt idx="2389">
                  <c:v>2075709900</c:v>
                </c:pt>
                <c:pt idx="2390">
                  <c:v>1932877201</c:v>
                </c:pt>
                <c:pt idx="2391">
                  <c:v>2063982824</c:v>
                </c:pt>
                <c:pt idx="2392">
                  <c:v>1791690914</c:v>
                </c:pt>
                <c:pt idx="2393">
                  <c:v>1707501002</c:v>
                </c:pt>
                <c:pt idx="2394">
                  <c:v>1764023047</c:v>
                </c:pt>
                <c:pt idx="2395">
                  <c:v>2028264492</c:v>
                </c:pt>
                <c:pt idx="2396">
                  <c:v>1995704829</c:v>
                </c:pt>
                <c:pt idx="2397">
                  <c:v>2026420335</c:v>
                </c:pt>
                <c:pt idx="2398">
                  <c:v>2838151098</c:v>
                </c:pt>
                <c:pt idx="2399">
                  <c:v>2430577637</c:v>
                </c:pt>
                <c:pt idx="2400">
                  <c:v>2101370626</c:v>
                </c:pt>
                <c:pt idx="2401">
                  <c:v>1845434194</c:v>
                </c:pt>
                <c:pt idx="2402">
                  <c:v>1752390418</c:v>
                </c:pt>
                <c:pt idx="2403">
                  <c:v>1812247096</c:v>
                </c:pt>
                <c:pt idx="2404">
                  <c:v>2085640391</c:v>
                </c:pt>
                <c:pt idx="2405">
                  <c:v>2118843918</c:v>
                </c:pt>
                <c:pt idx="2406">
                  <c:v>2019354788</c:v>
                </c:pt>
                <c:pt idx="2407">
                  <c:v>2245846882</c:v>
                </c:pt>
                <c:pt idx="2408">
                  <c:v>1983436641</c:v>
                </c:pt>
                <c:pt idx="2409">
                  <c:v>2174964518</c:v>
                </c:pt>
                <c:pt idx="2410">
                  <c:v>2331475675</c:v>
                </c:pt>
                <c:pt idx="2411">
                  <c:v>1960628313</c:v>
                </c:pt>
                <c:pt idx="2412">
                  <c:v>1838165082</c:v>
                </c:pt>
                <c:pt idx="2413">
                  <c:v>1716583532</c:v>
                </c:pt>
                <c:pt idx="2414">
                  <c:v>1916238169</c:v>
                </c:pt>
                <c:pt idx="2415">
                  <c:v>1871786539</c:v>
                </c:pt>
                <c:pt idx="2416">
                  <c:v>1628478428</c:v>
                </c:pt>
                <c:pt idx="2417">
                  <c:v>1532626658</c:v>
                </c:pt>
                <c:pt idx="2418">
                  <c:v>1750996492</c:v>
                </c:pt>
                <c:pt idx="2419">
                  <c:v>1917517410</c:v>
                </c:pt>
                <c:pt idx="2420">
                  <c:v>1930293587</c:v>
                </c:pt>
                <c:pt idx="2421">
                  <c:v>2214340942</c:v>
                </c:pt>
                <c:pt idx="2422">
                  <c:v>1834179903</c:v>
                </c:pt>
                <c:pt idx="2423">
                  <c:v>1854558750</c:v>
                </c:pt>
                <c:pt idx="2424">
                  <c:v>1743330697</c:v>
                </c:pt>
                <c:pt idx="2425">
                  <c:v>1777933554</c:v>
                </c:pt>
                <c:pt idx="2426">
                  <c:v>1642206826</c:v>
                </c:pt>
                <c:pt idx="2427">
                  <c:v>1665809773</c:v>
                </c:pt>
                <c:pt idx="2428">
                  <c:v>1564582288</c:v>
                </c:pt>
                <c:pt idx="2429">
                  <c:v>2177504229</c:v>
                </c:pt>
                <c:pt idx="2430">
                  <c:v>1943483583</c:v>
                </c:pt>
                <c:pt idx="2431">
                  <c:v>1778239902</c:v>
                </c:pt>
                <c:pt idx="2432">
                  <c:v>1529886805</c:v>
                </c:pt>
                <c:pt idx="2433">
                  <c:v>1805777278</c:v>
                </c:pt>
                <c:pt idx="2434">
                  <c:v>1783658630</c:v>
                </c:pt>
                <c:pt idx="2435">
                  <c:v>1837254326</c:v>
                </c:pt>
                <c:pt idx="2436">
                  <c:v>1860497153</c:v>
                </c:pt>
                <c:pt idx="2437">
                  <c:v>2060402092</c:v>
                </c:pt>
                <c:pt idx="2438">
                  <c:v>2021922303</c:v>
                </c:pt>
                <c:pt idx="2439">
                  <c:v>2126502586</c:v>
                </c:pt>
                <c:pt idx="2440">
                  <c:v>1846633558</c:v>
                </c:pt>
                <c:pt idx="2441">
                  <c:v>3770722859</c:v>
                </c:pt>
                <c:pt idx="2442">
                  <c:v>2601202238</c:v>
                </c:pt>
                <c:pt idx="2443">
                  <c:v>1926605020</c:v>
                </c:pt>
                <c:pt idx="2444">
                  <c:v>2024995238</c:v>
                </c:pt>
                <c:pt idx="2445">
                  <c:v>1974708404</c:v>
                </c:pt>
                <c:pt idx="2446">
                  <c:v>1687771288</c:v>
                </c:pt>
                <c:pt idx="2447">
                  <c:v>2044774771</c:v>
                </c:pt>
                <c:pt idx="2448">
                  <c:v>2411082003</c:v>
                </c:pt>
                <c:pt idx="2449">
                  <c:v>1899919741</c:v>
                </c:pt>
                <c:pt idx="2450">
                  <c:v>2292980186</c:v>
                </c:pt>
                <c:pt idx="2451">
                  <c:v>2202907200</c:v>
                </c:pt>
                <c:pt idx="2452">
                  <c:v>2352030389</c:v>
                </c:pt>
                <c:pt idx="2453">
                  <c:v>2026525955</c:v>
                </c:pt>
                <c:pt idx="2454">
                  <c:v>2062682920</c:v>
                </c:pt>
                <c:pt idx="2455">
                  <c:v>1942954035</c:v>
                </c:pt>
                <c:pt idx="2456">
                  <c:v>1683911086</c:v>
                </c:pt>
                <c:pt idx="2457">
                  <c:v>1684626168</c:v>
                </c:pt>
                <c:pt idx="2458">
                  <c:v>1951341517</c:v>
                </c:pt>
                <c:pt idx="2459">
                  <c:v>1928089452</c:v>
                </c:pt>
                <c:pt idx="2460">
                  <c:v>1941352446</c:v>
                </c:pt>
                <c:pt idx="2461">
                  <c:v>2048713822</c:v>
                </c:pt>
                <c:pt idx="2462">
                  <c:v>1871645425</c:v>
                </c:pt>
                <c:pt idx="2463">
                  <c:v>1701720108</c:v>
                </c:pt>
                <c:pt idx="2464">
                  <c:v>1842279378</c:v>
                </c:pt>
                <c:pt idx="2465">
                  <c:v>1903670277</c:v>
                </c:pt>
                <c:pt idx="2466">
                  <c:v>1820296105</c:v>
                </c:pt>
                <c:pt idx="2467">
                  <c:v>1849843381</c:v>
                </c:pt>
                <c:pt idx="2468">
                  <c:v>2018287292</c:v>
                </c:pt>
                <c:pt idx="2469">
                  <c:v>2255666226</c:v>
                </c:pt>
                <c:pt idx="2470">
                  <c:v>2180879850</c:v>
                </c:pt>
                <c:pt idx="2471">
                  <c:v>2350301616</c:v>
                </c:pt>
                <c:pt idx="2472">
                  <c:v>2033758725</c:v>
                </c:pt>
                <c:pt idx="2473">
                  <c:v>2156232672</c:v>
                </c:pt>
                <c:pt idx="2474">
                  <c:v>2155080069</c:v>
                </c:pt>
                <c:pt idx="2475">
                  <c:v>2514981463</c:v>
                </c:pt>
                <c:pt idx="2476">
                  <c:v>2604934263</c:v>
                </c:pt>
                <c:pt idx="2477">
                  <c:v>2208829524</c:v>
                </c:pt>
                <c:pt idx="2478">
                  <c:v>2077878164</c:v>
                </c:pt>
                <c:pt idx="2479">
                  <c:v>2141600225</c:v>
                </c:pt>
                <c:pt idx="2480">
                  <c:v>1745650301</c:v>
                </c:pt>
                <c:pt idx="2481">
                  <c:v>1878873391</c:v>
                </c:pt>
                <c:pt idx="2482">
                  <c:v>1821708114</c:v>
                </c:pt>
                <c:pt idx="2483">
                  <c:v>1969710437</c:v>
                </c:pt>
                <c:pt idx="2484">
                  <c:v>2073793765</c:v>
                </c:pt>
                <c:pt idx="2485">
                  <c:v>2229419489</c:v>
                </c:pt>
                <c:pt idx="2486">
                  <c:v>2452147236</c:v>
                </c:pt>
                <c:pt idx="2487">
                  <c:v>2465454579</c:v>
                </c:pt>
                <c:pt idx="2488">
                  <c:v>2230377284</c:v>
                </c:pt>
                <c:pt idx="2489">
                  <c:v>1849716721</c:v>
                </c:pt>
                <c:pt idx="2490">
                  <c:v>2132760977</c:v>
                </c:pt>
                <c:pt idx="2491">
                  <c:v>2505188610</c:v>
                </c:pt>
                <c:pt idx="2492">
                  <c:v>4064157980</c:v>
                </c:pt>
                <c:pt idx="2493">
                  <c:v>3055980587</c:v>
                </c:pt>
                <c:pt idx="2494">
                  <c:v>2801558306</c:v>
                </c:pt>
                <c:pt idx="2495">
                  <c:v>2714009311</c:v>
                </c:pt>
                <c:pt idx="2496">
                  <c:v>2591430683</c:v>
                </c:pt>
                <c:pt idx="2497">
                  <c:v>2483715209</c:v>
                </c:pt>
                <c:pt idx="2498">
                  <c:v>2169237673</c:v>
                </c:pt>
                <c:pt idx="2499">
                  <c:v>2021704694</c:v>
                </c:pt>
                <c:pt idx="2500">
                  <c:v>2130792886</c:v>
                </c:pt>
                <c:pt idx="2501">
                  <c:v>2427488597</c:v>
                </c:pt>
                <c:pt idx="2502">
                  <c:v>2481788465</c:v>
                </c:pt>
                <c:pt idx="2503">
                  <c:v>2575621271</c:v>
                </c:pt>
                <c:pt idx="2504">
                  <c:v>2745064817</c:v>
                </c:pt>
                <c:pt idx="2505">
                  <c:v>4573690712</c:v>
                </c:pt>
                <c:pt idx="2506">
                  <c:v>2468207427</c:v>
                </c:pt>
                <c:pt idx="2507">
                  <c:v>2298114520</c:v>
                </c:pt>
                <c:pt idx="2508">
                  <c:v>1874604891</c:v>
                </c:pt>
                <c:pt idx="2509">
                  <c:v>1617243125</c:v>
                </c:pt>
                <c:pt idx="2510">
                  <c:v>1503734418</c:v>
                </c:pt>
                <c:pt idx="2511">
                  <c:v>1432143549</c:v>
                </c:pt>
                <c:pt idx="2512">
                  <c:v>1365873126</c:v>
                </c:pt>
                <c:pt idx="2513">
                  <c:v>1353236996</c:v>
                </c:pt>
                <c:pt idx="2514">
                  <c:v>1339318824</c:v>
                </c:pt>
                <c:pt idx="2515">
                  <c:v>2241373299</c:v>
                </c:pt>
                <c:pt idx="2516">
                  <c:v>2841121018</c:v>
                </c:pt>
                <c:pt idx="2517">
                  <c:v>2810603586</c:v>
                </c:pt>
                <c:pt idx="2518">
                  <c:v>2389339330</c:v>
                </c:pt>
                <c:pt idx="2519">
                  <c:v>2414328227</c:v>
                </c:pt>
                <c:pt idx="2520">
                  <c:v>2668776356</c:v>
                </c:pt>
                <c:pt idx="2521">
                  <c:v>2238558923</c:v>
                </c:pt>
                <c:pt idx="2522">
                  <c:v>2122392627</c:v>
                </c:pt>
                <c:pt idx="2523">
                  <c:v>2392404427</c:v>
                </c:pt>
                <c:pt idx="2524">
                  <c:v>2522462949</c:v>
                </c:pt>
                <c:pt idx="2525">
                  <c:v>2741096372</c:v>
                </c:pt>
                <c:pt idx="2526">
                  <c:v>2494214499</c:v>
                </c:pt>
                <c:pt idx="2527">
                  <c:v>2556569239</c:v>
                </c:pt>
                <c:pt idx="2528">
                  <c:v>3210070654</c:v>
                </c:pt>
                <c:pt idx="2529">
                  <c:v>3888349334</c:v>
                </c:pt>
                <c:pt idx="2530">
                  <c:v>3069079477</c:v>
                </c:pt>
                <c:pt idx="2531">
                  <c:v>3239353450</c:v>
                </c:pt>
                <c:pt idx="2532">
                  <c:v>3070684348</c:v>
                </c:pt>
                <c:pt idx="2533">
                  <c:v>2926083817</c:v>
                </c:pt>
                <c:pt idx="2534">
                  <c:v>2960132803</c:v>
                </c:pt>
                <c:pt idx="2535">
                  <c:v>2725815746</c:v>
                </c:pt>
                <c:pt idx="2536">
                  <c:v>2906346124</c:v>
                </c:pt>
                <c:pt idx="2537">
                  <c:v>2707325899</c:v>
                </c:pt>
                <c:pt idx="2538">
                  <c:v>2661230208</c:v>
                </c:pt>
                <c:pt idx="2539">
                  <c:v>2380580575</c:v>
                </c:pt>
                <c:pt idx="2540">
                  <c:v>2540145869</c:v>
                </c:pt>
                <c:pt idx="2541">
                  <c:v>2435234286</c:v>
                </c:pt>
                <c:pt idx="2542">
                  <c:v>2709241305</c:v>
                </c:pt>
                <c:pt idx="2543">
                  <c:v>2891247534</c:v>
                </c:pt>
                <c:pt idx="2544">
                  <c:v>2520881740</c:v>
                </c:pt>
                <c:pt idx="2545">
                  <c:v>2348139435</c:v>
                </c:pt>
                <c:pt idx="2546">
                  <c:v>2334132066</c:v>
                </c:pt>
                <c:pt idx="2547">
                  <c:v>2308231918</c:v>
                </c:pt>
                <c:pt idx="2548">
                  <c:v>2569037287</c:v>
                </c:pt>
                <c:pt idx="2549">
                  <c:v>2734224673</c:v>
                </c:pt>
                <c:pt idx="2550">
                  <c:v>2496800402</c:v>
                </c:pt>
                <c:pt idx="2551">
                  <c:v>3557984906</c:v>
                </c:pt>
                <c:pt idx="2552">
                  <c:v>2692920879</c:v>
                </c:pt>
                <c:pt idx="2553">
                  <c:v>3226746590</c:v>
                </c:pt>
                <c:pt idx="2554">
                  <c:v>3136231628</c:v>
                </c:pt>
                <c:pt idx="2555">
                  <c:v>2867342109</c:v>
                </c:pt>
                <c:pt idx="2556">
                  <c:v>2617737783</c:v>
                </c:pt>
                <c:pt idx="2557">
                  <c:v>2992345589</c:v>
                </c:pt>
                <c:pt idx="2558">
                  <c:v>3509191905</c:v>
                </c:pt>
                <c:pt idx="2559">
                  <c:v>3636375797</c:v>
                </c:pt>
                <c:pt idx="2560">
                  <c:v>3018723346</c:v>
                </c:pt>
                <c:pt idx="2561">
                  <c:v>2583441996</c:v>
                </c:pt>
                <c:pt idx="2562">
                  <c:v>2335196408</c:v>
                </c:pt>
                <c:pt idx="2563">
                  <c:v>2714056407</c:v>
                </c:pt>
                <c:pt idx="2564">
                  <c:v>2630767161</c:v>
                </c:pt>
                <c:pt idx="2565">
                  <c:v>2922879968</c:v>
                </c:pt>
                <c:pt idx="2566">
                  <c:v>2435098356</c:v>
                </c:pt>
                <c:pt idx="2567">
                  <c:v>4234433858</c:v>
                </c:pt>
                <c:pt idx="2568">
                  <c:v>2479499718</c:v>
                </c:pt>
                <c:pt idx="2569">
                  <c:v>2341523848</c:v>
                </c:pt>
                <c:pt idx="2570">
                  <c:v>2181298863</c:v>
                </c:pt>
                <c:pt idx="2571">
                  <c:v>2076509992</c:v>
                </c:pt>
                <c:pt idx="2572">
                  <c:v>1997323727</c:v>
                </c:pt>
                <c:pt idx="2573">
                  <c:v>2017538125</c:v>
                </c:pt>
                <c:pt idx="2574">
                  <c:v>2449168296</c:v>
                </c:pt>
                <c:pt idx="2575">
                  <c:v>2080196324</c:v>
                </c:pt>
                <c:pt idx="2576">
                  <c:v>2644203200</c:v>
                </c:pt>
                <c:pt idx="2577">
                  <c:v>2324492158</c:v>
                </c:pt>
                <c:pt idx="2578">
                  <c:v>2280384041</c:v>
                </c:pt>
                <c:pt idx="2579">
                  <c:v>2420827941</c:v>
                </c:pt>
                <c:pt idx="2580">
                  <c:v>2718023074</c:v>
                </c:pt>
                <c:pt idx="2581">
                  <c:v>2598710105</c:v>
                </c:pt>
                <c:pt idx="2582">
                  <c:v>2247337166</c:v>
                </c:pt>
                <c:pt idx="2583">
                  <c:v>2333774550</c:v>
                </c:pt>
                <c:pt idx="2584">
                  <c:v>2167088424</c:v>
                </c:pt>
                <c:pt idx="2585">
                  <c:v>2103002387</c:v>
                </c:pt>
                <c:pt idx="2586">
                  <c:v>2438692580</c:v>
                </c:pt>
                <c:pt idx="2587">
                  <c:v>2049261518</c:v>
                </c:pt>
                <c:pt idx="2588">
                  <c:v>2246729830</c:v>
                </c:pt>
                <c:pt idx="2589">
                  <c:v>2382044298</c:v>
                </c:pt>
                <c:pt idx="2590">
                  <c:v>2634157914</c:v>
                </c:pt>
                <c:pt idx="2591">
                  <c:v>2515855752</c:v>
                </c:pt>
                <c:pt idx="2592">
                  <c:v>2846155944</c:v>
                </c:pt>
                <c:pt idx="2593">
                  <c:v>2644480439</c:v>
                </c:pt>
                <c:pt idx="2594">
                  <c:v>2645379293</c:v>
                </c:pt>
                <c:pt idx="2595">
                  <c:v>2765340120</c:v>
                </c:pt>
                <c:pt idx="2596">
                  <c:v>2846133680</c:v>
                </c:pt>
                <c:pt idx="2597">
                  <c:v>2741101346</c:v>
                </c:pt>
                <c:pt idx="2598">
                  <c:v>2504555235</c:v>
                </c:pt>
                <c:pt idx="2599">
                  <c:v>2875234248</c:v>
                </c:pt>
                <c:pt idx="2600">
                  <c:v>2869945993</c:v>
                </c:pt>
                <c:pt idx="2601">
                  <c:v>2737777030</c:v>
                </c:pt>
                <c:pt idx="2602">
                  <c:v>3077820809</c:v>
                </c:pt>
                <c:pt idx="2603">
                  <c:v>2915264940</c:v>
                </c:pt>
                <c:pt idx="2604">
                  <c:v>2767622340</c:v>
                </c:pt>
                <c:pt idx="2605">
                  <c:v>3137341972</c:v>
                </c:pt>
                <c:pt idx="2606">
                  <c:v>2540467772</c:v>
                </c:pt>
                <c:pt idx="2607">
                  <c:v>2214046548</c:v>
                </c:pt>
                <c:pt idx="2608">
                  <c:v>2462826212</c:v>
                </c:pt>
                <c:pt idx="2609">
                  <c:v>2719641498</c:v>
                </c:pt>
                <c:pt idx="2610">
                  <c:v>2774587225</c:v>
                </c:pt>
                <c:pt idx="2611">
                  <c:v>3004732400</c:v>
                </c:pt>
                <c:pt idx="2612">
                  <c:v>2406253177</c:v>
                </c:pt>
                <c:pt idx="2613">
                  <c:v>2437966527</c:v>
                </c:pt>
                <c:pt idx="2614">
                  <c:v>2334313273</c:v>
                </c:pt>
                <c:pt idx="2615">
                  <c:v>2400529721</c:v>
                </c:pt>
                <c:pt idx="2616">
                  <c:v>2163529907</c:v>
                </c:pt>
                <c:pt idx="2617">
                  <c:v>3805436157</c:v>
                </c:pt>
                <c:pt idx="2618">
                  <c:v>2172170316</c:v>
                </c:pt>
                <c:pt idx="2619">
                  <c:v>2072172553</c:v>
                </c:pt>
                <c:pt idx="2620">
                  <c:v>1878566492</c:v>
                </c:pt>
                <c:pt idx="2621">
                  <c:v>1919014089</c:v>
                </c:pt>
                <c:pt idx="2622">
                  <c:v>1973745637</c:v>
                </c:pt>
                <c:pt idx="2623">
                  <c:v>1875032906</c:v>
                </c:pt>
                <c:pt idx="2624">
                  <c:v>2040178588</c:v>
                </c:pt>
                <c:pt idx="2625">
                  <c:v>2475868478</c:v>
                </c:pt>
                <c:pt idx="2626">
                  <c:v>3067433318</c:v>
                </c:pt>
                <c:pt idx="2627">
                  <c:v>2639249798</c:v>
                </c:pt>
                <c:pt idx="2628">
                  <c:v>2761970436</c:v>
                </c:pt>
                <c:pt idx="2629">
                  <c:v>3079954729</c:v>
                </c:pt>
                <c:pt idx="2630">
                  <c:v>4667721829</c:v>
                </c:pt>
                <c:pt idx="2631">
                  <c:v>2677535781</c:v>
                </c:pt>
                <c:pt idx="2632">
                  <c:v>2479596731</c:v>
                </c:pt>
                <c:pt idx="2633">
                  <c:v>2511277193</c:v>
                </c:pt>
                <c:pt idx="2634">
                  <c:v>3476679518</c:v>
                </c:pt>
                <c:pt idx="2635">
                  <c:v>2125082913</c:v>
                </c:pt>
                <c:pt idx="2636">
                  <c:v>2247996957</c:v>
                </c:pt>
                <c:pt idx="2637">
                  <c:v>2113449461</c:v>
                </c:pt>
                <c:pt idx="2638">
                  <c:v>2685491463</c:v>
                </c:pt>
                <c:pt idx="2639">
                  <c:v>2192501778</c:v>
                </c:pt>
                <c:pt idx="2640">
                  <c:v>2506625598</c:v>
                </c:pt>
                <c:pt idx="2641">
                  <c:v>2201176371</c:v>
                </c:pt>
                <c:pt idx="2642">
                  <c:v>2085966400</c:v>
                </c:pt>
                <c:pt idx="2643">
                  <c:v>1777058171</c:v>
                </c:pt>
                <c:pt idx="2644">
                  <c:v>1824655815</c:v>
                </c:pt>
                <c:pt idx="2645">
                  <c:v>2131307791</c:v>
                </c:pt>
                <c:pt idx="2646">
                  <c:v>2056282440</c:v>
                </c:pt>
                <c:pt idx="2647">
                  <c:v>2178874683</c:v>
                </c:pt>
                <c:pt idx="2648">
                  <c:v>2327434451</c:v>
                </c:pt>
                <c:pt idx="2649">
                  <c:v>2196942964</c:v>
                </c:pt>
                <c:pt idx="2650">
                  <c:v>2386374889</c:v>
                </c:pt>
                <c:pt idx="2651">
                  <c:v>2346363953</c:v>
                </c:pt>
                <c:pt idx="2652">
                  <c:v>2498555021</c:v>
                </c:pt>
                <c:pt idx="2653">
                  <c:v>2223130836</c:v>
                </c:pt>
                <c:pt idx="2654">
                  <c:v>1945141683</c:v>
                </c:pt>
                <c:pt idx="2655">
                  <c:v>2144610066</c:v>
                </c:pt>
                <c:pt idx="2656">
                  <c:v>2459044831</c:v>
                </c:pt>
                <c:pt idx="2657">
                  <c:v>2549741617</c:v>
                </c:pt>
                <c:pt idx="2658">
                  <c:v>2886406949</c:v>
                </c:pt>
                <c:pt idx="2659">
                  <c:v>2290404134.7575998</c:v>
                </c:pt>
                <c:pt idx="2660">
                  <c:v>2265723779</c:v>
                </c:pt>
                <c:pt idx="2661">
                  <c:v>2432226005</c:v>
                </c:pt>
                <c:pt idx="2662">
                  <c:v>2259557509</c:v>
                </c:pt>
                <c:pt idx="2663">
                  <c:v>2024887684</c:v>
                </c:pt>
                <c:pt idx="2664">
                  <c:v>2118308917</c:v>
                </c:pt>
                <c:pt idx="2665">
                  <c:v>2045740859</c:v>
                </c:pt>
                <c:pt idx="2666">
                  <c:v>2239407036</c:v>
                </c:pt>
                <c:pt idx="2667">
                  <c:v>2080941232</c:v>
                </c:pt>
                <c:pt idx="2668">
                  <c:v>1837439508</c:v>
                </c:pt>
                <c:pt idx="2669">
                  <c:v>1775707808</c:v>
                </c:pt>
                <c:pt idx="2670">
                  <c:v>1909934189</c:v>
                </c:pt>
                <c:pt idx="2671">
                  <c:v>1861058607</c:v>
                </c:pt>
                <c:pt idx="2672">
                  <c:v>1747174197</c:v>
                </c:pt>
                <c:pt idx="2673">
                  <c:v>2044278522</c:v>
                </c:pt>
                <c:pt idx="2674">
                  <c:v>1980081528</c:v>
                </c:pt>
                <c:pt idx="2675">
                  <c:v>1788639687</c:v>
                </c:pt>
                <c:pt idx="2676">
                  <c:v>1736786606</c:v>
                </c:pt>
                <c:pt idx="2677">
                  <c:v>1845810168</c:v>
                </c:pt>
                <c:pt idx="2678">
                  <c:v>2112956660</c:v>
                </c:pt>
                <c:pt idx="2679">
                  <c:v>1890889510</c:v>
                </c:pt>
                <c:pt idx="2680">
                  <c:v>2081001229</c:v>
                </c:pt>
                <c:pt idx="2681">
                  <c:v>2551854859.5204</c:v>
                </c:pt>
                <c:pt idx="2682">
                  <c:v>2303306757.0706</c:v>
                </c:pt>
                <c:pt idx="2683">
                  <c:v>2080325882</c:v>
                </c:pt>
                <c:pt idx="2684">
                  <c:v>2245181905</c:v>
                </c:pt>
                <c:pt idx="2685">
                  <c:v>2207203153</c:v>
                </c:pt>
                <c:pt idx="2686">
                  <c:v>2287421470</c:v>
                </c:pt>
                <c:pt idx="2687">
                  <c:v>2096049232</c:v>
                </c:pt>
                <c:pt idx="2688">
                  <c:v>2144187292</c:v>
                </c:pt>
                <c:pt idx="2689">
                  <c:v>2641640040</c:v>
                </c:pt>
                <c:pt idx="2690">
                  <c:v>2482078227</c:v>
                </c:pt>
                <c:pt idx="2691">
                  <c:v>2510590552</c:v>
                </c:pt>
                <c:pt idx="2692">
                  <c:v>4360545933</c:v>
                </c:pt>
                <c:pt idx="2693">
                  <c:v>2115778064</c:v>
                </c:pt>
                <c:pt idx="2694">
                  <c:v>2334817543</c:v>
                </c:pt>
                <c:pt idx="2695">
                  <c:v>2485994709</c:v>
                </c:pt>
                <c:pt idx="2696">
                  <c:v>2445941297</c:v>
                </c:pt>
                <c:pt idx="2697">
                  <c:v>2807610763</c:v>
                </c:pt>
                <c:pt idx="2698">
                  <c:v>2631140662</c:v>
                </c:pt>
                <c:pt idx="2699">
                  <c:v>2543929467</c:v>
                </c:pt>
                <c:pt idx="2700">
                  <c:v>2634239753</c:v>
                </c:pt>
                <c:pt idx="2701">
                  <c:v>2604839600</c:v>
                </c:pt>
                <c:pt idx="2702">
                  <c:v>3142945550</c:v>
                </c:pt>
                <c:pt idx="2703">
                  <c:v>2734042230</c:v>
                </c:pt>
                <c:pt idx="2704">
                  <c:v>2850684686</c:v>
                </c:pt>
                <c:pt idx="2705">
                  <c:v>2406097925</c:v>
                </c:pt>
                <c:pt idx="2706">
                  <c:v>2451917428</c:v>
                </c:pt>
                <c:pt idx="2707">
                  <c:v>2670998010</c:v>
                </c:pt>
                <c:pt idx="2708">
                  <c:v>2379975370</c:v>
                </c:pt>
                <c:pt idx="2709">
                  <c:v>2730730478</c:v>
                </c:pt>
                <c:pt idx="2710">
                  <c:v>2370590416</c:v>
                </c:pt>
                <c:pt idx="2711">
                  <c:v>3197128807</c:v>
                </c:pt>
                <c:pt idx="2712">
                  <c:v>2661937030</c:v>
                </c:pt>
                <c:pt idx="2713">
                  <c:v>2577719660</c:v>
                </c:pt>
                <c:pt idx="2714">
                  <c:v>2659756947</c:v>
                </c:pt>
                <c:pt idx="2715">
                  <c:v>2400354825</c:v>
                </c:pt>
                <c:pt idx="2716">
                  <c:v>2641513546</c:v>
                </c:pt>
                <c:pt idx="2717">
                  <c:v>3007722663</c:v>
                </c:pt>
                <c:pt idx="2718">
                  <c:v>2587423726</c:v>
                </c:pt>
                <c:pt idx="2719">
                  <c:v>2722411722</c:v>
                </c:pt>
                <c:pt idx="2720">
                  <c:v>2946134171</c:v>
                </c:pt>
                <c:pt idx="2721">
                  <c:v>3088618697</c:v>
                </c:pt>
                <c:pt idx="2722">
                  <c:v>2899801373</c:v>
                </c:pt>
                <c:pt idx="2723">
                  <c:v>2800978345</c:v>
                </c:pt>
                <c:pt idx="2724">
                  <c:v>2616622589</c:v>
                </c:pt>
                <c:pt idx="2725">
                  <c:v>3112059344</c:v>
                </c:pt>
                <c:pt idx="2726">
                  <c:v>2853782123</c:v>
                </c:pt>
                <c:pt idx="2727">
                  <c:v>3019479207</c:v>
                </c:pt>
                <c:pt idx="2728">
                  <c:v>2492839587</c:v>
                </c:pt>
                <c:pt idx="2729">
                  <c:v>2585450787</c:v>
                </c:pt>
                <c:pt idx="2730">
                  <c:v>2535204840</c:v>
                </c:pt>
                <c:pt idx="2731">
                  <c:v>3342969435</c:v>
                </c:pt>
                <c:pt idx="2732">
                  <c:v>3015063689</c:v>
                </c:pt>
                <c:pt idx="2733">
                  <c:v>2607905944</c:v>
                </c:pt>
                <c:pt idx="2734">
                  <c:v>2796620692</c:v>
                </c:pt>
                <c:pt idx="2735">
                  <c:v>2405874725</c:v>
                </c:pt>
                <c:pt idx="2736">
                  <c:v>2196018180</c:v>
                </c:pt>
                <c:pt idx="2737">
                  <c:v>2233622593</c:v>
                </c:pt>
                <c:pt idx="2738">
                  <c:v>2114062649</c:v>
                </c:pt>
                <c:pt idx="2739">
                  <c:v>1997281888</c:v>
                </c:pt>
                <c:pt idx="2740">
                  <c:v>1753489062</c:v>
                </c:pt>
                <c:pt idx="2741">
                  <c:v>901913979</c:v>
                </c:pt>
                <c:pt idx="2742">
                  <c:v>2094426126</c:v>
                </c:pt>
                <c:pt idx="2743">
                  <c:v>1912517741</c:v>
                </c:pt>
                <c:pt idx="2744">
                  <c:v>3721831565</c:v>
                </c:pt>
                <c:pt idx="2745">
                  <c:v>2316143021</c:v>
                </c:pt>
                <c:pt idx="2746">
                  <c:v>2073993715</c:v>
                </c:pt>
                <c:pt idx="2747">
                  <c:v>2283039476</c:v>
                </c:pt>
                <c:pt idx="2748">
                  <c:v>2363290230</c:v>
                </c:pt>
                <c:pt idx="2749">
                  <c:v>2261360347</c:v>
                </c:pt>
                <c:pt idx="2750">
                  <c:v>2156493372</c:v>
                </c:pt>
                <c:pt idx="2751">
                  <c:v>2120259740</c:v>
                </c:pt>
                <c:pt idx="2752">
                  <c:v>2283766184</c:v>
                </c:pt>
                <c:pt idx="2753">
                  <c:v>3099177403</c:v>
                </c:pt>
                <c:pt idx="2754">
                  <c:v>2606576359</c:v>
                </c:pt>
                <c:pt idx="2755">
                  <c:v>2677417769</c:v>
                </c:pt>
                <c:pt idx="2756">
                  <c:v>5019888337</c:v>
                </c:pt>
                <c:pt idx="2757">
                  <c:v>2294959950</c:v>
                </c:pt>
                <c:pt idx="2758">
                  <c:v>2223745612</c:v>
                </c:pt>
                <c:pt idx="2759">
                  <c:v>2145800787</c:v>
                </c:pt>
                <c:pt idx="2760">
                  <c:v>2363139365</c:v>
                </c:pt>
                <c:pt idx="2761">
                  <c:v>1579202603</c:v>
                </c:pt>
                <c:pt idx="2762">
                  <c:v>1753561968</c:v>
                </c:pt>
                <c:pt idx="2763">
                  <c:v>1741218670</c:v>
                </c:pt>
                <c:pt idx="2764">
                  <c:v>1734474936</c:v>
                </c:pt>
                <c:pt idx="2765">
                  <c:v>1704123413</c:v>
                </c:pt>
                <c:pt idx="2766">
                  <c:v>2351704257</c:v>
                </c:pt>
                <c:pt idx="2767">
                  <c:v>2574150675</c:v>
                </c:pt>
                <c:pt idx="2768">
                  <c:v>2254045861</c:v>
                </c:pt>
                <c:pt idx="2769">
                  <c:v>2462500481</c:v>
                </c:pt>
                <c:pt idx="2770">
                  <c:v>2498158582</c:v>
                </c:pt>
                <c:pt idx="2771">
                  <c:v>2140005783</c:v>
                </c:pt>
                <c:pt idx="2772">
                  <c:v>2353913282</c:v>
                </c:pt>
                <c:pt idx="2773">
                  <c:v>2468086405</c:v>
                </c:pt>
                <c:pt idx="2774">
                  <c:v>2305645309</c:v>
                </c:pt>
                <c:pt idx="2775">
                  <c:v>2561165091</c:v>
                </c:pt>
                <c:pt idx="2776">
                  <c:v>2644401366</c:v>
                </c:pt>
                <c:pt idx="2777">
                  <c:v>2550553130</c:v>
                </c:pt>
                <c:pt idx="2778">
                  <c:v>2708753252</c:v>
                </c:pt>
                <c:pt idx="2779">
                  <c:v>2469489503</c:v>
                </c:pt>
                <c:pt idx="2780">
                  <c:v>2103117935</c:v>
                </c:pt>
                <c:pt idx="2781">
                  <c:v>2427959152</c:v>
                </c:pt>
                <c:pt idx="2782">
                  <c:v>2436722285</c:v>
                </c:pt>
                <c:pt idx="2783">
                  <c:v>2573674311</c:v>
                </c:pt>
                <c:pt idx="2784">
                  <c:v>2323118481</c:v>
                </c:pt>
                <c:pt idx="2785">
                  <c:v>2868839133</c:v>
                </c:pt>
                <c:pt idx="2786">
                  <c:v>2963113965</c:v>
                </c:pt>
                <c:pt idx="2787">
                  <c:v>3410570676</c:v>
                </c:pt>
                <c:pt idx="2788">
                  <c:v>2898791369</c:v>
                </c:pt>
                <c:pt idx="2789">
                  <c:v>2285621270</c:v>
                </c:pt>
                <c:pt idx="2790">
                  <c:v>2622828899</c:v>
                </c:pt>
                <c:pt idx="2791">
                  <c:v>2562865048</c:v>
                </c:pt>
                <c:pt idx="2792">
                  <c:v>2664804958</c:v>
                </c:pt>
                <c:pt idx="2793">
                  <c:v>2311050934</c:v>
                </c:pt>
                <c:pt idx="2794">
                  <c:v>2125294422</c:v>
                </c:pt>
                <c:pt idx="2795">
                  <c:v>2220641124</c:v>
                </c:pt>
                <c:pt idx="2796">
                  <c:v>2124554103</c:v>
                </c:pt>
                <c:pt idx="2797">
                  <c:v>2270678476</c:v>
                </c:pt>
                <c:pt idx="2798">
                  <c:v>2399670093</c:v>
                </c:pt>
                <c:pt idx="2799">
                  <c:v>2364296677</c:v>
                </c:pt>
                <c:pt idx="2800">
                  <c:v>2271027470</c:v>
                </c:pt>
                <c:pt idx="2801">
                  <c:v>2316029436</c:v>
                </c:pt>
                <c:pt idx="2802">
                  <c:v>2185600426</c:v>
                </c:pt>
                <c:pt idx="2803">
                  <c:v>2074394964</c:v>
                </c:pt>
                <c:pt idx="2804">
                  <c:v>2776247907</c:v>
                </c:pt>
                <c:pt idx="2805">
                  <c:v>2234879789</c:v>
                </c:pt>
                <c:pt idx="2806">
                  <c:v>2252768227</c:v>
                </c:pt>
                <c:pt idx="2807">
                  <c:v>2232453315</c:v>
                </c:pt>
                <c:pt idx="2808">
                  <c:v>2189913632</c:v>
                </c:pt>
                <c:pt idx="2809">
                  <c:v>2279768642</c:v>
                </c:pt>
                <c:pt idx="2810">
                  <c:v>2040746669</c:v>
                </c:pt>
                <c:pt idx="2811">
                  <c:v>2610567322</c:v>
                </c:pt>
                <c:pt idx="2812">
                  <c:v>3224149593</c:v>
                </c:pt>
                <c:pt idx="2813">
                  <c:v>3998505947</c:v>
                </c:pt>
                <c:pt idx="2814">
                  <c:v>3434041869</c:v>
                </c:pt>
                <c:pt idx="2815">
                  <c:v>3692412901</c:v>
                </c:pt>
                <c:pt idx="2816">
                  <c:v>3620888964</c:v>
                </c:pt>
                <c:pt idx="2817">
                  <c:v>5743241303</c:v>
                </c:pt>
                <c:pt idx="2818">
                  <c:v>2958330107</c:v>
                </c:pt>
                <c:pt idx="2819">
                  <c:v>2998269348</c:v>
                </c:pt>
                <c:pt idx="2820">
                  <c:v>2722934161</c:v>
                </c:pt>
                <c:pt idx="2821">
                  <c:v>2821295818</c:v>
                </c:pt>
                <c:pt idx="2822">
                  <c:v>2609179699</c:v>
                </c:pt>
                <c:pt idx="2823">
                  <c:v>2462252346</c:v>
                </c:pt>
                <c:pt idx="2824">
                  <c:v>1993129645</c:v>
                </c:pt>
                <c:pt idx="2825">
                  <c:v>2265665116</c:v>
                </c:pt>
                <c:pt idx="2826">
                  <c:v>2136728201</c:v>
                </c:pt>
                <c:pt idx="2827">
                  <c:v>2525400584</c:v>
                </c:pt>
                <c:pt idx="2828">
                  <c:v>2427596313</c:v>
                </c:pt>
                <c:pt idx="2829">
                  <c:v>2263558030</c:v>
                </c:pt>
                <c:pt idx="2830">
                  <c:v>2329609104</c:v>
                </c:pt>
                <c:pt idx="2831">
                  <c:v>2074707142</c:v>
                </c:pt>
                <c:pt idx="2832">
                  <c:v>1951641661</c:v>
                </c:pt>
                <c:pt idx="2833">
                  <c:v>2000949147</c:v>
                </c:pt>
                <c:pt idx="2834">
                  <c:v>2249009085</c:v>
                </c:pt>
                <c:pt idx="2835">
                  <c:v>2198579364</c:v>
                </c:pt>
                <c:pt idx="2836">
                  <c:v>2089948592</c:v>
                </c:pt>
                <c:pt idx="2837">
                  <c:v>2134208037</c:v>
                </c:pt>
                <c:pt idx="2838">
                  <c:v>2125370001</c:v>
                </c:pt>
                <c:pt idx="2839">
                  <c:v>2167627544</c:v>
                </c:pt>
                <c:pt idx="2840">
                  <c:v>2452866920</c:v>
                </c:pt>
                <c:pt idx="2841">
                  <c:v>2298537544</c:v>
                </c:pt>
                <c:pt idx="2842">
                  <c:v>2122318243</c:v>
                </c:pt>
                <c:pt idx="2843">
                  <c:v>2574200878</c:v>
                </c:pt>
                <c:pt idx="2844">
                  <c:v>2706613848</c:v>
                </c:pt>
                <c:pt idx="2845">
                  <c:v>2719396344</c:v>
                </c:pt>
                <c:pt idx="2846">
                  <c:v>2732583160</c:v>
                </c:pt>
                <c:pt idx="2847">
                  <c:v>2224868817</c:v>
                </c:pt>
                <c:pt idx="2848">
                  <c:v>2648056928</c:v>
                </c:pt>
                <c:pt idx="2849">
                  <c:v>2576228540</c:v>
                </c:pt>
                <c:pt idx="2850">
                  <c:v>2878155272</c:v>
                </c:pt>
                <c:pt idx="2851">
                  <c:v>2466850794</c:v>
                </c:pt>
                <c:pt idx="2852">
                  <c:v>2114263205</c:v>
                </c:pt>
                <c:pt idx="2853">
                  <c:v>2062396327</c:v>
                </c:pt>
                <c:pt idx="2854">
                  <c:v>2341053558</c:v>
                </c:pt>
                <c:pt idx="2855">
                  <c:v>2245650154</c:v>
                </c:pt>
                <c:pt idx="2856">
                  <c:v>2076453332</c:v>
                </c:pt>
                <c:pt idx="2857">
                  <c:v>2051963971</c:v>
                </c:pt>
                <c:pt idx="2858">
                  <c:v>2204940543</c:v>
                </c:pt>
                <c:pt idx="2859">
                  <c:v>2448302781</c:v>
                </c:pt>
                <c:pt idx="2860">
                  <c:v>2416803411</c:v>
                </c:pt>
                <c:pt idx="2861">
                  <c:v>2350593331</c:v>
                </c:pt>
                <c:pt idx="2862">
                  <c:v>2222520734</c:v>
                </c:pt>
                <c:pt idx="2863">
                  <c:v>2437496305</c:v>
                </c:pt>
                <c:pt idx="2864">
                  <c:v>2295840859</c:v>
                </c:pt>
                <c:pt idx="2865">
                  <c:v>2827444614</c:v>
                </c:pt>
                <c:pt idx="2866">
                  <c:v>2591254017</c:v>
                </c:pt>
                <c:pt idx="2867">
                  <c:v>2568042721</c:v>
                </c:pt>
                <c:pt idx="2868">
                  <c:v>4396247534</c:v>
                </c:pt>
                <c:pt idx="2869">
                  <c:v>2593535081</c:v>
                </c:pt>
                <c:pt idx="2870">
                  <c:v>2727572445</c:v>
                </c:pt>
                <c:pt idx="2871">
                  <c:v>2188378526</c:v>
                </c:pt>
                <c:pt idx="2872">
                  <c:v>2246423347</c:v>
                </c:pt>
                <c:pt idx="2873">
                  <c:v>2720308985</c:v>
                </c:pt>
                <c:pt idx="2874">
                  <c:v>2225615199</c:v>
                </c:pt>
                <c:pt idx="2875">
                  <c:v>2136702819</c:v>
                </c:pt>
                <c:pt idx="2876">
                  <c:v>2453364699</c:v>
                </c:pt>
                <c:pt idx="2877">
                  <c:v>2543848564</c:v>
                </c:pt>
                <c:pt idx="2878">
                  <c:v>2632647795</c:v>
                </c:pt>
                <c:pt idx="2879">
                  <c:v>2574876443</c:v>
                </c:pt>
                <c:pt idx="2880">
                  <c:v>4185054291</c:v>
                </c:pt>
                <c:pt idx="2881">
                  <c:v>2438264940</c:v>
                </c:pt>
                <c:pt idx="2882">
                  <c:v>2342110707</c:v>
                </c:pt>
                <c:pt idx="2883">
                  <c:v>2101340593</c:v>
                </c:pt>
                <c:pt idx="2884">
                  <c:v>3062977301</c:v>
                </c:pt>
                <c:pt idx="2885">
                  <c:v>2249250625</c:v>
                </c:pt>
                <c:pt idx="2886">
                  <c:v>2289549269</c:v>
                </c:pt>
                <c:pt idx="2887">
                  <c:v>2283456075</c:v>
                </c:pt>
                <c:pt idx="2888">
                  <c:v>2158939109</c:v>
                </c:pt>
                <c:pt idx="2889">
                  <c:v>2491966612</c:v>
                </c:pt>
                <c:pt idx="2890">
                  <c:v>1236150700</c:v>
                </c:pt>
                <c:pt idx="2891">
                  <c:v>2115015525</c:v>
                </c:pt>
                <c:pt idx="2892">
                  <c:v>2224381526</c:v>
                </c:pt>
                <c:pt idx="2893">
                  <c:v>2111125773</c:v>
                </c:pt>
                <c:pt idx="2894">
                  <c:v>2168941075</c:v>
                </c:pt>
                <c:pt idx="2895">
                  <c:v>2129927844</c:v>
                </c:pt>
                <c:pt idx="2896">
                  <c:v>2330249912</c:v>
                </c:pt>
                <c:pt idx="2897">
                  <c:v>2254150794</c:v>
                </c:pt>
                <c:pt idx="2898">
                  <c:v>2379047405</c:v>
                </c:pt>
                <c:pt idx="2899">
                  <c:v>2359710601</c:v>
                </c:pt>
                <c:pt idx="2900">
                  <c:v>2538849602</c:v>
                </c:pt>
                <c:pt idx="2901">
                  <c:v>2597461645</c:v>
                </c:pt>
                <c:pt idx="2902">
                  <c:v>2595426819</c:v>
                </c:pt>
                <c:pt idx="2903">
                  <c:v>3277670172</c:v>
                </c:pt>
                <c:pt idx="2904">
                  <c:v>2156130111</c:v>
                </c:pt>
                <c:pt idx="2905">
                  <c:v>2305628861</c:v>
                </c:pt>
                <c:pt idx="2906">
                  <c:v>2320509101</c:v>
                </c:pt>
                <c:pt idx="2907">
                  <c:v>2680598316</c:v>
                </c:pt>
                <c:pt idx="2908">
                  <c:v>2363048132</c:v>
                </c:pt>
                <c:pt idx="2909">
                  <c:v>2415231060</c:v>
                </c:pt>
                <c:pt idx="2910">
                  <c:v>2179828757</c:v>
                </c:pt>
                <c:pt idx="2911">
                  <c:v>2467424038</c:v>
                </c:pt>
                <c:pt idx="2912">
                  <c:v>2363725888</c:v>
                </c:pt>
                <c:pt idx="2913">
                  <c:v>2411632698</c:v>
                </c:pt>
                <c:pt idx="2914">
                  <c:v>2051647102</c:v>
                </c:pt>
                <c:pt idx="2915">
                  <c:v>2169756994</c:v>
                </c:pt>
                <c:pt idx="2916">
                  <c:v>2058789858</c:v>
                </c:pt>
                <c:pt idx="2917">
                  <c:v>2116254445</c:v>
                </c:pt>
                <c:pt idx="2918">
                  <c:v>1849920370</c:v>
                </c:pt>
                <c:pt idx="2919">
                  <c:v>1957703753</c:v>
                </c:pt>
                <c:pt idx="2920">
                  <c:v>1976890010</c:v>
                </c:pt>
                <c:pt idx="2921">
                  <c:v>2007563221</c:v>
                </c:pt>
                <c:pt idx="2922">
                  <c:v>2222818962</c:v>
                </c:pt>
                <c:pt idx="2923">
                  <c:v>2159681725</c:v>
                </c:pt>
                <c:pt idx="2924">
                  <c:v>2058836126</c:v>
                </c:pt>
                <c:pt idx="2925">
                  <c:v>1904585562</c:v>
                </c:pt>
                <c:pt idx="2926">
                  <c:v>2021761268</c:v>
                </c:pt>
                <c:pt idx="2927">
                  <c:v>2082566773</c:v>
                </c:pt>
                <c:pt idx="2928">
                  <c:v>1892067072</c:v>
                </c:pt>
                <c:pt idx="2929">
                  <c:v>1631738412</c:v>
                </c:pt>
                <c:pt idx="2930">
                  <c:v>1884706898</c:v>
                </c:pt>
                <c:pt idx="2931">
                  <c:v>1788662114</c:v>
                </c:pt>
                <c:pt idx="2932">
                  <c:v>2319094206</c:v>
                </c:pt>
                <c:pt idx="2933">
                  <c:v>1927089047</c:v>
                </c:pt>
                <c:pt idx="2934">
                  <c:v>2126482524</c:v>
                </c:pt>
                <c:pt idx="2935">
                  <c:v>2134658586</c:v>
                </c:pt>
                <c:pt idx="2936">
                  <c:v>2443175221</c:v>
                </c:pt>
                <c:pt idx="2937">
                  <c:v>2079878833</c:v>
                </c:pt>
                <c:pt idx="2938">
                  <c:v>2165432407</c:v>
                </c:pt>
                <c:pt idx="2939">
                  <c:v>2188365100</c:v>
                </c:pt>
                <c:pt idx="2940">
                  <c:v>2265557149</c:v>
                </c:pt>
                <c:pt idx="2941">
                  <c:v>2273685163</c:v>
                </c:pt>
                <c:pt idx="2942">
                  <c:v>4239330106</c:v>
                </c:pt>
                <c:pt idx="2943">
                  <c:v>1925329039</c:v>
                </c:pt>
                <c:pt idx="2944">
                  <c:v>2013002833</c:v>
                </c:pt>
                <c:pt idx="2945">
                  <c:v>1981250299</c:v>
                </c:pt>
                <c:pt idx="2946">
                  <c:v>2292425252</c:v>
                </c:pt>
                <c:pt idx="2947">
                  <c:v>2131667228</c:v>
                </c:pt>
                <c:pt idx="2948">
                  <c:v>1860152658</c:v>
                </c:pt>
                <c:pt idx="2949">
                  <c:v>2130315512</c:v>
                </c:pt>
                <c:pt idx="2950">
                  <c:v>2299352689</c:v>
                </c:pt>
                <c:pt idx="2951">
                  <c:v>2240204319</c:v>
                </c:pt>
                <c:pt idx="2952">
                  <c:v>2406132169</c:v>
                </c:pt>
                <c:pt idx="2953">
                  <c:v>2374624170</c:v>
                </c:pt>
                <c:pt idx="2954">
                  <c:v>2421468261</c:v>
                </c:pt>
                <c:pt idx="2955">
                  <c:v>2324498903</c:v>
                </c:pt>
                <c:pt idx="2956">
                  <c:v>2214792439</c:v>
                </c:pt>
                <c:pt idx="2957">
                  <c:v>2489880710</c:v>
                </c:pt>
                <c:pt idx="2958">
                  <c:v>1988768924</c:v>
                </c:pt>
                <c:pt idx="2959">
                  <c:v>2166155537</c:v>
                </c:pt>
                <c:pt idx="2960">
                  <c:v>2123886315</c:v>
                </c:pt>
                <c:pt idx="2961">
                  <c:v>2346632881</c:v>
                </c:pt>
                <c:pt idx="2962">
                  <c:v>2302984817</c:v>
                </c:pt>
                <c:pt idx="2963">
                  <c:v>2131763895</c:v>
                </c:pt>
                <c:pt idx="2964">
                  <c:v>2356409078</c:v>
                </c:pt>
                <c:pt idx="2965">
                  <c:v>2398222110</c:v>
                </c:pt>
                <c:pt idx="2966">
                  <c:v>2651568444</c:v>
                </c:pt>
                <c:pt idx="2967">
                  <c:v>2734214474</c:v>
                </c:pt>
                <c:pt idx="2968">
                  <c:v>2453362856</c:v>
                </c:pt>
                <c:pt idx="2969">
                  <c:v>2494717609</c:v>
                </c:pt>
                <c:pt idx="2970">
                  <c:v>2679078988</c:v>
                </c:pt>
                <c:pt idx="2971">
                  <c:v>3005920212</c:v>
                </c:pt>
                <c:pt idx="2972">
                  <c:v>2806304532</c:v>
                </c:pt>
                <c:pt idx="2973">
                  <c:v>2612198547</c:v>
                </c:pt>
                <c:pt idx="2974">
                  <c:v>2707294939</c:v>
                </c:pt>
                <c:pt idx="2975">
                  <c:v>2816162441</c:v>
                </c:pt>
                <c:pt idx="2976">
                  <c:v>2832866448</c:v>
                </c:pt>
                <c:pt idx="2977">
                  <c:v>2684012374</c:v>
                </c:pt>
                <c:pt idx="2978">
                  <c:v>2179931864</c:v>
                </c:pt>
                <c:pt idx="2979">
                  <c:v>2281729918</c:v>
                </c:pt>
                <c:pt idx="2980">
                  <c:v>2290395761</c:v>
                </c:pt>
                <c:pt idx="2981">
                  <c:v>2359322477</c:v>
                </c:pt>
                <c:pt idx="2982">
                  <c:v>2250329104</c:v>
                </c:pt>
                <c:pt idx="2983">
                  <c:v>1990746804</c:v>
                </c:pt>
                <c:pt idx="2984">
                  <c:v>2683327879</c:v>
                </c:pt>
                <c:pt idx="2985">
                  <c:v>2571112283</c:v>
                </c:pt>
                <c:pt idx="2986">
                  <c:v>2502760821</c:v>
                </c:pt>
                <c:pt idx="2987">
                  <c:v>2272264722</c:v>
                </c:pt>
                <c:pt idx="2988">
                  <c:v>2181326784</c:v>
                </c:pt>
                <c:pt idx="2989">
                  <c:v>2063417712</c:v>
                </c:pt>
                <c:pt idx="2990">
                  <c:v>1886708097</c:v>
                </c:pt>
                <c:pt idx="2991">
                  <c:v>891720277</c:v>
                </c:pt>
                <c:pt idx="2992">
                  <c:v>2024029146</c:v>
                </c:pt>
                <c:pt idx="2993">
                  <c:v>2097781469</c:v>
                </c:pt>
                <c:pt idx="2994">
                  <c:v>2434604114</c:v>
                </c:pt>
                <c:pt idx="2995">
                  <c:v>3550309990</c:v>
                </c:pt>
                <c:pt idx="2996">
                  <c:v>2544483462</c:v>
                </c:pt>
                <c:pt idx="2997">
                  <c:v>2490316718</c:v>
                </c:pt>
                <c:pt idx="2998">
                  <c:v>2338779937</c:v>
                </c:pt>
                <c:pt idx="2999">
                  <c:v>2403741486</c:v>
                </c:pt>
                <c:pt idx="3000">
                  <c:v>2469802159</c:v>
                </c:pt>
                <c:pt idx="3001">
                  <c:v>2333925302</c:v>
                </c:pt>
                <c:pt idx="3002">
                  <c:v>2434162631</c:v>
                </c:pt>
                <c:pt idx="3003">
                  <c:v>2365341118</c:v>
                </c:pt>
                <c:pt idx="3004">
                  <c:v>3014960633</c:v>
                </c:pt>
                <c:pt idx="3005">
                  <c:v>3872955047</c:v>
                </c:pt>
                <c:pt idx="3006">
                  <c:v>5311921335</c:v>
                </c:pt>
                <c:pt idx="3007">
                  <c:v>2434634036</c:v>
                </c:pt>
                <c:pt idx="3008">
                  <c:v>2325208666</c:v>
                </c:pt>
                <c:pt idx="3009">
                  <c:v>2485662722</c:v>
                </c:pt>
                <c:pt idx="3010">
                  <c:v>2154794168</c:v>
                </c:pt>
                <c:pt idx="3011">
                  <c:v>1743793044</c:v>
                </c:pt>
                <c:pt idx="3012">
                  <c:v>1447990937</c:v>
                </c:pt>
                <c:pt idx="3013">
                  <c:v>1611192991</c:v>
                </c:pt>
                <c:pt idx="3014">
                  <c:v>1482518840</c:v>
                </c:pt>
                <c:pt idx="3015">
                  <c:v>1742503214</c:v>
                </c:pt>
                <c:pt idx="3016">
                  <c:v>2438700029</c:v>
                </c:pt>
                <c:pt idx="3017">
                  <c:v>2459537218</c:v>
                </c:pt>
                <c:pt idx="3018">
                  <c:v>2371772728</c:v>
                </c:pt>
                <c:pt idx="3019">
                  <c:v>2211672077</c:v>
                </c:pt>
                <c:pt idx="3020">
                  <c:v>2311628659</c:v>
                </c:pt>
                <c:pt idx="3021">
                  <c:v>2241198577</c:v>
                </c:pt>
                <c:pt idx="3022">
                  <c:v>2165979629</c:v>
                </c:pt>
                <c:pt idx="3023">
                  <c:v>2320989197</c:v>
                </c:pt>
                <c:pt idx="3024">
                  <c:v>2251917810</c:v>
                </c:pt>
                <c:pt idx="3025">
                  <c:v>2601533887</c:v>
                </c:pt>
                <c:pt idx="3026">
                  <c:v>2323282256</c:v>
                </c:pt>
                <c:pt idx="3027">
                  <c:v>2595424433</c:v>
                </c:pt>
                <c:pt idx="3028">
                  <c:v>2778139489</c:v>
                </c:pt>
                <c:pt idx="3029">
                  <c:v>2674489114</c:v>
                </c:pt>
                <c:pt idx="3030">
                  <c:v>2409552852</c:v>
                </c:pt>
                <c:pt idx="3031">
                  <c:v>2709582602</c:v>
                </c:pt>
                <c:pt idx="3032">
                  <c:v>2925824199</c:v>
                </c:pt>
                <c:pt idx="3033">
                  <c:v>2391994169</c:v>
                </c:pt>
                <c:pt idx="3034">
                  <c:v>2318280410</c:v>
                </c:pt>
                <c:pt idx="3035">
                  <c:v>2599908804</c:v>
                </c:pt>
                <c:pt idx="3036">
                  <c:v>3304847212</c:v>
                </c:pt>
                <c:pt idx="3037">
                  <c:v>2850372778</c:v>
                </c:pt>
                <c:pt idx="3038">
                  <c:v>2805437389</c:v>
                </c:pt>
                <c:pt idx="3039">
                  <c:v>2594978093</c:v>
                </c:pt>
                <c:pt idx="3040">
                  <c:v>2488633314</c:v>
                </c:pt>
                <c:pt idx="3041">
                  <c:v>2600464337</c:v>
                </c:pt>
                <c:pt idx="3042">
                  <c:v>2439217345</c:v>
                </c:pt>
                <c:pt idx="3043">
                  <c:v>2314039033</c:v>
                </c:pt>
                <c:pt idx="3044">
                  <c:v>2243585026</c:v>
                </c:pt>
                <c:pt idx="3045">
                  <c:v>2596243811</c:v>
                </c:pt>
                <c:pt idx="3046">
                  <c:v>2324738755</c:v>
                </c:pt>
                <c:pt idx="3047">
                  <c:v>2448592265</c:v>
                </c:pt>
                <c:pt idx="3048">
                  <c:v>2321398576</c:v>
                </c:pt>
                <c:pt idx="3049">
                  <c:v>2479202447</c:v>
                </c:pt>
                <c:pt idx="3050">
                  <c:v>2285353273</c:v>
                </c:pt>
                <c:pt idx="3051">
                  <c:v>2587708301</c:v>
                </c:pt>
                <c:pt idx="3052">
                  <c:v>2261782711</c:v>
                </c:pt>
                <c:pt idx="3053">
                  <c:v>2259650376</c:v>
                </c:pt>
                <c:pt idx="3054">
                  <c:v>2154332795</c:v>
                </c:pt>
                <c:pt idx="3055">
                  <c:v>2091422108</c:v>
                </c:pt>
                <c:pt idx="3056">
                  <c:v>3317173868</c:v>
                </c:pt>
                <c:pt idx="3057">
                  <c:v>2477695327</c:v>
                </c:pt>
                <c:pt idx="3058">
                  <c:v>2818607654</c:v>
                </c:pt>
                <c:pt idx="3059">
                  <c:v>2679706658</c:v>
                </c:pt>
                <c:pt idx="3060">
                  <c:v>2601927495</c:v>
                </c:pt>
                <c:pt idx="3061">
                  <c:v>2385022115</c:v>
                </c:pt>
                <c:pt idx="3062">
                  <c:v>2426961467</c:v>
                </c:pt>
                <c:pt idx="3063">
                  <c:v>2202734060</c:v>
                </c:pt>
                <c:pt idx="3064">
                  <c:v>2310772429</c:v>
                </c:pt>
                <c:pt idx="3065">
                  <c:v>2415696749</c:v>
                </c:pt>
                <c:pt idx="3066">
                  <c:v>2640696835</c:v>
                </c:pt>
                <c:pt idx="3067">
                  <c:v>5130706705</c:v>
                </c:pt>
                <c:pt idx="3068">
                  <c:v>2399639733</c:v>
                </c:pt>
                <c:pt idx="3069">
                  <c:v>2203396793</c:v>
                </c:pt>
                <c:pt idx="3070">
                  <c:v>2325178060</c:v>
                </c:pt>
                <c:pt idx="3071">
                  <c:v>2526285033</c:v>
                </c:pt>
                <c:pt idx="3072">
                  <c:v>2016955324</c:v>
                </c:pt>
                <c:pt idx="3073">
                  <c:v>2087907897</c:v>
                </c:pt>
                <c:pt idx="3074">
                  <c:v>2263813090</c:v>
                </c:pt>
                <c:pt idx="3075">
                  <c:v>2286418193</c:v>
                </c:pt>
                <c:pt idx="3076">
                  <c:v>2404021251</c:v>
                </c:pt>
                <c:pt idx="3077">
                  <c:v>1976432105</c:v>
                </c:pt>
                <c:pt idx="3078">
                  <c:v>2374146858</c:v>
                </c:pt>
                <c:pt idx="3079">
                  <c:v>2287219066</c:v>
                </c:pt>
                <c:pt idx="3080">
                  <c:v>2526870842</c:v>
                </c:pt>
                <c:pt idx="3081">
                  <c:v>2189563251</c:v>
                </c:pt>
                <c:pt idx="3082">
                  <c:v>2000910024</c:v>
                </c:pt>
                <c:pt idx="3083">
                  <c:v>2035068912</c:v>
                </c:pt>
                <c:pt idx="3084">
                  <c:v>2297703488</c:v>
                </c:pt>
                <c:pt idx="3085">
                  <c:v>2225501129</c:v>
                </c:pt>
                <c:pt idx="3086">
                  <c:v>2437575759</c:v>
                </c:pt>
                <c:pt idx="3087">
                  <c:v>2319451668</c:v>
                </c:pt>
                <c:pt idx="3088">
                  <c:v>2347349557</c:v>
                </c:pt>
                <c:pt idx="3089">
                  <c:v>2295627862</c:v>
                </c:pt>
                <c:pt idx="3090">
                  <c:v>2217368600</c:v>
                </c:pt>
                <c:pt idx="3091">
                  <c:v>2735280288</c:v>
                </c:pt>
                <c:pt idx="3092">
                  <c:v>2352808739</c:v>
                </c:pt>
                <c:pt idx="3093">
                  <c:v>2346599683</c:v>
                </c:pt>
                <c:pt idx="3094">
                  <c:v>2548618761</c:v>
                </c:pt>
                <c:pt idx="3095">
                  <c:v>2714067024</c:v>
                </c:pt>
                <c:pt idx="3096">
                  <c:v>2411681661</c:v>
                </c:pt>
                <c:pt idx="3097">
                  <c:v>2358542839</c:v>
                </c:pt>
                <c:pt idx="3098">
                  <c:v>2794500429</c:v>
                </c:pt>
                <c:pt idx="3099">
                  <c:v>2897659203</c:v>
                </c:pt>
                <c:pt idx="3100">
                  <c:v>2623809616</c:v>
                </c:pt>
                <c:pt idx="3101">
                  <c:v>2454686447</c:v>
                </c:pt>
                <c:pt idx="3102">
                  <c:v>2196280800</c:v>
                </c:pt>
                <c:pt idx="3103">
                  <c:v>2293458854</c:v>
                </c:pt>
                <c:pt idx="3104">
                  <c:v>2107757418</c:v>
                </c:pt>
                <c:pt idx="3105">
                  <c:v>1975552229</c:v>
                </c:pt>
                <c:pt idx="3106">
                  <c:v>1878510189</c:v>
                </c:pt>
                <c:pt idx="3107">
                  <c:v>1961589631</c:v>
                </c:pt>
                <c:pt idx="3108">
                  <c:v>2035819885</c:v>
                </c:pt>
                <c:pt idx="3109">
                  <c:v>2316274995</c:v>
                </c:pt>
                <c:pt idx="3110">
                  <c:v>2208658193</c:v>
                </c:pt>
                <c:pt idx="3111">
                  <c:v>1970449920</c:v>
                </c:pt>
                <c:pt idx="3112">
                  <c:v>1850085770</c:v>
                </c:pt>
                <c:pt idx="3113">
                  <c:v>1989595940</c:v>
                </c:pt>
                <c:pt idx="3114">
                  <c:v>2094854091</c:v>
                </c:pt>
                <c:pt idx="3115">
                  <c:v>2298491779</c:v>
                </c:pt>
                <c:pt idx="3116">
                  <c:v>1742668171</c:v>
                </c:pt>
                <c:pt idx="3117">
                  <c:v>2121768716</c:v>
                </c:pt>
                <c:pt idx="3118">
                  <c:v>2262811675</c:v>
                </c:pt>
                <c:pt idx="3119">
                  <c:v>2347065836</c:v>
                </c:pt>
                <c:pt idx="3120">
                  <c:v>3926771337</c:v>
                </c:pt>
                <c:pt idx="3121">
                  <c:v>2312234085</c:v>
                </c:pt>
                <c:pt idx="3122">
                  <c:v>2176202870</c:v>
                </c:pt>
                <c:pt idx="3123">
                  <c:v>2173890233</c:v>
                </c:pt>
                <c:pt idx="3124">
                  <c:v>2038598824</c:v>
                </c:pt>
                <c:pt idx="3125">
                  <c:v>1873173209</c:v>
                </c:pt>
                <c:pt idx="3126">
                  <c:v>2464401855</c:v>
                </c:pt>
                <c:pt idx="3127">
                  <c:v>2345183455</c:v>
                </c:pt>
                <c:pt idx="3128">
                  <c:v>2719670709</c:v>
                </c:pt>
                <c:pt idx="3129">
                  <c:v>2422956962</c:v>
                </c:pt>
                <c:pt idx="3130">
                  <c:v>2263451050</c:v>
                </c:pt>
                <c:pt idx="3131">
                  <c:v>2441679412</c:v>
                </c:pt>
                <c:pt idx="3132">
                  <c:v>2464316280</c:v>
                </c:pt>
                <c:pt idx="3133">
                  <c:v>2911217741</c:v>
                </c:pt>
                <c:pt idx="3134">
                  <c:v>5250419839</c:v>
                </c:pt>
                <c:pt idx="3135">
                  <c:v>2784702853</c:v>
                </c:pt>
                <c:pt idx="3136">
                  <c:v>2621644040</c:v>
                </c:pt>
                <c:pt idx="3137">
                  <c:v>2599403409</c:v>
                </c:pt>
                <c:pt idx="3138">
                  <c:v>2479600758</c:v>
                </c:pt>
                <c:pt idx="3139">
                  <c:v>4197548072</c:v>
                </c:pt>
                <c:pt idx="3140">
                  <c:v>2433991467</c:v>
                </c:pt>
                <c:pt idx="3141">
                  <c:v>2342512009</c:v>
                </c:pt>
                <c:pt idx="3142">
                  <c:v>1561072809</c:v>
                </c:pt>
                <c:pt idx="3143">
                  <c:v>2263729908</c:v>
                </c:pt>
                <c:pt idx="3144">
                  <c:v>2332765276</c:v>
                </c:pt>
                <c:pt idx="3145">
                  <c:v>2413050509</c:v>
                </c:pt>
                <c:pt idx="3146">
                  <c:v>2301402646</c:v>
                </c:pt>
                <c:pt idx="3147">
                  <c:v>2887487972</c:v>
                </c:pt>
                <c:pt idx="3148">
                  <c:v>2472649993</c:v>
                </c:pt>
                <c:pt idx="3149">
                  <c:v>2410721815</c:v>
                </c:pt>
                <c:pt idx="3150">
                  <c:v>2528071451</c:v>
                </c:pt>
                <c:pt idx="3151">
                  <c:v>3173114918</c:v>
                </c:pt>
                <c:pt idx="3152">
                  <c:v>2935073001</c:v>
                </c:pt>
                <c:pt idx="3153">
                  <c:v>2649224224</c:v>
                </c:pt>
                <c:pt idx="3154">
                  <c:v>2525550865</c:v>
                </c:pt>
                <c:pt idx="3155">
                  <c:v>2425966152</c:v>
                </c:pt>
                <c:pt idx="3156">
                  <c:v>3050597564</c:v>
                </c:pt>
                <c:pt idx="3157">
                  <c:v>3529408636</c:v>
                </c:pt>
                <c:pt idx="3158">
                  <c:v>2644512496</c:v>
                </c:pt>
                <c:pt idx="3159">
                  <c:v>2380028599</c:v>
                </c:pt>
                <c:pt idx="3160">
                  <c:v>3024984923</c:v>
                </c:pt>
                <c:pt idx="3161">
                  <c:v>3466915317</c:v>
                </c:pt>
                <c:pt idx="3162">
                  <c:v>3465998526</c:v>
                </c:pt>
                <c:pt idx="3163">
                  <c:v>4005791030</c:v>
                </c:pt>
                <c:pt idx="3164">
                  <c:v>4013798197</c:v>
                </c:pt>
                <c:pt idx="3165">
                  <c:v>3179578829</c:v>
                </c:pt>
                <c:pt idx="3166">
                  <c:v>2994459938</c:v>
                </c:pt>
                <c:pt idx="3167">
                  <c:v>2714860214</c:v>
                </c:pt>
                <c:pt idx="3168">
                  <c:v>2195024918</c:v>
                </c:pt>
                <c:pt idx="3169">
                  <c:v>2285608247</c:v>
                </c:pt>
                <c:pt idx="3170">
                  <c:v>2602423658</c:v>
                </c:pt>
                <c:pt idx="3171">
                  <c:v>2352132914</c:v>
                </c:pt>
                <c:pt idx="3172">
                  <c:v>2676735788</c:v>
                </c:pt>
                <c:pt idx="3173">
                  <c:v>2290560567</c:v>
                </c:pt>
                <c:pt idx="3174">
                  <c:v>2091521270</c:v>
                </c:pt>
                <c:pt idx="3175">
                  <c:v>2143953087</c:v>
                </c:pt>
                <c:pt idx="3176">
                  <c:v>2043181668</c:v>
                </c:pt>
                <c:pt idx="3177">
                  <c:v>2229614521</c:v>
                </c:pt>
                <c:pt idx="3178">
                  <c:v>2217187088</c:v>
                </c:pt>
                <c:pt idx="3179">
                  <c:v>2019362094</c:v>
                </c:pt>
                <c:pt idx="3180">
                  <c:v>1985907243</c:v>
                </c:pt>
                <c:pt idx="3181">
                  <c:v>2195175203</c:v>
                </c:pt>
                <c:pt idx="3182">
                  <c:v>2330884305</c:v>
                </c:pt>
                <c:pt idx="3183">
                  <c:v>2763540635</c:v>
                </c:pt>
                <c:pt idx="3184">
                  <c:v>2918660358</c:v>
                </c:pt>
                <c:pt idx="3185">
                  <c:v>2507929516</c:v>
                </c:pt>
                <c:pt idx="3186">
                  <c:v>2459175279</c:v>
                </c:pt>
                <c:pt idx="3187">
                  <c:v>2846447424</c:v>
                </c:pt>
                <c:pt idx="3188">
                  <c:v>2596711180</c:v>
                </c:pt>
                <c:pt idx="3189">
                  <c:v>2556010161</c:v>
                </c:pt>
                <c:pt idx="3190">
                  <c:v>2840609874</c:v>
                </c:pt>
                <c:pt idx="3191">
                  <c:v>2599880993</c:v>
                </c:pt>
                <c:pt idx="3192">
                  <c:v>2218001699</c:v>
                </c:pt>
                <c:pt idx="3193">
                  <c:v>2355704324</c:v>
                </c:pt>
                <c:pt idx="3194">
                  <c:v>2352005863</c:v>
                </c:pt>
                <c:pt idx="3195">
                  <c:v>2478222849</c:v>
                </c:pt>
                <c:pt idx="3196">
                  <c:v>2802061343</c:v>
                </c:pt>
                <c:pt idx="3197">
                  <c:v>5746133311</c:v>
                </c:pt>
                <c:pt idx="3198">
                  <c:v>2421690533</c:v>
                </c:pt>
                <c:pt idx="3199">
                  <c:v>2560831360</c:v>
                </c:pt>
                <c:pt idx="3200">
                  <c:v>2461681291</c:v>
                </c:pt>
                <c:pt idx="3201">
                  <c:v>2772978914</c:v>
                </c:pt>
                <c:pt idx="3202">
                  <c:v>2330866872</c:v>
                </c:pt>
                <c:pt idx="3203">
                  <c:v>2525809879</c:v>
                </c:pt>
                <c:pt idx="3204">
                  <c:v>2660892168</c:v>
                </c:pt>
                <c:pt idx="3205">
                  <c:v>2249151383</c:v>
                </c:pt>
                <c:pt idx="3206">
                  <c:v>2210219663</c:v>
                </c:pt>
                <c:pt idx="3207">
                  <c:v>2221127200</c:v>
                </c:pt>
                <c:pt idx="3208">
                  <c:v>2292762825</c:v>
                </c:pt>
                <c:pt idx="3209">
                  <c:v>2187473625</c:v>
                </c:pt>
                <c:pt idx="3210">
                  <c:v>2172928121</c:v>
                </c:pt>
                <c:pt idx="3211">
                  <c:v>2067810368</c:v>
                </c:pt>
                <c:pt idx="3212">
                  <c:v>2127780848</c:v>
                </c:pt>
                <c:pt idx="3213">
                  <c:v>1983168494</c:v>
                </c:pt>
                <c:pt idx="3214">
                  <c:v>2826023465</c:v>
                </c:pt>
                <c:pt idx="3215">
                  <c:v>2269908582</c:v>
                </c:pt>
                <c:pt idx="3216">
                  <c:v>2347819901</c:v>
                </c:pt>
                <c:pt idx="3217">
                  <c:v>2151748587</c:v>
                </c:pt>
                <c:pt idx="3218">
                  <c:v>2106670973</c:v>
                </c:pt>
                <c:pt idx="3219">
                  <c:v>2281964492</c:v>
                </c:pt>
                <c:pt idx="3220">
                  <c:v>2403900391</c:v>
                </c:pt>
                <c:pt idx="3221">
                  <c:v>2309079983</c:v>
                </c:pt>
                <c:pt idx="3222">
                  <c:v>2285689375</c:v>
                </c:pt>
                <c:pt idx="3223">
                  <c:v>2229819590</c:v>
                </c:pt>
                <c:pt idx="3224">
                  <c:v>2703268392</c:v>
                </c:pt>
                <c:pt idx="3225">
                  <c:v>2883407623</c:v>
                </c:pt>
                <c:pt idx="3226">
                  <c:v>3348081587</c:v>
                </c:pt>
                <c:pt idx="3227">
                  <c:v>2795181639</c:v>
                </c:pt>
                <c:pt idx="3228">
                  <c:v>2435296825</c:v>
                </c:pt>
                <c:pt idx="3229">
                  <c:v>2415526221</c:v>
                </c:pt>
                <c:pt idx="3230">
                  <c:v>4188415588</c:v>
                </c:pt>
                <c:pt idx="3231">
                  <c:v>3113022582</c:v>
                </c:pt>
                <c:pt idx="3232">
                  <c:v>2776355347</c:v>
                </c:pt>
                <c:pt idx="3233">
                  <c:v>2765183831</c:v>
                </c:pt>
                <c:pt idx="3234">
                  <c:v>2635771640</c:v>
                </c:pt>
                <c:pt idx="3235">
                  <c:v>2606607974</c:v>
                </c:pt>
                <c:pt idx="3236">
                  <c:v>2650482299</c:v>
                </c:pt>
                <c:pt idx="3237">
                  <c:v>3307311778</c:v>
                </c:pt>
                <c:pt idx="3238">
                  <c:v>2873987244</c:v>
                </c:pt>
                <c:pt idx="3239">
                  <c:v>2728398371</c:v>
                </c:pt>
                <c:pt idx="3240">
                  <c:v>2623316625</c:v>
                </c:pt>
                <c:pt idx="3241">
                  <c:v>2889328509</c:v>
                </c:pt>
                <c:pt idx="3242">
                  <c:v>2642080825</c:v>
                </c:pt>
                <c:pt idx="3243">
                  <c:v>3980582178</c:v>
                </c:pt>
                <c:pt idx="3244">
                  <c:v>2440492719</c:v>
                </c:pt>
                <c:pt idx="3245">
                  <c:v>2099481940</c:v>
                </c:pt>
                <c:pt idx="3246">
                  <c:v>1465439728</c:v>
                </c:pt>
                <c:pt idx="3247">
                  <c:v>2758054562</c:v>
                </c:pt>
                <c:pt idx="3248">
                  <c:v>2655568059</c:v>
                </c:pt>
                <c:pt idx="3249">
                  <c:v>2712321623</c:v>
                </c:pt>
                <c:pt idx="3250">
                  <c:v>2675005481</c:v>
                </c:pt>
                <c:pt idx="3251">
                  <c:v>2526693758</c:v>
                </c:pt>
                <c:pt idx="3252">
                  <c:v>2941794303</c:v>
                </c:pt>
                <c:pt idx="3253">
                  <c:v>2802540531</c:v>
                </c:pt>
                <c:pt idx="3254">
                  <c:v>2908653941</c:v>
                </c:pt>
                <c:pt idx="3255">
                  <c:v>2407534449</c:v>
                </c:pt>
                <c:pt idx="3256">
                  <c:v>2525493236</c:v>
                </c:pt>
                <c:pt idx="3257">
                  <c:v>3113591762</c:v>
                </c:pt>
                <c:pt idx="3258">
                  <c:v>3038427124</c:v>
                </c:pt>
                <c:pt idx="3259">
                  <c:v>3400301958</c:v>
                </c:pt>
                <c:pt idx="3260">
                  <c:v>3296178745</c:v>
                </c:pt>
                <c:pt idx="3261">
                  <c:v>6423401075</c:v>
                </c:pt>
                <c:pt idx="3262">
                  <c:v>2322849535</c:v>
                </c:pt>
                <c:pt idx="3263">
                  <c:v>1133216588</c:v>
                </c:pt>
                <c:pt idx="3264">
                  <c:v>1506250902</c:v>
                </c:pt>
                <c:pt idx="3265">
                  <c:v>1817797977</c:v>
                </c:pt>
                <c:pt idx="3266">
                  <c:v>1943393216</c:v>
                </c:pt>
                <c:pt idx="3267">
                  <c:v>1796606528</c:v>
                </c:pt>
                <c:pt idx="3268">
                  <c:v>2248974081</c:v>
                </c:pt>
                <c:pt idx="3269">
                  <c:v>2208965666</c:v>
                </c:pt>
                <c:pt idx="3270">
                  <c:v>2825734456</c:v>
                </c:pt>
                <c:pt idx="3271">
                  <c:v>2695892906</c:v>
                </c:pt>
                <c:pt idx="3272">
                  <c:v>2552763188</c:v>
                </c:pt>
                <c:pt idx="3273">
                  <c:v>3074140013</c:v>
                </c:pt>
                <c:pt idx="3274">
                  <c:v>2734604885</c:v>
                </c:pt>
                <c:pt idx="3275">
                  <c:v>2456378108</c:v>
                </c:pt>
                <c:pt idx="3276">
                  <c:v>2766846545</c:v>
                </c:pt>
                <c:pt idx="3277">
                  <c:v>2536020064</c:v>
                </c:pt>
                <c:pt idx="3278">
                  <c:v>3000130402</c:v>
                </c:pt>
                <c:pt idx="3279">
                  <c:v>3098927599</c:v>
                </c:pt>
                <c:pt idx="3280">
                  <c:v>2882204031</c:v>
                </c:pt>
                <c:pt idx="3281">
                  <c:v>2490857980</c:v>
                </c:pt>
                <c:pt idx="3282">
                  <c:v>2521445434</c:v>
                </c:pt>
                <c:pt idx="3283">
                  <c:v>4121065675</c:v>
                </c:pt>
                <c:pt idx="3284">
                  <c:v>3367907580</c:v>
                </c:pt>
                <c:pt idx="3285">
                  <c:v>2912197567</c:v>
                </c:pt>
                <c:pt idx="3286">
                  <c:v>3095917460</c:v>
                </c:pt>
                <c:pt idx="3287">
                  <c:v>3538446119</c:v>
                </c:pt>
                <c:pt idx="3288">
                  <c:v>3330237167</c:v>
                </c:pt>
                <c:pt idx="3289">
                  <c:v>3123611016</c:v>
                </c:pt>
                <c:pt idx="3290">
                  <c:v>3180982517</c:v>
                </c:pt>
                <c:pt idx="3291">
                  <c:v>3123712582</c:v>
                </c:pt>
                <c:pt idx="3292">
                  <c:v>2940934310</c:v>
                </c:pt>
                <c:pt idx="3293">
                  <c:v>2770081402</c:v>
                </c:pt>
                <c:pt idx="3294">
                  <c:v>2804797291</c:v>
                </c:pt>
                <c:pt idx="3295">
                  <c:v>2900610176</c:v>
                </c:pt>
                <c:pt idx="3296">
                  <c:v>2971515778</c:v>
                </c:pt>
                <c:pt idx="3297">
                  <c:v>2829179249</c:v>
                </c:pt>
                <c:pt idx="3298">
                  <c:v>3288056630</c:v>
                </c:pt>
                <c:pt idx="3299">
                  <c:v>3068012369</c:v>
                </c:pt>
                <c:pt idx="3300">
                  <c:v>2972975947</c:v>
                </c:pt>
                <c:pt idx="3301">
                  <c:v>3429439969</c:v>
                </c:pt>
                <c:pt idx="3302">
                  <c:v>3277532553</c:v>
                </c:pt>
                <c:pt idx="3303">
                  <c:v>3514532613</c:v>
                </c:pt>
                <c:pt idx="3304">
                  <c:v>3010698433</c:v>
                </c:pt>
                <c:pt idx="3305">
                  <c:v>3363296300</c:v>
                </c:pt>
                <c:pt idx="3306">
                  <c:v>4324759998</c:v>
                </c:pt>
                <c:pt idx="3307">
                  <c:v>3643065709</c:v>
                </c:pt>
                <c:pt idx="3308">
                  <c:v>4292552884</c:v>
                </c:pt>
                <c:pt idx="3309">
                  <c:v>3358765660</c:v>
                </c:pt>
                <c:pt idx="3310">
                  <c:v>3374067793</c:v>
                </c:pt>
                <c:pt idx="3311">
                  <c:v>3989438816</c:v>
                </c:pt>
                <c:pt idx="3312">
                  <c:v>4360082077</c:v>
                </c:pt>
                <c:pt idx="3313">
                  <c:v>4149151870</c:v>
                </c:pt>
                <c:pt idx="3314">
                  <c:v>3479733142</c:v>
                </c:pt>
                <c:pt idx="3315">
                  <c:v>3339958710</c:v>
                </c:pt>
                <c:pt idx="3316">
                  <c:v>3014214616</c:v>
                </c:pt>
                <c:pt idx="3317">
                  <c:v>2990890037</c:v>
                </c:pt>
                <c:pt idx="3318">
                  <c:v>2920470375</c:v>
                </c:pt>
                <c:pt idx="3319">
                  <c:v>3036779615</c:v>
                </c:pt>
                <c:pt idx="3320">
                  <c:v>2850149846</c:v>
                </c:pt>
                <c:pt idx="3321">
                  <c:v>6488692228</c:v>
                </c:pt>
                <c:pt idx="3322">
                  <c:v>3047868018</c:v>
                </c:pt>
                <c:pt idx="3323">
                  <c:v>2701963544</c:v>
                </c:pt>
                <c:pt idx="3324">
                  <c:v>2886232743</c:v>
                </c:pt>
                <c:pt idx="3325">
                  <c:v>2832194159</c:v>
                </c:pt>
                <c:pt idx="3326">
                  <c:v>2841143271</c:v>
                </c:pt>
                <c:pt idx="3327">
                  <c:v>3678236098</c:v>
                </c:pt>
                <c:pt idx="3328">
                  <c:v>2806321225</c:v>
                </c:pt>
                <c:pt idx="3329">
                  <c:v>2785811866</c:v>
                </c:pt>
                <c:pt idx="3330">
                  <c:v>5005321892</c:v>
                </c:pt>
                <c:pt idx="3331">
                  <c:v>6086848913</c:v>
                </c:pt>
                <c:pt idx="3332">
                  <c:v>6290342696</c:v>
                </c:pt>
                <c:pt idx="3333">
                  <c:v>5129379581</c:v>
                </c:pt>
                <c:pt idx="3334">
                  <c:v>6714323344</c:v>
                </c:pt>
                <c:pt idx="3335">
                  <c:v>4827946954</c:v>
                </c:pt>
                <c:pt idx="3336">
                  <c:v>3769018345</c:v>
                </c:pt>
                <c:pt idx="3337">
                  <c:v>3287277699</c:v>
                </c:pt>
                <c:pt idx="3338">
                  <c:v>2856819167</c:v>
                </c:pt>
                <c:pt idx="3339">
                  <c:v>3352865807</c:v>
                </c:pt>
                <c:pt idx="3340">
                  <c:v>3153699686</c:v>
                </c:pt>
                <c:pt idx="3341">
                  <c:v>2968348904</c:v>
                </c:pt>
                <c:pt idx="3342">
                  <c:v>3110055926</c:v>
                </c:pt>
                <c:pt idx="3343">
                  <c:v>3557338239</c:v>
                </c:pt>
                <c:pt idx="3344">
                  <c:v>3167406758</c:v>
                </c:pt>
                <c:pt idx="3345">
                  <c:v>2948448664</c:v>
                </c:pt>
                <c:pt idx="3346">
                  <c:v>2781484249</c:v>
                </c:pt>
                <c:pt idx="3347">
                  <c:v>2873460382</c:v>
                </c:pt>
                <c:pt idx="3348">
                  <c:v>3778234782</c:v>
                </c:pt>
                <c:pt idx="3349">
                  <c:v>3254820687</c:v>
                </c:pt>
                <c:pt idx="3350">
                  <c:v>3023303433</c:v>
                </c:pt>
                <c:pt idx="3351">
                  <c:v>2704187234</c:v>
                </c:pt>
                <c:pt idx="3352">
                  <c:v>2819089147</c:v>
                </c:pt>
                <c:pt idx="3353">
                  <c:v>3217062436</c:v>
                </c:pt>
                <c:pt idx="3354">
                  <c:v>3223260422</c:v>
                </c:pt>
                <c:pt idx="3355">
                  <c:v>2455756301</c:v>
                </c:pt>
                <c:pt idx="3356">
                  <c:v>3760355072</c:v>
                </c:pt>
                <c:pt idx="3357">
                  <c:v>3560150856</c:v>
                </c:pt>
                <c:pt idx="3358">
                  <c:v>3460287578</c:v>
                </c:pt>
                <c:pt idx="3359">
                  <c:v>3162012704</c:v>
                </c:pt>
                <c:pt idx="3360">
                  <c:v>2964380123</c:v>
                </c:pt>
                <c:pt idx="3361">
                  <c:v>2570089512</c:v>
                </c:pt>
                <c:pt idx="3362">
                  <c:v>2548764044</c:v>
                </c:pt>
                <c:pt idx="3363">
                  <c:v>3120335266</c:v>
                </c:pt>
                <c:pt idx="3364">
                  <c:v>2780476653</c:v>
                </c:pt>
                <c:pt idx="3365">
                  <c:v>2552789941</c:v>
                </c:pt>
                <c:pt idx="3366">
                  <c:v>2908886707</c:v>
                </c:pt>
                <c:pt idx="3367">
                  <c:v>2671435626</c:v>
                </c:pt>
                <c:pt idx="3368">
                  <c:v>2860740970</c:v>
                </c:pt>
                <c:pt idx="3369">
                  <c:v>4815797845</c:v>
                </c:pt>
                <c:pt idx="3370">
                  <c:v>2765357514</c:v>
                </c:pt>
                <c:pt idx="3371">
                  <c:v>2995303857</c:v>
                </c:pt>
                <c:pt idx="3372">
                  <c:v>2682443108</c:v>
                </c:pt>
                <c:pt idx="3373">
                  <c:v>3140507873</c:v>
                </c:pt>
                <c:pt idx="3374">
                  <c:v>2556627346</c:v>
                </c:pt>
                <c:pt idx="3375">
                  <c:v>2893721501</c:v>
                </c:pt>
                <c:pt idx="3376">
                  <c:v>3011278347</c:v>
                </c:pt>
                <c:pt idx="3377">
                  <c:v>2981333190</c:v>
                </c:pt>
                <c:pt idx="3378">
                  <c:v>2623578843</c:v>
                </c:pt>
                <c:pt idx="3379">
                  <c:v>3029890480</c:v>
                </c:pt>
                <c:pt idx="3380">
                  <c:v>2880110512</c:v>
                </c:pt>
                <c:pt idx="3381">
                  <c:v>2853845438</c:v>
                </c:pt>
                <c:pt idx="3382">
                  <c:v>2951831932</c:v>
                </c:pt>
                <c:pt idx="3383">
                  <c:v>5195984630</c:v>
                </c:pt>
                <c:pt idx="3384">
                  <c:v>3270234044</c:v>
                </c:pt>
                <c:pt idx="3385">
                  <c:v>3291211984</c:v>
                </c:pt>
                <c:pt idx="3386">
                  <c:v>2894445051</c:v>
                </c:pt>
                <c:pt idx="3387">
                  <c:v>3049538066</c:v>
                </c:pt>
                <c:pt idx="3388">
                  <c:v>4642836205</c:v>
                </c:pt>
                <c:pt idx="3389">
                  <c:v>3332438031</c:v>
                </c:pt>
                <c:pt idx="3390">
                  <c:v>3572880894</c:v>
                </c:pt>
                <c:pt idx="3391">
                  <c:v>3141259934</c:v>
                </c:pt>
                <c:pt idx="3392">
                  <c:v>1839509804</c:v>
                </c:pt>
                <c:pt idx="3393">
                  <c:v>2760139183</c:v>
                </c:pt>
                <c:pt idx="3394">
                  <c:v>3027418207</c:v>
                </c:pt>
                <c:pt idx="3395">
                  <c:v>2808148693</c:v>
                </c:pt>
                <c:pt idx="3396">
                  <c:v>2818582888</c:v>
                </c:pt>
                <c:pt idx="3397">
                  <c:v>2631005038</c:v>
                </c:pt>
                <c:pt idx="3398">
                  <c:v>2705073872</c:v>
                </c:pt>
                <c:pt idx="3399">
                  <c:v>3107719334</c:v>
                </c:pt>
                <c:pt idx="3400">
                  <c:v>2960714110</c:v>
                </c:pt>
                <c:pt idx="3401">
                  <c:v>3025942711</c:v>
                </c:pt>
                <c:pt idx="3402">
                  <c:v>3037348968</c:v>
                </c:pt>
                <c:pt idx="3403">
                  <c:v>2661136349</c:v>
                </c:pt>
                <c:pt idx="3404">
                  <c:v>3003304728</c:v>
                </c:pt>
                <c:pt idx="3405">
                  <c:v>3241469766</c:v>
                </c:pt>
                <c:pt idx="3406">
                  <c:v>3369954808</c:v>
                </c:pt>
                <c:pt idx="3407">
                  <c:v>2983956118</c:v>
                </c:pt>
                <c:pt idx="3408">
                  <c:v>2844306551</c:v>
                </c:pt>
                <c:pt idx="3409">
                  <c:v>3254273473</c:v>
                </c:pt>
                <c:pt idx="3410">
                  <c:v>3332521297</c:v>
                </c:pt>
                <c:pt idx="3411">
                  <c:v>4089137265</c:v>
                </c:pt>
                <c:pt idx="3412">
                  <c:v>3624071031</c:v>
                </c:pt>
                <c:pt idx="3413">
                  <c:v>3003746989</c:v>
                </c:pt>
                <c:pt idx="3414">
                  <c:v>3191721992</c:v>
                </c:pt>
                <c:pt idx="3415">
                  <c:v>3310732124</c:v>
                </c:pt>
                <c:pt idx="3416">
                  <c:v>3120148645</c:v>
                </c:pt>
                <c:pt idx="3417">
                  <c:v>2798987026</c:v>
                </c:pt>
                <c:pt idx="3418">
                  <c:v>2870335047</c:v>
                </c:pt>
                <c:pt idx="3419">
                  <c:v>2880921978</c:v>
                </c:pt>
                <c:pt idx="3420">
                  <c:v>2961340868</c:v>
                </c:pt>
                <c:pt idx="3421">
                  <c:v>2792441868</c:v>
                </c:pt>
                <c:pt idx="3422">
                  <c:v>3142526592</c:v>
                </c:pt>
                <c:pt idx="3423">
                  <c:v>2597294219</c:v>
                </c:pt>
                <c:pt idx="3424">
                  <c:v>2958805344</c:v>
                </c:pt>
                <c:pt idx="3425">
                  <c:v>3043844556</c:v>
                </c:pt>
                <c:pt idx="3426">
                  <c:v>2424712887</c:v>
                </c:pt>
                <c:pt idx="3427">
                  <c:v>3062740140</c:v>
                </c:pt>
                <c:pt idx="3428">
                  <c:v>2512426446</c:v>
                </c:pt>
                <c:pt idx="3429">
                  <c:v>3240492023</c:v>
                </c:pt>
                <c:pt idx="3430">
                  <c:v>2956797464</c:v>
                </c:pt>
                <c:pt idx="3431">
                  <c:v>2609428772</c:v>
                </c:pt>
                <c:pt idx="3432">
                  <c:v>2542979459</c:v>
                </c:pt>
                <c:pt idx="3433">
                  <c:v>2887743021</c:v>
                </c:pt>
                <c:pt idx="3434">
                  <c:v>2808410771</c:v>
                </c:pt>
                <c:pt idx="3435">
                  <c:v>2747906680</c:v>
                </c:pt>
                <c:pt idx="3436">
                  <c:v>3166204188</c:v>
                </c:pt>
                <c:pt idx="3437">
                  <c:v>3028552074</c:v>
                </c:pt>
                <c:pt idx="3438">
                  <c:v>2709986190</c:v>
                </c:pt>
                <c:pt idx="3439">
                  <c:v>3189574889</c:v>
                </c:pt>
                <c:pt idx="3440">
                  <c:v>3259054992</c:v>
                </c:pt>
                <c:pt idx="3441">
                  <c:v>2986426173</c:v>
                </c:pt>
                <c:pt idx="3442">
                  <c:v>2924989510</c:v>
                </c:pt>
                <c:pt idx="3443">
                  <c:v>2905141389</c:v>
                </c:pt>
                <c:pt idx="3444">
                  <c:v>3048203136</c:v>
                </c:pt>
                <c:pt idx="3445">
                  <c:v>3472700121</c:v>
                </c:pt>
                <c:pt idx="3446">
                  <c:v>5969910655</c:v>
                </c:pt>
                <c:pt idx="3447">
                  <c:v>3315223419</c:v>
                </c:pt>
                <c:pt idx="3448">
                  <c:v>3115121988</c:v>
                </c:pt>
                <c:pt idx="3449">
                  <c:v>2998614787</c:v>
                </c:pt>
                <c:pt idx="3450">
                  <c:v>3278961445</c:v>
                </c:pt>
                <c:pt idx="3451">
                  <c:v>2892245070</c:v>
                </c:pt>
                <c:pt idx="3452">
                  <c:v>3168317149</c:v>
                </c:pt>
                <c:pt idx="3453">
                  <c:v>3486014723</c:v>
                </c:pt>
                <c:pt idx="3454">
                  <c:v>3487364700</c:v>
                </c:pt>
                <c:pt idx="3455">
                  <c:v>3004379851</c:v>
                </c:pt>
                <c:pt idx="3456">
                  <c:v>2878413899</c:v>
                </c:pt>
                <c:pt idx="3457">
                  <c:v>3287229545</c:v>
                </c:pt>
                <c:pt idx="3458">
                  <c:v>3041041072</c:v>
                </c:pt>
                <c:pt idx="3459">
                  <c:v>2924743850</c:v>
                </c:pt>
                <c:pt idx="3460">
                  <c:v>2806505186</c:v>
                </c:pt>
                <c:pt idx="3461">
                  <c:v>3576690308</c:v>
                </c:pt>
                <c:pt idx="3462">
                  <c:v>2749650647</c:v>
                </c:pt>
                <c:pt idx="3463">
                  <c:v>2982479677</c:v>
                </c:pt>
                <c:pt idx="3464">
                  <c:v>2980404766</c:v>
                </c:pt>
                <c:pt idx="3465">
                  <c:v>3312407351</c:v>
                </c:pt>
                <c:pt idx="3466">
                  <c:v>3139633660</c:v>
                </c:pt>
                <c:pt idx="3467">
                  <c:v>2681649976</c:v>
                </c:pt>
                <c:pt idx="3468">
                  <c:v>3134559675</c:v>
                </c:pt>
                <c:pt idx="3469">
                  <c:v>3462137202</c:v>
                </c:pt>
                <c:pt idx="3470">
                  <c:v>3340300193</c:v>
                </c:pt>
                <c:pt idx="3471">
                  <c:v>3030501823</c:v>
                </c:pt>
                <c:pt idx="3472">
                  <c:v>3281337316</c:v>
                </c:pt>
                <c:pt idx="3473">
                  <c:v>3383018549</c:v>
                </c:pt>
                <c:pt idx="3474">
                  <c:v>3991449848</c:v>
                </c:pt>
                <c:pt idx="3475">
                  <c:v>3912419033</c:v>
                </c:pt>
                <c:pt idx="3476">
                  <c:v>3781813931</c:v>
                </c:pt>
                <c:pt idx="3477">
                  <c:v>3738573066</c:v>
                </c:pt>
                <c:pt idx="3478">
                  <c:v>3804669249</c:v>
                </c:pt>
                <c:pt idx="3479">
                  <c:v>3509989123</c:v>
                </c:pt>
                <c:pt idx="3480">
                  <c:v>3645515825</c:v>
                </c:pt>
                <c:pt idx="3481">
                  <c:v>3572758457</c:v>
                </c:pt>
                <c:pt idx="3482">
                  <c:v>3176556257</c:v>
                </c:pt>
                <c:pt idx="3483">
                  <c:v>2819843476</c:v>
                </c:pt>
                <c:pt idx="3484">
                  <c:v>2953817156</c:v>
                </c:pt>
                <c:pt idx="3485">
                  <c:v>3390434200</c:v>
                </c:pt>
                <c:pt idx="3486">
                  <c:v>3110943074</c:v>
                </c:pt>
                <c:pt idx="3487">
                  <c:v>3201093835</c:v>
                </c:pt>
                <c:pt idx="3488">
                  <c:v>3313453674</c:v>
                </c:pt>
                <c:pt idx="3489">
                  <c:v>3169299167</c:v>
                </c:pt>
                <c:pt idx="3490">
                  <c:v>3745953023</c:v>
                </c:pt>
                <c:pt idx="3491">
                  <c:v>4027622687</c:v>
                </c:pt>
                <c:pt idx="3492">
                  <c:v>4515631336</c:v>
                </c:pt>
                <c:pt idx="3493">
                  <c:v>3329984743</c:v>
                </c:pt>
                <c:pt idx="3494">
                  <c:v>2733198917</c:v>
                </c:pt>
                <c:pt idx="3495">
                  <c:v>1476619723</c:v>
                </c:pt>
                <c:pt idx="3496">
                  <c:v>2809389477</c:v>
                </c:pt>
                <c:pt idx="3497">
                  <c:v>3027194930</c:v>
                </c:pt>
                <c:pt idx="3498">
                  <c:v>3003129079</c:v>
                </c:pt>
                <c:pt idx="3499">
                  <c:v>2984475179</c:v>
                </c:pt>
                <c:pt idx="3500">
                  <c:v>3170300806</c:v>
                </c:pt>
                <c:pt idx="3501">
                  <c:v>3229858469</c:v>
                </c:pt>
                <c:pt idx="3502">
                  <c:v>2792692884</c:v>
                </c:pt>
                <c:pt idx="3503">
                  <c:v>3568454126</c:v>
                </c:pt>
                <c:pt idx="3504">
                  <c:v>3195795418</c:v>
                </c:pt>
                <c:pt idx="3505">
                  <c:v>3223223496</c:v>
                </c:pt>
                <c:pt idx="3506">
                  <c:v>3346423276</c:v>
                </c:pt>
                <c:pt idx="3507">
                  <c:v>3271931472</c:v>
                </c:pt>
                <c:pt idx="3508">
                  <c:v>3506739894</c:v>
                </c:pt>
                <c:pt idx="3509">
                  <c:v>3401888532</c:v>
                </c:pt>
                <c:pt idx="3510">
                  <c:v>6888367197</c:v>
                </c:pt>
                <c:pt idx="3511">
                  <c:v>2663557315</c:v>
                </c:pt>
                <c:pt idx="3512">
                  <c:v>2265893371</c:v>
                </c:pt>
                <c:pt idx="3513">
                  <c:v>1084969463</c:v>
                </c:pt>
                <c:pt idx="3514">
                  <c:v>1478675975</c:v>
                </c:pt>
                <c:pt idx="3515">
                  <c:v>2005334941</c:v>
                </c:pt>
                <c:pt idx="3516">
                  <c:v>1739884019</c:v>
                </c:pt>
                <c:pt idx="3517">
                  <c:v>1736582237</c:v>
                </c:pt>
                <c:pt idx="3518">
                  <c:v>2662161102</c:v>
                </c:pt>
                <c:pt idx="3519">
                  <c:v>3468855633</c:v>
                </c:pt>
                <c:pt idx="3520">
                  <c:v>3331184768</c:v>
                </c:pt>
                <c:pt idx="3521">
                  <c:v>3240372921</c:v>
                </c:pt>
                <c:pt idx="3522">
                  <c:v>3196082076</c:v>
                </c:pt>
                <c:pt idx="3523">
                  <c:v>2974741440</c:v>
                </c:pt>
                <c:pt idx="3524">
                  <c:v>3034903268</c:v>
                </c:pt>
                <c:pt idx="3525">
                  <c:v>3225314464</c:v>
                </c:pt>
                <c:pt idx="3526">
                  <c:v>3365048977</c:v>
                </c:pt>
                <c:pt idx="3527">
                  <c:v>3151726699</c:v>
                </c:pt>
                <c:pt idx="3528">
                  <c:v>4036432058</c:v>
                </c:pt>
                <c:pt idx="3529">
                  <c:v>3938392498</c:v>
                </c:pt>
                <c:pt idx="3530">
                  <c:v>3830593984</c:v>
                </c:pt>
                <c:pt idx="3531">
                  <c:v>3362652403</c:v>
                </c:pt>
                <c:pt idx="3532">
                  <c:v>3249523997</c:v>
                </c:pt>
                <c:pt idx="3533">
                  <c:v>3003328517</c:v>
                </c:pt>
                <c:pt idx="3534">
                  <c:v>3255156923</c:v>
                </c:pt>
                <c:pt idx="3535">
                  <c:v>3381208934</c:v>
                </c:pt>
                <c:pt idx="3536">
                  <c:v>4146577203</c:v>
                </c:pt>
                <c:pt idx="3537">
                  <c:v>4282422061</c:v>
                </c:pt>
                <c:pt idx="3538">
                  <c:v>3624357890</c:v>
                </c:pt>
                <c:pt idx="3539">
                  <c:v>4564301299</c:v>
                </c:pt>
                <c:pt idx="3540">
                  <c:v>5159180313</c:v>
                </c:pt>
                <c:pt idx="3541">
                  <c:v>4375232995</c:v>
                </c:pt>
                <c:pt idx="3542">
                  <c:v>3865921847</c:v>
                </c:pt>
                <c:pt idx="3543">
                  <c:v>3384086573</c:v>
                </c:pt>
                <c:pt idx="3544">
                  <c:v>3518487068</c:v>
                </c:pt>
                <c:pt idx="3545">
                  <c:v>3766458007</c:v>
                </c:pt>
                <c:pt idx="3546">
                  <c:v>4550359687</c:v>
                </c:pt>
                <c:pt idx="3547">
                  <c:v>3430632699</c:v>
                </c:pt>
                <c:pt idx="3548">
                  <c:v>3330129793</c:v>
                </c:pt>
                <c:pt idx="3549">
                  <c:v>3073230495</c:v>
                </c:pt>
                <c:pt idx="3550">
                  <c:v>2922324756</c:v>
                </c:pt>
                <c:pt idx="3551">
                  <c:v>3364360111</c:v>
                </c:pt>
                <c:pt idx="3552">
                  <c:v>3273859095</c:v>
                </c:pt>
                <c:pt idx="3553">
                  <c:v>3204840992</c:v>
                </c:pt>
                <c:pt idx="3554">
                  <c:v>3321269126</c:v>
                </c:pt>
                <c:pt idx="3555">
                  <c:v>3454065492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7-4B4E-833F-BFE2D6B5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8489"/>
        <c:axId val="58352277"/>
      </c:barChart>
      <c:catAx>
        <c:axId val="3578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8352277"/>
        <c:crosses val="autoZero"/>
        <c:auto val="1"/>
        <c:lblAlgn val="ctr"/>
        <c:lblOffset val="100"/>
        <c:noMultiLvlLbl val="0"/>
      </c:catAx>
      <c:valAx>
        <c:axId val="58352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Volume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57848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MSFT Close Price (2012-2026)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'[1]MSFT Analysis'!$B$4</c:f>
              <c:strCache>
                <c:ptCount val="1"/>
                <c:pt idx="0">
                  <c:v>MSFT Close</c:v>
                </c:pt>
              </c:strCache>
            </c:strRef>
          </c:tx>
          <c:spPr>
            <a:ln w="11880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'[1]MSFT Analysis'!$B$5:$B$3560</c:f>
              <c:numCache>
                <c:formatCode>General</c:formatCode>
                <c:ptCount val="3556"/>
                <c:pt idx="0">
                  <c:v>21.838799999999999</c:v>
                </c:pt>
                <c:pt idx="1">
                  <c:v>22.1691</c:v>
                </c:pt>
                <c:pt idx="2">
                  <c:v>21.887599999999999</c:v>
                </c:pt>
                <c:pt idx="3">
                  <c:v>21.963799999999999</c:v>
                </c:pt>
                <c:pt idx="4">
                  <c:v>21.8721</c:v>
                </c:pt>
                <c:pt idx="5">
                  <c:v>22.090699999999998</c:v>
                </c:pt>
                <c:pt idx="6">
                  <c:v>22.291</c:v>
                </c:pt>
                <c:pt idx="7">
                  <c:v>22.293900000000001</c:v>
                </c:pt>
                <c:pt idx="8">
                  <c:v>22.273499999999999</c:v>
                </c:pt>
                <c:pt idx="9">
                  <c:v>22.183499999999999</c:v>
                </c:pt>
                <c:pt idx="10">
                  <c:v>23.440899999999999</c:v>
                </c:pt>
                <c:pt idx="11">
                  <c:v>23.453299999999999</c:v>
                </c:pt>
                <c:pt idx="12">
                  <c:v>23.148700000000002</c:v>
                </c:pt>
                <c:pt idx="13">
                  <c:v>23.323399999999999</c:v>
                </c:pt>
                <c:pt idx="14">
                  <c:v>23.275600000000001</c:v>
                </c:pt>
                <c:pt idx="15">
                  <c:v>23.061499999999999</c:v>
                </c:pt>
                <c:pt idx="16">
                  <c:v>23.358599999999999</c:v>
                </c:pt>
                <c:pt idx="17">
                  <c:v>23.301200000000001</c:v>
                </c:pt>
                <c:pt idx="18">
                  <c:v>23.584199999999999</c:v>
                </c:pt>
                <c:pt idx="19">
                  <c:v>23.6282</c:v>
                </c:pt>
                <c:pt idx="20">
                  <c:v>23.854700000000001</c:v>
                </c:pt>
                <c:pt idx="21">
                  <c:v>23.823699999999999</c:v>
                </c:pt>
                <c:pt idx="22">
                  <c:v>23.9436</c:v>
                </c:pt>
                <c:pt idx="23">
                  <c:v>24.1889</c:v>
                </c:pt>
                <c:pt idx="24">
                  <c:v>24.274100000000001</c:v>
                </c:pt>
                <c:pt idx="25">
                  <c:v>24.062899999999999</c:v>
                </c:pt>
                <c:pt idx="26">
                  <c:v>24.126200000000001</c:v>
                </c:pt>
                <c:pt idx="27">
                  <c:v>24.023800000000001</c:v>
                </c:pt>
                <c:pt idx="28">
                  <c:v>23.861499999999999</c:v>
                </c:pt>
                <c:pt idx="29">
                  <c:v>24.840299999999999</c:v>
                </c:pt>
                <c:pt idx="30">
                  <c:v>24.815100000000001</c:v>
                </c:pt>
                <c:pt idx="31">
                  <c:v>24.9693</c:v>
                </c:pt>
                <c:pt idx="32">
                  <c:v>24.831499999999998</c:v>
                </c:pt>
                <c:pt idx="33">
                  <c:v>24.913599999999999</c:v>
                </c:pt>
                <c:pt idx="34">
                  <c:v>25.000499999999999</c:v>
                </c:pt>
                <c:pt idx="35">
                  <c:v>24.896000000000001</c:v>
                </c:pt>
                <c:pt idx="36">
                  <c:v>25.31</c:v>
                </c:pt>
                <c:pt idx="37">
                  <c:v>25.201799999999999</c:v>
                </c:pt>
                <c:pt idx="38">
                  <c:v>25.645299999999999</c:v>
                </c:pt>
                <c:pt idx="39">
                  <c:v>25.475300000000001</c:v>
                </c:pt>
                <c:pt idx="40">
                  <c:v>25.255500000000001</c:v>
                </c:pt>
                <c:pt idx="41">
                  <c:v>25.060099999999998</c:v>
                </c:pt>
                <c:pt idx="42">
                  <c:v>25.287800000000001</c:v>
                </c:pt>
                <c:pt idx="43">
                  <c:v>25.421500000000002</c:v>
                </c:pt>
                <c:pt idx="44">
                  <c:v>25.404</c:v>
                </c:pt>
                <c:pt idx="45">
                  <c:v>25.443000000000001</c:v>
                </c:pt>
                <c:pt idx="46">
                  <c:v>25.943200000000001</c:v>
                </c:pt>
                <c:pt idx="47">
                  <c:v>26.028099999999998</c:v>
                </c:pt>
                <c:pt idx="48">
                  <c:v>26.0868</c:v>
                </c:pt>
                <c:pt idx="49">
                  <c:v>25.888400000000001</c:v>
                </c:pt>
                <c:pt idx="50">
                  <c:v>25.570900000000002</c:v>
                </c:pt>
                <c:pt idx="51">
                  <c:v>25.404</c:v>
                </c:pt>
                <c:pt idx="52">
                  <c:v>25.342400000000001</c:v>
                </c:pt>
                <c:pt idx="53">
                  <c:v>25.413599999999999</c:v>
                </c:pt>
                <c:pt idx="54">
                  <c:v>25.421500000000002</c:v>
                </c:pt>
                <c:pt idx="55">
                  <c:v>25.8797</c:v>
                </c:pt>
                <c:pt idx="56">
                  <c:v>25.823899999999998</c:v>
                </c:pt>
                <c:pt idx="57">
                  <c:v>25.562200000000001</c:v>
                </c:pt>
                <c:pt idx="58">
                  <c:v>25.508299999999998</c:v>
                </c:pt>
                <c:pt idx="59">
                  <c:v>25.621600000000001</c:v>
                </c:pt>
                <c:pt idx="60">
                  <c:v>25.645299999999999</c:v>
                </c:pt>
                <c:pt idx="61">
                  <c:v>25.363800000000001</c:v>
                </c:pt>
                <c:pt idx="62">
                  <c:v>24.7866</c:v>
                </c:pt>
                <c:pt idx="63">
                  <c:v>25.027899999999999</c:v>
                </c:pt>
                <c:pt idx="64">
                  <c:v>24.698899999999998</c:v>
                </c:pt>
                <c:pt idx="65">
                  <c:v>24.1967</c:v>
                </c:pt>
                <c:pt idx="66">
                  <c:v>24.095199999999998</c:v>
                </c:pt>
                <c:pt idx="67">
                  <c:v>24.603100000000001</c:v>
                </c:pt>
                <c:pt idx="68">
                  <c:v>24.470300000000002</c:v>
                </c:pt>
                <c:pt idx="69">
                  <c:v>24.683</c:v>
                </c:pt>
                <c:pt idx="70">
                  <c:v>24.974299999999999</c:v>
                </c:pt>
                <c:pt idx="71">
                  <c:v>24.729900000000001</c:v>
                </c:pt>
                <c:pt idx="72">
                  <c:v>24.625399999999999</c:v>
                </c:pt>
                <c:pt idx="73">
                  <c:v>25.745999999999999</c:v>
                </c:pt>
                <c:pt idx="74">
                  <c:v>25.508299999999998</c:v>
                </c:pt>
                <c:pt idx="75">
                  <c:v>25.347300000000001</c:v>
                </c:pt>
                <c:pt idx="76">
                  <c:v>25.570900000000002</c:v>
                </c:pt>
                <c:pt idx="77">
                  <c:v>25.4986</c:v>
                </c:pt>
                <c:pt idx="78">
                  <c:v>25.3932</c:v>
                </c:pt>
                <c:pt idx="79">
                  <c:v>25.421500000000002</c:v>
                </c:pt>
                <c:pt idx="80">
                  <c:v>25.420500000000001</c:v>
                </c:pt>
                <c:pt idx="81">
                  <c:v>25.255500000000001</c:v>
                </c:pt>
                <c:pt idx="82">
                  <c:v>25.217300000000002</c:v>
                </c:pt>
                <c:pt idx="83">
                  <c:v>24.604099999999999</c:v>
                </c:pt>
                <c:pt idx="84">
                  <c:v>24.338200000000001</c:v>
                </c:pt>
                <c:pt idx="85">
                  <c:v>24.222100000000001</c:v>
                </c:pt>
                <c:pt idx="86">
                  <c:v>24.4312</c:v>
                </c:pt>
                <c:pt idx="87">
                  <c:v>24.412500000000001</c:v>
                </c:pt>
                <c:pt idx="88">
                  <c:v>24.749700000000001</c:v>
                </c:pt>
                <c:pt idx="89">
                  <c:v>24.3626</c:v>
                </c:pt>
                <c:pt idx="90">
                  <c:v>24.146999999999998</c:v>
                </c:pt>
                <c:pt idx="91">
                  <c:v>23.898599999999998</c:v>
                </c:pt>
                <c:pt idx="92">
                  <c:v>23.757100000000001</c:v>
                </c:pt>
                <c:pt idx="93">
                  <c:v>23.3948</c:v>
                </c:pt>
                <c:pt idx="94">
                  <c:v>23.777699999999999</c:v>
                </c:pt>
                <c:pt idx="95">
                  <c:v>23.7865</c:v>
                </c:pt>
                <c:pt idx="96">
                  <c:v>23.271699999999999</c:v>
                </c:pt>
                <c:pt idx="97">
                  <c:v>23.2364</c:v>
                </c:pt>
                <c:pt idx="98">
                  <c:v>23.229600000000001</c:v>
                </c:pt>
                <c:pt idx="99">
                  <c:v>23.6282</c:v>
                </c:pt>
                <c:pt idx="100">
                  <c:v>23.4513</c:v>
                </c:pt>
                <c:pt idx="101">
                  <c:v>23.333300000000001</c:v>
                </c:pt>
                <c:pt idx="102">
                  <c:v>22.7423</c:v>
                </c:pt>
                <c:pt idx="103">
                  <c:v>22.8203</c:v>
                </c:pt>
                <c:pt idx="104">
                  <c:v>22.782299999999999</c:v>
                </c:pt>
                <c:pt idx="105">
                  <c:v>23.460100000000001</c:v>
                </c:pt>
                <c:pt idx="106">
                  <c:v>23.363600000000002</c:v>
                </c:pt>
                <c:pt idx="107">
                  <c:v>23.703399999999998</c:v>
                </c:pt>
                <c:pt idx="108">
                  <c:v>23.099699999999999</c:v>
                </c:pt>
                <c:pt idx="109">
                  <c:v>23.411200000000001</c:v>
                </c:pt>
                <c:pt idx="110">
                  <c:v>23.286300000000001</c:v>
                </c:pt>
                <c:pt idx="111">
                  <c:v>23.4513</c:v>
                </c:pt>
                <c:pt idx="112">
                  <c:v>23.9985</c:v>
                </c:pt>
                <c:pt idx="113">
                  <c:v>23.851800000000001</c:v>
                </c:pt>
                <c:pt idx="114">
                  <c:v>24.5396</c:v>
                </c:pt>
                <c:pt idx="115">
                  <c:v>24.724</c:v>
                </c:pt>
                <c:pt idx="116">
                  <c:v>24.0932</c:v>
                </c:pt>
                <c:pt idx="117">
                  <c:v>24.5396</c:v>
                </c:pt>
                <c:pt idx="118">
                  <c:v>23.8675</c:v>
                </c:pt>
                <c:pt idx="119">
                  <c:v>23.9985</c:v>
                </c:pt>
                <c:pt idx="120">
                  <c:v>24.115600000000001</c:v>
                </c:pt>
                <c:pt idx="121">
                  <c:v>23.9054</c:v>
                </c:pt>
                <c:pt idx="122">
                  <c:v>24.453499999999998</c:v>
                </c:pt>
                <c:pt idx="123">
                  <c:v>24.4312</c:v>
                </c:pt>
                <c:pt idx="124">
                  <c:v>24.5884</c:v>
                </c:pt>
                <c:pt idx="125">
                  <c:v>24.5396</c:v>
                </c:pt>
                <c:pt idx="126">
                  <c:v>24.124199999999998</c:v>
                </c:pt>
                <c:pt idx="127">
                  <c:v>23.983799999999999</c:v>
                </c:pt>
                <c:pt idx="128">
                  <c:v>23.7699</c:v>
                </c:pt>
                <c:pt idx="129">
                  <c:v>23.42</c:v>
                </c:pt>
                <c:pt idx="130">
                  <c:v>22.889900000000001</c:v>
                </c:pt>
                <c:pt idx="131">
                  <c:v>23.490500000000001</c:v>
                </c:pt>
                <c:pt idx="132">
                  <c:v>23.532499999999999</c:v>
                </c:pt>
                <c:pt idx="133">
                  <c:v>23.709299999999999</c:v>
                </c:pt>
                <c:pt idx="134">
                  <c:v>24.338200000000001</c:v>
                </c:pt>
                <c:pt idx="135">
                  <c:v>24.5151</c:v>
                </c:pt>
                <c:pt idx="136">
                  <c:v>24.0687</c:v>
                </c:pt>
                <c:pt idx="137">
                  <c:v>23.4026</c:v>
                </c:pt>
                <c:pt idx="138">
                  <c:v>23.302199999999999</c:v>
                </c:pt>
                <c:pt idx="139">
                  <c:v>23.0441</c:v>
                </c:pt>
                <c:pt idx="140">
                  <c:v>23.310700000000001</c:v>
                </c:pt>
                <c:pt idx="141">
                  <c:v>23.777699999999999</c:v>
                </c:pt>
                <c:pt idx="142">
                  <c:v>23.694500000000001</c:v>
                </c:pt>
                <c:pt idx="143">
                  <c:v>23.5578</c:v>
                </c:pt>
                <c:pt idx="144">
                  <c:v>23.507000000000001</c:v>
                </c:pt>
                <c:pt idx="145">
                  <c:v>23.333300000000001</c:v>
                </c:pt>
                <c:pt idx="146">
                  <c:v>23.777699999999999</c:v>
                </c:pt>
                <c:pt idx="147">
                  <c:v>23.941800000000001</c:v>
                </c:pt>
                <c:pt idx="148">
                  <c:v>24.187899999999999</c:v>
                </c:pt>
                <c:pt idx="149">
                  <c:v>24.244499999999999</c:v>
                </c:pt>
                <c:pt idx="150">
                  <c:v>24.380500000000001</c:v>
                </c:pt>
                <c:pt idx="151">
                  <c:v>24.315000000000001</c:v>
                </c:pt>
                <c:pt idx="152">
                  <c:v>24.290299999999998</c:v>
                </c:pt>
                <c:pt idx="153">
                  <c:v>24.244499999999999</c:v>
                </c:pt>
                <c:pt idx="154">
                  <c:v>24.3003</c:v>
                </c:pt>
                <c:pt idx="155">
                  <c:v>24.766200000000001</c:v>
                </c:pt>
                <c:pt idx="156">
                  <c:v>24.864899999999999</c:v>
                </c:pt>
                <c:pt idx="157">
                  <c:v>24.735800000000001</c:v>
                </c:pt>
                <c:pt idx="158">
                  <c:v>24.7806</c:v>
                </c:pt>
                <c:pt idx="159">
                  <c:v>24.5746</c:v>
                </c:pt>
                <c:pt idx="160">
                  <c:v>24.339200000000002</c:v>
                </c:pt>
                <c:pt idx="161">
                  <c:v>24.590399999999999</c:v>
                </c:pt>
                <c:pt idx="162">
                  <c:v>24.695900000000002</c:v>
                </c:pt>
                <c:pt idx="163">
                  <c:v>24.647099999999998</c:v>
                </c:pt>
                <c:pt idx="164">
                  <c:v>24.662600000000001</c:v>
                </c:pt>
                <c:pt idx="165">
                  <c:v>24.396799999999999</c:v>
                </c:pt>
                <c:pt idx="166">
                  <c:v>24.7974</c:v>
                </c:pt>
                <c:pt idx="167">
                  <c:v>24.454499999999999</c:v>
                </c:pt>
                <c:pt idx="168">
                  <c:v>24.454499999999999</c:v>
                </c:pt>
                <c:pt idx="169">
                  <c:v>25.215299999999999</c:v>
                </c:pt>
                <c:pt idx="170">
                  <c:v>24.904900000000001</c:v>
                </c:pt>
                <c:pt idx="171">
                  <c:v>24.7182</c:v>
                </c:pt>
                <c:pt idx="172">
                  <c:v>24.773800000000001</c:v>
                </c:pt>
                <c:pt idx="173">
                  <c:v>24.766200000000001</c:v>
                </c:pt>
                <c:pt idx="174">
                  <c:v>24.8873</c:v>
                </c:pt>
                <c:pt idx="175">
                  <c:v>25.1128</c:v>
                </c:pt>
                <c:pt idx="176">
                  <c:v>25.1128</c:v>
                </c:pt>
                <c:pt idx="177">
                  <c:v>25.078600000000002</c:v>
                </c:pt>
                <c:pt idx="178">
                  <c:v>24.9849</c:v>
                </c:pt>
                <c:pt idx="179">
                  <c:v>25.306100000000001</c:v>
                </c:pt>
                <c:pt idx="180">
                  <c:v>25.096399999999999</c:v>
                </c:pt>
                <c:pt idx="181">
                  <c:v>24.766200000000001</c:v>
                </c:pt>
                <c:pt idx="182">
                  <c:v>24.454499999999999</c:v>
                </c:pt>
                <c:pt idx="183">
                  <c:v>24.273099999999999</c:v>
                </c:pt>
                <c:pt idx="184">
                  <c:v>24.267099999999999</c:v>
                </c:pt>
                <c:pt idx="185">
                  <c:v>23.9466</c:v>
                </c:pt>
                <c:pt idx="186">
                  <c:v>23.729700000000001</c:v>
                </c:pt>
                <c:pt idx="187">
                  <c:v>23.8645</c:v>
                </c:pt>
                <c:pt idx="188">
                  <c:v>24.028700000000001</c:v>
                </c:pt>
                <c:pt idx="189">
                  <c:v>24.1645</c:v>
                </c:pt>
                <c:pt idx="190">
                  <c:v>24.0199</c:v>
                </c:pt>
                <c:pt idx="191">
                  <c:v>23.964200000000002</c:v>
                </c:pt>
                <c:pt idx="192">
                  <c:v>23.561599999999999</c:v>
                </c:pt>
                <c:pt idx="193">
                  <c:v>23.320499999999999</c:v>
                </c:pt>
                <c:pt idx="194">
                  <c:v>23.2942</c:v>
                </c:pt>
                <c:pt idx="195">
                  <c:v>23.493500000000001</c:v>
                </c:pt>
                <c:pt idx="196">
                  <c:v>23.7453</c:v>
                </c:pt>
                <c:pt idx="197">
                  <c:v>23.729700000000001</c:v>
                </c:pt>
                <c:pt idx="198">
                  <c:v>23.809799999999999</c:v>
                </c:pt>
                <c:pt idx="199">
                  <c:v>23.738600000000002</c:v>
                </c:pt>
                <c:pt idx="200">
                  <c:v>23.0441</c:v>
                </c:pt>
                <c:pt idx="201">
                  <c:v>22.532399999999999</c:v>
                </c:pt>
                <c:pt idx="202">
                  <c:v>22.571300000000001</c:v>
                </c:pt>
                <c:pt idx="203">
                  <c:v>22.4513</c:v>
                </c:pt>
                <c:pt idx="204">
                  <c:v>22.436599999999999</c:v>
                </c:pt>
                <c:pt idx="205">
                  <c:v>22.700500000000002</c:v>
                </c:pt>
                <c:pt idx="206">
                  <c:v>22.962900000000001</c:v>
                </c:pt>
                <c:pt idx="207">
                  <c:v>23.7453</c:v>
                </c:pt>
                <c:pt idx="208">
                  <c:v>23.738600000000002</c:v>
                </c:pt>
                <c:pt idx="209">
                  <c:v>23.840199999999999</c:v>
                </c:pt>
                <c:pt idx="210">
                  <c:v>24.028700000000001</c:v>
                </c:pt>
                <c:pt idx="211">
                  <c:v>23.3978</c:v>
                </c:pt>
                <c:pt idx="212">
                  <c:v>23.182700000000001</c:v>
                </c:pt>
                <c:pt idx="213">
                  <c:v>23.198499999999999</c:v>
                </c:pt>
                <c:pt idx="214">
                  <c:v>22.706399999999999</c:v>
                </c:pt>
                <c:pt idx="215">
                  <c:v>21.976500000000001</c:v>
                </c:pt>
                <c:pt idx="216">
                  <c:v>21.7744</c:v>
                </c:pt>
                <c:pt idx="217">
                  <c:v>21.626899999999999</c:v>
                </c:pt>
                <c:pt idx="218">
                  <c:v>21.515499999999999</c:v>
                </c:pt>
                <c:pt idx="219">
                  <c:v>21.683499999999999</c:v>
                </c:pt>
                <c:pt idx="220">
                  <c:v>21.668900000000001</c:v>
                </c:pt>
                <c:pt idx="221">
                  <c:v>21.8642</c:v>
                </c:pt>
                <c:pt idx="222">
                  <c:v>22.4726</c:v>
                </c:pt>
                <c:pt idx="223">
                  <c:v>22.218900000000001</c:v>
                </c:pt>
                <c:pt idx="224">
                  <c:v>21.967600000000001</c:v>
                </c:pt>
                <c:pt idx="225">
                  <c:v>22.194299999999998</c:v>
                </c:pt>
                <c:pt idx="226">
                  <c:v>21.8642</c:v>
                </c:pt>
                <c:pt idx="227">
                  <c:v>21.588000000000001</c:v>
                </c:pt>
                <c:pt idx="228">
                  <c:v>21.444299999999998</c:v>
                </c:pt>
                <c:pt idx="229">
                  <c:v>21.392600000000002</c:v>
                </c:pt>
                <c:pt idx="230">
                  <c:v>21.6358</c:v>
                </c:pt>
                <c:pt idx="231">
                  <c:v>21.683499999999999</c:v>
                </c:pt>
                <c:pt idx="232">
                  <c:v>21.458600000000001</c:v>
                </c:pt>
                <c:pt idx="233">
                  <c:v>21.8565</c:v>
                </c:pt>
                <c:pt idx="234">
                  <c:v>22.164100000000001</c:v>
                </c:pt>
                <c:pt idx="235">
                  <c:v>22.096699999999998</c:v>
                </c:pt>
                <c:pt idx="236">
                  <c:v>21.993200000000002</c:v>
                </c:pt>
                <c:pt idx="237">
                  <c:v>21.747</c:v>
                </c:pt>
                <c:pt idx="238">
                  <c:v>21.976500000000001</c:v>
                </c:pt>
                <c:pt idx="239">
                  <c:v>22.355499999999999</c:v>
                </c:pt>
                <c:pt idx="240">
                  <c:v>22.1553</c:v>
                </c:pt>
                <c:pt idx="241">
                  <c:v>22.457999999999998</c:v>
                </c:pt>
                <c:pt idx="242">
                  <c:v>22.270499999999998</c:v>
                </c:pt>
                <c:pt idx="243">
                  <c:v>21.9514</c:v>
                </c:pt>
                <c:pt idx="244">
                  <c:v>21.791</c:v>
                </c:pt>
                <c:pt idx="245">
                  <c:v>21.873000000000001</c:v>
                </c:pt>
                <c:pt idx="246">
                  <c:v>21.540099999999999</c:v>
                </c:pt>
                <c:pt idx="247">
                  <c:v>21.668900000000001</c:v>
                </c:pt>
                <c:pt idx="248">
                  <c:v>22.408100000000001</c:v>
                </c:pt>
                <c:pt idx="249">
                  <c:v>22.1067</c:v>
                </c:pt>
                <c:pt idx="250">
                  <c:v>21.690300000000001</c:v>
                </c:pt>
                <c:pt idx="251">
                  <c:v>21.654199999999999</c:v>
                </c:pt>
                <c:pt idx="252">
                  <c:v>21.540099999999999</c:v>
                </c:pt>
                <c:pt idx="253">
                  <c:v>21.661100000000001</c:v>
                </c:pt>
                <c:pt idx="254">
                  <c:v>21.4666</c:v>
                </c:pt>
                <c:pt idx="255">
                  <c:v>21.764600000000002</c:v>
                </c:pt>
                <c:pt idx="256">
                  <c:v>21.8154</c:v>
                </c:pt>
                <c:pt idx="257">
                  <c:v>22.072199999999999</c:v>
                </c:pt>
                <c:pt idx="258">
                  <c:v>21.935500000000001</c:v>
                </c:pt>
                <c:pt idx="259">
                  <c:v>22.1067</c:v>
                </c:pt>
                <c:pt idx="260">
                  <c:v>22.1067</c:v>
                </c:pt>
                <c:pt idx="261">
                  <c:v>22.029299999999999</c:v>
                </c:pt>
                <c:pt idx="262">
                  <c:v>22.400300000000001</c:v>
                </c:pt>
                <c:pt idx="263">
                  <c:v>22.417100000000001</c:v>
                </c:pt>
                <c:pt idx="264">
                  <c:v>22.6174</c:v>
                </c:pt>
                <c:pt idx="265">
                  <c:v>22.6416</c:v>
                </c:pt>
                <c:pt idx="266">
                  <c:v>22.721599999999999</c:v>
                </c:pt>
                <c:pt idx="267">
                  <c:v>22.593800000000002</c:v>
                </c:pt>
                <c:pt idx="268">
                  <c:v>22.270499999999998</c:v>
                </c:pt>
                <c:pt idx="269">
                  <c:v>22.657499999999999</c:v>
                </c:pt>
                <c:pt idx="270">
                  <c:v>22.261700000000001</c:v>
                </c:pt>
                <c:pt idx="271">
                  <c:v>22.310500000000001</c:v>
                </c:pt>
                <c:pt idx="272">
                  <c:v>22.178699999999999</c:v>
                </c:pt>
                <c:pt idx="273">
                  <c:v>22.129799999999999</c:v>
                </c:pt>
                <c:pt idx="274">
                  <c:v>22.346699999999998</c:v>
                </c:pt>
                <c:pt idx="275">
                  <c:v>22.601800000000001</c:v>
                </c:pt>
                <c:pt idx="276">
                  <c:v>22.6174</c:v>
                </c:pt>
                <c:pt idx="277">
                  <c:v>22.7394</c:v>
                </c:pt>
                <c:pt idx="278">
                  <c:v>22.748200000000001</c:v>
                </c:pt>
                <c:pt idx="279">
                  <c:v>22.721599999999999</c:v>
                </c:pt>
                <c:pt idx="280">
                  <c:v>22.939699999999998</c:v>
                </c:pt>
                <c:pt idx="281">
                  <c:v>22.796099999999999</c:v>
                </c:pt>
                <c:pt idx="282">
                  <c:v>22.485499999999998</c:v>
                </c:pt>
                <c:pt idx="283">
                  <c:v>22.706399999999999</c:v>
                </c:pt>
                <c:pt idx="284">
                  <c:v>22.3888</c:v>
                </c:pt>
                <c:pt idx="285">
                  <c:v>22.3888</c:v>
                </c:pt>
                <c:pt idx="286">
                  <c:v>22.748200000000001</c:v>
                </c:pt>
                <c:pt idx="287">
                  <c:v>22.7394</c:v>
                </c:pt>
                <c:pt idx="288">
                  <c:v>22.8642</c:v>
                </c:pt>
                <c:pt idx="289">
                  <c:v>23.0245</c:v>
                </c:pt>
                <c:pt idx="290">
                  <c:v>23.189599999999999</c:v>
                </c:pt>
                <c:pt idx="291">
                  <c:v>22.972799999999999</c:v>
                </c:pt>
                <c:pt idx="292">
                  <c:v>23.017600000000002</c:v>
                </c:pt>
                <c:pt idx="293">
                  <c:v>22.9072</c:v>
                </c:pt>
                <c:pt idx="294">
                  <c:v>22.796099999999999</c:v>
                </c:pt>
                <c:pt idx="295">
                  <c:v>22.8292</c:v>
                </c:pt>
                <c:pt idx="296">
                  <c:v>22.836200000000002</c:v>
                </c:pt>
                <c:pt idx="297">
                  <c:v>23.017600000000002</c:v>
                </c:pt>
                <c:pt idx="298">
                  <c:v>22.928999999999998</c:v>
                </c:pt>
                <c:pt idx="299">
                  <c:v>22.982700000000001</c:v>
                </c:pt>
                <c:pt idx="300">
                  <c:v>23.0501</c:v>
                </c:pt>
                <c:pt idx="301">
                  <c:v>23.165299999999998</c:v>
                </c:pt>
                <c:pt idx="302">
                  <c:v>22.9925</c:v>
                </c:pt>
                <c:pt idx="303">
                  <c:v>23.1066</c:v>
                </c:pt>
                <c:pt idx="304">
                  <c:v>23.0335</c:v>
                </c:pt>
                <c:pt idx="305">
                  <c:v>23.0335</c:v>
                </c:pt>
                <c:pt idx="306">
                  <c:v>23.206199999999999</c:v>
                </c:pt>
                <c:pt idx="307">
                  <c:v>23.390999999999998</c:v>
                </c:pt>
                <c:pt idx="308">
                  <c:v>23.400600000000001</c:v>
                </c:pt>
                <c:pt idx="309">
                  <c:v>23.558800000000002</c:v>
                </c:pt>
                <c:pt idx="310">
                  <c:v>23.3596</c:v>
                </c:pt>
                <c:pt idx="311">
                  <c:v>23.3841</c:v>
                </c:pt>
                <c:pt idx="312">
                  <c:v>23.474900000000002</c:v>
                </c:pt>
                <c:pt idx="313">
                  <c:v>23.3841</c:v>
                </c:pt>
                <c:pt idx="314">
                  <c:v>24.222100000000001</c:v>
                </c:pt>
                <c:pt idx="315">
                  <c:v>24.767199999999999</c:v>
                </c:pt>
                <c:pt idx="316">
                  <c:v>23.665400000000002</c:v>
                </c:pt>
                <c:pt idx="317">
                  <c:v>23.549199999999999</c:v>
                </c:pt>
                <c:pt idx="318">
                  <c:v>23.468</c:v>
                </c:pt>
                <c:pt idx="319">
                  <c:v>23.698399999999999</c:v>
                </c:pt>
                <c:pt idx="320">
                  <c:v>23.5852</c:v>
                </c:pt>
                <c:pt idx="321">
                  <c:v>23.549199999999999</c:v>
                </c:pt>
                <c:pt idx="322">
                  <c:v>24.340199999999999</c:v>
                </c:pt>
                <c:pt idx="323">
                  <c:v>25.2163</c:v>
                </c:pt>
                <c:pt idx="324">
                  <c:v>25.029800000000002</c:v>
                </c:pt>
                <c:pt idx="325">
                  <c:v>25.978300000000001</c:v>
                </c:pt>
                <c:pt idx="326">
                  <c:v>26.125800000000002</c:v>
                </c:pt>
                <c:pt idx="327">
                  <c:v>26.003499999999999</c:v>
                </c:pt>
                <c:pt idx="328">
                  <c:v>26.674700000000001</c:v>
                </c:pt>
                <c:pt idx="329">
                  <c:v>27.076899999999998</c:v>
                </c:pt>
                <c:pt idx="330">
                  <c:v>26.763400000000001</c:v>
                </c:pt>
                <c:pt idx="331">
                  <c:v>27.125900000000001</c:v>
                </c:pt>
                <c:pt idx="332">
                  <c:v>27.3964</c:v>
                </c:pt>
                <c:pt idx="333">
                  <c:v>27.6035</c:v>
                </c:pt>
                <c:pt idx="334">
                  <c:v>27.2471</c:v>
                </c:pt>
                <c:pt idx="335">
                  <c:v>26.9862</c:v>
                </c:pt>
                <c:pt idx="336">
                  <c:v>26.713699999999999</c:v>
                </c:pt>
                <c:pt idx="337">
                  <c:v>26.740100000000002</c:v>
                </c:pt>
                <c:pt idx="338">
                  <c:v>27.0213</c:v>
                </c:pt>
                <c:pt idx="339">
                  <c:v>27.618099999999998</c:v>
                </c:pt>
                <c:pt idx="340">
                  <c:v>27.884799999999998</c:v>
                </c:pt>
                <c:pt idx="341">
                  <c:v>28.073399999999999</c:v>
                </c:pt>
                <c:pt idx="342">
                  <c:v>28.722000000000001</c:v>
                </c:pt>
                <c:pt idx="343">
                  <c:v>28.895800000000001</c:v>
                </c:pt>
                <c:pt idx="344">
                  <c:v>28.706199999999999</c:v>
                </c:pt>
                <c:pt idx="345">
                  <c:v>28.506</c:v>
                </c:pt>
                <c:pt idx="346">
                  <c:v>28.129100000000001</c:v>
                </c:pt>
                <c:pt idx="347">
                  <c:v>28.229600000000001</c:v>
                </c:pt>
                <c:pt idx="348">
                  <c:v>28.846</c:v>
                </c:pt>
                <c:pt idx="349">
                  <c:v>28.729800000000001</c:v>
                </c:pt>
                <c:pt idx="350">
                  <c:v>28.854700000000001</c:v>
                </c:pt>
                <c:pt idx="351">
                  <c:v>28.751999999999999</c:v>
                </c:pt>
                <c:pt idx="352">
                  <c:v>29.3169</c:v>
                </c:pt>
                <c:pt idx="353">
                  <c:v>28.820399999999999</c:v>
                </c:pt>
                <c:pt idx="354">
                  <c:v>28.647600000000001</c:v>
                </c:pt>
                <c:pt idx="355">
                  <c:v>28.798100000000002</c:v>
                </c:pt>
                <c:pt idx="356">
                  <c:v>29.3811</c:v>
                </c:pt>
                <c:pt idx="357">
                  <c:v>29.22</c:v>
                </c:pt>
                <c:pt idx="358">
                  <c:v>28.697399999999998</c:v>
                </c:pt>
                <c:pt idx="359">
                  <c:v>28.830200000000001</c:v>
                </c:pt>
                <c:pt idx="360">
                  <c:v>28.599799999999998</c:v>
                </c:pt>
                <c:pt idx="361">
                  <c:v>28.335999999999999</c:v>
                </c:pt>
                <c:pt idx="362">
                  <c:v>28.830200000000001</c:v>
                </c:pt>
                <c:pt idx="363">
                  <c:v>28.812799999999999</c:v>
                </c:pt>
                <c:pt idx="364">
                  <c:v>28.493300000000001</c:v>
                </c:pt>
                <c:pt idx="365">
                  <c:v>27.587</c:v>
                </c:pt>
                <c:pt idx="366">
                  <c:v>27.398299999999999</c:v>
                </c:pt>
                <c:pt idx="367">
                  <c:v>27.776299999999999</c:v>
                </c:pt>
                <c:pt idx="368">
                  <c:v>27.733499999999999</c:v>
                </c:pt>
                <c:pt idx="369">
                  <c:v>28.293199999999999</c:v>
                </c:pt>
                <c:pt idx="370">
                  <c:v>28.515899999999998</c:v>
                </c:pt>
                <c:pt idx="371">
                  <c:v>28.4542</c:v>
                </c:pt>
                <c:pt idx="372">
                  <c:v>28.302900000000001</c:v>
                </c:pt>
                <c:pt idx="373">
                  <c:v>27.954999999999998</c:v>
                </c:pt>
                <c:pt idx="374">
                  <c:v>28.0138</c:v>
                </c:pt>
                <c:pt idx="375">
                  <c:v>28.180900000000001</c:v>
                </c:pt>
                <c:pt idx="376">
                  <c:v>28.2745</c:v>
                </c:pt>
                <c:pt idx="377">
                  <c:v>28.293199999999999</c:v>
                </c:pt>
                <c:pt idx="378">
                  <c:v>28.583200000000001</c:v>
                </c:pt>
                <c:pt idx="379">
                  <c:v>29.396000000000001</c:v>
                </c:pt>
                <c:pt idx="380">
                  <c:v>29.3811</c:v>
                </c:pt>
                <c:pt idx="381">
                  <c:v>29.7944</c:v>
                </c:pt>
                <c:pt idx="382">
                  <c:v>29.874199999999998</c:v>
                </c:pt>
                <c:pt idx="383">
                  <c:v>29.4389</c:v>
                </c:pt>
                <c:pt idx="384">
                  <c:v>29.192699999999999</c:v>
                </c:pt>
                <c:pt idx="385">
                  <c:v>25.8629</c:v>
                </c:pt>
                <c:pt idx="386">
                  <c:v>26.367100000000001</c:v>
                </c:pt>
                <c:pt idx="387">
                  <c:v>26.211600000000001</c:v>
                </c:pt>
                <c:pt idx="388">
                  <c:v>26.323</c:v>
                </c:pt>
                <c:pt idx="389">
                  <c:v>25.853999999999999</c:v>
                </c:pt>
                <c:pt idx="390">
                  <c:v>26.046600000000002</c:v>
                </c:pt>
                <c:pt idx="391">
                  <c:v>25.979299999999999</c:v>
                </c:pt>
                <c:pt idx="392">
                  <c:v>26.234200000000001</c:v>
                </c:pt>
                <c:pt idx="393">
                  <c:v>26.226299999999998</c:v>
                </c:pt>
                <c:pt idx="394">
                  <c:v>26.085799999999999</c:v>
                </c:pt>
                <c:pt idx="395">
                  <c:v>26.2685</c:v>
                </c:pt>
                <c:pt idx="396">
                  <c:v>26.11</c:v>
                </c:pt>
                <c:pt idx="397">
                  <c:v>26.014299999999999</c:v>
                </c:pt>
                <c:pt idx="398">
                  <c:v>26.409099999999999</c:v>
                </c:pt>
                <c:pt idx="399">
                  <c:v>27.093699999999998</c:v>
                </c:pt>
                <c:pt idx="400">
                  <c:v>26.933399999999999</c:v>
                </c:pt>
                <c:pt idx="401">
                  <c:v>27.076899999999998</c:v>
                </c:pt>
                <c:pt idx="402">
                  <c:v>26.734300000000001</c:v>
                </c:pt>
                <c:pt idx="403">
                  <c:v>26.836600000000001</c:v>
                </c:pt>
                <c:pt idx="404">
                  <c:v>26.370999999999999</c:v>
                </c:pt>
                <c:pt idx="405">
                  <c:v>26.378599999999999</c:v>
                </c:pt>
                <c:pt idx="406">
                  <c:v>26.040900000000001</c:v>
                </c:pt>
                <c:pt idx="407">
                  <c:v>26.228300000000001</c:v>
                </c:pt>
                <c:pt idx="408">
                  <c:v>26.220400000000001</c:v>
                </c:pt>
                <c:pt idx="409">
                  <c:v>26.866199999999999</c:v>
                </c:pt>
                <c:pt idx="410">
                  <c:v>28.825399999999998</c:v>
                </c:pt>
                <c:pt idx="411">
                  <c:v>28.328399999999998</c:v>
                </c:pt>
                <c:pt idx="412">
                  <c:v>27.5899</c:v>
                </c:pt>
                <c:pt idx="413">
                  <c:v>27.3935</c:v>
                </c:pt>
                <c:pt idx="414">
                  <c:v>27.830100000000002</c:v>
                </c:pt>
                <c:pt idx="415">
                  <c:v>27.703099999999999</c:v>
                </c:pt>
                <c:pt idx="416">
                  <c:v>26.446000000000002</c:v>
                </c:pt>
                <c:pt idx="417">
                  <c:v>25.869900000000001</c:v>
                </c:pt>
                <c:pt idx="418">
                  <c:v>25.913799999999998</c:v>
                </c:pt>
                <c:pt idx="419">
                  <c:v>25.8386</c:v>
                </c:pt>
                <c:pt idx="420">
                  <c:v>26.263500000000001</c:v>
                </c:pt>
                <c:pt idx="421">
                  <c:v>26.866199999999999</c:v>
                </c:pt>
                <c:pt idx="422">
                  <c:v>27.159099999999999</c:v>
                </c:pt>
                <c:pt idx="423">
                  <c:v>27.1189</c:v>
                </c:pt>
                <c:pt idx="424">
                  <c:v>27.400300000000001</c:v>
                </c:pt>
                <c:pt idx="425">
                  <c:v>27.206900000000001</c:v>
                </c:pt>
                <c:pt idx="426">
                  <c:v>27.314299999999999</c:v>
                </c:pt>
                <c:pt idx="427">
                  <c:v>27.639700000000001</c:v>
                </c:pt>
                <c:pt idx="428">
                  <c:v>27.907299999999999</c:v>
                </c:pt>
                <c:pt idx="429">
                  <c:v>27.197399999999998</c:v>
                </c:pt>
                <c:pt idx="430">
                  <c:v>27.159099999999999</c:v>
                </c:pt>
                <c:pt idx="431">
                  <c:v>26.9237</c:v>
                </c:pt>
                <c:pt idx="432">
                  <c:v>26.966899999999999</c:v>
                </c:pt>
                <c:pt idx="433">
                  <c:v>27.179600000000001</c:v>
                </c:pt>
                <c:pt idx="434">
                  <c:v>27.596800000000002</c:v>
                </c:pt>
                <c:pt idx="435">
                  <c:v>27.6035</c:v>
                </c:pt>
                <c:pt idx="436">
                  <c:v>27.8535</c:v>
                </c:pt>
                <c:pt idx="437">
                  <c:v>28.136099999999999</c:v>
                </c:pt>
                <c:pt idx="438">
                  <c:v>28.088100000000001</c:v>
                </c:pt>
                <c:pt idx="439">
                  <c:v>28.1053</c:v>
                </c:pt>
                <c:pt idx="440">
                  <c:v>27.6221</c:v>
                </c:pt>
                <c:pt idx="441">
                  <c:v>27.384899999999998</c:v>
                </c:pt>
                <c:pt idx="442">
                  <c:v>27.4345</c:v>
                </c:pt>
                <c:pt idx="443">
                  <c:v>28.003900000000002</c:v>
                </c:pt>
                <c:pt idx="444">
                  <c:v>28.311599999999999</c:v>
                </c:pt>
                <c:pt idx="445">
                  <c:v>28.578399999999998</c:v>
                </c:pt>
                <c:pt idx="446">
                  <c:v>28.612300000000001</c:v>
                </c:pt>
                <c:pt idx="447">
                  <c:v>28.733599999999999</c:v>
                </c:pt>
                <c:pt idx="448">
                  <c:v>28.968</c:v>
                </c:pt>
                <c:pt idx="449">
                  <c:v>29.000399999999999</c:v>
                </c:pt>
                <c:pt idx="450">
                  <c:v>29.026599999999998</c:v>
                </c:pt>
                <c:pt idx="451">
                  <c:v>28.683900000000001</c:v>
                </c:pt>
                <c:pt idx="452">
                  <c:v>28.003900000000002</c:v>
                </c:pt>
                <c:pt idx="453">
                  <c:v>27.968900000000001</c:v>
                </c:pt>
                <c:pt idx="454">
                  <c:v>29.638200000000001</c:v>
                </c:pt>
                <c:pt idx="455">
                  <c:v>29.508199999999999</c:v>
                </c:pt>
                <c:pt idx="456">
                  <c:v>29.464300000000001</c:v>
                </c:pt>
                <c:pt idx="457">
                  <c:v>29.4819</c:v>
                </c:pt>
                <c:pt idx="458">
                  <c:v>29.368400000000001</c:v>
                </c:pt>
                <c:pt idx="459">
                  <c:v>29.472999999999999</c:v>
                </c:pt>
                <c:pt idx="460">
                  <c:v>29.814</c:v>
                </c:pt>
                <c:pt idx="461">
                  <c:v>30.395</c:v>
                </c:pt>
                <c:pt idx="462">
                  <c:v>31.671800000000001</c:v>
                </c:pt>
                <c:pt idx="463">
                  <c:v>31.107099999999999</c:v>
                </c:pt>
                <c:pt idx="464">
                  <c:v>31.3385</c:v>
                </c:pt>
                <c:pt idx="465">
                  <c:v>31.182200000000002</c:v>
                </c:pt>
                <c:pt idx="466">
                  <c:v>30.99</c:v>
                </c:pt>
                <c:pt idx="467">
                  <c:v>31.6462</c:v>
                </c:pt>
                <c:pt idx="468">
                  <c:v>31.5398</c:v>
                </c:pt>
                <c:pt idx="469">
                  <c:v>31.388400000000001</c:v>
                </c:pt>
                <c:pt idx="470">
                  <c:v>30.858899999999998</c:v>
                </c:pt>
                <c:pt idx="471">
                  <c:v>30.708500000000001</c:v>
                </c:pt>
                <c:pt idx="472">
                  <c:v>30.9909</c:v>
                </c:pt>
                <c:pt idx="473">
                  <c:v>31.2605</c:v>
                </c:pt>
                <c:pt idx="474">
                  <c:v>31.401199999999999</c:v>
                </c:pt>
                <c:pt idx="475">
                  <c:v>31.456700000000001</c:v>
                </c:pt>
                <c:pt idx="476">
                  <c:v>31.217500000000001</c:v>
                </c:pt>
                <c:pt idx="477">
                  <c:v>31.423400000000001</c:v>
                </c:pt>
                <c:pt idx="478">
                  <c:v>31.867899999999999</c:v>
                </c:pt>
                <c:pt idx="479">
                  <c:v>32.137500000000003</c:v>
                </c:pt>
                <c:pt idx="480">
                  <c:v>32.019399999999997</c:v>
                </c:pt>
                <c:pt idx="481">
                  <c:v>32.547800000000002</c:v>
                </c:pt>
                <c:pt idx="482">
                  <c:v>31.760400000000001</c:v>
                </c:pt>
                <c:pt idx="483">
                  <c:v>32.0623</c:v>
                </c:pt>
                <c:pt idx="484">
                  <c:v>32.354100000000003</c:v>
                </c:pt>
                <c:pt idx="485">
                  <c:v>31.851400000000002</c:v>
                </c:pt>
                <c:pt idx="486">
                  <c:v>31.4313</c:v>
                </c:pt>
                <c:pt idx="487">
                  <c:v>31.109000000000002</c:v>
                </c:pt>
                <c:pt idx="488">
                  <c:v>30.666699999999999</c:v>
                </c:pt>
                <c:pt idx="489">
                  <c:v>30.825800000000001</c:v>
                </c:pt>
                <c:pt idx="490">
                  <c:v>30.521100000000001</c:v>
                </c:pt>
                <c:pt idx="491">
                  <c:v>30.571899999999999</c:v>
                </c:pt>
                <c:pt idx="492">
                  <c:v>30.2974</c:v>
                </c:pt>
                <c:pt idx="493">
                  <c:v>30.7575</c:v>
                </c:pt>
                <c:pt idx="494">
                  <c:v>30.606000000000002</c:v>
                </c:pt>
                <c:pt idx="495">
                  <c:v>30.9909</c:v>
                </c:pt>
                <c:pt idx="496">
                  <c:v>31.291699999999999</c:v>
                </c:pt>
                <c:pt idx="497">
                  <c:v>31.1678</c:v>
                </c:pt>
                <c:pt idx="498">
                  <c:v>31.1678</c:v>
                </c:pt>
                <c:pt idx="499">
                  <c:v>31.269200000000001</c:v>
                </c:pt>
                <c:pt idx="500">
                  <c:v>31.060099999999998</c:v>
                </c:pt>
                <c:pt idx="501">
                  <c:v>30.850200000000001</c:v>
                </c:pt>
                <c:pt idx="502">
                  <c:v>30.197900000000001</c:v>
                </c:pt>
                <c:pt idx="503">
                  <c:v>30.433199999999999</c:v>
                </c:pt>
                <c:pt idx="504">
                  <c:v>29.886099999999999</c:v>
                </c:pt>
                <c:pt idx="505">
                  <c:v>29.694800000000001</c:v>
                </c:pt>
                <c:pt idx="506">
                  <c:v>30.1205</c:v>
                </c:pt>
                <c:pt idx="507">
                  <c:v>29.235600000000002</c:v>
                </c:pt>
                <c:pt idx="508">
                  <c:v>29.9039</c:v>
                </c:pt>
                <c:pt idx="509">
                  <c:v>30.724299999999999</c:v>
                </c:pt>
                <c:pt idx="510">
                  <c:v>30.8337</c:v>
                </c:pt>
                <c:pt idx="511">
                  <c:v>30.407800000000002</c:v>
                </c:pt>
                <c:pt idx="512">
                  <c:v>30.23</c:v>
                </c:pt>
                <c:pt idx="513">
                  <c:v>30.0288</c:v>
                </c:pt>
                <c:pt idx="514">
                  <c:v>30.138300000000001</c:v>
                </c:pt>
                <c:pt idx="515">
                  <c:v>30.7652</c:v>
                </c:pt>
                <c:pt idx="516">
                  <c:v>30.113600000000002</c:v>
                </c:pt>
                <c:pt idx="517">
                  <c:v>30.315000000000001</c:v>
                </c:pt>
                <c:pt idx="518">
                  <c:v>30.639099999999999</c:v>
                </c:pt>
                <c:pt idx="519">
                  <c:v>30.808299999999999</c:v>
                </c:pt>
                <c:pt idx="520">
                  <c:v>31.626799999999999</c:v>
                </c:pt>
                <c:pt idx="521">
                  <c:v>30.489899999999999</c:v>
                </c:pt>
                <c:pt idx="522">
                  <c:v>30.381399999999999</c:v>
                </c:pt>
                <c:pt idx="523">
                  <c:v>29.9389</c:v>
                </c:pt>
                <c:pt idx="524">
                  <c:v>30.239000000000001</c:v>
                </c:pt>
                <c:pt idx="525">
                  <c:v>30.555199999999999</c:v>
                </c:pt>
                <c:pt idx="526">
                  <c:v>30.7575</c:v>
                </c:pt>
                <c:pt idx="527">
                  <c:v>31.0671</c:v>
                </c:pt>
                <c:pt idx="528">
                  <c:v>31.318100000000001</c:v>
                </c:pt>
                <c:pt idx="529">
                  <c:v>31.4313</c:v>
                </c:pt>
                <c:pt idx="530">
                  <c:v>31.440200000000001</c:v>
                </c:pt>
                <c:pt idx="531">
                  <c:v>31.511299999999999</c:v>
                </c:pt>
                <c:pt idx="532">
                  <c:v>31.587800000000001</c:v>
                </c:pt>
                <c:pt idx="533">
                  <c:v>31.7879</c:v>
                </c:pt>
                <c:pt idx="534">
                  <c:v>31.982199999999999</c:v>
                </c:pt>
                <c:pt idx="535">
                  <c:v>31.740100000000002</c:v>
                </c:pt>
                <c:pt idx="536">
                  <c:v>31.6111</c:v>
                </c:pt>
                <c:pt idx="537">
                  <c:v>31.555399999999999</c:v>
                </c:pt>
                <c:pt idx="538">
                  <c:v>31.881699999999999</c:v>
                </c:pt>
                <c:pt idx="539">
                  <c:v>32.258699999999997</c:v>
                </c:pt>
                <c:pt idx="540">
                  <c:v>31.811199999999999</c:v>
                </c:pt>
                <c:pt idx="541">
                  <c:v>32.344900000000003</c:v>
                </c:pt>
                <c:pt idx="542">
                  <c:v>32.092700000000001</c:v>
                </c:pt>
                <c:pt idx="543">
                  <c:v>32.126800000000003</c:v>
                </c:pt>
                <c:pt idx="544">
                  <c:v>31.915800000000001</c:v>
                </c:pt>
                <c:pt idx="545">
                  <c:v>31.845500000000001</c:v>
                </c:pt>
                <c:pt idx="546">
                  <c:v>32.0154</c:v>
                </c:pt>
                <c:pt idx="547">
                  <c:v>32.226500000000001</c:v>
                </c:pt>
                <c:pt idx="548">
                  <c:v>31.9071</c:v>
                </c:pt>
                <c:pt idx="549">
                  <c:v>31.748000000000001</c:v>
                </c:pt>
                <c:pt idx="550">
                  <c:v>32.0398</c:v>
                </c:pt>
                <c:pt idx="551">
                  <c:v>33.302700000000002</c:v>
                </c:pt>
                <c:pt idx="552">
                  <c:v>33.065399999999997</c:v>
                </c:pt>
                <c:pt idx="553">
                  <c:v>33.960099999999997</c:v>
                </c:pt>
                <c:pt idx="554">
                  <c:v>33.818300000000001</c:v>
                </c:pt>
                <c:pt idx="555">
                  <c:v>34.102800000000002</c:v>
                </c:pt>
                <c:pt idx="556">
                  <c:v>33.966900000000003</c:v>
                </c:pt>
                <c:pt idx="557">
                  <c:v>33.504899999999999</c:v>
                </c:pt>
                <c:pt idx="558">
                  <c:v>33.144599999999997</c:v>
                </c:pt>
                <c:pt idx="559">
                  <c:v>33.936799999999998</c:v>
                </c:pt>
                <c:pt idx="560">
                  <c:v>34.515799999999999</c:v>
                </c:pt>
                <c:pt idx="561">
                  <c:v>34.879199999999997</c:v>
                </c:pt>
                <c:pt idx="562">
                  <c:v>34.816899999999997</c:v>
                </c:pt>
                <c:pt idx="563">
                  <c:v>34.531500000000001</c:v>
                </c:pt>
                <c:pt idx="564">
                  <c:v>33.574199999999998</c:v>
                </c:pt>
                <c:pt idx="565">
                  <c:v>33.514899999999997</c:v>
                </c:pt>
                <c:pt idx="566">
                  <c:v>33.5321</c:v>
                </c:pt>
                <c:pt idx="567">
                  <c:v>34.081299999999999</c:v>
                </c:pt>
                <c:pt idx="568">
                  <c:v>33.144599999999997</c:v>
                </c:pt>
                <c:pt idx="569">
                  <c:v>33.0167</c:v>
                </c:pt>
                <c:pt idx="570">
                  <c:v>32.995100000000001</c:v>
                </c:pt>
                <c:pt idx="571">
                  <c:v>33.471899999999998</c:v>
                </c:pt>
                <c:pt idx="572">
                  <c:v>34.017800000000001</c:v>
                </c:pt>
                <c:pt idx="573">
                  <c:v>33.693399999999997</c:v>
                </c:pt>
                <c:pt idx="574">
                  <c:v>33.633000000000003</c:v>
                </c:pt>
                <c:pt idx="575">
                  <c:v>33.6768</c:v>
                </c:pt>
                <c:pt idx="576">
                  <c:v>33.421999999999997</c:v>
                </c:pt>
                <c:pt idx="577">
                  <c:v>33.564700000000002</c:v>
                </c:pt>
                <c:pt idx="578">
                  <c:v>33.604700000000001</c:v>
                </c:pt>
                <c:pt idx="579">
                  <c:v>34.414099999999998</c:v>
                </c:pt>
                <c:pt idx="580">
                  <c:v>34.111499999999999</c:v>
                </c:pt>
                <c:pt idx="581">
                  <c:v>34.017800000000001</c:v>
                </c:pt>
                <c:pt idx="582">
                  <c:v>33.684800000000003</c:v>
                </c:pt>
                <c:pt idx="583">
                  <c:v>33.421999999999997</c:v>
                </c:pt>
                <c:pt idx="584">
                  <c:v>33.202199999999998</c:v>
                </c:pt>
                <c:pt idx="585">
                  <c:v>32.889699999999998</c:v>
                </c:pt>
                <c:pt idx="586">
                  <c:v>33.194499999999998</c:v>
                </c:pt>
                <c:pt idx="587">
                  <c:v>33.378</c:v>
                </c:pt>
                <c:pt idx="588">
                  <c:v>33.297899999999998</c:v>
                </c:pt>
                <c:pt idx="589">
                  <c:v>33.660400000000003</c:v>
                </c:pt>
                <c:pt idx="590">
                  <c:v>34.2746</c:v>
                </c:pt>
                <c:pt idx="591">
                  <c:v>34.1252</c:v>
                </c:pt>
                <c:pt idx="592">
                  <c:v>33.580100000000002</c:v>
                </c:pt>
                <c:pt idx="593">
                  <c:v>33.777299999999997</c:v>
                </c:pt>
                <c:pt idx="594">
                  <c:v>33.709200000000003</c:v>
                </c:pt>
                <c:pt idx="595">
                  <c:v>33.651400000000002</c:v>
                </c:pt>
                <c:pt idx="596">
                  <c:v>34.216999999999999</c:v>
                </c:pt>
                <c:pt idx="597">
                  <c:v>34.005000000000003</c:v>
                </c:pt>
                <c:pt idx="598">
                  <c:v>34.019799999999996</c:v>
                </c:pt>
                <c:pt idx="599">
                  <c:v>34.084200000000003</c:v>
                </c:pt>
                <c:pt idx="600">
                  <c:v>33.928899999999999</c:v>
                </c:pt>
                <c:pt idx="601">
                  <c:v>34.2121</c:v>
                </c:pt>
                <c:pt idx="602">
                  <c:v>34.718000000000004</c:v>
                </c:pt>
                <c:pt idx="603">
                  <c:v>34.590299999999999</c:v>
                </c:pt>
                <c:pt idx="604">
                  <c:v>34.168100000000003</c:v>
                </c:pt>
                <c:pt idx="605">
                  <c:v>34.194699999999997</c:v>
                </c:pt>
                <c:pt idx="606">
                  <c:v>34.947600000000001</c:v>
                </c:pt>
                <c:pt idx="607">
                  <c:v>35.176200000000001</c:v>
                </c:pt>
                <c:pt idx="608">
                  <c:v>34.997300000000003</c:v>
                </c:pt>
                <c:pt idx="609">
                  <c:v>34.862699999999997</c:v>
                </c:pt>
                <c:pt idx="610">
                  <c:v>34.6496</c:v>
                </c:pt>
                <c:pt idx="611">
                  <c:v>34.410400000000003</c:v>
                </c:pt>
                <c:pt idx="612">
                  <c:v>34.963299999999997</c:v>
                </c:pt>
                <c:pt idx="613">
                  <c:v>35.192900000000002</c:v>
                </c:pt>
                <c:pt idx="614">
                  <c:v>35.344200000000001</c:v>
                </c:pt>
                <c:pt idx="615">
                  <c:v>35.318800000000003</c:v>
                </c:pt>
                <c:pt idx="616">
                  <c:v>35.201500000000003</c:v>
                </c:pt>
                <c:pt idx="617">
                  <c:v>35.344200000000001</c:v>
                </c:pt>
                <c:pt idx="618">
                  <c:v>35.606999999999999</c:v>
                </c:pt>
                <c:pt idx="619">
                  <c:v>35.395899999999997</c:v>
                </c:pt>
                <c:pt idx="620">
                  <c:v>35.641100000000002</c:v>
                </c:pt>
                <c:pt idx="621">
                  <c:v>35.378500000000003</c:v>
                </c:pt>
                <c:pt idx="622">
                  <c:v>35.828699999999998</c:v>
                </c:pt>
                <c:pt idx="623">
                  <c:v>35.360700000000001</c:v>
                </c:pt>
                <c:pt idx="624">
                  <c:v>35.507300000000001</c:v>
                </c:pt>
                <c:pt idx="625">
                  <c:v>35.534599999999998</c:v>
                </c:pt>
                <c:pt idx="626">
                  <c:v>35.447699999999998</c:v>
                </c:pt>
                <c:pt idx="627">
                  <c:v>35.606999999999999</c:v>
                </c:pt>
                <c:pt idx="628">
                  <c:v>35.430100000000003</c:v>
                </c:pt>
                <c:pt idx="629">
                  <c:v>35.334499999999998</c:v>
                </c:pt>
                <c:pt idx="630">
                  <c:v>35.351900000000001</c:v>
                </c:pt>
                <c:pt idx="631">
                  <c:v>35.695</c:v>
                </c:pt>
                <c:pt idx="632">
                  <c:v>35.734900000000003</c:v>
                </c:pt>
                <c:pt idx="633">
                  <c:v>35.998699999999999</c:v>
                </c:pt>
                <c:pt idx="634">
                  <c:v>37.377699999999997</c:v>
                </c:pt>
                <c:pt idx="635">
                  <c:v>37.763599999999997</c:v>
                </c:pt>
                <c:pt idx="636">
                  <c:v>37.898299999999999</c:v>
                </c:pt>
                <c:pt idx="637">
                  <c:v>38.018500000000003</c:v>
                </c:pt>
                <c:pt idx="638">
                  <c:v>38.018500000000003</c:v>
                </c:pt>
                <c:pt idx="639">
                  <c:v>38.053699999999999</c:v>
                </c:pt>
                <c:pt idx="640">
                  <c:v>37.649099999999997</c:v>
                </c:pt>
                <c:pt idx="641">
                  <c:v>37.737099999999998</c:v>
                </c:pt>
                <c:pt idx="642">
                  <c:v>37.287999999999997</c:v>
                </c:pt>
                <c:pt idx="643">
                  <c:v>37.210700000000003</c:v>
                </c:pt>
                <c:pt idx="644">
                  <c:v>36.957700000000003</c:v>
                </c:pt>
                <c:pt idx="645">
                  <c:v>36.600299999999997</c:v>
                </c:pt>
                <c:pt idx="646">
                  <c:v>36.345300000000002</c:v>
                </c:pt>
                <c:pt idx="647">
                  <c:v>36.777099999999997</c:v>
                </c:pt>
                <c:pt idx="648">
                  <c:v>36.533000000000001</c:v>
                </c:pt>
                <c:pt idx="649">
                  <c:v>36.244799999999998</c:v>
                </c:pt>
                <c:pt idx="650">
                  <c:v>36.660699999999999</c:v>
                </c:pt>
                <c:pt idx="651">
                  <c:v>36.633499999999998</c:v>
                </c:pt>
                <c:pt idx="652">
                  <c:v>36.633499999999998</c:v>
                </c:pt>
                <c:pt idx="653">
                  <c:v>36.9041</c:v>
                </c:pt>
                <c:pt idx="654">
                  <c:v>37.377699999999997</c:v>
                </c:pt>
                <c:pt idx="655">
                  <c:v>37.542000000000002</c:v>
                </c:pt>
                <c:pt idx="656">
                  <c:v>37.982199999999999</c:v>
                </c:pt>
                <c:pt idx="657">
                  <c:v>38.253799999999998</c:v>
                </c:pt>
                <c:pt idx="658">
                  <c:v>38.678800000000003</c:v>
                </c:pt>
                <c:pt idx="659">
                  <c:v>38.356400000000001</c:v>
                </c:pt>
                <c:pt idx="660">
                  <c:v>38.584899999999998</c:v>
                </c:pt>
                <c:pt idx="661">
                  <c:v>38.524500000000003</c:v>
                </c:pt>
                <c:pt idx="662">
                  <c:v>38.540999999999997</c:v>
                </c:pt>
                <c:pt idx="663">
                  <c:v>38.410299999999999</c:v>
                </c:pt>
                <c:pt idx="664">
                  <c:v>38.289099999999998</c:v>
                </c:pt>
                <c:pt idx="665">
                  <c:v>38.296700000000001</c:v>
                </c:pt>
                <c:pt idx="666">
                  <c:v>38.767699999999998</c:v>
                </c:pt>
                <c:pt idx="667">
                  <c:v>38.477600000000002</c:v>
                </c:pt>
                <c:pt idx="668">
                  <c:v>38.366199999999999</c:v>
                </c:pt>
                <c:pt idx="669">
                  <c:v>38.622100000000003</c:v>
                </c:pt>
                <c:pt idx="670">
                  <c:v>39.174900000000001</c:v>
                </c:pt>
                <c:pt idx="671">
                  <c:v>39.654499999999999</c:v>
                </c:pt>
                <c:pt idx="672">
                  <c:v>39.902700000000003</c:v>
                </c:pt>
                <c:pt idx="673">
                  <c:v>39.968000000000004</c:v>
                </c:pt>
                <c:pt idx="674">
                  <c:v>40.104799999999997</c:v>
                </c:pt>
                <c:pt idx="675">
                  <c:v>39.841999999999999</c:v>
                </c:pt>
                <c:pt idx="676">
                  <c:v>39.455100000000002</c:v>
                </c:pt>
                <c:pt idx="677">
                  <c:v>39.902700000000003</c:v>
                </c:pt>
                <c:pt idx="678">
                  <c:v>39.695500000000003</c:v>
                </c:pt>
                <c:pt idx="679">
                  <c:v>39.8322</c:v>
                </c:pt>
                <c:pt idx="680">
                  <c:v>40.549100000000003</c:v>
                </c:pt>
                <c:pt idx="681">
                  <c:v>40.1586</c:v>
                </c:pt>
                <c:pt idx="682">
                  <c:v>39.730699999999999</c:v>
                </c:pt>
                <c:pt idx="683">
                  <c:v>40.174199999999999</c:v>
                </c:pt>
                <c:pt idx="684">
                  <c:v>39.287199999999999</c:v>
                </c:pt>
                <c:pt idx="685">
                  <c:v>39.6008</c:v>
                </c:pt>
                <c:pt idx="686">
                  <c:v>39.630200000000002</c:v>
                </c:pt>
                <c:pt idx="687">
                  <c:v>39.559699999999999</c:v>
                </c:pt>
                <c:pt idx="688">
                  <c:v>39.166200000000003</c:v>
                </c:pt>
                <c:pt idx="689">
                  <c:v>39.046900000000001</c:v>
                </c:pt>
                <c:pt idx="690">
                  <c:v>39.330199999999998</c:v>
                </c:pt>
                <c:pt idx="691">
                  <c:v>39.330199999999998</c:v>
                </c:pt>
                <c:pt idx="692">
                  <c:v>38.852600000000002</c:v>
                </c:pt>
                <c:pt idx="693">
                  <c:v>39.917200000000001</c:v>
                </c:pt>
                <c:pt idx="694">
                  <c:v>39.127000000000002</c:v>
                </c:pt>
                <c:pt idx="695">
                  <c:v>37.569099999999999</c:v>
                </c:pt>
                <c:pt idx="696">
                  <c:v>37.2438</c:v>
                </c:pt>
                <c:pt idx="697">
                  <c:v>37.316099999999999</c:v>
                </c:pt>
                <c:pt idx="698">
                  <c:v>36.880600000000001</c:v>
                </c:pt>
                <c:pt idx="699">
                  <c:v>36.469299999999997</c:v>
                </c:pt>
                <c:pt idx="700">
                  <c:v>37.227499999999999</c:v>
                </c:pt>
                <c:pt idx="701">
                  <c:v>37.616100000000003</c:v>
                </c:pt>
                <c:pt idx="702">
                  <c:v>38.296700000000001</c:v>
                </c:pt>
                <c:pt idx="703">
                  <c:v>37.868099999999998</c:v>
                </c:pt>
                <c:pt idx="704">
                  <c:v>38.418900000000001</c:v>
                </c:pt>
                <c:pt idx="705">
                  <c:v>39.363300000000002</c:v>
                </c:pt>
                <c:pt idx="706">
                  <c:v>39.174900000000001</c:v>
                </c:pt>
                <c:pt idx="707">
                  <c:v>39.671300000000002</c:v>
                </c:pt>
                <c:pt idx="708">
                  <c:v>39.780700000000003</c:v>
                </c:pt>
                <c:pt idx="709">
                  <c:v>39.296799999999998</c:v>
                </c:pt>
                <c:pt idx="710">
                  <c:v>40.062800000000003</c:v>
                </c:pt>
                <c:pt idx="711">
                  <c:v>40.4818</c:v>
                </c:pt>
                <c:pt idx="712">
                  <c:v>40.591099999999997</c:v>
                </c:pt>
                <c:pt idx="713">
                  <c:v>40.8431</c:v>
                </c:pt>
                <c:pt idx="714">
                  <c:v>41.556199999999997</c:v>
                </c:pt>
                <c:pt idx="715">
                  <c:v>41.537700000000001</c:v>
                </c:pt>
                <c:pt idx="716">
                  <c:v>41.720300000000002</c:v>
                </c:pt>
                <c:pt idx="717">
                  <c:v>41.7027</c:v>
                </c:pt>
                <c:pt idx="718">
                  <c:v>41.6235</c:v>
                </c:pt>
                <c:pt idx="719">
                  <c:v>42.329799999999999</c:v>
                </c:pt>
                <c:pt idx="720">
                  <c:v>42.306399999999996</c:v>
                </c:pt>
                <c:pt idx="721">
                  <c:v>42.206800000000001</c:v>
                </c:pt>
                <c:pt idx="722">
                  <c:v>41.852899999999998</c:v>
                </c:pt>
                <c:pt idx="723">
                  <c:v>41.405700000000003</c:v>
                </c:pt>
                <c:pt idx="724">
                  <c:v>41.817900000000002</c:v>
                </c:pt>
                <c:pt idx="725">
                  <c:v>41.199800000000003</c:v>
                </c:pt>
                <c:pt idx="726">
                  <c:v>40.867600000000003</c:v>
                </c:pt>
                <c:pt idx="727">
                  <c:v>40.762099999999997</c:v>
                </c:pt>
                <c:pt idx="728">
                  <c:v>41.002600000000001</c:v>
                </c:pt>
                <c:pt idx="729">
                  <c:v>41.0533</c:v>
                </c:pt>
                <c:pt idx="730">
                  <c:v>41.750700000000002</c:v>
                </c:pt>
                <c:pt idx="731">
                  <c:v>41.612900000000003</c:v>
                </c:pt>
                <c:pt idx="732">
                  <c:v>41.284799999999997</c:v>
                </c:pt>
                <c:pt idx="733">
                  <c:v>41.938299999999998</c:v>
                </c:pt>
                <c:pt idx="734">
                  <c:v>41.578600000000002</c:v>
                </c:pt>
                <c:pt idx="735">
                  <c:v>40.947699999999998</c:v>
                </c:pt>
                <c:pt idx="736">
                  <c:v>40.867600000000003</c:v>
                </c:pt>
                <c:pt idx="737">
                  <c:v>40.270800000000001</c:v>
                </c:pt>
                <c:pt idx="738">
                  <c:v>40.505200000000002</c:v>
                </c:pt>
                <c:pt idx="739">
                  <c:v>40.3157</c:v>
                </c:pt>
                <c:pt idx="740">
                  <c:v>40.075499999999998</c:v>
                </c:pt>
                <c:pt idx="741">
                  <c:v>38.781300000000002</c:v>
                </c:pt>
                <c:pt idx="742">
                  <c:v>39.278599999999997</c:v>
                </c:pt>
                <c:pt idx="743">
                  <c:v>40.805100000000003</c:v>
                </c:pt>
                <c:pt idx="744">
                  <c:v>40.920400000000001</c:v>
                </c:pt>
                <c:pt idx="745">
                  <c:v>41.199800000000003</c:v>
                </c:pt>
                <c:pt idx="746">
                  <c:v>41.603999999999999</c:v>
                </c:pt>
                <c:pt idx="747">
                  <c:v>41.336500000000001</c:v>
                </c:pt>
                <c:pt idx="748">
                  <c:v>41.115600000000001</c:v>
                </c:pt>
                <c:pt idx="749">
                  <c:v>40.745399999999997</c:v>
                </c:pt>
                <c:pt idx="750">
                  <c:v>40.377200000000002</c:v>
                </c:pt>
                <c:pt idx="751">
                  <c:v>39.886899999999997</c:v>
                </c:pt>
                <c:pt idx="752">
                  <c:v>40.153599999999997</c:v>
                </c:pt>
                <c:pt idx="753">
                  <c:v>39.782600000000002</c:v>
                </c:pt>
                <c:pt idx="754">
                  <c:v>39.197200000000002</c:v>
                </c:pt>
                <c:pt idx="755">
                  <c:v>39.697499999999998</c:v>
                </c:pt>
                <c:pt idx="756">
                  <c:v>40.867600000000003</c:v>
                </c:pt>
                <c:pt idx="757">
                  <c:v>40.521700000000003</c:v>
                </c:pt>
                <c:pt idx="758">
                  <c:v>40.015900000000002</c:v>
                </c:pt>
                <c:pt idx="759">
                  <c:v>39.796900000000001</c:v>
                </c:pt>
                <c:pt idx="760">
                  <c:v>39.463999999999999</c:v>
                </c:pt>
                <c:pt idx="761">
                  <c:v>39.053699999999999</c:v>
                </c:pt>
                <c:pt idx="762">
                  <c:v>39.707299999999996</c:v>
                </c:pt>
                <c:pt idx="763">
                  <c:v>39.8352</c:v>
                </c:pt>
                <c:pt idx="764">
                  <c:v>39.430999999999997</c:v>
                </c:pt>
                <c:pt idx="765">
                  <c:v>40.4709</c:v>
                </c:pt>
                <c:pt idx="766">
                  <c:v>40.512999999999998</c:v>
                </c:pt>
                <c:pt idx="767">
                  <c:v>40.368600000000001</c:v>
                </c:pt>
                <c:pt idx="768">
                  <c:v>36.630600000000001</c:v>
                </c:pt>
                <c:pt idx="769">
                  <c:v>35.368699999999997</c:v>
                </c:pt>
                <c:pt idx="770">
                  <c:v>36.072899999999997</c:v>
                </c:pt>
                <c:pt idx="771">
                  <c:v>34.694699999999997</c:v>
                </c:pt>
                <c:pt idx="772">
                  <c:v>35.4467</c:v>
                </c:pt>
                <c:pt idx="773">
                  <c:v>35.721299999999999</c:v>
                </c:pt>
                <c:pt idx="774">
                  <c:v>35.927300000000002</c:v>
                </c:pt>
                <c:pt idx="775">
                  <c:v>36.450800000000001</c:v>
                </c:pt>
                <c:pt idx="776">
                  <c:v>36.417700000000004</c:v>
                </c:pt>
                <c:pt idx="777">
                  <c:v>36.374699999999997</c:v>
                </c:pt>
                <c:pt idx="778">
                  <c:v>36.578800000000001</c:v>
                </c:pt>
                <c:pt idx="779">
                  <c:v>36.391300000000001</c:v>
                </c:pt>
                <c:pt idx="780">
                  <c:v>37.001600000000003</c:v>
                </c:pt>
                <c:pt idx="781">
                  <c:v>37.669800000000002</c:v>
                </c:pt>
                <c:pt idx="782">
                  <c:v>37.685499999999998</c:v>
                </c:pt>
                <c:pt idx="783">
                  <c:v>37.643300000000004</c:v>
                </c:pt>
                <c:pt idx="784">
                  <c:v>37.621000000000002</c:v>
                </c:pt>
                <c:pt idx="785">
                  <c:v>37.922800000000002</c:v>
                </c:pt>
                <c:pt idx="786">
                  <c:v>38.177799999999998</c:v>
                </c:pt>
                <c:pt idx="787">
                  <c:v>38.127899999999997</c:v>
                </c:pt>
                <c:pt idx="788">
                  <c:v>38.0458</c:v>
                </c:pt>
                <c:pt idx="789">
                  <c:v>38.101500000000001</c:v>
                </c:pt>
                <c:pt idx="790">
                  <c:v>37.922800000000002</c:v>
                </c:pt>
                <c:pt idx="791">
                  <c:v>37.947099999999999</c:v>
                </c:pt>
                <c:pt idx="792">
                  <c:v>37.428600000000003</c:v>
                </c:pt>
                <c:pt idx="793">
                  <c:v>37.236199999999997</c:v>
                </c:pt>
                <c:pt idx="794">
                  <c:v>37.283000000000001</c:v>
                </c:pt>
                <c:pt idx="795">
                  <c:v>36.631599999999999</c:v>
                </c:pt>
                <c:pt idx="796">
                  <c:v>37.057299999999998</c:v>
                </c:pt>
                <c:pt idx="797">
                  <c:v>36.347299999999997</c:v>
                </c:pt>
                <c:pt idx="798">
                  <c:v>36.308199999999999</c:v>
                </c:pt>
                <c:pt idx="799">
                  <c:v>35.629199999999997</c:v>
                </c:pt>
                <c:pt idx="800">
                  <c:v>35.784799999999997</c:v>
                </c:pt>
                <c:pt idx="801">
                  <c:v>35.941899999999997</c:v>
                </c:pt>
                <c:pt idx="802">
                  <c:v>36.054200000000002</c:v>
                </c:pt>
                <c:pt idx="803">
                  <c:v>36.757399999999997</c:v>
                </c:pt>
                <c:pt idx="804">
                  <c:v>36.562199999999997</c:v>
                </c:pt>
                <c:pt idx="805">
                  <c:v>37.082799999999999</c:v>
                </c:pt>
                <c:pt idx="806">
                  <c:v>37.057299999999998</c:v>
                </c:pt>
                <c:pt idx="807">
                  <c:v>37.099200000000003</c:v>
                </c:pt>
                <c:pt idx="808">
                  <c:v>35.855899999999998</c:v>
                </c:pt>
                <c:pt idx="809">
                  <c:v>35.639099999999999</c:v>
                </c:pt>
                <c:pt idx="810">
                  <c:v>35.430100000000003</c:v>
                </c:pt>
                <c:pt idx="811">
                  <c:v>35.4223</c:v>
                </c:pt>
                <c:pt idx="812">
                  <c:v>35.157499999999999</c:v>
                </c:pt>
                <c:pt idx="813">
                  <c:v>35.216099999999997</c:v>
                </c:pt>
                <c:pt idx="814">
                  <c:v>34.842100000000002</c:v>
                </c:pt>
                <c:pt idx="815">
                  <c:v>35.924399999999999</c:v>
                </c:pt>
                <c:pt idx="816">
                  <c:v>35.916600000000003</c:v>
                </c:pt>
                <c:pt idx="817">
                  <c:v>35.820799999999998</c:v>
                </c:pt>
                <c:pt idx="818">
                  <c:v>35.874499999999998</c:v>
                </c:pt>
                <c:pt idx="819">
                  <c:v>36.0777</c:v>
                </c:pt>
                <c:pt idx="820">
                  <c:v>36.112900000000003</c:v>
                </c:pt>
                <c:pt idx="821">
                  <c:v>36.018000000000001</c:v>
                </c:pt>
                <c:pt idx="822">
                  <c:v>36.547499999999999</c:v>
                </c:pt>
                <c:pt idx="823">
                  <c:v>36.459699999999998</c:v>
                </c:pt>
                <c:pt idx="824">
                  <c:v>35.992800000000003</c:v>
                </c:pt>
                <c:pt idx="825">
                  <c:v>37.099200000000003</c:v>
                </c:pt>
                <c:pt idx="826">
                  <c:v>36.870800000000003</c:v>
                </c:pt>
                <c:pt idx="827">
                  <c:v>37.178699999999999</c:v>
                </c:pt>
                <c:pt idx="828">
                  <c:v>37.480200000000004</c:v>
                </c:pt>
                <c:pt idx="829">
                  <c:v>41.396799999999999</c:v>
                </c:pt>
                <c:pt idx="830">
                  <c:v>41.535699999999999</c:v>
                </c:pt>
                <c:pt idx="831">
                  <c:v>42.508400000000002</c:v>
                </c:pt>
                <c:pt idx="832">
                  <c:v>42.428600000000003</c:v>
                </c:pt>
                <c:pt idx="833">
                  <c:v>42.063099999999999</c:v>
                </c:pt>
                <c:pt idx="834">
                  <c:v>42.071100000000001</c:v>
                </c:pt>
                <c:pt idx="835">
                  <c:v>41.719299999999997</c:v>
                </c:pt>
                <c:pt idx="836">
                  <c:v>41.1646</c:v>
                </c:pt>
                <c:pt idx="837">
                  <c:v>40.024900000000002</c:v>
                </c:pt>
                <c:pt idx="838">
                  <c:v>40.387099999999997</c:v>
                </c:pt>
                <c:pt idx="839">
                  <c:v>41.293399999999998</c:v>
                </c:pt>
                <c:pt idx="840">
                  <c:v>40.964199999999998</c:v>
                </c:pt>
                <c:pt idx="841">
                  <c:v>40.944800000000001</c:v>
                </c:pt>
                <c:pt idx="842">
                  <c:v>41.186</c:v>
                </c:pt>
                <c:pt idx="843">
                  <c:v>42.133299999999998</c:v>
                </c:pt>
                <c:pt idx="844">
                  <c:v>41.762099999999997</c:v>
                </c:pt>
                <c:pt idx="845">
                  <c:v>41.520200000000003</c:v>
                </c:pt>
                <c:pt idx="846">
                  <c:v>41.4146</c:v>
                </c:pt>
                <c:pt idx="847">
                  <c:v>41.4146</c:v>
                </c:pt>
                <c:pt idx="848">
                  <c:v>41.276000000000003</c:v>
                </c:pt>
                <c:pt idx="849">
                  <c:v>40.825699999999998</c:v>
                </c:pt>
                <c:pt idx="850">
                  <c:v>40.554099999999998</c:v>
                </c:pt>
                <c:pt idx="851">
                  <c:v>41.439100000000003</c:v>
                </c:pt>
                <c:pt idx="852">
                  <c:v>41.301099999999998</c:v>
                </c:pt>
                <c:pt idx="853">
                  <c:v>40.789400000000001</c:v>
                </c:pt>
                <c:pt idx="854">
                  <c:v>41.111800000000002</c:v>
                </c:pt>
                <c:pt idx="855">
                  <c:v>40.844000000000001</c:v>
                </c:pt>
                <c:pt idx="856">
                  <c:v>40.779800000000002</c:v>
                </c:pt>
                <c:pt idx="857">
                  <c:v>40.354799999999997</c:v>
                </c:pt>
                <c:pt idx="858">
                  <c:v>40.162599999999998</c:v>
                </c:pt>
                <c:pt idx="859">
                  <c:v>39.801900000000003</c:v>
                </c:pt>
                <c:pt idx="860">
                  <c:v>39.735599999999998</c:v>
                </c:pt>
                <c:pt idx="861">
                  <c:v>40.5717</c:v>
                </c:pt>
                <c:pt idx="862">
                  <c:v>40.423000000000002</c:v>
                </c:pt>
                <c:pt idx="863">
                  <c:v>40.014000000000003</c:v>
                </c:pt>
                <c:pt idx="864">
                  <c:v>39.579300000000003</c:v>
                </c:pt>
                <c:pt idx="865">
                  <c:v>39.892800000000001</c:v>
                </c:pt>
                <c:pt idx="866">
                  <c:v>40.014000000000003</c:v>
                </c:pt>
                <c:pt idx="867">
                  <c:v>40.666499999999999</c:v>
                </c:pt>
                <c:pt idx="868">
                  <c:v>40.126199999999997</c:v>
                </c:pt>
                <c:pt idx="869">
                  <c:v>40.2348</c:v>
                </c:pt>
                <c:pt idx="870">
                  <c:v>39.959099999999999</c:v>
                </c:pt>
                <c:pt idx="871">
                  <c:v>39.716999999999999</c:v>
                </c:pt>
                <c:pt idx="872">
                  <c:v>39.735599999999998</c:v>
                </c:pt>
                <c:pt idx="873">
                  <c:v>39.3919</c:v>
                </c:pt>
                <c:pt idx="874">
                  <c:v>38.622100000000003</c:v>
                </c:pt>
                <c:pt idx="875">
                  <c:v>38.431699999999999</c:v>
                </c:pt>
                <c:pt idx="876">
                  <c:v>38.6798</c:v>
                </c:pt>
                <c:pt idx="877">
                  <c:v>38.647500000000001</c:v>
                </c:pt>
                <c:pt idx="878">
                  <c:v>38.637700000000002</c:v>
                </c:pt>
                <c:pt idx="879">
                  <c:v>38.558799999999998</c:v>
                </c:pt>
                <c:pt idx="880">
                  <c:v>38.503900000000002</c:v>
                </c:pt>
                <c:pt idx="881">
                  <c:v>38.750999999999998</c:v>
                </c:pt>
                <c:pt idx="882">
                  <c:v>38.8322</c:v>
                </c:pt>
                <c:pt idx="883">
                  <c:v>39.640799999999999</c:v>
                </c:pt>
                <c:pt idx="884">
                  <c:v>39.710299999999997</c:v>
                </c:pt>
                <c:pt idx="885">
                  <c:v>39.830399999999997</c:v>
                </c:pt>
                <c:pt idx="886">
                  <c:v>40.612900000000003</c:v>
                </c:pt>
                <c:pt idx="887">
                  <c:v>40.579599999999999</c:v>
                </c:pt>
                <c:pt idx="888">
                  <c:v>40.844000000000001</c:v>
                </c:pt>
                <c:pt idx="889">
                  <c:v>41.151899999999998</c:v>
                </c:pt>
                <c:pt idx="890">
                  <c:v>39.640799999999999</c:v>
                </c:pt>
                <c:pt idx="891">
                  <c:v>40.134999999999998</c:v>
                </c:pt>
                <c:pt idx="892">
                  <c:v>39.986699999999999</c:v>
                </c:pt>
                <c:pt idx="893">
                  <c:v>39.473799999999997</c:v>
                </c:pt>
                <c:pt idx="894">
                  <c:v>39.463999999999999</c:v>
                </c:pt>
                <c:pt idx="895">
                  <c:v>40.2913</c:v>
                </c:pt>
                <c:pt idx="896">
                  <c:v>40.806100000000001</c:v>
                </c:pt>
                <c:pt idx="897">
                  <c:v>40.648899999999998</c:v>
                </c:pt>
                <c:pt idx="898">
                  <c:v>40.744399999999999</c:v>
                </c:pt>
                <c:pt idx="899">
                  <c:v>41.379600000000003</c:v>
                </c:pt>
                <c:pt idx="900">
                  <c:v>41.4146</c:v>
                </c:pt>
                <c:pt idx="901">
                  <c:v>40.579599999999999</c:v>
                </c:pt>
                <c:pt idx="902">
                  <c:v>40.681899999999999</c:v>
                </c:pt>
                <c:pt idx="903">
                  <c:v>41.196800000000003</c:v>
                </c:pt>
                <c:pt idx="904">
                  <c:v>40.396900000000002</c:v>
                </c:pt>
                <c:pt idx="905">
                  <c:v>40.681899999999999</c:v>
                </c:pt>
                <c:pt idx="906">
                  <c:v>40.675199999999997</c:v>
                </c:pt>
                <c:pt idx="907">
                  <c:v>40.908499999999997</c:v>
                </c:pt>
                <c:pt idx="908">
                  <c:v>41.189</c:v>
                </c:pt>
                <c:pt idx="909">
                  <c:v>41.416600000000003</c:v>
                </c:pt>
                <c:pt idx="910">
                  <c:v>40.841299999999997</c:v>
                </c:pt>
                <c:pt idx="911">
                  <c:v>40.006</c:v>
                </c:pt>
                <c:pt idx="912">
                  <c:v>37.737099999999998</c:v>
                </c:pt>
                <c:pt idx="913">
                  <c:v>36.517099999999999</c:v>
                </c:pt>
                <c:pt idx="914">
                  <c:v>35.457500000000003</c:v>
                </c:pt>
                <c:pt idx="915">
                  <c:v>37.4206</c:v>
                </c:pt>
                <c:pt idx="916">
                  <c:v>38.465800000000002</c:v>
                </c:pt>
                <c:pt idx="917">
                  <c:v>38.490200000000002</c:v>
                </c:pt>
                <c:pt idx="918">
                  <c:v>38.129899999999999</c:v>
                </c:pt>
                <c:pt idx="919">
                  <c:v>36.641399999999997</c:v>
                </c:pt>
                <c:pt idx="920">
                  <c:v>37.992100000000001</c:v>
                </c:pt>
                <c:pt idx="921">
                  <c:v>38.112099999999998</c:v>
                </c:pt>
                <c:pt idx="922">
                  <c:v>37.3369</c:v>
                </c:pt>
                <c:pt idx="923">
                  <c:v>38.456000000000003</c:v>
                </c:pt>
                <c:pt idx="924">
                  <c:v>37.737099999999998</c:v>
                </c:pt>
                <c:pt idx="925">
                  <c:v>37.927599999999998</c:v>
                </c:pt>
                <c:pt idx="926">
                  <c:v>38.094799999999999</c:v>
                </c:pt>
                <c:pt idx="927">
                  <c:v>37.708799999999997</c:v>
                </c:pt>
                <c:pt idx="928">
                  <c:v>38.531100000000002</c:v>
                </c:pt>
                <c:pt idx="929">
                  <c:v>38.815399999999997</c:v>
                </c:pt>
                <c:pt idx="930">
                  <c:v>38.772500000000001</c:v>
                </c:pt>
                <c:pt idx="931">
                  <c:v>38.094799999999999</c:v>
                </c:pt>
                <c:pt idx="932">
                  <c:v>38.648499999999999</c:v>
                </c:pt>
                <c:pt idx="933">
                  <c:v>38.465800000000002</c:v>
                </c:pt>
                <c:pt idx="934">
                  <c:v>38.438499999999998</c:v>
                </c:pt>
                <c:pt idx="935">
                  <c:v>38.474699999999999</c:v>
                </c:pt>
                <c:pt idx="936">
                  <c:v>38.499000000000002</c:v>
                </c:pt>
                <c:pt idx="937">
                  <c:v>37.927599999999998</c:v>
                </c:pt>
                <c:pt idx="938">
                  <c:v>38.061500000000002</c:v>
                </c:pt>
                <c:pt idx="939">
                  <c:v>38.781300000000002</c:v>
                </c:pt>
                <c:pt idx="940">
                  <c:v>39.085999999999999</c:v>
                </c:pt>
                <c:pt idx="941">
                  <c:v>39.926099999999998</c:v>
                </c:pt>
                <c:pt idx="942">
                  <c:v>40.858800000000002</c:v>
                </c:pt>
                <c:pt idx="943">
                  <c:v>40.958399999999997</c:v>
                </c:pt>
                <c:pt idx="944">
                  <c:v>41.003399999999999</c:v>
                </c:pt>
                <c:pt idx="945">
                  <c:v>41.573799999999999</c:v>
                </c:pt>
                <c:pt idx="946">
                  <c:v>41.277000000000001</c:v>
                </c:pt>
                <c:pt idx="947">
                  <c:v>41.18</c:v>
                </c:pt>
                <c:pt idx="948">
                  <c:v>41.085500000000003</c:v>
                </c:pt>
                <c:pt idx="949">
                  <c:v>40.898600000000002</c:v>
                </c:pt>
                <c:pt idx="950">
                  <c:v>41.189</c:v>
                </c:pt>
                <c:pt idx="951">
                  <c:v>41.6265</c:v>
                </c:pt>
                <c:pt idx="952">
                  <c:v>41.7241</c:v>
                </c:pt>
                <c:pt idx="953">
                  <c:v>41.853900000000003</c:v>
                </c:pt>
                <c:pt idx="954">
                  <c:v>41.3538</c:v>
                </c:pt>
                <c:pt idx="955">
                  <c:v>42.080800000000004</c:v>
                </c:pt>
                <c:pt idx="956">
                  <c:v>46.323799999999999</c:v>
                </c:pt>
                <c:pt idx="957">
                  <c:v>47.5319</c:v>
                </c:pt>
                <c:pt idx="958">
                  <c:v>47.040500000000002</c:v>
                </c:pt>
                <c:pt idx="959">
                  <c:v>47.297499999999999</c:v>
                </c:pt>
                <c:pt idx="960">
                  <c:v>46.753500000000003</c:v>
                </c:pt>
                <c:pt idx="961">
                  <c:v>46.118499999999997</c:v>
                </c:pt>
                <c:pt idx="962">
                  <c:v>46.6449</c:v>
                </c:pt>
                <c:pt idx="963">
                  <c:v>47.445</c:v>
                </c:pt>
                <c:pt idx="964">
                  <c:v>47.663800000000002</c:v>
                </c:pt>
                <c:pt idx="965">
                  <c:v>47.646999999999998</c:v>
                </c:pt>
                <c:pt idx="966">
                  <c:v>48.12</c:v>
                </c:pt>
                <c:pt idx="967">
                  <c:v>47.451900000000002</c:v>
                </c:pt>
                <c:pt idx="968">
                  <c:v>46.882300000000001</c:v>
                </c:pt>
                <c:pt idx="969">
                  <c:v>47.006399999999999</c:v>
                </c:pt>
                <c:pt idx="970">
                  <c:v>46.7164</c:v>
                </c:pt>
                <c:pt idx="971">
                  <c:v>46.295299999999997</c:v>
                </c:pt>
                <c:pt idx="972">
                  <c:v>47.101999999999997</c:v>
                </c:pt>
                <c:pt idx="973">
                  <c:v>46.723100000000002</c:v>
                </c:pt>
                <c:pt idx="974">
                  <c:v>47.498699999999999</c:v>
                </c:pt>
                <c:pt idx="975">
                  <c:v>47.579900000000002</c:v>
                </c:pt>
                <c:pt idx="976">
                  <c:v>47.799599999999998</c:v>
                </c:pt>
                <c:pt idx="977">
                  <c:v>47.799599999999998</c:v>
                </c:pt>
                <c:pt idx="978">
                  <c:v>47.853299999999997</c:v>
                </c:pt>
                <c:pt idx="979">
                  <c:v>47.356999999999999</c:v>
                </c:pt>
                <c:pt idx="980">
                  <c:v>47.570900000000002</c:v>
                </c:pt>
                <c:pt idx="981">
                  <c:v>47.940100000000001</c:v>
                </c:pt>
                <c:pt idx="982">
                  <c:v>48.706800000000001</c:v>
                </c:pt>
                <c:pt idx="983">
                  <c:v>48.697899999999997</c:v>
                </c:pt>
                <c:pt idx="984">
                  <c:v>47.809399999999997</c:v>
                </c:pt>
                <c:pt idx="985">
                  <c:v>49.316400000000002</c:v>
                </c:pt>
                <c:pt idx="986">
                  <c:v>49.2286</c:v>
                </c:pt>
                <c:pt idx="987">
                  <c:v>49.210799999999999</c:v>
                </c:pt>
                <c:pt idx="988">
                  <c:v>48.496699999999997</c:v>
                </c:pt>
                <c:pt idx="989">
                  <c:v>48.752800000000001</c:v>
                </c:pt>
                <c:pt idx="990">
                  <c:v>47.683300000000003</c:v>
                </c:pt>
                <c:pt idx="991">
                  <c:v>48.636499999999998</c:v>
                </c:pt>
                <c:pt idx="992">
                  <c:v>48.688299999999998</c:v>
                </c:pt>
                <c:pt idx="993">
                  <c:v>49.511899999999997</c:v>
                </c:pt>
                <c:pt idx="994">
                  <c:v>49.131700000000002</c:v>
                </c:pt>
                <c:pt idx="995">
                  <c:v>47.745899999999999</c:v>
                </c:pt>
                <c:pt idx="996">
                  <c:v>48.364100000000001</c:v>
                </c:pt>
                <c:pt idx="997">
                  <c:v>48.823</c:v>
                </c:pt>
                <c:pt idx="998">
                  <c:v>49.238399999999999</c:v>
                </c:pt>
                <c:pt idx="999">
                  <c:v>49.102499999999999</c:v>
                </c:pt>
                <c:pt idx="1000">
                  <c:v>49.351500000000001</c:v>
                </c:pt>
                <c:pt idx="1001">
                  <c:v>49.880899999999997</c:v>
                </c:pt>
                <c:pt idx="1002">
                  <c:v>49.668900000000001</c:v>
                </c:pt>
                <c:pt idx="1003">
                  <c:v>48.935299999999998</c:v>
                </c:pt>
                <c:pt idx="1004">
                  <c:v>48.337600000000002</c:v>
                </c:pt>
                <c:pt idx="1005">
                  <c:v>48.556399999999996</c:v>
                </c:pt>
                <c:pt idx="1006">
                  <c:v>47.6755</c:v>
                </c:pt>
                <c:pt idx="1007">
                  <c:v>46.017800000000001</c:v>
                </c:pt>
                <c:pt idx="1008">
                  <c:v>46.156500000000001</c:v>
                </c:pt>
                <c:pt idx="1009">
                  <c:v>46.130499999999998</c:v>
                </c:pt>
                <c:pt idx="1010">
                  <c:v>46.554000000000002</c:v>
                </c:pt>
                <c:pt idx="1011">
                  <c:v>45.550899999999999</c:v>
                </c:pt>
                <c:pt idx="1012">
                  <c:v>46.848100000000002</c:v>
                </c:pt>
                <c:pt idx="1013">
                  <c:v>44.978900000000003</c:v>
                </c:pt>
                <c:pt idx="1014">
                  <c:v>44.595999999999997</c:v>
                </c:pt>
                <c:pt idx="1015">
                  <c:v>44.799900000000001</c:v>
                </c:pt>
                <c:pt idx="1016">
                  <c:v>44.526600000000002</c:v>
                </c:pt>
                <c:pt idx="1017">
                  <c:v>46.1205</c:v>
                </c:pt>
                <c:pt idx="1018">
                  <c:v>45.679200000000002</c:v>
                </c:pt>
                <c:pt idx="1019">
                  <c:v>46.017800000000001</c:v>
                </c:pt>
                <c:pt idx="1020">
                  <c:v>45.180900000000001</c:v>
                </c:pt>
                <c:pt idx="1021">
                  <c:v>45.919499999999999</c:v>
                </c:pt>
                <c:pt idx="1022">
                  <c:v>48.548499999999997</c:v>
                </c:pt>
                <c:pt idx="1023">
                  <c:v>48.254800000000003</c:v>
                </c:pt>
                <c:pt idx="1024">
                  <c:v>46.750700000000002</c:v>
                </c:pt>
                <c:pt idx="1025">
                  <c:v>46.008099999999999</c:v>
                </c:pt>
                <c:pt idx="1026">
                  <c:v>45.866700000000002</c:v>
                </c:pt>
                <c:pt idx="1027">
                  <c:v>44.244100000000003</c:v>
                </c:pt>
                <c:pt idx="1028">
                  <c:v>43.582000000000001</c:v>
                </c:pt>
                <c:pt idx="1029">
                  <c:v>43.467799999999997</c:v>
                </c:pt>
                <c:pt idx="1030">
                  <c:v>43.8476</c:v>
                </c:pt>
                <c:pt idx="1031">
                  <c:v>43.830100000000002</c:v>
                </c:pt>
                <c:pt idx="1032">
                  <c:v>44.543999999999997</c:v>
                </c:pt>
                <c:pt idx="1033">
                  <c:v>45.389800000000001</c:v>
                </c:pt>
                <c:pt idx="1034">
                  <c:v>46.569800000000001</c:v>
                </c:pt>
                <c:pt idx="1035">
                  <c:v>46.365900000000003</c:v>
                </c:pt>
                <c:pt idx="1036">
                  <c:v>46.038499999999999</c:v>
                </c:pt>
                <c:pt idx="1037">
                  <c:v>46.7759</c:v>
                </c:pt>
                <c:pt idx="1038">
                  <c:v>45.471800000000002</c:v>
                </c:pt>
                <c:pt idx="1039">
                  <c:v>45.628300000000003</c:v>
                </c:pt>
                <c:pt idx="1040">
                  <c:v>46.284700000000001</c:v>
                </c:pt>
                <c:pt idx="1041">
                  <c:v>45.575600000000001</c:v>
                </c:pt>
                <c:pt idx="1042">
                  <c:v>45.202399999999997</c:v>
                </c:pt>
                <c:pt idx="1043">
                  <c:v>46.711399999999998</c:v>
                </c:pt>
                <c:pt idx="1044">
                  <c:v>47.040500000000002</c:v>
                </c:pt>
                <c:pt idx="1045">
                  <c:v>46.506300000000003</c:v>
                </c:pt>
                <c:pt idx="1046">
                  <c:v>46.222999999999999</c:v>
                </c:pt>
                <c:pt idx="1047">
                  <c:v>45.335099999999997</c:v>
                </c:pt>
                <c:pt idx="1048">
                  <c:v>45.886099999999999</c:v>
                </c:pt>
                <c:pt idx="1049">
                  <c:v>46.943800000000003</c:v>
                </c:pt>
                <c:pt idx="1050">
                  <c:v>46.239600000000003</c:v>
                </c:pt>
                <c:pt idx="1051">
                  <c:v>47.146999999999998</c:v>
                </c:pt>
                <c:pt idx="1052">
                  <c:v>47.236800000000002</c:v>
                </c:pt>
                <c:pt idx="1053">
                  <c:v>47.609900000000003</c:v>
                </c:pt>
                <c:pt idx="1054">
                  <c:v>48.281999999999996</c:v>
                </c:pt>
                <c:pt idx="1055">
                  <c:v>48.558399999999999</c:v>
                </c:pt>
                <c:pt idx="1056">
                  <c:v>47.519199999999998</c:v>
                </c:pt>
                <c:pt idx="1057">
                  <c:v>47.8504</c:v>
                </c:pt>
                <c:pt idx="1058">
                  <c:v>48.035800000000002</c:v>
                </c:pt>
                <c:pt idx="1059">
                  <c:v>47.945999999999998</c:v>
                </c:pt>
                <c:pt idx="1060">
                  <c:v>48.162799999999997</c:v>
                </c:pt>
                <c:pt idx="1061">
                  <c:v>47.564999999999998</c:v>
                </c:pt>
                <c:pt idx="1062">
                  <c:v>48.604300000000002</c:v>
                </c:pt>
                <c:pt idx="1063">
                  <c:v>48.904299999999999</c:v>
                </c:pt>
                <c:pt idx="1064">
                  <c:v>49.064500000000002</c:v>
                </c:pt>
                <c:pt idx="1065">
                  <c:v>49.368200000000002</c:v>
                </c:pt>
                <c:pt idx="1066">
                  <c:v>49.244900000000001</c:v>
                </c:pt>
                <c:pt idx="1067">
                  <c:v>48.471600000000002</c:v>
                </c:pt>
                <c:pt idx="1068">
                  <c:v>48.9696</c:v>
                </c:pt>
                <c:pt idx="1069">
                  <c:v>48.383600000000001</c:v>
                </c:pt>
                <c:pt idx="1070">
                  <c:v>48.348500000000001</c:v>
                </c:pt>
                <c:pt idx="1071">
                  <c:v>48.245800000000003</c:v>
                </c:pt>
                <c:pt idx="1072">
                  <c:v>48.5505</c:v>
                </c:pt>
                <c:pt idx="1073">
                  <c:v>49.173699999999997</c:v>
                </c:pt>
                <c:pt idx="1074">
                  <c:v>49.181600000000003</c:v>
                </c:pt>
                <c:pt idx="1075">
                  <c:v>49.436500000000002</c:v>
                </c:pt>
                <c:pt idx="1076">
                  <c:v>50.159300000000002</c:v>
                </c:pt>
                <c:pt idx="1077">
                  <c:v>50.095700000000001</c:v>
                </c:pt>
                <c:pt idx="1078">
                  <c:v>49.3857</c:v>
                </c:pt>
                <c:pt idx="1079">
                  <c:v>49.5548</c:v>
                </c:pt>
                <c:pt idx="1080">
                  <c:v>46.001399999999997</c:v>
                </c:pt>
                <c:pt idx="1081">
                  <c:v>46.293300000000002</c:v>
                </c:pt>
                <c:pt idx="1082">
                  <c:v>45.697600000000001</c:v>
                </c:pt>
                <c:pt idx="1083">
                  <c:v>45.255200000000002</c:v>
                </c:pt>
                <c:pt idx="1084">
                  <c:v>44.332000000000001</c:v>
                </c:pt>
                <c:pt idx="1085">
                  <c:v>44.314700000000002</c:v>
                </c:pt>
                <c:pt idx="1086">
                  <c:v>44.963099999999997</c:v>
                </c:pt>
                <c:pt idx="1087">
                  <c:v>44.224699999999999</c:v>
                </c:pt>
                <c:pt idx="1088">
                  <c:v>44.304699999999997</c:v>
                </c:pt>
                <c:pt idx="1089">
                  <c:v>44.369300000000003</c:v>
                </c:pt>
                <c:pt idx="1090">
                  <c:v>44.766800000000003</c:v>
                </c:pt>
                <c:pt idx="1091">
                  <c:v>44.482599999999998</c:v>
                </c:pt>
                <c:pt idx="1092">
                  <c:v>45.325400000000002</c:v>
                </c:pt>
                <c:pt idx="1093">
                  <c:v>45.352899999999998</c:v>
                </c:pt>
                <c:pt idx="1094">
                  <c:v>45.761000000000003</c:v>
                </c:pt>
                <c:pt idx="1095">
                  <c:v>45.38</c:v>
                </c:pt>
                <c:pt idx="1096">
                  <c:v>46.048299999999998</c:v>
                </c:pt>
                <c:pt idx="1097">
                  <c:v>45.188699999999997</c:v>
                </c:pt>
                <c:pt idx="1098">
                  <c:v>45.4574</c:v>
                </c:pt>
                <c:pt idx="1099">
                  <c:v>45.018700000000003</c:v>
                </c:pt>
                <c:pt idx="1100">
                  <c:v>45.283499999999997</c:v>
                </c:pt>
                <c:pt idx="1101">
                  <c:v>44.758000000000003</c:v>
                </c:pt>
                <c:pt idx="1102">
                  <c:v>46.151600000000002</c:v>
                </c:pt>
                <c:pt idx="1103">
                  <c:v>46.643999999999998</c:v>
                </c:pt>
                <c:pt idx="1104">
                  <c:v>46.425400000000003</c:v>
                </c:pt>
                <c:pt idx="1105">
                  <c:v>46.799399999999999</c:v>
                </c:pt>
                <c:pt idx="1106">
                  <c:v>47.416600000000003</c:v>
                </c:pt>
                <c:pt idx="1107">
                  <c:v>47.290599999999998</c:v>
                </c:pt>
                <c:pt idx="1108">
                  <c:v>46.949800000000003</c:v>
                </c:pt>
                <c:pt idx="1109">
                  <c:v>46.332500000000003</c:v>
                </c:pt>
                <c:pt idx="1110">
                  <c:v>46.634399999999999</c:v>
                </c:pt>
                <c:pt idx="1111">
                  <c:v>46.608800000000002</c:v>
                </c:pt>
                <c:pt idx="1112">
                  <c:v>46.554000000000002</c:v>
                </c:pt>
                <c:pt idx="1113">
                  <c:v>46.179099999999998</c:v>
                </c:pt>
                <c:pt idx="1114">
                  <c:v>46.055999999999997</c:v>
                </c:pt>
                <c:pt idx="1115">
                  <c:v>44.856699999999996</c:v>
                </c:pt>
                <c:pt idx="1116">
                  <c:v>44.576300000000003</c:v>
                </c:pt>
                <c:pt idx="1117">
                  <c:v>44.454099999999997</c:v>
                </c:pt>
                <c:pt idx="1118">
                  <c:v>45.080399999999997</c:v>
                </c:pt>
                <c:pt idx="1119">
                  <c:v>44.846699999999998</c:v>
                </c:pt>
                <c:pt idx="1120">
                  <c:v>44.793100000000003</c:v>
                </c:pt>
                <c:pt idx="1121">
                  <c:v>45.795200000000001</c:v>
                </c:pt>
                <c:pt idx="1122">
                  <c:v>45.626399999999997</c:v>
                </c:pt>
                <c:pt idx="1123">
                  <c:v>46.442700000000002</c:v>
                </c:pt>
                <c:pt idx="1124">
                  <c:v>44.576300000000003</c:v>
                </c:pt>
                <c:pt idx="1125">
                  <c:v>43.327199999999998</c:v>
                </c:pt>
                <c:pt idx="1126">
                  <c:v>44.229599999999998</c:v>
                </c:pt>
                <c:pt idx="1127">
                  <c:v>45.213999999999999</c:v>
                </c:pt>
                <c:pt idx="1128">
                  <c:v>45.776899999999998</c:v>
                </c:pt>
                <c:pt idx="1129">
                  <c:v>45.767899999999997</c:v>
                </c:pt>
                <c:pt idx="1130">
                  <c:v>45.776899999999998</c:v>
                </c:pt>
                <c:pt idx="1131">
                  <c:v>45.967100000000002</c:v>
                </c:pt>
                <c:pt idx="1132">
                  <c:v>45.967100000000002</c:v>
                </c:pt>
                <c:pt idx="1133">
                  <c:v>46.791600000000003</c:v>
                </c:pt>
                <c:pt idx="1134">
                  <c:v>47.048200000000001</c:v>
                </c:pt>
                <c:pt idx="1135">
                  <c:v>47.602200000000003</c:v>
                </c:pt>
                <c:pt idx="1136">
                  <c:v>47.871699999999997</c:v>
                </c:pt>
                <c:pt idx="1137">
                  <c:v>48.076000000000001</c:v>
                </c:pt>
                <c:pt idx="1138">
                  <c:v>48.041800000000002</c:v>
                </c:pt>
                <c:pt idx="1139">
                  <c:v>48.2712</c:v>
                </c:pt>
                <c:pt idx="1140">
                  <c:v>47.494799999999998</c:v>
                </c:pt>
                <c:pt idx="1141">
                  <c:v>50.018700000000003</c:v>
                </c:pt>
                <c:pt idx="1142">
                  <c:v>49.917900000000003</c:v>
                </c:pt>
                <c:pt idx="1143">
                  <c:v>50.6096</c:v>
                </c:pt>
                <c:pt idx="1144">
                  <c:v>50.753100000000003</c:v>
                </c:pt>
                <c:pt idx="1145">
                  <c:v>50.778700000000001</c:v>
                </c:pt>
                <c:pt idx="1146">
                  <c:v>50.267600000000002</c:v>
                </c:pt>
                <c:pt idx="1147">
                  <c:v>50.2864</c:v>
                </c:pt>
                <c:pt idx="1148">
                  <c:v>50.707299999999996</c:v>
                </c:pt>
                <c:pt idx="1149">
                  <c:v>50.618600000000001</c:v>
                </c:pt>
                <c:pt idx="1150">
                  <c:v>50.618600000000001</c:v>
                </c:pt>
                <c:pt idx="1151">
                  <c:v>50.965200000000003</c:v>
                </c:pt>
                <c:pt idx="1152">
                  <c:v>51.342100000000002</c:v>
                </c:pt>
                <c:pt idx="1153">
                  <c:v>51.851999999999997</c:v>
                </c:pt>
                <c:pt idx="1154">
                  <c:v>51.942799999999998</c:v>
                </c:pt>
                <c:pt idx="1155">
                  <c:v>52.067</c:v>
                </c:pt>
                <c:pt idx="1156">
                  <c:v>51.907800000000002</c:v>
                </c:pt>
                <c:pt idx="1157">
                  <c:v>52.155799999999999</c:v>
                </c:pt>
                <c:pt idx="1158">
                  <c:v>51.833500000000001</c:v>
                </c:pt>
                <c:pt idx="1159">
                  <c:v>51.993699999999997</c:v>
                </c:pt>
                <c:pt idx="1160">
                  <c:v>51.7074</c:v>
                </c:pt>
                <c:pt idx="1161">
                  <c:v>51.816699999999997</c:v>
                </c:pt>
                <c:pt idx="1162">
                  <c:v>51.850999999999999</c:v>
                </c:pt>
                <c:pt idx="1163">
                  <c:v>51.869500000000002</c:v>
                </c:pt>
                <c:pt idx="1164">
                  <c:v>51.915500000000002</c:v>
                </c:pt>
                <c:pt idx="1165">
                  <c:v>52.111800000000002</c:v>
                </c:pt>
                <c:pt idx="1166">
                  <c:v>52.166400000000003</c:v>
                </c:pt>
                <c:pt idx="1167">
                  <c:v>52.364699999999999</c:v>
                </c:pt>
                <c:pt idx="1168">
                  <c:v>52.246499999999997</c:v>
                </c:pt>
                <c:pt idx="1169">
                  <c:v>52.302199999999999</c:v>
                </c:pt>
                <c:pt idx="1170">
                  <c:v>52.111800000000002</c:v>
                </c:pt>
                <c:pt idx="1171">
                  <c:v>51.724800000000002</c:v>
                </c:pt>
                <c:pt idx="1172">
                  <c:v>51.832500000000003</c:v>
                </c:pt>
                <c:pt idx="1173">
                  <c:v>51.915500000000002</c:v>
                </c:pt>
                <c:pt idx="1174">
                  <c:v>51.860799999999998</c:v>
                </c:pt>
                <c:pt idx="1175">
                  <c:v>51.906799999999997</c:v>
                </c:pt>
                <c:pt idx="1176">
                  <c:v>51.697600000000001</c:v>
                </c:pt>
                <c:pt idx="1177">
                  <c:v>50.601700000000001</c:v>
                </c:pt>
                <c:pt idx="1178">
                  <c:v>51.356699999999996</c:v>
                </c:pt>
                <c:pt idx="1179">
                  <c:v>50.886899999999997</c:v>
                </c:pt>
                <c:pt idx="1180">
                  <c:v>50.643599999999999</c:v>
                </c:pt>
                <c:pt idx="1181">
                  <c:v>51.4818</c:v>
                </c:pt>
                <c:pt idx="1182">
                  <c:v>51.535499999999999</c:v>
                </c:pt>
                <c:pt idx="1183">
                  <c:v>51.248399999999997</c:v>
                </c:pt>
                <c:pt idx="1184">
                  <c:v>51.137799999999999</c:v>
                </c:pt>
                <c:pt idx="1185">
                  <c:v>51.993699999999997</c:v>
                </c:pt>
                <c:pt idx="1186">
                  <c:v>52.048400000000001</c:v>
                </c:pt>
                <c:pt idx="1187">
                  <c:v>51.697600000000001</c:v>
                </c:pt>
                <c:pt idx="1188">
                  <c:v>51.220999999999997</c:v>
                </c:pt>
                <c:pt idx="1189">
                  <c:v>52.166400000000003</c:v>
                </c:pt>
                <c:pt idx="1190">
                  <c:v>52.238799999999998</c:v>
                </c:pt>
                <c:pt idx="1191">
                  <c:v>51.6693</c:v>
                </c:pt>
                <c:pt idx="1192">
                  <c:v>51.850999999999999</c:v>
                </c:pt>
                <c:pt idx="1193">
                  <c:v>51.687800000000003</c:v>
                </c:pt>
                <c:pt idx="1194">
                  <c:v>51.5276</c:v>
                </c:pt>
                <c:pt idx="1195">
                  <c:v>51.887099999999997</c:v>
                </c:pt>
                <c:pt idx="1196">
                  <c:v>51.975000000000001</c:v>
                </c:pt>
                <c:pt idx="1197">
                  <c:v>52.030700000000003</c:v>
                </c:pt>
                <c:pt idx="1198">
                  <c:v>52.246499999999997</c:v>
                </c:pt>
                <c:pt idx="1199">
                  <c:v>51.4818</c:v>
                </c:pt>
                <c:pt idx="1200">
                  <c:v>51.411499999999997</c:v>
                </c:pt>
                <c:pt idx="1201">
                  <c:v>51.238500000000002</c:v>
                </c:pt>
                <c:pt idx="1202">
                  <c:v>51.687800000000003</c:v>
                </c:pt>
                <c:pt idx="1203">
                  <c:v>51.510300000000001</c:v>
                </c:pt>
                <c:pt idx="1204">
                  <c:v>51.906799999999997</c:v>
                </c:pt>
                <c:pt idx="1205">
                  <c:v>51.7896</c:v>
                </c:pt>
                <c:pt idx="1206">
                  <c:v>51.535499999999999</c:v>
                </c:pt>
                <c:pt idx="1207">
                  <c:v>53.704799999999999</c:v>
                </c:pt>
                <c:pt idx="1208">
                  <c:v>54.911200000000001</c:v>
                </c:pt>
                <c:pt idx="1209">
                  <c:v>54.901299999999999</c:v>
                </c:pt>
                <c:pt idx="1210">
                  <c:v>54.579099999999997</c:v>
                </c:pt>
                <c:pt idx="1211">
                  <c:v>54.099499999999999</c:v>
                </c:pt>
                <c:pt idx="1212">
                  <c:v>53.896299999999997</c:v>
                </c:pt>
                <c:pt idx="1213">
                  <c:v>53.9422</c:v>
                </c:pt>
                <c:pt idx="1214">
                  <c:v>53.829799999999999</c:v>
                </c:pt>
                <c:pt idx="1215">
                  <c:v>53.5015</c:v>
                </c:pt>
                <c:pt idx="1216">
                  <c:v>53.300400000000003</c:v>
                </c:pt>
                <c:pt idx="1217">
                  <c:v>52.850200000000001</c:v>
                </c:pt>
                <c:pt idx="1218">
                  <c:v>54.392400000000002</c:v>
                </c:pt>
                <c:pt idx="1219">
                  <c:v>54.436399999999999</c:v>
                </c:pt>
                <c:pt idx="1220">
                  <c:v>54.1629</c:v>
                </c:pt>
                <c:pt idx="1221">
                  <c:v>52.842300000000002</c:v>
                </c:pt>
                <c:pt idx="1222">
                  <c:v>53.129600000000003</c:v>
                </c:pt>
                <c:pt idx="1223">
                  <c:v>52.317799999999998</c:v>
                </c:pt>
                <c:pt idx="1224">
                  <c:v>53.3523</c:v>
                </c:pt>
                <c:pt idx="1225">
                  <c:v>54.058500000000002</c:v>
                </c:pt>
                <c:pt idx="1226">
                  <c:v>54.955100000000002</c:v>
                </c:pt>
                <c:pt idx="1227">
                  <c:v>54.692300000000003</c:v>
                </c:pt>
                <c:pt idx="1228">
                  <c:v>55.154200000000003</c:v>
                </c:pt>
                <c:pt idx="1229">
                  <c:v>55.382899999999999</c:v>
                </c:pt>
                <c:pt idx="1230">
                  <c:v>54.739199999999997</c:v>
                </c:pt>
                <c:pt idx="1231">
                  <c:v>54.856499999999997</c:v>
                </c:pt>
                <c:pt idx="1232">
                  <c:v>54.9298</c:v>
                </c:pt>
                <c:pt idx="1233">
                  <c:v>55.363399999999999</c:v>
                </c:pt>
                <c:pt idx="1234">
                  <c:v>54.611199999999997</c:v>
                </c:pt>
                <c:pt idx="1235">
                  <c:v>53.6492</c:v>
                </c:pt>
                <c:pt idx="1236">
                  <c:v>53.695900000000002</c:v>
                </c:pt>
                <c:pt idx="1237">
                  <c:v>54.5762</c:v>
                </c:pt>
                <c:pt idx="1238">
                  <c:v>54.331899999999997</c:v>
                </c:pt>
                <c:pt idx="1239">
                  <c:v>55.619500000000002</c:v>
                </c:pt>
                <c:pt idx="1240">
                  <c:v>55.292000000000002</c:v>
                </c:pt>
                <c:pt idx="1241">
                  <c:v>56.162500000000001</c:v>
                </c:pt>
                <c:pt idx="1242">
                  <c:v>56.344000000000001</c:v>
                </c:pt>
                <c:pt idx="1243">
                  <c:v>57.075699999999998</c:v>
                </c:pt>
                <c:pt idx="1244">
                  <c:v>56.8157</c:v>
                </c:pt>
                <c:pt idx="1245">
                  <c:v>56.713200000000001</c:v>
                </c:pt>
                <c:pt idx="1246">
                  <c:v>56.460099999999997</c:v>
                </c:pt>
                <c:pt idx="1247">
                  <c:v>57.659799999999997</c:v>
                </c:pt>
                <c:pt idx="1248">
                  <c:v>57.584299999999999</c:v>
                </c:pt>
                <c:pt idx="1249">
                  <c:v>57.594099999999997</c:v>
                </c:pt>
                <c:pt idx="1250">
                  <c:v>57.594099999999997</c:v>
                </c:pt>
                <c:pt idx="1251">
                  <c:v>57.312899999999999</c:v>
                </c:pt>
                <c:pt idx="1252">
                  <c:v>57.351999999999997</c:v>
                </c:pt>
                <c:pt idx="1253">
                  <c:v>57.085299999999997</c:v>
                </c:pt>
                <c:pt idx="1254">
                  <c:v>57.005200000000002</c:v>
                </c:pt>
                <c:pt idx="1255">
                  <c:v>56.317599999999999</c:v>
                </c:pt>
                <c:pt idx="1256">
                  <c:v>56.713200000000001</c:v>
                </c:pt>
                <c:pt idx="1257">
                  <c:v>56.460099999999997</c:v>
                </c:pt>
                <c:pt idx="1258">
                  <c:v>56.460099999999997</c:v>
                </c:pt>
                <c:pt idx="1259">
                  <c:v>56.949599999999997</c:v>
                </c:pt>
                <c:pt idx="1260">
                  <c:v>56.769799999999996</c:v>
                </c:pt>
                <c:pt idx="1261">
                  <c:v>56.750300000000003</c:v>
                </c:pt>
                <c:pt idx="1262">
                  <c:v>57.268099999999997</c:v>
                </c:pt>
                <c:pt idx="1263">
                  <c:v>56.741500000000002</c:v>
                </c:pt>
                <c:pt idx="1264">
                  <c:v>56.8245</c:v>
                </c:pt>
                <c:pt idx="1265">
                  <c:v>56.668399999999998</c:v>
                </c:pt>
                <c:pt idx="1266">
                  <c:v>56.640999999999998</c:v>
                </c:pt>
                <c:pt idx="1267">
                  <c:v>56.460099999999997</c:v>
                </c:pt>
                <c:pt idx="1268">
                  <c:v>56.857799999999997</c:v>
                </c:pt>
                <c:pt idx="1269">
                  <c:v>57.059100000000001</c:v>
                </c:pt>
                <c:pt idx="1270">
                  <c:v>57.561100000000003</c:v>
                </c:pt>
                <c:pt idx="1271">
                  <c:v>57.710500000000003</c:v>
                </c:pt>
                <c:pt idx="1272">
                  <c:v>58.245699999999999</c:v>
                </c:pt>
                <c:pt idx="1273">
                  <c:v>59.616100000000003</c:v>
                </c:pt>
                <c:pt idx="1274">
                  <c:v>59.0261</c:v>
                </c:pt>
                <c:pt idx="1275">
                  <c:v>58.589399999999998</c:v>
                </c:pt>
                <c:pt idx="1276">
                  <c:v>57.622500000000002</c:v>
                </c:pt>
                <c:pt idx="1277">
                  <c:v>57.249200000000002</c:v>
                </c:pt>
                <c:pt idx="1278">
                  <c:v>57.710500000000003</c:v>
                </c:pt>
                <c:pt idx="1279">
                  <c:v>57.678100000000001</c:v>
                </c:pt>
                <c:pt idx="1280">
                  <c:v>57.483699999999999</c:v>
                </c:pt>
                <c:pt idx="1281">
                  <c:v>57.403599999999997</c:v>
                </c:pt>
                <c:pt idx="1282">
                  <c:v>58.055300000000003</c:v>
                </c:pt>
                <c:pt idx="1283">
                  <c:v>58.000500000000002</c:v>
                </c:pt>
                <c:pt idx="1284">
                  <c:v>58.653100000000002</c:v>
                </c:pt>
                <c:pt idx="1285">
                  <c:v>58.872799999999998</c:v>
                </c:pt>
                <c:pt idx="1286">
                  <c:v>58.835599999999999</c:v>
                </c:pt>
                <c:pt idx="1287">
                  <c:v>58.827800000000003</c:v>
                </c:pt>
                <c:pt idx="1288">
                  <c:v>58.915599999999998</c:v>
                </c:pt>
                <c:pt idx="1289">
                  <c:v>58.801600000000001</c:v>
                </c:pt>
                <c:pt idx="1290">
                  <c:v>58.6813</c:v>
                </c:pt>
                <c:pt idx="1291">
                  <c:v>58.915599999999998</c:v>
                </c:pt>
                <c:pt idx="1292">
                  <c:v>58.915599999999998</c:v>
                </c:pt>
                <c:pt idx="1293">
                  <c:v>58.563099999999999</c:v>
                </c:pt>
                <c:pt idx="1294">
                  <c:v>58.336500000000001</c:v>
                </c:pt>
                <c:pt idx="1295">
                  <c:v>59.182299999999998</c:v>
                </c:pt>
                <c:pt idx="1296">
                  <c:v>58.362000000000002</c:v>
                </c:pt>
                <c:pt idx="1297">
                  <c:v>58.580599999999997</c:v>
                </c:pt>
                <c:pt idx="1298">
                  <c:v>58.599299999999999</c:v>
                </c:pt>
                <c:pt idx="1299">
                  <c:v>58.718499999999999</c:v>
                </c:pt>
                <c:pt idx="1300">
                  <c:v>59.255600000000001</c:v>
                </c:pt>
                <c:pt idx="1301">
                  <c:v>59.0182</c:v>
                </c:pt>
                <c:pt idx="1302">
                  <c:v>59.201999999999998</c:v>
                </c:pt>
                <c:pt idx="1303">
                  <c:v>58.9998</c:v>
                </c:pt>
                <c:pt idx="1304">
                  <c:v>58.728200000000001</c:v>
                </c:pt>
                <c:pt idx="1305">
                  <c:v>59.037799999999997</c:v>
                </c:pt>
                <c:pt idx="1306">
                  <c:v>58.935299999999998</c:v>
                </c:pt>
                <c:pt idx="1307">
                  <c:v>59.147300000000001</c:v>
                </c:pt>
                <c:pt idx="1308">
                  <c:v>59.201999999999998</c:v>
                </c:pt>
                <c:pt idx="1309">
                  <c:v>58.545499999999997</c:v>
                </c:pt>
                <c:pt idx="1310">
                  <c:v>59.2898</c:v>
                </c:pt>
                <c:pt idx="1311">
                  <c:v>59.147300000000001</c:v>
                </c:pt>
                <c:pt idx="1312">
                  <c:v>59.245899999999999</c:v>
                </c:pt>
                <c:pt idx="1313">
                  <c:v>59.356200000000001</c:v>
                </c:pt>
                <c:pt idx="1314">
                  <c:v>59.528100000000002</c:v>
                </c:pt>
                <c:pt idx="1315">
                  <c:v>59.6922</c:v>
                </c:pt>
                <c:pt idx="1316">
                  <c:v>59.914999999999999</c:v>
                </c:pt>
                <c:pt idx="1317">
                  <c:v>60.0488</c:v>
                </c:pt>
                <c:pt idx="1318">
                  <c:v>59.764600000000002</c:v>
                </c:pt>
                <c:pt idx="1319">
                  <c:v>59.931399999999996</c:v>
                </c:pt>
                <c:pt idx="1320">
                  <c:v>59.774299999999997</c:v>
                </c:pt>
                <c:pt idx="1321">
                  <c:v>59.931399999999996</c:v>
                </c:pt>
                <c:pt idx="1322">
                  <c:v>59.886499999999998</c:v>
                </c:pt>
                <c:pt idx="1323">
                  <c:v>59.747</c:v>
                </c:pt>
                <c:pt idx="1324">
                  <c:v>59.702100000000002</c:v>
                </c:pt>
                <c:pt idx="1325">
                  <c:v>59.474499999999999</c:v>
                </c:pt>
                <c:pt idx="1326">
                  <c:v>59.219499999999996</c:v>
                </c:pt>
                <c:pt idx="1327">
                  <c:v>59.702100000000002</c:v>
                </c:pt>
                <c:pt idx="1328">
                  <c:v>59.621899999999997</c:v>
                </c:pt>
                <c:pt idx="1329">
                  <c:v>59.299500000000002</c:v>
                </c:pt>
                <c:pt idx="1330">
                  <c:v>59.720500000000001</c:v>
                </c:pt>
                <c:pt idx="1331">
                  <c:v>60.543100000000003</c:v>
                </c:pt>
                <c:pt idx="1332">
                  <c:v>61.573399999999999</c:v>
                </c:pt>
                <c:pt idx="1333">
                  <c:v>61.928899999999999</c:v>
                </c:pt>
                <c:pt idx="1334">
                  <c:v>61.844799999999999</c:v>
                </c:pt>
                <c:pt idx="1335">
                  <c:v>62.247300000000003</c:v>
                </c:pt>
                <c:pt idx="1336">
                  <c:v>62.420499999999997</c:v>
                </c:pt>
                <c:pt idx="1337">
                  <c:v>63.285499999999999</c:v>
                </c:pt>
                <c:pt idx="1338">
                  <c:v>63.186</c:v>
                </c:pt>
                <c:pt idx="1339">
                  <c:v>62.985900000000001</c:v>
                </c:pt>
                <c:pt idx="1340">
                  <c:v>62.738599999999998</c:v>
                </c:pt>
                <c:pt idx="1341">
                  <c:v>62.9116</c:v>
                </c:pt>
                <c:pt idx="1342">
                  <c:v>62.857100000000003</c:v>
                </c:pt>
                <c:pt idx="1343">
                  <c:v>62.948599999999999</c:v>
                </c:pt>
                <c:pt idx="1344">
                  <c:v>63.194899999999997</c:v>
                </c:pt>
                <c:pt idx="1345">
                  <c:v>62.420499999999997</c:v>
                </c:pt>
                <c:pt idx="1346">
                  <c:v>62.344999999999999</c:v>
                </c:pt>
                <c:pt idx="1347">
                  <c:v>62.392899999999997</c:v>
                </c:pt>
                <c:pt idx="1348">
                  <c:v>63.651000000000003</c:v>
                </c:pt>
                <c:pt idx="1349">
                  <c:v>61.879199999999997</c:v>
                </c:pt>
                <c:pt idx="1350">
                  <c:v>62.087200000000003</c:v>
                </c:pt>
                <c:pt idx="1351">
                  <c:v>62.069600000000001</c:v>
                </c:pt>
                <c:pt idx="1352">
                  <c:v>62.768000000000001</c:v>
                </c:pt>
                <c:pt idx="1353">
                  <c:v>62.98</c:v>
                </c:pt>
                <c:pt idx="1354">
                  <c:v>63.061999999999998</c:v>
                </c:pt>
                <c:pt idx="1355">
                  <c:v>63.839500000000001</c:v>
                </c:pt>
                <c:pt idx="1356">
                  <c:v>64.151899999999998</c:v>
                </c:pt>
                <c:pt idx="1357">
                  <c:v>64.5642</c:v>
                </c:pt>
                <c:pt idx="1358">
                  <c:v>64.042500000000004</c:v>
                </c:pt>
                <c:pt idx="1359">
                  <c:v>64.281000000000006</c:v>
                </c:pt>
                <c:pt idx="1360">
                  <c:v>65.795900000000003</c:v>
                </c:pt>
                <c:pt idx="1361">
                  <c:v>66.280199999999994</c:v>
                </c:pt>
                <c:pt idx="1362">
                  <c:v>66.5</c:v>
                </c:pt>
                <c:pt idx="1363">
                  <c:v>66.38</c:v>
                </c:pt>
                <c:pt idx="1364">
                  <c:v>65.976500000000001</c:v>
                </c:pt>
                <c:pt idx="1365">
                  <c:v>64.482200000000006</c:v>
                </c:pt>
                <c:pt idx="1366">
                  <c:v>63.988900000000001</c:v>
                </c:pt>
                <c:pt idx="1367">
                  <c:v>64.787800000000004</c:v>
                </c:pt>
                <c:pt idx="1368">
                  <c:v>64.437200000000004</c:v>
                </c:pt>
                <c:pt idx="1369">
                  <c:v>64.098100000000002</c:v>
                </c:pt>
                <c:pt idx="1370">
                  <c:v>64.188999999999993</c:v>
                </c:pt>
                <c:pt idx="1371">
                  <c:v>64.988</c:v>
                </c:pt>
                <c:pt idx="1372">
                  <c:v>64.107100000000003</c:v>
                </c:pt>
                <c:pt idx="1373">
                  <c:v>64.437200000000004</c:v>
                </c:pt>
                <c:pt idx="1374">
                  <c:v>64.428299999999993</c:v>
                </c:pt>
                <c:pt idx="1375">
                  <c:v>65.299899999999994</c:v>
                </c:pt>
                <c:pt idx="1376">
                  <c:v>64.676500000000004</c:v>
                </c:pt>
                <c:pt idx="1377">
                  <c:v>63.465400000000002</c:v>
                </c:pt>
                <c:pt idx="1378">
                  <c:v>64.007499999999993</c:v>
                </c:pt>
                <c:pt idx="1379">
                  <c:v>62.806199999999997</c:v>
                </c:pt>
                <c:pt idx="1380">
                  <c:v>63.209400000000002</c:v>
                </c:pt>
                <c:pt idx="1381">
                  <c:v>62.5122</c:v>
                </c:pt>
                <c:pt idx="1382">
                  <c:v>63.345199999999998</c:v>
                </c:pt>
                <c:pt idx="1383">
                  <c:v>62.877299999999998</c:v>
                </c:pt>
                <c:pt idx="1384">
                  <c:v>63.695900000000002</c:v>
                </c:pt>
                <c:pt idx="1385">
                  <c:v>64.169600000000003</c:v>
                </c:pt>
                <c:pt idx="1386">
                  <c:v>64.179299999999998</c:v>
                </c:pt>
                <c:pt idx="1387">
                  <c:v>65.245000000000005</c:v>
                </c:pt>
                <c:pt idx="1388">
                  <c:v>65.814300000000003</c:v>
                </c:pt>
                <c:pt idx="1389">
                  <c:v>66.739400000000003</c:v>
                </c:pt>
                <c:pt idx="1390">
                  <c:v>67.261899999999997</c:v>
                </c:pt>
                <c:pt idx="1391">
                  <c:v>67.216099999999997</c:v>
                </c:pt>
                <c:pt idx="1392">
                  <c:v>67.729799999999997</c:v>
                </c:pt>
                <c:pt idx="1393">
                  <c:v>68.058999999999997</c:v>
                </c:pt>
                <c:pt idx="1394">
                  <c:v>67.665499999999994</c:v>
                </c:pt>
                <c:pt idx="1395">
                  <c:v>67.490399999999994</c:v>
                </c:pt>
                <c:pt idx="1396">
                  <c:v>68.030500000000004</c:v>
                </c:pt>
                <c:pt idx="1397">
                  <c:v>67.904799999999994</c:v>
                </c:pt>
                <c:pt idx="1398">
                  <c:v>67.0869</c:v>
                </c:pt>
                <c:pt idx="1399">
                  <c:v>66.976500000000001</c:v>
                </c:pt>
                <c:pt idx="1400">
                  <c:v>66.666200000000003</c:v>
                </c:pt>
                <c:pt idx="1401">
                  <c:v>66.5548</c:v>
                </c:pt>
                <c:pt idx="1402">
                  <c:v>66.262799999999999</c:v>
                </c:pt>
                <c:pt idx="1403">
                  <c:v>66.162300000000002</c:v>
                </c:pt>
                <c:pt idx="1404">
                  <c:v>66.648499999999999</c:v>
                </c:pt>
                <c:pt idx="1405">
                  <c:v>66.3887</c:v>
                </c:pt>
                <c:pt idx="1406">
                  <c:v>66.749099999999999</c:v>
                </c:pt>
                <c:pt idx="1407">
                  <c:v>66.455100000000002</c:v>
                </c:pt>
                <c:pt idx="1408">
                  <c:v>65.482100000000003</c:v>
                </c:pt>
                <c:pt idx="1409">
                  <c:v>66.4816</c:v>
                </c:pt>
                <c:pt idx="1410">
                  <c:v>67.481700000000004</c:v>
                </c:pt>
                <c:pt idx="1411">
                  <c:v>67.499399999999994</c:v>
                </c:pt>
                <c:pt idx="1412">
                  <c:v>67.896900000000002</c:v>
                </c:pt>
                <c:pt idx="1413">
                  <c:v>66.7453</c:v>
                </c:pt>
                <c:pt idx="1414">
                  <c:v>66.828199999999995</c:v>
                </c:pt>
                <c:pt idx="1415">
                  <c:v>66.512900000000002</c:v>
                </c:pt>
                <c:pt idx="1416">
                  <c:v>67.443600000000004</c:v>
                </c:pt>
                <c:pt idx="1417">
                  <c:v>67.041200000000003</c:v>
                </c:pt>
                <c:pt idx="1418">
                  <c:v>67.013000000000005</c:v>
                </c:pt>
                <c:pt idx="1419">
                  <c:v>67.130099999999999</c:v>
                </c:pt>
                <c:pt idx="1420">
                  <c:v>67.139700000000005</c:v>
                </c:pt>
                <c:pt idx="1421">
                  <c:v>67.343199999999996</c:v>
                </c:pt>
                <c:pt idx="1422">
                  <c:v>68.228999999999999</c:v>
                </c:pt>
                <c:pt idx="1423">
                  <c:v>68.955799999999996</c:v>
                </c:pt>
                <c:pt idx="1424">
                  <c:v>68.164400000000001</c:v>
                </c:pt>
                <c:pt idx="1425">
                  <c:v>67.860699999999994</c:v>
                </c:pt>
                <c:pt idx="1426">
                  <c:v>67.666499999999999</c:v>
                </c:pt>
                <c:pt idx="1427">
                  <c:v>68.532700000000006</c:v>
                </c:pt>
                <c:pt idx="1428">
                  <c:v>68.200500000000005</c:v>
                </c:pt>
                <c:pt idx="1429">
                  <c:v>68.916499999999999</c:v>
                </c:pt>
                <c:pt idx="1430">
                  <c:v>68.846199999999996</c:v>
                </c:pt>
                <c:pt idx="1431">
                  <c:v>69.334699999999998</c:v>
                </c:pt>
                <c:pt idx="1432">
                  <c:v>68.926400000000001</c:v>
                </c:pt>
                <c:pt idx="1433">
                  <c:v>69.427300000000002</c:v>
                </c:pt>
                <c:pt idx="1434">
                  <c:v>69.286900000000003</c:v>
                </c:pt>
                <c:pt idx="1435">
                  <c:v>69.548599999999993</c:v>
                </c:pt>
                <c:pt idx="1436">
                  <c:v>69.086299999999994</c:v>
                </c:pt>
                <c:pt idx="1437">
                  <c:v>68.410600000000002</c:v>
                </c:pt>
                <c:pt idx="1438">
                  <c:v>68.598100000000002</c:v>
                </c:pt>
                <c:pt idx="1439">
                  <c:v>67.535300000000007</c:v>
                </c:pt>
                <c:pt idx="1440">
                  <c:v>67.535300000000007</c:v>
                </c:pt>
                <c:pt idx="1441">
                  <c:v>68.080299999999994</c:v>
                </c:pt>
                <c:pt idx="1442">
                  <c:v>68.099999999999994</c:v>
                </c:pt>
                <c:pt idx="1443">
                  <c:v>68.670299999999997</c:v>
                </c:pt>
                <c:pt idx="1444">
                  <c:v>68.781899999999993</c:v>
                </c:pt>
                <c:pt idx="1445">
                  <c:v>68.458600000000004</c:v>
                </c:pt>
                <c:pt idx="1446">
                  <c:v>68.855900000000005</c:v>
                </c:pt>
                <c:pt idx="1447">
                  <c:v>70.034999999999997</c:v>
                </c:pt>
                <c:pt idx="1448">
                  <c:v>70.060400000000001</c:v>
                </c:pt>
                <c:pt idx="1449">
                  <c:v>70.332899999999995</c:v>
                </c:pt>
                <c:pt idx="1450">
                  <c:v>70.332899999999995</c:v>
                </c:pt>
                <c:pt idx="1451">
                  <c:v>70.447999999999993</c:v>
                </c:pt>
                <c:pt idx="1452">
                  <c:v>71.094800000000006</c:v>
                </c:pt>
                <c:pt idx="1453">
                  <c:v>71.438500000000005</c:v>
                </c:pt>
                <c:pt idx="1454">
                  <c:v>71.584000000000003</c:v>
                </c:pt>
                <c:pt idx="1455">
                  <c:v>71.528199999999998</c:v>
                </c:pt>
                <c:pt idx="1456">
                  <c:v>71.546999999999997</c:v>
                </c:pt>
                <c:pt idx="1457">
                  <c:v>71.822299999999998</c:v>
                </c:pt>
                <c:pt idx="1458">
                  <c:v>72.652600000000007</c:v>
                </c:pt>
                <c:pt idx="1459">
                  <c:v>72.671199999999999</c:v>
                </c:pt>
                <c:pt idx="1460">
                  <c:v>72.699399999999997</c:v>
                </c:pt>
                <c:pt idx="1461">
                  <c:v>72.489599999999996</c:v>
                </c:pt>
                <c:pt idx="1462">
                  <c:v>72.604600000000005</c:v>
                </c:pt>
                <c:pt idx="1463">
                  <c:v>77.260800000000003</c:v>
                </c:pt>
                <c:pt idx="1464">
                  <c:v>77.338099999999997</c:v>
                </c:pt>
                <c:pt idx="1465">
                  <c:v>76.682599999999994</c:v>
                </c:pt>
                <c:pt idx="1466">
                  <c:v>76.682599999999994</c:v>
                </c:pt>
                <c:pt idx="1467">
                  <c:v>77.4846</c:v>
                </c:pt>
                <c:pt idx="1468">
                  <c:v>77.567599999999999</c:v>
                </c:pt>
                <c:pt idx="1469">
                  <c:v>77.873199999999997</c:v>
                </c:pt>
                <c:pt idx="1470">
                  <c:v>77.677800000000005</c:v>
                </c:pt>
                <c:pt idx="1471">
                  <c:v>77.956199999999995</c:v>
                </c:pt>
                <c:pt idx="1472">
                  <c:v>77.521500000000003</c:v>
                </c:pt>
                <c:pt idx="1473">
                  <c:v>77.319400000000002</c:v>
                </c:pt>
                <c:pt idx="1474">
                  <c:v>77.375100000000003</c:v>
                </c:pt>
                <c:pt idx="1475">
                  <c:v>77.4846</c:v>
                </c:pt>
                <c:pt idx="1476">
                  <c:v>76.881</c:v>
                </c:pt>
                <c:pt idx="1477">
                  <c:v>77.086799999999997</c:v>
                </c:pt>
                <c:pt idx="1478">
                  <c:v>76.345600000000005</c:v>
                </c:pt>
                <c:pt idx="1479">
                  <c:v>76.463800000000006</c:v>
                </c:pt>
                <c:pt idx="1480">
                  <c:v>77.567599999999999</c:v>
                </c:pt>
                <c:pt idx="1481">
                  <c:v>77.000900000000001</c:v>
                </c:pt>
                <c:pt idx="1482">
                  <c:v>77.142600000000002</c:v>
                </c:pt>
                <c:pt idx="1483">
                  <c:v>77.706199999999995</c:v>
                </c:pt>
                <c:pt idx="1484">
                  <c:v>78.641999999999996</c:v>
                </c:pt>
                <c:pt idx="1485">
                  <c:v>77.212800000000001</c:v>
                </c:pt>
                <c:pt idx="1486">
                  <c:v>77.985600000000005</c:v>
                </c:pt>
                <c:pt idx="1487">
                  <c:v>78.066699999999997</c:v>
                </c:pt>
                <c:pt idx="1488">
                  <c:v>75.121700000000004</c:v>
                </c:pt>
                <c:pt idx="1489">
                  <c:v>75.593400000000003</c:v>
                </c:pt>
                <c:pt idx="1490">
                  <c:v>76.697299999999998</c:v>
                </c:pt>
                <c:pt idx="1491">
                  <c:v>76.427599999999998</c:v>
                </c:pt>
                <c:pt idx="1492">
                  <c:v>77.976699999999994</c:v>
                </c:pt>
                <c:pt idx="1493">
                  <c:v>78.966200000000001</c:v>
                </c:pt>
                <c:pt idx="1494">
                  <c:v>79.289500000000004</c:v>
                </c:pt>
                <c:pt idx="1495">
                  <c:v>79.079499999999996</c:v>
                </c:pt>
                <c:pt idx="1496">
                  <c:v>78.465000000000003</c:v>
                </c:pt>
                <c:pt idx="1497">
                  <c:v>80.468500000000006</c:v>
                </c:pt>
                <c:pt idx="1498">
                  <c:v>80.031800000000004</c:v>
                </c:pt>
                <c:pt idx="1499">
                  <c:v>79.524799999999999</c:v>
                </c:pt>
                <c:pt idx="1500">
                  <c:v>79.234800000000007</c:v>
                </c:pt>
                <c:pt idx="1501">
                  <c:v>79.215100000000007</c:v>
                </c:pt>
                <c:pt idx="1502">
                  <c:v>79.225099999999998</c:v>
                </c:pt>
                <c:pt idx="1503">
                  <c:v>79.125500000000002</c:v>
                </c:pt>
                <c:pt idx="1504">
                  <c:v>79.411500000000004</c:v>
                </c:pt>
                <c:pt idx="1505">
                  <c:v>79.421400000000006</c:v>
                </c:pt>
                <c:pt idx="1506">
                  <c:v>79.253299999999996</c:v>
                </c:pt>
                <c:pt idx="1507">
                  <c:v>79.633399999999995</c:v>
                </c:pt>
                <c:pt idx="1508">
                  <c:v>80.003399999999999</c:v>
                </c:pt>
                <c:pt idx="1509">
                  <c:v>80.708699999999993</c:v>
                </c:pt>
                <c:pt idx="1510">
                  <c:v>81.7089</c:v>
                </c:pt>
                <c:pt idx="1511">
                  <c:v>81.791799999999995</c:v>
                </c:pt>
                <c:pt idx="1512">
                  <c:v>81.737200000000001</c:v>
                </c:pt>
                <c:pt idx="1513">
                  <c:v>81.367000000000004</c:v>
                </c:pt>
                <c:pt idx="1514">
                  <c:v>81.607200000000006</c:v>
                </c:pt>
                <c:pt idx="1515">
                  <c:v>83.017700000000005</c:v>
                </c:pt>
                <c:pt idx="1516">
                  <c:v>81.856399999999994</c:v>
                </c:pt>
                <c:pt idx="1517">
                  <c:v>83.515799999999999</c:v>
                </c:pt>
                <c:pt idx="1518">
                  <c:v>83.478800000000007</c:v>
                </c:pt>
                <c:pt idx="1519">
                  <c:v>83.385800000000003</c:v>
                </c:pt>
                <c:pt idx="1520">
                  <c:v>84.875500000000002</c:v>
                </c:pt>
                <c:pt idx="1521">
                  <c:v>85.147000000000006</c:v>
                </c:pt>
                <c:pt idx="1522">
                  <c:v>85.074799999999996</c:v>
                </c:pt>
                <c:pt idx="1523">
                  <c:v>85.544600000000003</c:v>
                </c:pt>
                <c:pt idx="1524">
                  <c:v>87.149299999999997</c:v>
                </c:pt>
                <c:pt idx="1525">
                  <c:v>87.017300000000006</c:v>
                </c:pt>
                <c:pt idx="1526">
                  <c:v>85.924400000000006</c:v>
                </c:pt>
                <c:pt idx="1527">
                  <c:v>88.029300000000006</c:v>
                </c:pt>
                <c:pt idx="1528">
                  <c:v>87.3309</c:v>
                </c:pt>
                <c:pt idx="1529">
                  <c:v>85.035499999999999</c:v>
                </c:pt>
                <c:pt idx="1530">
                  <c:v>81.533100000000005</c:v>
                </c:pt>
                <c:pt idx="1531">
                  <c:v>84.618499999999997</c:v>
                </c:pt>
                <c:pt idx="1532">
                  <c:v>83.026600000000002</c:v>
                </c:pt>
                <c:pt idx="1533">
                  <c:v>78.764899999999997</c:v>
                </c:pt>
                <c:pt idx="1534">
                  <c:v>81.7</c:v>
                </c:pt>
                <c:pt idx="1535">
                  <c:v>82.596800000000002</c:v>
                </c:pt>
                <c:pt idx="1536">
                  <c:v>83.228499999999997</c:v>
                </c:pt>
                <c:pt idx="1537">
                  <c:v>84.531499999999994</c:v>
                </c:pt>
                <c:pt idx="1538">
                  <c:v>86.252499999999998</c:v>
                </c:pt>
                <c:pt idx="1539">
                  <c:v>85.637200000000007</c:v>
                </c:pt>
                <c:pt idx="1540">
                  <c:v>86.309200000000004</c:v>
                </c:pt>
                <c:pt idx="1541">
                  <c:v>85.162599999999998</c:v>
                </c:pt>
                <c:pt idx="1542">
                  <c:v>85.389399999999995</c:v>
                </c:pt>
                <c:pt idx="1543">
                  <c:v>87.558800000000005</c:v>
                </c:pt>
                <c:pt idx="1544">
                  <c:v>88.822500000000005</c:v>
                </c:pt>
                <c:pt idx="1545">
                  <c:v>87.684399999999997</c:v>
                </c:pt>
                <c:pt idx="1546">
                  <c:v>87.284199999999998</c:v>
                </c:pt>
                <c:pt idx="1547">
                  <c:v>86.4315</c:v>
                </c:pt>
                <c:pt idx="1548">
                  <c:v>86.615899999999996</c:v>
                </c:pt>
                <c:pt idx="1549">
                  <c:v>87.165800000000004</c:v>
                </c:pt>
                <c:pt idx="1550">
                  <c:v>86.867999999999995</c:v>
                </c:pt>
                <c:pt idx="1551">
                  <c:v>87.370900000000006</c:v>
                </c:pt>
                <c:pt idx="1552">
                  <c:v>87.901300000000006</c:v>
                </c:pt>
                <c:pt idx="1553">
                  <c:v>89.865600000000001</c:v>
                </c:pt>
                <c:pt idx="1554">
                  <c:v>90.079499999999996</c:v>
                </c:pt>
                <c:pt idx="1555">
                  <c:v>87.883899999999997</c:v>
                </c:pt>
                <c:pt idx="1556">
                  <c:v>87.3613</c:v>
                </c:pt>
                <c:pt idx="1557">
                  <c:v>87.667900000000003</c:v>
                </c:pt>
                <c:pt idx="1558">
                  <c:v>88.060599999999994</c:v>
                </c:pt>
                <c:pt idx="1559">
                  <c:v>86.467399999999998</c:v>
                </c:pt>
                <c:pt idx="1560">
                  <c:v>86.691199999999995</c:v>
                </c:pt>
                <c:pt idx="1561">
                  <c:v>86.086500000000001</c:v>
                </c:pt>
                <c:pt idx="1562">
                  <c:v>83.581599999999995</c:v>
                </c:pt>
                <c:pt idx="1563">
                  <c:v>81.153000000000006</c:v>
                </c:pt>
                <c:pt idx="1564">
                  <c:v>87.293700000000001</c:v>
                </c:pt>
                <c:pt idx="1565">
                  <c:v>83.284300000000002</c:v>
                </c:pt>
                <c:pt idx="1566">
                  <c:v>83.210099999999997</c:v>
                </c:pt>
                <c:pt idx="1567">
                  <c:v>84.961399999999998</c:v>
                </c:pt>
                <c:pt idx="1568">
                  <c:v>82.398600000000002</c:v>
                </c:pt>
                <c:pt idx="1569">
                  <c:v>83.506799999999998</c:v>
                </c:pt>
                <c:pt idx="1570">
                  <c:v>85.947900000000004</c:v>
                </c:pt>
                <c:pt idx="1571">
                  <c:v>85.993799999999993</c:v>
                </c:pt>
                <c:pt idx="1572">
                  <c:v>83.992400000000004</c:v>
                </c:pt>
                <c:pt idx="1573">
                  <c:v>84.493499999999997</c:v>
                </c:pt>
                <c:pt idx="1574">
                  <c:v>86.457599999999999</c:v>
                </c:pt>
                <c:pt idx="1575">
                  <c:v>85.509399999999999</c:v>
                </c:pt>
                <c:pt idx="1576">
                  <c:v>87.112200000000001</c:v>
                </c:pt>
                <c:pt idx="1577">
                  <c:v>86.644300000000001</c:v>
                </c:pt>
                <c:pt idx="1578">
                  <c:v>87.659099999999995</c:v>
                </c:pt>
                <c:pt idx="1579">
                  <c:v>89.427899999999994</c:v>
                </c:pt>
                <c:pt idx="1580">
                  <c:v>89.773799999999994</c:v>
                </c:pt>
                <c:pt idx="1581">
                  <c:v>89.463999999999999</c:v>
                </c:pt>
                <c:pt idx="1582">
                  <c:v>88.430800000000005</c:v>
                </c:pt>
                <c:pt idx="1583">
                  <c:v>88.756900000000002</c:v>
                </c:pt>
                <c:pt idx="1584">
                  <c:v>86.681600000000003</c:v>
                </c:pt>
                <c:pt idx="1585">
                  <c:v>85.928399999999996</c:v>
                </c:pt>
                <c:pt idx="1586">
                  <c:v>87.740300000000005</c:v>
                </c:pt>
                <c:pt idx="1587">
                  <c:v>89.1935</c:v>
                </c:pt>
                <c:pt idx="1588">
                  <c:v>87.054500000000004</c:v>
                </c:pt>
                <c:pt idx="1589">
                  <c:v>88.430800000000005</c:v>
                </c:pt>
                <c:pt idx="1590">
                  <c:v>87.044899999999998</c:v>
                </c:pt>
                <c:pt idx="1591">
                  <c:v>87.567300000000003</c:v>
                </c:pt>
                <c:pt idx="1592">
                  <c:v>88.580399999999997</c:v>
                </c:pt>
                <c:pt idx="1593">
                  <c:v>89.566599999999994</c:v>
                </c:pt>
                <c:pt idx="1594">
                  <c:v>89.186599999999999</c:v>
                </c:pt>
                <c:pt idx="1595">
                  <c:v>90.2376</c:v>
                </c:pt>
                <c:pt idx="1596">
                  <c:v>91.139200000000002</c:v>
                </c:pt>
                <c:pt idx="1597">
                  <c:v>90.944900000000004</c:v>
                </c:pt>
                <c:pt idx="1598">
                  <c:v>91.251599999999996</c:v>
                </c:pt>
                <c:pt idx="1599">
                  <c:v>90.594200000000001</c:v>
                </c:pt>
                <c:pt idx="1600">
                  <c:v>90.825800000000001</c:v>
                </c:pt>
                <c:pt idx="1601">
                  <c:v>89.918300000000002</c:v>
                </c:pt>
                <c:pt idx="1602">
                  <c:v>90.087500000000006</c:v>
                </c:pt>
                <c:pt idx="1603">
                  <c:v>91.244699999999995</c:v>
                </c:pt>
                <c:pt idx="1604">
                  <c:v>91.151899999999998</c:v>
                </c:pt>
                <c:pt idx="1605">
                  <c:v>92.239199999999997</c:v>
                </c:pt>
                <c:pt idx="1606">
                  <c:v>91.908900000000003</c:v>
                </c:pt>
                <c:pt idx="1607">
                  <c:v>91.955699999999993</c:v>
                </c:pt>
                <c:pt idx="1608">
                  <c:v>91.629599999999996</c:v>
                </c:pt>
                <c:pt idx="1609">
                  <c:v>92.508600000000001</c:v>
                </c:pt>
                <c:pt idx="1610">
                  <c:v>92.403099999999995</c:v>
                </c:pt>
                <c:pt idx="1611">
                  <c:v>94.223600000000005</c:v>
                </c:pt>
                <c:pt idx="1612">
                  <c:v>95.048900000000003</c:v>
                </c:pt>
                <c:pt idx="1613">
                  <c:v>95.545299999999997</c:v>
                </c:pt>
                <c:pt idx="1614">
                  <c:v>95.829499999999996</c:v>
                </c:pt>
                <c:pt idx="1615">
                  <c:v>94.307699999999997</c:v>
                </c:pt>
                <c:pt idx="1616">
                  <c:v>95.009900000000002</c:v>
                </c:pt>
                <c:pt idx="1617">
                  <c:v>94.466999999999999</c:v>
                </c:pt>
                <c:pt idx="1618">
                  <c:v>94.713099999999997</c:v>
                </c:pt>
                <c:pt idx="1619">
                  <c:v>94.2804</c:v>
                </c:pt>
                <c:pt idx="1620">
                  <c:v>94.817599999999999</c:v>
                </c:pt>
                <c:pt idx="1621">
                  <c:v>93.613399999999999</c:v>
                </c:pt>
                <c:pt idx="1622">
                  <c:v>94.289400000000001</c:v>
                </c:pt>
                <c:pt idx="1623">
                  <c:v>94.289400000000001</c:v>
                </c:pt>
                <c:pt idx="1624">
                  <c:v>95.2376</c:v>
                </c:pt>
                <c:pt idx="1625">
                  <c:v>94.552999999999997</c:v>
                </c:pt>
                <c:pt idx="1626">
                  <c:v>93.878</c:v>
                </c:pt>
                <c:pt idx="1627">
                  <c:v>91.984200000000001</c:v>
                </c:pt>
                <c:pt idx="1628">
                  <c:v>92.628699999999995</c:v>
                </c:pt>
                <c:pt idx="1629">
                  <c:v>91.19</c:v>
                </c:pt>
                <c:pt idx="1630">
                  <c:v>92.209599999999995</c:v>
                </c:pt>
                <c:pt idx="1631">
                  <c:v>92.190299999999993</c:v>
                </c:pt>
                <c:pt idx="1632">
                  <c:v>93.503</c:v>
                </c:pt>
                <c:pt idx="1633">
                  <c:v>92.6023</c:v>
                </c:pt>
                <c:pt idx="1634">
                  <c:v>93.264600000000002</c:v>
                </c:pt>
                <c:pt idx="1635">
                  <c:v>94.571399999999997</c:v>
                </c:pt>
                <c:pt idx="1636">
                  <c:v>95.218100000000007</c:v>
                </c:pt>
                <c:pt idx="1637">
                  <c:v>95.478800000000007</c:v>
                </c:pt>
                <c:pt idx="1638">
                  <c:v>95.341099999999997</c:v>
                </c:pt>
                <c:pt idx="1639">
                  <c:v>97.409899999999993</c:v>
                </c:pt>
                <c:pt idx="1640">
                  <c:v>98.582300000000004</c:v>
                </c:pt>
                <c:pt idx="1641">
                  <c:v>98.093999999999994</c:v>
                </c:pt>
                <c:pt idx="1642">
                  <c:v>99.031199999999998</c:v>
                </c:pt>
                <c:pt idx="1643">
                  <c:v>98.298199999999994</c:v>
                </c:pt>
                <c:pt idx="1644">
                  <c:v>97.615099999999998</c:v>
                </c:pt>
                <c:pt idx="1645">
                  <c:v>99.324299999999994</c:v>
                </c:pt>
                <c:pt idx="1646">
                  <c:v>100.95699999999999</c:v>
                </c:pt>
                <c:pt idx="1647">
                  <c:v>100.663</c:v>
                </c:pt>
                <c:pt idx="1648">
                  <c:v>103.622</c:v>
                </c:pt>
                <c:pt idx="1649">
                  <c:v>102.48699999999999</c:v>
                </c:pt>
                <c:pt idx="1650">
                  <c:v>100.681</c:v>
                </c:pt>
                <c:pt idx="1651">
                  <c:v>98.534000000000006</c:v>
                </c:pt>
                <c:pt idx="1652">
                  <c:v>99.147800000000004</c:v>
                </c:pt>
                <c:pt idx="1653">
                  <c:v>99.334199999999996</c:v>
                </c:pt>
                <c:pt idx="1654">
                  <c:v>100.575</c:v>
                </c:pt>
                <c:pt idx="1655">
                  <c:v>101.024</c:v>
                </c:pt>
                <c:pt idx="1656">
                  <c:v>101.11</c:v>
                </c:pt>
                <c:pt idx="1657">
                  <c:v>101.776</c:v>
                </c:pt>
                <c:pt idx="1658">
                  <c:v>102.363</c:v>
                </c:pt>
                <c:pt idx="1659">
                  <c:v>102.53700000000001</c:v>
                </c:pt>
                <c:pt idx="1660">
                  <c:v>101.88500000000001</c:v>
                </c:pt>
                <c:pt idx="1661">
                  <c:v>101.18899999999999</c:v>
                </c:pt>
                <c:pt idx="1662">
                  <c:v>102.431</c:v>
                </c:pt>
                <c:pt idx="1663">
                  <c:v>101.053</c:v>
                </c:pt>
                <c:pt idx="1664">
                  <c:v>101.03400000000001</c:v>
                </c:pt>
                <c:pt idx="1665">
                  <c:v>100.977</c:v>
                </c:pt>
                <c:pt idx="1666">
                  <c:v>100.29</c:v>
                </c:pt>
                <c:pt idx="1667">
                  <c:v>99.4405</c:v>
                </c:pt>
                <c:pt idx="1668">
                  <c:v>100.47799999999999</c:v>
                </c:pt>
                <c:pt idx="1669">
                  <c:v>100.95699999999999</c:v>
                </c:pt>
                <c:pt idx="1670">
                  <c:v>101.718</c:v>
                </c:pt>
                <c:pt idx="1671">
                  <c:v>102.869</c:v>
                </c:pt>
                <c:pt idx="1672">
                  <c:v>103.486</c:v>
                </c:pt>
                <c:pt idx="1673">
                  <c:v>105.146</c:v>
                </c:pt>
                <c:pt idx="1674">
                  <c:v>105.078</c:v>
                </c:pt>
                <c:pt idx="1675">
                  <c:v>105.40900000000001</c:v>
                </c:pt>
                <c:pt idx="1676">
                  <c:v>104.84399999999999</c:v>
                </c:pt>
                <c:pt idx="1677">
                  <c:v>101.80500000000001</c:v>
                </c:pt>
                <c:pt idx="1678">
                  <c:v>102.039</c:v>
                </c:pt>
                <c:pt idx="1679">
                  <c:v>101.56</c:v>
                </c:pt>
                <c:pt idx="1680">
                  <c:v>102.65600000000001</c:v>
                </c:pt>
                <c:pt idx="1681">
                  <c:v>104.39400000000001</c:v>
                </c:pt>
                <c:pt idx="1682">
                  <c:v>104.84399999999999</c:v>
                </c:pt>
                <c:pt idx="1683">
                  <c:v>105.95699999999999</c:v>
                </c:pt>
                <c:pt idx="1684">
                  <c:v>106.396</c:v>
                </c:pt>
                <c:pt idx="1685">
                  <c:v>105.253</c:v>
                </c:pt>
                <c:pt idx="1686">
                  <c:v>106.249</c:v>
                </c:pt>
                <c:pt idx="1687">
                  <c:v>104.834</c:v>
                </c:pt>
                <c:pt idx="1688">
                  <c:v>106.581</c:v>
                </c:pt>
                <c:pt idx="1689">
                  <c:v>107.23699999999999</c:v>
                </c:pt>
                <c:pt idx="1690">
                  <c:v>107.608</c:v>
                </c:pt>
                <c:pt idx="1691">
                  <c:v>107.4</c:v>
                </c:pt>
                <c:pt idx="1692">
                  <c:v>106.98099999999999</c:v>
                </c:pt>
                <c:pt idx="1693">
                  <c:v>107.363</c:v>
                </c:pt>
                <c:pt idx="1694">
                  <c:v>107.33499999999999</c:v>
                </c:pt>
                <c:pt idx="1695">
                  <c:v>108.505</c:v>
                </c:pt>
                <c:pt idx="1696">
                  <c:v>108.066</c:v>
                </c:pt>
                <c:pt idx="1697">
                  <c:v>108.086</c:v>
                </c:pt>
                <c:pt idx="1698">
                  <c:v>105.839</c:v>
                </c:pt>
                <c:pt idx="1699">
                  <c:v>105.24299999999999</c:v>
                </c:pt>
                <c:pt idx="1700">
                  <c:v>104.024</c:v>
                </c:pt>
                <c:pt idx="1701">
                  <c:v>105.35</c:v>
                </c:pt>
                <c:pt idx="1702">
                  <c:v>99.6173</c:v>
                </c:pt>
                <c:pt idx="1703">
                  <c:v>99.373900000000006</c:v>
                </c:pt>
                <c:pt idx="1704">
                  <c:v>102.84099999999999</c:v>
                </c:pt>
                <c:pt idx="1705">
                  <c:v>100.995</c:v>
                </c:pt>
                <c:pt idx="1706">
                  <c:v>104.16800000000001</c:v>
                </c:pt>
                <c:pt idx="1707">
                  <c:v>103.895</c:v>
                </c:pt>
                <c:pt idx="1708">
                  <c:v>101.815</c:v>
                </c:pt>
                <c:pt idx="1709">
                  <c:v>101.961</c:v>
                </c:pt>
                <c:pt idx="1710">
                  <c:v>102.899</c:v>
                </c:pt>
                <c:pt idx="1711">
                  <c:v>101.473</c:v>
                </c:pt>
                <c:pt idx="1712">
                  <c:v>96.034499999999994</c:v>
                </c:pt>
                <c:pt idx="1713">
                  <c:v>101.629</c:v>
                </c:pt>
                <c:pt idx="1714">
                  <c:v>100.378</c:v>
                </c:pt>
                <c:pt idx="1715">
                  <c:v>97.468400000000003</c:v>
                </c:pt>
                <c:pt idx="1716">
                  <c:v>97.351200000000006</c:v>
                </c:pt>
                <c:pt idx="1717">
                  <c:v>100.233</c:v>
                </c:pt>
                <c:pt idx="1718">
                  <c:v>99.383899999999997</c:v>
                </c:pt>
                <c:pt idx="1719">
                  <c:v>99.6173</c:v>
                </c:pt>
                <c:pt idx="1720">
                  <c:v>100.907</c:v>
                </c:pt>
                <c:pt idx="1721">
                  <c:v>101.11</c:v>
                </c:pt>
                <c:pt idx="1722">
                  <c:v>105.08799999999999</c:v>
                </c:pt>
                <c:pt idx="1723">
                  <c:v>104.883</c:v>
                </c:pt>
                <c:pt idx="1724">
                  <c:v>102.84099999999999</c:v>
                </c:pt>
                <c:pt idx="1725">
                  <c:v>100.29</c:v>
                </c:pt>
                <c:pt idx="1726">
                  <c:v>100.35899999999999</c:v>
                </c:pt>
                <c:pt idx="1727">
                  <c:v>98.914699999999996</c:v>
                </c:pt>
                <c:pt idx="1728">
                  <c:v>101.13</c:v>
                </c:pt>
                <c:pt idx="1729">
                  <c:v>102.059</c:v>
                </c:pt>
                <c:pt idx="1730">
                  <c:v>98.621499999999997</c:v>
                </c:pt>
                <c:pt idx="1731">
                  <c:v>95.878399999999999</c:v>
                </c:pt>
                <c:pt idx="1732">
                  <c:v>97.185299999999998</c:v>
                </c:pt>
                <c:pt idx="1733">
                  <c:v>97.149900000000002</c:v>
                </c:pt>
                <c:pt idx="1734">
                  <c:v>100.35</c:v>
                </c:pt>
                <c:pt idx="1735">
                  <c:v>100.995</c:v>
                </c:pt>
                <c:pt idx="1736">
                  <c:v>104.73399999999999</c:v>
                </c:pt>
                <c:pt idx="1737">
                  <c:v>103.86499999999999</c:v>
                </c:pt>
                <c:pt idx="1738">
                  <c:v>104.512</c:v>
                </c:pt>
                <c:pt idx="1739">
                  <c:v>105.64400000000001</c:v>
                </c:pt>
                <c:pt idx="1740">
                  <c:v>102.28400000000001</c:v>
                </c:pt>
                <c:pt idx="1741">
                  <c:v>102.929</c:v>
                </c:pt>
                <c:pt idx="1742">
                  <c:v>98.796499999999995</c:v>
                </c:pt>
                <c:pt idx="1743">
                  <c:v>101.42400000000001</c:v>
                </c:pt>
                <c:pt idx="1744">
                  <c:v>102.354</c:v>
                </c:pt>
                <c:pt idx="1745">
                  <c:v>102.821</c:v>
                </c:pt>
                <c:pt idx="1746">
                  <c:v>103.155</c:v>
                </c:pt>
                <c:pt idx="1747">
                  <c:v>99.93</c:v>
                </c:pt>
                <c:pt idx="1748">
                  <c:v>96.983000000000004</c:v>
                </c:pt>
                <c:pt idx="1749">
                  <c:v>98.005899999999997</c:v>
                </c:pt>
                <c:pt idx="1750">
                  <c:v>97.741900000000001</c:v>
                </c:pt>
                <c:pt idx="1751">
                  <c:v>95.688999999999993</c:v>
                </c:pt>
                <c:pt idx="1752">
                  <c:v>92.586799999999997</c:v>
                </c:pt>
                <c:pt idx="1753">
                  <c:v>88.7209</c:v>
                </c:pt>
                <c:pt idx="1754">
                  <c:v>94.7804</c:v>
                </c:pt>
                <c:pt idx="1755">
                  <c:v>95.370500000000007</c:v>
                </c:pt>
                <c:pt idx="1756">
                  <c:v>94.618300000000005</c:v>
                </c:pt>
                <c:pt idx="1757">
                  <c:v>95.743700000000004</c:v>
                </c:pt>
                <c:pt idx="1758">
                  <c:v>95.312899999999999</c:v>
                </c:pt>
                <c:pt idx="1759">
                  <c:v>91.804500000000004</c:v>
                </c:pt>
                <c:pt idx="1760">
                  <c:v>96.083399999999997</c:v>
                </c:pt>
                <c:pt idx="1761">
                  <c:v>96.206500000000005</c:v>
                </c:pt>
                <c:pt idx="1762">
                  <c:v>96.895300000000006</c:v>
                </c:pt>
                <c:pt idx="1763">
                  <c:v>98.298199999999994</c:v>
                </c:pt>
                <c:pt idx="1764">
                  <c:v>97.663899999999998</c:v>
                </c:pt>
                <c:pt idx="1765">
                  <c:v>96.895300000000006</c:v>
                </c:pt>
                <c:pt idx="1766">
                  <c:v>96.196799999999996</c:v>
                </c:pt>
                <c:pt idx="1767">
                  <c:v>98.9542</c:v>
                </c:pt>
                <c:pt idx="1768">
                  <c:v>99.305400000000006</c:v>
                </c:pt>
                <c:pt idx="1769">
                  <c:v>100.018</c:v>
                </c:pt>
                <c:pt idx="1770">
                  <c:v>101.54</c:v>
                </c:pt>
                <c:pt idx="1771">
                  <c:v>99.598399999999998</c:v>
                </c:pt>
                <c:pt idx="1772">
                  <c:v>100.58499999999999</c:v>
                </c:pt>
                <c:pt idx="1773">
                  <c:v>100.086</c:v>
                </c:pt>
                <c:pt idx="1774">
                  <c:v>101.024</c:v>
                </c:pt>
                <c:pt idx="1775">
                  <c:v>99.021500000000003</c:v>
                </c:pt>
                <c:pt idx="1776">
                  <c:v>97.024100000000004</c:v>
                </c:pt>
                <c:pt idx="1777">
                  <c:v>100.261</c:v>
                </c:pt>
                <c:pt idx="1778">
                  <c:v>98.445400000000006</c:v>
                </c:pt>
                <c:pt idx="1779">
                  <c:v>96.875500000000002</c:v>
                </c:pt>
                <c:pt idx="1780">
                  <c:v>99.657499999999999</c:v>
                </c:pt>
                <c:pt idx="1781">
                  <c:v>101.071</c:v>
                </c:pt>
                <c:pt idx="1782">
                  <c:v>99.93</c:v>
                </c:pt>
                <c:pt idx="1783">
                  <c:v>99.197299999999998</c:v>
                </c:pt>
                <c:pt idx="1784">
                  <c:v>99.588499999999996</c:v>
                </c:pt>
                <c:pt idx="1785">
                  <c:v>99.177599999999998</c:v>
                </c:pt>
                <c:pt idx="1786">
                  <c:v>100.76</c:v>
                </c:pt>
                <c:pt idx="1787">
                  <c:v>100.681</c:v>
                </c:pt>
                <c:pt idx="1788">
                  <c:v>100.77</c:v>
                </c:pt>
                <c:pt idx="1789">
                  <c:v>101.989</c:v>
                </c:pt>
                <c:pt idx="1790">
                  <c:v>101.941</c:v>
                </c:pt>
                <c:pt idx="1791">
                  <c:v>101.444</c:v>
                </c:pt>
                <c:pt idx="1792">
                  <c:v>103.57299999999999</c:v>
                </c:pt>
                <c:pt idx="1793">
                  <c:v>105.048</c:v>
                </c:pt>
                <c:pt idx="1794">
                  <c:v>105.624</c:v>
                </c:pt>
                <c:pt idx="1795">
                  <c:v>106.357</c:v>
                </c:pt>
                <c:pt idx="1796">
                  <c:v>106.18</c:v>
                </c:pt>
                <c:pt idx="1797">
                  <c:v>106.044</c:v>
                </c:pt>
                <c:pt idx="1798">
                  <c:v>106.514</c:v>
                </c:pt>
                <c:pt idx="1799">
                  <c:v>106.26900000000001</c:v>
                </c:pt>
                <c:pt idx="1800">
                  <c:v>105.721</c:v>
                </c:pt>
                <c:pt idx="1801">
                  <c:v>105.76900000000001</c:v>
                </c:pt>
                <c:pt idx="1802">
                  <c:v>104.482</c:v>
                </c:pt>
                <c:pt idx="1803">
                  <c:v>104.598</c:v>
                </c:pt>
                <c:pt idx="1804">
                  <c:v>106.807</c:v>
                </c:pt>
                <c:pt idx="1805">
                  <c:v>107.538</c:v>
                </c:pt>
                <c:pt idx="1806">
                  <c:v>108.387</c:v>
                </c:pt>
                <c:pt idx="1807">
                  <c:v>108.476</c:v>
                </c:pt>
                <c:pt idx="1808">
                  <c:v>109.70699999999999</c:v>
                </c:pt>
                <c:pt idx="1809">
                  <c:v>111.288</c:v>
                </c:pt>
                <c:pt idx="1810">
                  <c:v>111.367</c:v>
                </c:pt>
                <c:pt idx="1811">
                  <c:v>111.24</c:v>
                </c:pt>
                <c:pt idx="1812">
                  <c:v>113.80800000000001</c:v>
                </c:pt>
                <c:pt idx="1813">
                  <c:v>110.8</c:v>
                </c:pt>
                <c:pt idx="1814">
                  <c:v>111.377</c:v>
                </c:pt>
                <c:pt idx="1815">
                  <c:v>111.601</c:v>
                </c:pt>
                <c:pt idx="1816">
                  <c:v>110.53700000000001</c:v>
                </c:pt>
                <c:pt idx="1817">
                  <c:v>110.684</c:v>
                </c:pt>
                <c:pt idx="1818">
                  <c:v>111.63</c:v>
                </c:pt>
                <c:pt idx="1819">
                  <c:v>112.657</c:v>
                </c:pt>
                <c:pt idx="1820">
                  <c:v>112.822</c:v>
                </c:pt>
                <c:pt idx="1821">
                  <c:v>113.57599999999999</c:v>
                </c:pt>
                <c:pt idx="1822">
                  <c:v>112.989</c:v>
                </c:pt>
                <c:pt idx="1823">
                  <c:v>113.497</c:v>
                </c:pt>
                <c:pt idx="1824">
                  <c:v>113.536</c:v>
                </c:pt>
                <c:pt idx="1825">
                  <c:v>112.911</c:v>
                </c:pt>
                <c:pt idx="1826">
                  <c:v>113.779</c:v>
                </c:pt>
                <c:pt idx="1827">
                  <c:v>113.908</c:v>
                </c:pt>
                <c:pt idx="1828">
                  <c:v>114.483</c:v>
                </c:pt>
                <c:pt idx="1829">
                  <c:v>114.572</c:v>
                </c:pt>
                <c:pt idx="1830">
                  <c:v>114.318</c:v>
                </c:pt>
                <c:pt idx="1831">
                  <c:v>115.27500000000001</c:v>
                </c:pt>
                <c:pt idx="1832">
                  <c:v>116.768</c:v>
                </c:pt>
                <c:pt idx="1833">
                  <c:v>117.14</c:v>
                </c:pt>
                <c:pt idx="1834">
                  <c:v>118.76</c:v>
                </c:pt>
                <c:pt idx="1835">
                  <c:v>118.34</c:v>
                </c:pt>
                <c:pt idx="1836">
                  <c:v>122.25</c:v>
                </c:pt>
                <c:pt idx="1837">
                  <c:v>122.95099999999999</c:v>
                </c:pt>
                <c:pt idx="1838">
                  <c:v>122.834</c:v>
                </c:pt>
                <c:pt idx="1839">
                  <c:v>123.646</c:v>
                </c:pt>
                <c:pt idx="1840">
                  <c:v>121.04600000000001</c:v>
                </c:pt>
                <c:pt idx="1841">
                  <c:v>119.477</c:v>
                </c:pt>
                <c:pt idx="1842">
                  <c:v>122.005</c:v>
                </c:pt>
                <c:pt idx="1843">
                  <c:v>121.301</c:v>
                </c:pt>
                <c:pt idx="1844">
                  <c:v>118.82899999999999</c:v>
                </c:pt>
                <c:pt idx="1845">
                  <c:v>118.819</c:v>
                </c:pt>
                <c:pt idx="1846">
                  <c:v>118.819</c:v>
                </c:pt>
                <c:pt idx="1847">
                  <c:v>120.324</c:v>
                </c:pt>
                <c:pt idx="1848">
                  <c:v>116.749</c:v>
                </c:pt>
                <c:pt idx="1849">
                  <c:v>118.069</c:v>
                </c:pt>
                <c:pt idx="1850">
                  <c:v>119.73699999999999</c:v>
                </c:pt>
                <c:pt idx="1851">
                  <c:v>122.49299999999999</c:v>
                </c:pt>
                <c:pt idx="1852">
                  <c:v>121.663</c:v>
                </c:pt>
                <c:pt idx="1853">
                  <c:v>119.90600000000001</c:v>
                </c:pt>
                <c:pt idx="1854">
                  <c:v>120.548</c:v>
                </c:pt>
                <c:pt idx="1855">
                  <c:v>121.291</c:v>
                </c:pt>
                <c:pt idx="1856">
                  <c:v>119.877</c:v>
                </c:pt>
                <c:pt idx="1857">
                  <c:v>119.92400000000001</c:v>
                </c:pt>
                <c:pt idx="1858">
                  <c:v>119.867</c:v>
                </c:pt>
                <c:pt idx="1859">
                  <c:v>118.72199999999999</c:v>
                </c:pt>
                <c:pt idx="1860">
                  <c:v>119.467</c:v>
                </c:pt>
                <c:pt idx="1861">
                  <c:v>117.511</c:v>
                </c:pt>
                <c:pt idx="1862">
                  <c:v>113.858</c:v>
                </c:pt>
                <c:pt idx="1863">
                  <c:v>117.004</c:v>
                </c:pt>
                <c:pt idx="1864">
                  <c:v>119.554</c:v>
                </c:pt>
                <c:pt idx="1865">
                  <c:v>121.437</c:v>
                </c:pt>
                <c:pt idx="1866">
                  <c:v>124.837</c:v>
                </c:pt>
                <c:pt idx="1867">
                  <c:v>125.968</c:v>
                </c:pt>
                <c:pt idx="1868">
                  <c:v>125.49</c:v>
                </c:pt>
                <c:pt idx="1869">
                  <c:v>124.926</c:v>
                </c:pt>
                <c:pt idx="1870">
                  <c:v>125.69499999999999</c:v>
                </c:pt>
                <c:pt idx="1871">
                  <c:v>125.824</c:v>
                </c:pt>
                <c:pt idx="1872">
                  <c:v>126.203</c:v>
                </c:pt>
                <c:pt idx="1873">
                  <c:v>128.40199999999999</c:v>
                </c:pt>
                <c:pt idx="1874">
                  <c:v>128.91900000000001</c:v>
                </c:pt>
                <c:pt idx="1875">
                  <c:v>130.11000000000001</c:v>
                </c:pt>
                <c:pt idx="1876">
                  <c:v>130.13</c:v>
                </c:pt>
                <c:pt idx="1877">
                  <c:v>130.89400000000001</c:v>
                </c:pt>
                <c:pt idx="1878">
                  <c:v>126.77</c:v>
                </c:pt>
                <c:pt idx="1879">
                  <c:v>127.259</c:v>
                </c:pt>
                <c:pt idx="1880">
                  <c:v>127.45399999999999</c:v>
                </c:pt>
                <c:pt idx="1881">
                  <c:v>127.288</c:v>
                </c:pt>
                <c:pt idx="1882">
                  <c:v>128.90899999999999</c:v>
                </c:pt>
                <c:pt idx="1883">
                  <c:v>129.75899999999999</c:v>
                </c:pt>
                <c:pt idx="1884">
                  <c:v>130.589</c:v>
                </c:pt>
                <c:pt idx="1885">
                  <c:v>130.21799999999999</c:v>
                </c:pt>
                <c:pt idx="1886">
                  <c:v>130.12</c:v>
                </c:pt>
                <c:pt idx="1887">
                  <c:v>129.64400000000001</c:v>
                </c:pt>
                <c:pt idx="1888">
                  <c:v>130.959</c:v>
                </c:pt>
                <c:pt idx="1889">
                  <c:v>131.488</c:v>
                </c:pt>
                <c:pt idx="1890">
                  <c:v>131.96700000000001</c:v>
                </c:pt>
                <c:pt idx="1891">
                  <c:v>131.96700000000001</c:v>
                </c:pt>
                <c:pt idx="1892">
                  <c:v>130.238</c:v>
                </c:pt>
                <c:pt idx="1893">
                  <c:v>129.48599999999999</c:v>
                </c:pt>
                <c:pt idx="1894">
                  <c:v>129.614</c:v>
                </c:pt>
                <c:pt idx="1895">
                  <c:v>129.79900000000001</c:v>
                </c:pt>
                <c:pt idx="1896">
                  <c:v>131.51599999999999</c:v>
                </c:pt>
                <c:pt idx="1897">
                  <c:v>132.34700000000001</c:v>
                </c:pt>
                <c:pt idx="1898">
                  <c:v>133.68600000000001</c:v>
                </c:pt>
                <c:pt idx="1899">
                  <c:v>133.18600000000001</c:v>
                </c:pt>
                <c:pt idx="1900">
                  <c:v>134.29</c:v>
                </c:pt>
                <c:pt idx="1901">
                  <c:v>133.989</c:v>
                </c:pt>
                <c:pt idx="1902">
                  <c:v>133.34399999999999</c:v>
                </c:pt>
                <c:pt idx="1903">
                  <c:v>129.48599999999999</c:v>
                </c:pt>
                <c:pt idx="1904">
                  <c:v>131.15600000000001</c:v>
                </c:pt>
                <c:pt idx="1905">
                  <c:v>130.06299999999999</c:v>
                </c:pt>
                <c:pt idx="1906">
                  <c:v>125.598</c:v>
                </c:pt>
                <c:pt idx="1907">
                  <c:v>127.971</c:v>
                </c:pt>
                <c:pt idx="1908">
                  <c:v>128.51900000000001</c:v>
                </c:pt>
                <c:pt idx="1909">
                  <c:v>131.958</c:v>
                </c:pt>
                <c:pt idx="1910">
                  <c:v>130.82400000000001</c:v>
                </c:pt>
                <c:pt idx="1911">
                  <c:v>129.01599999999999</c:v>
                </c:pt>
                <c:pt idx="1912">
                  <c:v>131.67500000000001</c:v>
                </c:pt>
                <c:pt idx="1913">
                  <c:v>127.72799999999999</c:v>
                </c:pt>
                <c:pt idx="1914">
                  <c:v>127.434</c:v>
                </c:pt>
                <c:pt idx="1915">
                  <c:v>129.75899999999999</c:v>
                </c:pt>
                <c:pt idx="1916">
                  <c:v>131.93799999999999</c:v>
                </c:pt>
                <c:pt idx="1917">
                  <c:v>130.834</c:v>
                </c:pt>
                <c:pt idx="1918">
                  <c:v>132.30699999999999</c:v>
                </c:pt>
                <c:pt idx="1919">
                  <c:v>131.33199999999999</c:v>
                </c:pt>
                <c:pt idx="1920">
                  <c:v>127.161</c:v>
                </c:pt>
                <c:pt idx="1921">
                  <c:v>129.125</c:v>
                </c:pt>
                <c:pt idx="1922">
                  <c:v>129.40600000000001</c:v>
                </c:pt>
                <c:pt idx="1923">
                  <c:v>129.233</c:v>
                </c:pt>
                <c:pt idx="1924">
                  <c:v>131.66499999999999</c:v>
                </c:pt>
                <c:pt idx="1925">
                  <c:v>131.41</c:v>
                </c:pt>
                <c:pt idx="1926">
                  <c:v>129.672</c:v>
                </c:pt>
                <c:pt idx="1927">
                  <c:v>131.185</c:v>
                </c:pt>
                <c:pt idx="1928">
                  <c:v>133.511</c:v>
                </c:pt>
                <c:pt idx="1929">
                  <c:v>132.59299999999999</c:v>
                </c:pt>
                <c:pt idx="1930">
                  <c:v>131.078</c:v>
                </c:pt>
                <c:pt idx="1931">
                  <c:v>129.71</c:v>
                </c:pt>
                <c:pt idx="1932">
                  <c:v>129.75</c:v>
                </c:pt>
                <c:pt idx="1933">
                  <c:v>131.078</c:v>
                </c:pt>
                <c:pt idx="1934">
                  <c:v>130.89400000000001</c:v>
                </c:pt>
                <c:pt idx="1935">
                  <c:v>129.94499999999999</c:v>
                </c:pt>
                <c:pt idx="1936">
                  <c:v>130.959</c:v>
                </c:pt>
                <c:pt idx="1937">
                  <c:v>132.04599999999999</c:v>
                </c:pt>
                <c:pt idx="1938">
                  <c:v>134.488</c:v>
                </c:pt>
                <c:pt idx="1939">
                  <c:v>132.923</c:v>
                </c:pt>
                <c:pt idx="1940">
                  <c:v>132.631</c:v>
                </c:pt>
                <c:pt idx="1941">
                  <c:v>130.94999999999999</c:v>
                </c:pt>
                <c:pt idx="1942">
                  <c:v>132.845</c:v>
                </c:pt>
                <c:pt idx="1943">
                  <c:v>133.01300000000001</c:v>
                </c:pt>
                <c:pt idx="1944">
                  <c:v>131.28399999999999</c:v>
                </c:pt>
                <c:pt idx="1945">
                  <c:v>132.524</c:v>
                </c:pt>
                <c:pt idx="1946">
                  <c:v>130.65700000000001</c:v>
                </c:pt>
                <c:pt idx="1947">
                  <c:v>128.34299999999999</c:v>
                </c:pt>
                <c:pt idx="1948">
                  <c:v>129.905</c:v>
                </c:pt>
                <c:pt idx="1949">
                  <c:v>131.66499999999999</c:v>
                </c:pt>
                <c:pt idx="1950">
                  <c:v>130.70699999999999</c:v>
                </c:pt>
                <c:pt idx="1951">
                  <c:v>129.34</c:v>
                </c:pt>
                <c:pt idx="1952">
                  <c:v>131.77199999999999</c:v>
                </c:pt>
                <c:pt idx="1953">
                  <c:v>132.59299999999999</c:v>
                </c:pt>
                <c:pt idx="1954">
                  <c:v>133.149</c:v>
                </c:pt>
                <c:pt idx="1955">
                  <c:v>133.023</c:v>
                </c:pt>
                <c:pt idx="1956">
                  <c:v>134.946</c:v>
                </c:pt>
                <c:pt idx="1957">
                  <c:v>133.84200000000001</c:v>
                </c:pt>
                <c:pt idx="1958">
                  <c:v>133.15899999999999</c:v>
                </c:pt>
                <c:pt idx="1959">
                  <c:v>130.97900000000001</c:v>
                </c:pt>
                <c:pt idx="1960">
                  <c:v>131.958</c:v>
                </c:pt>
                <c:pt idx="1961">
                  <c:v>129.98500000000001</c:v>
                </c:pt>
                <c:pt idx="1962">
                  <c:v>130.815</c:v>
                </c:pt>
                <c:pt idx="1963">
                  <c:v>133.40199999999999</c:v>
                </c:pt>
                <c:pt idx="1964">
                  <c:v>134.155</c:v>
                </c:pt>
                <c:pt idx="1965">
                  <c:v>137.446</c:v>
                </c:pt>
                <c:pt idx="1966">
                  <c:v>136.15600000000001</c:v>
                </c:pt>
                <c:pt idx="1967">
                  <c:v>137.846</c:v>
                </c:pt>
                <c:pt idx="1968">
                  <c:v>136.666</c:v>
                </c:pt>
                <c:pt idx="1969">
                  <c:v>136.988</c:v>
                </c:pt>
                <c:pt idx="1970">
                  <c:v>137.78700000000001</c:v>
                </c:pt>
                <c:pt idx="1971">
                  <c:v>137.69900000000001</c:v>
                </c:pt>
                <c:pt idx="1972">
                  <c:v>137.31899999999999</c:v>
                </c:pt>
                <c:pt idx="1973">
                  <c:v>137.51499999999999</c:v>
                </c:pt>
                <c:pt idx="1974">
                  <c:v>139.14500000000001</c:v>
                </c:pt>
                <c:pt idx="1975">
                  <c:v>139.28200000000001</c:v>
                </c:pt>
                <c:pt idx="1976">
                  <c:v>140.18899999999999</c:v>
                </c:pt>
                <c:pt idx="1977">
                  <c:v>140.42500000000001</c:v>
                </c:pt>
                <c:pt idx="1978">
                  <c:v>141.13800000000001</c:v>
                </c:pt>
                <c:pt idx="1979">
                  <c:v>142.95599999999999</c:v>
                </c:pt>
                <c:pt idx="1980">
                  <c:v>143.316</c:v>
                </c:pt>
                <c:pt idx="1981">
                  <c:v>143.35499999999999</c:v>
                </c:pt>
                <c:pt idx="1982">
                  <c:v>143.11199999999999</c:v>
                </c:pt>
                <c:pt idx="1983">
                  <c:v>142.97499999999999</c:v>
                </c:pt>
                <c:pt idx="1984">
                  <c:v>143.083</c:v>
                </c:pt>
                <c:pt idx="1985">
                  <c:v>144.66499999999999</c:v>
                </c:pt>
                <c:pt idx="1986">
                  <c:v>145.416</c:v>
                </c:pt>
                <c:pt idx="1987">
                  <c:v>145.69</c:v>
                </c:pt>
                <c:pt idx="1988">
                  <c:v>144.81</c:v>
                </c:pt>
                <c:pt idx="1989">
                  <c:v>143.04400000000001</c:v>
                </c:pt>
                <c:pt idx="1990">
                  <c:v>142.80699999999999</c:v>
                </c:pt>
                <c:pt idx="1991">
                  <c:v>143.32499999999999</c:v>
                </c:pt>
                <c:pt idx="1992">
                  <c:v>143.404</c:v>
                </c:pt>
                <c:pt idx="1993">
                  <c:v>145.142</c:v>
                </c:pt>
                <c:pt idx="1994">
                  <c:v>144.79300000000001</c:v>
                </c:pt>
                <c:pt idx="1995">
                  <c:v>144.566</c:v>
                </c:pt>
                <c:pt idx="1996">
                  <c:v>145.10400000000001</c:v>
                </c:pt>
                <c:pt idx="1997">
                  <c:v>146.559</c:v>
                </c:pt>
                <c:pt idx="1998">
                  <c:v>147.809</c:v>
                </c:pt>
                <c:pt idx="1999">
                  <c:v>148.786</c:v>
                </c:pt>
                <c:pt idx="2000">
                  <c:v>147.96600000000001</c:v>
                </c:pt>
                <c:pt idx="2001">
                  <c:v>147.65199999999999</c:v>
                </c:pt>
                <c:pt idx="2002">
                  <c:v>148.953</c:v>
                </c:pt>
                <c:pt idx="2003">
                  <c:v>150.54400000000001</c:v>
                </c:pt>
                <c:pt idx="2004">
                  <c:v>150.54400000000001</c:v>
                </c:pt>
                <c:pt idx="2005">
                  <c:v>150.51400000000001</c:v>
                </c:pt>
                <c:pt idx="2006">
                  <c:v>151.77600000000001</c:v>
                </c:pt>
                <c:pt idx="2007">
                  <c:v>152.048</c:v>
                </c:pt>
                <c:pt idx="2008">
                  <c:v>150.72</c:v>
                </c:pt>
                <c:pt idx="2009">
                  <c:v>150.82900000000001</c:v>
                </c:pt>
                <c:pt idx="2010">
                  <c:v>153.613</c:v>
                </c:pt>
                <c:pt idx="2011">
                  <c:v>151.726</c:v>
                </c:pt>
                <c:pt idx="2012">
                  <c:v>152.11799999999999</c:v>
                </c:pt>
                <c:pt idx="2013">
                  <c:v>150.71</c:v>
                </c:pt>
                <c:pt idx="2014">
                  <c:v>153.142</c:v>
                </c:pt>
                <c:pt idx="2015">
                  <c:v>155.02799999999999</c:v>
                </c:pt>
                <c:pt idx="2016">
                  <c:v>154.304</c:v>
                </c:pt>
                <c:pt idx="2017">
                  <c:v>156.19</c:v>
                </c:pt>
                <c:pt idx="2018">
                  <c:v>155.06800000000001</c:v>
                </c:pt>
                <c:pt idx="2019">
                  <c:v>156.09299999999999</c:v>
                </c:pt>
                <c:pt idx="2020">
                  <c:v>158.934</c:v>
                </c:pt>
                <c:pt idx="2021">
                  <c:v>159.833</c:v>
                </c:pt>
                <c:pt idx="2022">
                  <c:v>159.25700000000001</c:v>
                </c:pt>
                <c:pt idx="2023">
                  <c:v>158.476</c:v>
                </c:pt>
                <c:pt idx="2024">
                  <c:v>159.471</c:v>
                </c:pt>
                <c:pt idx="2025">
                  <c:v>157.84</c:v>
                </c:pt>
                <c:pt idx="2026">
                  <c:v>155.21299999999999</c:v>
                </c:pt>
                <c:pt idx="2027">
                  <c:v>158.251</c:v>
                </c:pt>
                <c:pt idx="2028">
                  <c:v>160.72200000000001</c:v>
                </c:pt>
                <c:pt idx="2029">
                  <c:v>165.26499999999999</c:v>
                </c:pt>
                <c:pt idx="2030">
                  <c:v>162.82300000000001</c:v>
                </c:pt>
                <c:pt idx="2031">
                  <c:v>166.79599999999999</c:v>
                </c:pt>
                <c:pt idx="2032">
                  <c:v>172.286</c:v>
                </c:pt>
                <c:pt idx="2033">
                  <c:v>172.071</c:v>
                </c:pt>
                <c:pt idx="2034">
                  <c:v>175.62700000000001</c:v>
                </c:pt>
                <c:pt idx="2035">
                  <c:v>175.88</c:v>
                </c:pt>
                <c:pt idx="2036">
                  <c:v>180.49100000000001</c:v>
                </c:pt>
                <c:pt idx="2037">
                  <c:v>176.41800000000001</c:v>
                </c:pt>
                <c:pt idx="2038">
                  <c:v>176.68100000000001</c:v>
                </c:pt>
                <c:pt idx="2039">
                  <c:v>175.70500000000001</c:v>
                </c:pt>
                <c:pt idx="2040">
                  <c:v>177.29599999999999</c:v>
                </c:pt>
                <c:pt idx="2041">
                  <c:v>179.066</c:v>
                </c:pt>
                <c:pt idx="2042">
                  <c:v>179.613</c:v>
                </c:pt>
                <c:pt idx="2043">
                  <c:v>176.887</c:v>
                </c:pt>
                <c:pt idx="2044">
                  <c:v>171.28</c:v>
                </c:pt>
                <c:pt idx="2045">
                  <c:v>163.90700000000001</c:v>
                </c:pt>
                <c:pt idx="2046">
                  <c:v>161.19900000000001</c:v>
                </c:pt>
                <c:pt idx="2047">
                  <c:v>163.20400000000001</c:v>
                </c:pt>
                <c:pt idx="2048">
                  <c:v>151.71600000000001</c:v>
                </c:pt>
                <c:pt idx="2049">
                  <c:v>155.37799999999999</c:v>
                </c:pt>
                <c:pt idx="2050">
                  <c:v>165.72200000000001</c:v>
                </c:pt>
                <c:pt idx="2051">
                  <c:v>157.762</c:v>
                </c:pt>
                <c:pt idx="2052">
                  <c:v>163.57499999999999</c:v>
                </c:pt>
                <c:pt idx="2053">
                  <c:v>159.471</c:v>
                </c:pt>
                <c:pt idx="2054">
                  <c:v>154.958</c:v>
                </c:pt>
                <c:pt idx="2055">
                  <c:v>144.46700000000001</c:v>
                </c:pt>
                <c:pt idx="2056">
                  <c:v>154.32400000000001</c:v>
                </c:pt>
                <c:pt idx="2057">
                  <c:v>147.34</c:v>
                </c:pt>
                <c:pt idx="2058">
                  <c:v>133.37299999999999</c:v>
                </c:pt>
                <c:pt idx="2059">
                  <c:v>152.34100000000001</c:v>
                </c:pt>
                <c:pt idx="2060">
                  <c:v>129.875</c:v>
                </c:pt>
                <c:pt idx="2061">
                  <c:v>140.583</c:v>
                </c:pt>
                <c:pt idx="2062">
                  <c:v>134.66300000000001</c:v>
                </c:pt>
                <c:pt idx="2063">
                  <c:v>136.858</c:v>
                </c:pt>
                <c:pt idx="2064">
                  <c:v>131.732</c:v>
                </c:pt>
                <c:pt idx="2065">
                  <c:v>130.41300000000001</c:v>
                </c:pt>
                <c:pt idx="2066">
                  <c:v>142.261</c:v>
                </c:pt>
                <c:pt idx="2067">
                  <c:v>140.91399999999999</c:v>
                </c:pt>
                <c:pt idx="2068">
                  <c:v>149.715</c:v>
                </c:pt>
                <c:pt idx="2069">
                  <c:v>143.57900000000001</c:v>
                </c:pt>
                <c:pt idx="2070">
                  <c:v>153.65100000000001</c:v>
                </c:pt>
                <c:pt idx="2071">
                  <c:v>151.25800000000001</c:v>
                </c:pt>
                <c:pt idx="2072">
                  <c:v>145.876</c:v>
                </c:pt>
                <c:pt idx="2073">
                  <c:v>148.923</c:v>
                </c:pt>
                <c:pt idx="2074">
                  <c:v>147.53700000000001</c:v>
                </c:pt>
                <c:pt idx="2075">
                  <c:v>158.495</c:v>
                </c:pt>
                <c:pt idx="2076">
                  <c:v>156.82499999999999</c:v>
                </c:pt>
                <c:pt idx="2077">
                  <c:v>158.358</c:v>
                </c:pt>
                <c:pt idx="2078">
                  <c:v>158.36699999999999</c:v>
                </c:pt>
                <c:pt idx="2079">
                  <c:v>158.72900000000001</c:v>
                </c:pt>
                <c:pt idx="2080">
                  <c:v>166.59299999999999</c:v>
                </c:pt>
                <c:pt idx="2081">
                  <c:v>164.85300000000001</c:v>
                </c:pt>
                <c:pt idx="2082">
                  <c:v>169.80600000000001</c:v>
                </c:pt>
                <c:pt idx="2083">
                  <c:v>171.28899999999999</c:v>
                </c:pt>
                <c:pt idx="2084">
                  <c:v>167.893</c:v>
                </c:pt>
                <c:pt idx="2085">
                  <c:v>160.95699999999999</c:v>
                </c:pt>
                <c:pt idx="2086">
                  <c:v>166.416</c:v>
                </c:pt>
                <c:pt idx="2087">
                  <c:v>164.404</c:v>
                </c:pt>
                <c:pt idx="2088">
                  <c:v>167.42400000000001</c:v>
                </c:pt>
                <c:pt idx="2089">
                  <c:v>166.93600000000001</c:v>
                </c:pt>
                <c:pt idx="2090">
                  <c:v>162.86099999999999</c:v>
                </c:pt>
                <c:pt idx="2091">
                  <c:v>170.18799999999999</c:v>
                </c:pt>
                <c:pt idx="2092">
                  <c:v>171.87799999999999</c:v>
                </c:pt>
                <c:pt idx="2093">
                  <c:v>167.44399999999999</c:v>
                </c:pt>
                <c:pt idx="2094">
                  <c:v>171.524</c:v>
                </c:pt>
                <c:pt idx="2095">
                  <c:v>173.37100000000001</c:v>
                </c:pt>
                <c:pt idx="2096">
                  <c:v>175.071</c:v>
                </c:pt>
                <c:pt idx="2097">
                  <c:v>176.08799999999999</c:v>
                </c:pt>
                <c:pt idx="2098">
                  <c:v>177.14099999999999</c:v>
                </c:pt>
                <c:pt idx="2099">
                  <c:v>179.08600000000001</c:v>
                </c:pt>
                <c:pt idx="2100">
                  <c:v>175.041</c:v>
                </c:pt>
                <c:pt idx="2101">
                  <c:v>172.404</c:v>
                </c:pt>
                <c:pt idx="2102">
                  <c:v>173.14500000000001</c:v>
                </c:pt>
                <c:pt idx="2103">
                  <c:v>175.65700000000001</c:v>
                </c:pt>
                <c:pt idx="2104">
                  <c:v>177.35599999999999</c:v>
                </c:pt>
                <c:pt idx="2105">
                  <c:v>176.11600000000001</c:v>
                </c:pt>
                <c:pt idx="2106">
                  <c:v>178.56899999999999</c:v>
                </c:pt>
                <c:pt idx="2107">
                  <c:v>176.41800000000001</c:v>
                </c:pt>
                <c:pt idx="2108">
                  <c:v>176.49600000000001</c:v>
                </c:pt>
                <c:pt idx="2109">
                  <c:v>174.62200000000001</c:v>
                </c:pt>
                <c:pt idx="2110">
                  <c:v>174.85400000000001</c:v>
                </c:pt>
                <c:pt idx="2111">
                  <c:v>174.47499999999999</c:v>
                </c:pt>
                <c:pt idx="2112">
                  <c:v>176.24199999999999</c:v>
                </c:pt>
                <c:pt idx="2113">
                  <c:v>175.83099999999999</c:v>
                </c:pt>
                <c:pt idx="2114">
                  <c:v>177.84399999999999</c:v>
                </c:pt>
                <c:pt idx="2115">
                  <c:v>178.28200000000001</c:v>
                </c:pt>
                <c:pt idx="2116">
                  <c:v>175.91800000000001</c:v>
                </c:pt>
                <c:pt idx="2117">
                  <c:v>180.042</c:v>
                </c:pt>
                <c:pt idx="2118">
                  <c:v>181.16499999999999</c:v>
                </c:pt>
                <c:pt idx="2119">
                  <c:v>182.55199999999999</c:v>
                </c:pt>
                <c:pt idx="2120">
                  <c:v>189.32</c:v>
                </c:pt>
                <c:pt idx="2121">
                  <c:v>179.13300000000001</c:v>
                </c:pt>
                <c:pt idx="2122">
                  <c:v>180.559</c:v>
                </c:pt>
                <c:pt idx="2123">
                  <c:v>181.72200000000001</c:v>
                </c:pt>
                <c:pt idx="2124">
                  <c:v>186.17500000000001</c:v>
                </c:pt>
                <c:pt idx="2125">
                  <c:v>186.81299999999999</c:v>
                </c:pt>
                <c:pt idx="2126">
                  <c:v>188.821</c:v>
                </c:pt>
                <c:pt idx="2127">
                  <c:v>187.679</c:v>
                </c:pt>
                <c:pt idx="2128">
                  <c:v>192.90600000000001</c:v>
                </c:pt>
                <c:pt idx="2129">
                  <c:v>194.19499999999999</c:v>
                </c:pt>
                <c:pt idx="2130">
                  <c:v>190.27600000000001</c:v>
                </c:pt>
                <c:pt idx="2131">
                  <c:v>192.68100000000001</c:v>
                </c:pt>
                <c:pt idx="2132">
                  <c:v>188.83099999999999</c:v>
                </c:pt>
                <c:pt idx="2133">
                  <c:v>190.85300000000001</c:v>
                </c:pt>
                <c:pt idx="2134">
                  <c:v>195.71899999999999</c:v>
                </c:pt>
                <c:pt idx="2135">
                  <c:v>196.87100000000001</c:v>
                </c:pt>
                <c:pt idx="2136">
                  <c:v>198.375</c:v>
                </c:pt>
                <c:pt idx="2137">
                  <c:v>202.64400000000001</c:v>
                </c:pt>
                <c:pt idx="2138">
                  <c:v>200.28899999999999</c:v>
                </c:pt>
                <c:pt idx="2139">
                  <c:v>204.702</c:v>
                </c:pt>
                <c:pt idx="2140">
                  <c:v>206.11199999999999</c:v>
                </c:pt>
                <c:pt idx="2141">
                  <c:v>205.48599999999999</c:v>
                </c:pt>
                <c:pt idx="2142">
                  <c:v>199.166</c:v>
                </c:pt>
                <c:pt idx="2143">
                  <c:v>200.386</c:v>
                </c:pt>
                <c:pt idx="2144">
                  <c:v>200.08600000000001</c:v>
                </c:pt>
                <c:pt idx="2145">
                  <c:v>196.108</c:v>
                </c:pt>
                <c:pt idx="2146">
                  <c:v>195.13200000000001</c:v>
                </c:pt>
                <c:pt idx="2147">
                  <c:v>203.524</c:v>
                </c:pt>
                <c:pt idx="2148">
                  <c:v>200.75800000000001</c:v>
                </c:pt>
                <c:pt idx="2149">
                  <c:v>203.66900000000001</c:v>
                </c:pt>
                <c:pt idx="2150">
                  <c:v>194.80099999999999</c:v>
                </c:pt>
                <c:pt idx="2151">
                  <c:v>193.60599999999999</c:v>
                </c:pt>
                <c:pt idx="2152">
                  <c:v>196.04</c:v>
                </c:pt>
                <c:pt idx="2153">
                  <c:v>194.303</c:v>
                </c:pt>
                <c:pt idx="2154">
                  <c:v>196.24700000000001</c:v>
                </c:pt>
                <c:pt idx="2155">
                  <c:v>196.089</c:v>
                </c:pt>
                <c:pt idx="2156">
                  <c:v>197.173</c:v>
                </c:pt>
                <c:pt idx="2157">
                  <c:v>208.25899999999999</c:v>
                </c:pt>
                <c:pt idx="2158">
                  <c:v>205.13499999999999</c:v>
                </c:pt>
                <c:pt idx="2159">
                  <c:v>204.81100000000001</c:v>
                </c:pt>
                <c:pt idx="2160">
                  <c:v>208.09299999999999</c:v>
                </c:pt>
                <c:pt idx="2161">
                  <c:v>204.363</c:v>
                </c:pt>
                <c:pt idx="2162">
                  <c:v>200.28899999999999</c:v>
                </c:pt>
                <c:pt idx="2163">
                  <c:v>195.601</c:v>
                </c:pt>
                <c:pt idx="2164">
                  <c:v>201.18899999999999</c:v>
                </c:pt>
                <c:pt idx="2165">
                  <c:v>200.72900000000001</c:v>
                </c:pt>
                <c:pt idx="2166">
                  <c:v>200.905</c:v>
                </c:pt>
                <c:pt idx="2167">
                  <c:v>202.233</c:v>
                </c:pt>
                <c:pt idx="2168">
                  <c:v>203.41499999999999</c:v>
                </c:pt>
                <c:pt idx="2169">
                  <c:v>202.166</c:v>
                </c:pt>
                <c:pt idx="2170">
                  <c:v>206.87100000000001</c:v>
                </c:pt>
                <c:pt idx="2171">
                  <c:v>205.36799999999999</c:v>
                </c:pt>
                <c:pt idx="2172">
                  <c:v>206.00399999999999</c:v>
                </c:pt>
                <c:pt idx="2173">
                  <c:v>208.68799999999999</c:v>
                </c:pt>
                <c:pt idx="2174">
                  <c:v>213.202</c:v>
                </c:pt>
                <c:pt idx="2175">
                  <c:v>218.44499999999999</c:v>
                </c:pt>
                <c:pt idx="2176">
                  <c:v>220.703</c:v>
                </c:pt>
                <c:pt idx="2177">
                  <c:v>217.42099999999999</c:v>
                </c:pt>
                <c:pt idx="2178">
                  <c:v>219.12100000000001</c:v>
                </c:pt>
                <c:pt idx="2179">
                  <c:v>223.34200000000001</c:v>
                </c:pt>
                <c:pt idx="2180">
                  <c:v>209.50200000000001</c:v>
                </c:pt>
                <c:pt idx="2181">
                  <c:v>206.55099999999999</c:v>
                </c:pt>
                <c:pt idx="2182">
                  <c:v>195.39500000000001</c:v>
                </c:pt>
                <c:pt idx="2183">
                  <c:v>203.71600000000001</c:v>
                </c:pt>
                <c:pt idx="2184">
                  <c:v>197.995</c:v>
                </c:pt>
                <c:pt idx="2185">
                  <c:v>196.696</c:v>
                </c:pt>
                <c:pt idx="2186">
                  <c:v>198.03399999999999</c:v>
                </c:pt>
                <c:pt idx="2187">
                  <c:v>201.267</c:v>
                </c:pt>
                <c:pt idx="2188">
                  <c:v>197.68100000000001</c:v>
                </c:pt>
                <c:pt idx="2189">
                  <c:v>195.62100000000001</c:v>
                </c:pt>
                <c:pt idx="2190">
                  <c:v>193.19800000000001</c:v>
                </c:pt>
                <c:pt idx="2191">
                  <c:v>195.279</c:v>
                </c:pt>
                <c:pt idx="2192">
                  <c:v>199.96700000000001</c:v>
                </c:pt>
                <c:pt idx="2193">
                  <c:v>193.39500000000001</c:v>
                </c:pt>
                <c:pt idx="2194">
                  <c:v>195.88399999999999</c:v>
                </c:pt>
                <c:pt idx="2195">
                  <c:v>200.357</c:v>
                </c:pt>
                <c:pt idx="2196">
                  <c:v>201.91</c:v>
                </c:pt>
                <c:pt idx="2197">
                  <c:v>199.81100000000001</c:v>
                </c:pt>
                <c:pt idx="2198">
                  <c:v>202.78100000000001</c:v>
                </c:pt>
                <c:pt idx="2199">
                  <c:v>204.84100000000001</c:v>
                </c:pt>
                <c:pt idx="2200">
                  <c:v>198.79400000000001</c:v>
                </c:pt>
                <c:pt idx="2201">
                  <c:v>202.828</c:v>
                </c:pt>
                <c:pt idx="2202">
                  <c:v>198.52199999999999</c:v>
                </c:pt>
                <c:pt idx="2203">
                  <c:v>202.29300000000001</c:v>
                </c:pt>
                <c:pt idx="2204">
                  <c:v>203.023</c:v>
                </c:pt>
                <c:pt idx="2205">
                  <c:v>208.07499999999999</c:v>
                </c:pt>
                <c:pt idx="2206">
                  <c:v>213.44800000000001</c:v>
                </c:pt>
                <c:pt idx="2207">
                  <c:v>214.87299999999999</c:v>
                </c:pt>
                <c:pt idx="2208">
                  <c:v>212.917</c:v>
                </c:pt>
                <c:pt idx="2209">
                  <c:v>211.77600000000001</c:v>
                </c:pt>
                <c:pt idx="2210">
                  <c:v>211.77600000000001</c:v>
                </c:pt>
                <c:pt idx="2211">
                  <c:v>206.52199999999999</c:v>
                </c:pt>
                <c:pt idx="2212">
                  <c:v>206.94</c:v>
                </c:pt>
                <c:pt idx="2213">
                  <c:v>207.08699999999999</c:v>
                </c:pt>
                <c:pt idx="2214">
                  <c:v>207.17599999999999</c:v>
                </c:pt>
                <c:pt idx="2215">
                  <c:v>208.46600000000001</c:v>
                </c:pt>
                <c:pt idx="2216">
                  <c:v>202.536</c:v>
                </c:pt>
                <c:pt idx="2217">
                  <c:v>205.584</c:v>
                </c:pt>
                <c:pt idx="2218">
                  <c:v>195.41499999999999</c:v>
                </c:pt>
                <c:pt idx="2219">
                  <c:v>197.37</c:v>
                </c:pt>
                <c:pt idx="2220">
                  <c:v>195.21100000000001</c:v>
                </c:pt>
                <c:pt idx="2221">
                  <c:v>195.07499999999999</c:v>
                </c:pt>
                <c:pt idx="2222">
                  <c:v>199.03200000000001</c:v>
                </c:pt>
                <c:pt idx="2223">
                  <c:v>208.61</c:v>
                </c:pt>
                <c:pt idx="2224">
                  <c:v>215.28200000000001</c:v>
                </c:pt>
                <c:pt idx="2225">
                  <c:v>215.70099999999999</c:v>
                </c:pt>
                <c:pt idx="2226">
                  <c:v>210.54400000000001</c:v>
                </c:pt>
                <c:pt idx="2227">
                  <c:v>203.44499999999999</c:v>
                </c:pt>
                <c:pt idx="2228">
                  <c:v>208.767</c:v>
                </c:pt>
                <c:pt idx="2229">
                  <c:v>207.714</c:v>
                </c:pt>
                <c:pt idx="2230">
                  <c:v>208.727</c:v>
                </c:pt>
                <c:pt idx="2231">
                  <c:v>209.43299999999999</c:v>
                </c:pt>
                <c:pt idx="2232">
                  <c:v>206.75700000000001</c:v>
                </c:pt>
                <c:pt idx="2233">
                  <c:v>204.03399999999999</c:v>
                </c:pt>
                <c:pt idx="2234">
                  <c:v>205.33</c:v>
                </c:pt>
                <c:pt idx="2235">
                  <c:v>203.376</c:v>
                </c:pt>
                <c:pt idx="2236">
                  <c:v>203.102</c:v>
                </c:pt>
                <c:pt idx="2237">
                  <c:v>206.71700000000001</c:v>
                </c:pt>
                <c:pt idx="2238">
                  <c:v>206.727</c:v>
                </c:pt>
                <c:pt idx="2239">
                  <c:v>208.05500000000001</c:v>
                </c:pt>
                <c:pt idx="2240">
                  <c:v>206.92099999999999</c:v>
                </c:pt>
                <c:pt idx="2241">
                  <c:v>208.99299999999999</c:v>
                </c:pt>
                <c:pt idx="2242">
                  <c:v>208.18199999999999</c:v>
                </c:pt>
                <c:pt idx="2243">
                  <c:v>207.08699999999999</c:v>
                </c:pt>
                <c:pt idx="2244">
                  <c:v>207.20500000000001</c:v>
                </c:pt>
                <c:pt idx="2245">
                  <c:v>207.136</c:v>
                </c:pt>
                <c:pt idx="2246">
                  <c:v>208.797</c:v>
                </c:pt>
                <c:pt idx="2247">
                  <c:v>204.732</c:v>
                </c:pt>
                <c:pt idx="2248">
                  <c:v>203.50399999999999</c:v>
                </c:pt>
                <c:pt idx="2249">
                  <c:v>206.131</c:v>
                </c:pt>
                <c:pt idx="2250">
                  <c:v>207.048</c:v>
                </c:pt>
                <c:pt idx="2251">
                  <c:v>206.98</c:v>
                </c:pt>
                <c:pt idx="2252">
                  <c:v>211.96199999999999</c:v>
                </c:pt>
                <c:pt idx="2253">
                  <c:v>212.09700000000001</c:v>
                </c:pt>
                <c:pt idx="2254">
                  <c:v>211.286</c:v>
                </c:pt>
                <c:pt idx="2255">
                  <c:v>215.16399999999999</c:v>
                </c:pt>
                <c:pt idx="2256">
                  <c:v>216.46299999999999</c:v>
                </c:pt>
                <c:pt idx="2257">
                  <c:v>213.64099999999999</c:v>
                </c:pt>
                <c:pt idx="2258">
                  <c:v>215.322</c:v>
                </c:pt>
                <c:pt idx="2259">
                  <c:v>217.441</c:v>
                </c:pt>
                <c:pt idx="2260">
                  <c:v>216.65</c:v>
                </c:pt>
                <c:pt idx="2261">
                  <c:v>214.286</c:v>
                </c:pt>
                <c:pt idx="2262">
                  <c:v>215</c:v>
                </c:pt>
                <c:pt idx="2263">
                  <c:v>210.429</c:v>
                </c:pt>
                <c:pt idx="2264">
                  <c:v>210.62299999999999</c:v>
                </c:pt>
                <c:pt idx="2265">
                  <c:v>205.161</c:v>
                </c:pt>
                <c:pt idx="2266">
                  <c:v>210.99600000000001</c:v>
                </c:pt>
                <c:pt idx="2267">
                  <c:v>212.29400000000001</c:v>
                </c:pt>
                <c:pt idx="2268">
                  <c:v>210.232</c:v>
                </c:pt>
                <c:pt idx="2269">
                  <c:v>207.762</c:v>
                </c:pt>
                <c:pt idx="2270">
                  <c:v>209.119</c:v>
                </c:pt>
                <c:pt idx="2271">
                  <c:v>205.89599999999999</c:v>
                </c:pt>
                <c:pt idx="2272">
                  <c:v>205.54499999999999</c:v>
                </c:pt>
                <c:pt idx="2273">
                  <c:v>209.21600000000001</c:v>
                </c:pt>
                <c:pt idx="2274">
                  <c:v>216.83500000000001</c:v>
                </c:pt>
                <c:pt idx="2275">
                  <c:v>217.45099999999999</c:v>
                </c:pt>
                <c:pt idx="2276">
                  <c:v>218.40700000000001</c:v>
                </c:pt>
                <c:pt idx="2277">
                  <c:v>221.85499999999999</c:v>
                </c:pt>
                <c:pt idx="2278">
                  <c:v>224.58</c:v>
                </c:pt>
                <c:pt idx="2279">
                  <c:v>225.11600000000001</c:v>
                </c:pt>
                <c:pt idx="2280">
                  <c:v>230.959</c:v>
                </c:pt>
                <c:pt idx="2281">
                  <c:v>224.23</c:v>
                </c:pt>
                <c:pt idx="2282">
                  <c:v>231.65299999999999</c:v>
                </c:pt>
                <c:pt idx="2283">
                  <c:v>231.51599999999999</c:v>
                </c:pt>
                <c:pt idx="2284">
                  <c:v>234.887</c:v>
                </c:pt>
                <c:pt idx="2285">
                  <c:v>233.92</c:v>
                </c:pt>
                <c:pt idx="2286">
                  <c:v>234.10400000000001</c:v>
                </c:pt>
                <c:pt idx="2287">
                  <c:v>234.369</c:v>
                </c:pt>
                <c:pt idx="2288">
                  <c:v>235.636</c:v>
                </c:pt>
                <c:pt idx="2289">
                  <c:v>234.71</c:v>
                </c:pt>
                <c:pt idx="2290">
                  <c:v>236.33199999999999</c:v>
                </c:pt>
                <c:pt idx="2291">
                  <c:v>236.821</c:v>
                </c:pt>
                <c:pt idx="2292">
                  <c:v>235.56899999999999</c:v>
                </c:pt>
                <c:pt idx="2293">
                  <c:v>236.59399999999999</c:v>
                </c:pt>
                <c:pt idx="2294">
                  <c:v>236.203</c:v>
                </c:pt>
                <c:pt idx="2295">
                  <c:v>233.46</c:v>
                </c:pt>
                <c:pt idx="2296">
                  <c:v>227.197</c:v>
                </c:pt>
                <c:pt idx="2297">
                  <c:v>226.00800000000001</c:v>
                </c:pt>
                <c:pt idx="2298">
                  <c:v>227.23599999999999</c:v>
                </c:pt>
                <c:pt idx="2299">
                  <c:v>221.845</c:v>
                </c:pt>
                <c:pt idx="2300">
                  <c:v>225.136</c:v>
                </c:pt>
                <c:pt idx="2301">
                  <c:v>229.55099999999999</c:v>
                </c:pt>
                <c:pt idx="2302">
                  <c:v>226.57499999999999</c:v>
                </c:pt>
                <c:pt idx="2303">
                  <c:v>220.47800000000001</c:v>
                </c:pt>
                <c:pt idx="2304">
                  <c:v>219.666</c:v>
                </c:pt>
                <c:pt idx="2305">
                  <c:v>224.386</c:v>
                </c:pt>
                <c:pt idx="2306">
                  <c:v>220.31200000000001</c:v>
                </c:pt>
                <c:pt idx="2307">
                  <c:v>226.48599999999999</c:v>
                </c:pt>
                <c:pt idx="2308">
                  <c:v>225.17599999999999</c:v>
                </c:pt>
                <c:pt idx="2309">
                  <c:v>229.738</c:v>
                </c:pt>
                <c:pt idx="2310">
                  <c:v>228.41</c:v>
                </c:pt>
                <c:pt idx="2311">
                  <c:v>227.49199999999999</c:v>
                </c:pt>
                <c:pt idx="2312">
                  <c:v>230.30500000000001</c:v>
                </c:pt>
                <c:pt idx="2313">
                  <c:v>229.649</c:v>
                </c:pt>
                <c:pt idx="2314">
                  <c:v>223.535</c:v>
                </c:pt>
                <c:pt idx="2315">
                  <c:v>223.17400000000001</c:v>
                </c:pt>
                <c:pt idx="2316">
                  <c:v>228.642</c:v>
                </c:pt>
                <c:pt idx="2317">
                  <c:v>230.17599999999999</c:v>
                </c:pt>
                <c:pt idx="2318">
                  <c:v>228.126</c:v>
                </c:pt>
                <c:pt idx="2319">
                  <c:v>225.096</c:v>
                </c:pt>
                <c:pt idx="2320">
                  <c:v>229.11199999999999</c:v>
                </c:pt>
                <c:pt idx="2321">
                  <c:v>227.911</c:v>
                </c:pt>
                <c:pt idx="2322">
                  <c:v>224.63</c:v>
                </c:pt>
                <c:pt idx="2323">
                  <c:v>228.43</c:v>
                </c:pt>
                <c:pt idx="2324">
                  <c:v>234.797</c:v>
                </c:pt>
                <c:pt idx="2325">
                  <c:v>241.322</c:v>
                </c:pt>
                <c:pt idx="2326">
                  <c:v>240.13900000000001</c:v>
                </c:pt>
                <c:pt idx="2327">
                  <c:v>242.114</c:v>
                </c:pt>
                <c:pt idx="2328">
                  <c:v>245.36600000000001</c:v>
                </c:pt>
                <c:pt idx="2329">
                  <c:v>247.876</c:v>
                </c:pt>
                <c:pt idx="2330">
                  <c:v>247.935</c:v>
                </c:pt>
                <c:pt idx="2331">
                  <c:v>250.43600000000001</c:v>
                </c:pt>
                <c:pt idx="2332">
                  <c:v>247.63200000000001</c:v>
                </c:pt>
                <c:pt idx="2333">
                  <c:v>251.423</c:v>
                </c:pt>
                <c:pt idx="2334">
                  <c:v>252.62100000000001</c:v>
                </c:pt>
                <c:pt idx="2335">
                  <c:v>250.679</c:v>
                </c:pt>
                <c:pt idx="2336">
                  <c:v>250.221</c:v>
                </c:pt>
                <c:pt idx="2337">
                  <c:v>252.46799999999999</c:v>
                </c:pt>
                <c:pt idx="2338">
                  <c:v>249.155</c:v>
                </c:pt>
                <c:pt idx="2339">
                  <c:v>253.01300000000001</c:v>
                </c:pt>
                <c:pt idx="2340">
                  <c:v>253.39500000000001</c:v>
                </c:pt>
                <c:pt idx="2341">
                  <c:v>253.80500000000001</c:v>
                </c:pt>
                <c:pt idx="2342">
                  <c:v>246.626</c:v>
                </c:pt>
                <c:pt idx="2343">
                  <c:v>244.643</c:v>
                </c:pt>
                <c:pt idx="2344">
                  <c:v>244.322</c:v>
                </c:pt>
                <c:pt idx="2345">
                  <c:v>244.00700000000001</c:v>
                </c:pt>
                <c:pt idx="2346">
                  <c:v>240.071</c:v>
                </c:pt>
                <c:pt idx="2347">
                  <c:v>238.78399999999999</c:v>
                </c:pt>
                <c:pt idx="2348">
                  <c:v>241.94800000000001</c:v>
                </c:pt>
                <c:pt idx="2349">
                  <c:v>244.59299999999999</c:v>
                </c:pt>
                <c:pt idx="2350">
                  <c:v>239.476</c:v>
                </c:pt>
                <c:pt idx="2351">
                  <c:v>238.547</c:v>
                </c:pt>
                <c:pt idx="2352">
                  <c:v>231.55600000000001</c:v>
                </c:pt>
                <c:pt idx="2353">
                  <c:v>235.464</c:v>
                </c:pt>
                <c:pt idx="2354">
                  <c:v>240.423</c:v>
                </c:pt>
                <c:pt idx="2355">
                  <c:v>237.54300000000001</c:v>
                </c:pt>
                <c:pt idx="2356">
                  <c:v>235.511</c:v>
                </c:pt>
                <c:pt idx="2357">
                  <c:v>236.096</c:v>
                </c:pt>
                <c:pt idx="2358">
                  <c:v>239.35</c:v>
                </c:pt>
                <c:pt idx="2359">
                  <c:v>238.078</c:v>
                </c:pt>
                <c:pt idx="2360">
                  <c:v>243.52</c:v>
                </c:pt>
                <c:pt idx="2361">
                  <c:v>244.43700000000001</c:v>
                </c:pt>
                <c:pt idx="2362">
                  <c:v>244.214</c:v>
                </c:pt>
                <c:pt idx="2363">
                  <c:v>242.10499999999999</c:v>
                </c:pt>
                <c:pt idx="2364">
                  <c:v>242.45500000000001</c:v>
                </c:pt>
                <c:pt idx="2365">
                  <c:v>240.24799999999999</c:v>
                </c:pt>
                <c:pt idx="2366">
                  <c:v>240.149</c:v>
                </c:pt>
                <c:pt idx="2367">
                  <c:v>238.596</c:v>
                </c:pt>
                <c:pt idx="2368">
                  <c:v>243.529</c:v>
                </c:pt>
                <c:pt idx="2369">
                  <c:v>246.48099999999999</c:v>
                </c:pt>
                <c:pt idx="2370">
                  <c:v>245.268</c:v>
                </c:pt>
                <c:pt idx="2371">
                  <c:v>246.26400000000001</c:v>
                </c:pt>
                <c:pt idx="2372">
                  <c:v>249.80099999999999</c:v>
                </c:pt>
                <c:pt idx="2373">
                  <c:v>250.43600000000001</c:v>
                </c:pt>
                <c:pt idx="2374">
                  <c:v>252.38</c:v>
                </c:pt>
                <c:pt idx="2375">
                  <c:v>250.89400000000001</c:v>
                </c:pt>
                <c:pt idx="2376">
                  <c:v>249.93600000000001</c:v>
                </c:pt>
                <c:pt idx="2377">
                  <c:v>253.346</c:v>
                </c:pt>
                <c:pt idx="2378">
                  <c:v>251.93100000000001</c:v>
                </c:pt>
                <c:pt idx="2379">
                  <c:v>255.03399999999999</c:v>
                </c:pt>
                <c:pt idx="2380">
                  <c:v>257.82900000000001</c:v>
                </c:pt>
                <c:pt idx="2381">
                  <c:v>257.60399999999998</c:v>
                </c:pt>
                <c:pt idx="2382">
                  <c:v>258.97000000000003</c:v>
                </c:pt>
                <c:pt idx="2383">
                  <c:v>257.36</c:v>
                </c:pt>
                <c:pt idx="2384">
                  <c:v>260.95499999999998</c:v>
                </c:pt>
                <c:pt idx="2385">
                  <c:v>263.553</c:v>
                </c:pt>
                <c:pt idx="2386">
                  <c:v>263.06400000000002</c:v>
                </c:pt>
                <c:pt idx="2387">
                  <c:v>263.73899999999998</c:v>
                </c:pt>
                <c:pt idx="2388">
                  <c:v>269.62</c:v>
                </c:pt>
                <c:pt idx="2389">
                  <c:v>269.63</c:v>
                </c:pt>
                <c:pt idx="2390">
                  <c:v>271.83499999999998</c:v>
                </c:pt>
                <c:pt idx="2391">
                  <c:v>269.392</c:v>
                </c:pt>
                <c:pt idx="2392">
                  <c:v>269.90199999999999</c:v>
                </c:pt>
                <c:pt idx="2393">
                  <c:v>269.29399999999998</c:v>
                </c:pt>
                <c:pt idx="2394">
                  <c:v>272.85199999999998</c:v>
                </c:pt>
                <c:pt idx="2395">
                  <c:v>274.34500000000003</c:v>
                </c:pt>
                <c:pt idx="2396">
                  <c:v>272.90100000000001</c:v>
                </c:pt>
                <c:pt idx="2397">
                  <c:v>272.62599999999998</c:v>
                </c:pt>
                <c:pt idx="2398">
                  <c:v>269.00299999999999</c:v>
                </c:pt>
                <c:pt idx="2399">
                  <c:v>271.24900000000002</c:v>
                </c:pt>
                <c:pt idx="2400">
                  <c:v>273.26100000000002</c:v>
                </c:pt>
                <c:pt idx="2401">
                  <c:v>277.86099999999999</c:v>
                </c:pt>
                <c:pt idx="2402">
                  <c:v>281.291</c:v>
                </c:pt>
                <c:pt idx="2403">
                  <c:v>280.69400000000002</c:v>
                </c:pt>
                <c:pt idx="2404">
                  <c:v>278.25200000000001</c:v>
                </c:pt>
                <c:pt idx="2405">
                  <c:v>277.94099999999997</c:v>
                </c:pt>
                <c:pt idx="2406">
                  <c:v>278.21300000000002</c:v>
                </c:pt>
                <c:pt idx="2407">
                  <c:v>276.66800000000001</c:v>
                </c:pt>
                <c:pt idx="2408">
                  <c:v>276.58199999999999</c:v>
                </c:pt>
                <c:pt idx="2409">
                  <c:v>278.81799999999998</c:v>
                </c:pt>
                <c:pt idx="2410">
                  <c:v>278.22300000000001</c:v>
                </c:pt>
                <c:pt idx="2411">
                  <c:v>281.14299999999997</c:v>
                </c:pt>
                <c:pt idx="2412">
                  <c:v>281.08300000000003</c:v>
                </c:pt>
                <c:pt idx="2413">
                  <c:v>279.99099999999999</c:v>
                </c:pt>
                <c:pt idx="2414">
                  <c:v>278.154</c:v>
                </c:pt>
                <c:pt idx="2415">
                  <c:v>278.65199999999999</c:v>
                </c:pt>
                <c:pt idx="2416">
                  <c:v>281.42700000000002</c:v>
                </c:pt>
                <c:pt idx="2417">
                  <c:v>284.38499999999999</c:v>
                </c:pt>
                <c:pt idx="2418">
                  <c:v>286.07600000000002</c:v>
                </c:pt>
                <c:pt idx="2419">
                  <c:v>284.61200000000002</c:v>
                </c:pt>
                <c:pt idx="2420">
                  <c:v>282.863</c:v>
                </c:pt>
                <c:pt idx="2421">
                  <c:v>288.74299999999999</c:v>
                </c:pt>
                <c:pt idx="2422">
                  <c:v>296.11599999999999</c:v>
                </c:pt>
                <c:pt idx="2423">
                  <c:v>296.39999999999998</c:v>
                </c:pt>
                <c:pt idx="2424">
                  <c:v>294.43799999999999</c:v>
                </c:pt>
                <c:pt idx="2425">
                  <c:v>293.84100000000001</c:v>
                </c:pt>
                <c:pt idx="2426">
                  <c:v>290.988</c:v>
                </c:pt>
                <c:pt idx="2427">
                  <c:v>291.60399999999998</c:v>
                </c:pt>
                <c:pt idx="2428">
                  <c:v>295.37599999999998</c:v>
                </c:pt>
                <c:pt idx="2429">
                  <c:v>293.714</c:v>
                </c:pt>
                <c:pt idx="2430">
                  <c:v>293.666</c:v>
                </c:pt>
                <c:pt idx="2431">
                  <c:v>293.00200000000001</c:v>
                </c:pt>
                <c:pt idx="2432">
                  <c:v>292.99299999999999</c:v>
                </c:pt>
                <c:pt idx="2433">
                  <c:v>292.053</c:v>
                </c:pt>
                <c:pt idx="2434">
                  <c:v>292.08199999999999</c:v>
                </c:pt>
                <c:pt idx="2435">
                  <c:v>289.21199999999999</c:v>
                </c:pt>
                <c:pt idx="2436">
                  <c:v>287.70800000000003</c:v>
                </c:pt>
                <c:pt idx="2437">
                  <c:v>288.95800000000003</c:v>
                </c:pt>
                <c:pt idx="2438">
                  <c:v>291.67399999999998</c:v>
                </c:pt>
                <c:pt idx="2439">
                  <c:v>296.565</c:v>
                </c:pt>
                <c:pt idx="2440">
                  <c:v>296.95800000000003</c:v>
                </c:pt>
                <c:pt idx="2441">
                  <c:v>291.75</c:v>
                </c:pt>
                <c:pt idx="2442">
                  <c:v>286.33199999999999</c:v>
                </c:pt>
                <c:pt idx="2443">
                  <c:v>286.82</c:v>
                </c:pt>
                <c:pt idx="2444">
                  <c:v>290.50099999999998</c:v>
                </c:pt>
                <c:pt idx="2445">
                  <c:v>291.44799999999998</c:v>
                </c:pt>
                <c:pt idx="2446">
                  <c:v>291.24299999999999</c:v>
                </c:pt>
                <c:pt idx="2447">
                  <c:v>286.20299999999997</c:v>
                </c:pt>
                <c:pt idx="2448">
                  <c:v>275.85000000000002</c:v>
                </c:pt>
                <c:pt idx="2449">
                  <c:v>276.31900000000002</c:v>
                </c:pt>
                <c:pt idx="2450">
                  <c:v>274.29599999999999</c:v>
                </c:pt>
                <c:pt idx="2451">
                  <c:v>281.27100000000002</c:v>
                </c:pt>
                <c:pt idx="2452">
                  <c:v>275.45100000000002</c:v>
                </c:pt>
                <c:pt idx="2453">
                  <c:v>280.95100000000002</c:v>
                </c:pt>
                <c:pt idx="2454">
                  <c:v>285.178</c:v>
                </c:pt>
                <c:pt idx="2455">
                  <c:v>286.86900000000003</c:v>
                </c:pt>
                <c:pt idx="2456">
                  <c:v>286.86900000000003</c:v>
                </c:pt>
                <c:pt idx="2457">
                  <c:v>286.26299999999998</c:v>
                </c:pt>
                <c:pt idx="2458">
                  <c:v>284.96199999999999</c:v>
                </c:pt>
                <c:pt idx="2459">
                  <c:v>288.29199999999997</c:v>
                </c:pt>
                <c:pt idx="2460">
                  <c:v>294.56400000000002</c:v>
                </c:pt>
                <c:pt idx="2461">
                  <c:v>295.97000000000003</c:v>
                </c:pt>
                <c:pt idx="2462">
                  <c:v>298.98099999999999</c:v>
                </c:pt>
                <c:pt idx="2463">
                  <c:v>299.89699999999999</c:v>
                </c:pt>
                <c:pt idx="2464">
                  <c:v>299.09500000000003</c:v>
                </c:pt>
                <c:pt idx="2465">
                  <c:v>302.35000000000002</c:v>
                </c:pt>
                <c:pt idx="2466">
                  <c:v>300.79500000000002</c:v>
                </c:pt>
                <c:pt idx="2467">
                  <c:v>299.79899999999998</c:v>
                </c:pt>
                <c:pt idx="2468">
                  <c:v>301.714</c:v>
                </c:pt>
                <c:pt idx="2469">
                  <c:v>314.42200000000003</c:v>
                </c:pt>
                <c:pt idx="2470">
                  <c:v>315.57400000000001</c:v>
                </c:pt>
                <c:pt idx="2471">
                  <c:v>322.64400000000001</c:v>
                </c:pt>
                <c:pt idx="2472">
                  <c:v>320.45800000000003</c:v>
                </c:pt>
                <c:pt idx="2473">
                  <c:v>324.11</c:v>
                </c:pt>
                <c:pt idx="2474">
                  <c:v>324.96100000000001</c:v>
                </c:pt>
                <c:pt idx="2475">
                  <c:v>327.34300000000002</c:v>
                </c:pt>
                <c:pt idx="2476">
                  <c:v>326.97199999999998</c:v>
                </c:pt>
                <c:pt idx="2477">
                  <c:v>327.87099999999998</c:v>
                </c:pt>
                <c:pt idx="2478">
                  <c:v>326.86500000000001</c:v>
                </c:pt>
                <c:pt idx="2479">
                  <c:v>321.85399999999998</c:v>
                </c:pt>
                <c:pt idx="2480">
                  <c:v>323.43900000000002</c:v>
                </c:pt>
                <c:pt idx="2481">
                  <c:v>327.61700000000002</c:v>
                </c:pt>
                <c:pt idx="2482">
                  <c:v>326.98200000000003</c:v>
                </c:pt>
                <c:pt idx="2483">
                  <c:v>330.322</c:v>
                </c:pt>
                <c:pt idx="2484">
                  <c:v>330.548</c:v>
                </c:pt>
                <c:pt idx="2485">
                  <c:v>332.64600000000002</c:v>
                </c:pt>
                <c:pt idx="2486">
                  <c:v>334.43299999999999</c:v>
                </c:pt>
                <c:pt idx="2487">
                  <c:v>331.24</c:v>
                </c:pt>
                <c:pt idx="2488">
                  <c:v>329.14100000000002</c:v>
                </c:pt>
                <c:pt idx="2489">
                  <c:v>329.36599999999999</c:v>
                </c:pt>
                <c:pt idx="2490">
                  <c:v>321.34699999999998</c:v>
                </c:pt>
                <c:pt idx="2491">
                  <c:v>328.12400000000002</c:v>
                </c:pt>
                <c:pt idx="2492">
                  <c:v>322.23500000000001</c:v>
                </c:pt>
                <c:pt idx="2493">
                  <c:v>321.73599999999999</c:v>
                </c:pt>
                <c:pt idx="2494">
                  <c:v>321.161</c:v>
                </c:pt>
                <c:pt idx="2495">
                  <c:v>314.84100000000001</c:v>
                </c:pt>
                <c:pt idx="2496">
                  <c:v>317.94799999999998</c:v>
                </c:pt>
                <c:pt idx="2497">
                  <c:v>326.45400000000001</c:v>
                </c:pt>
                <c:pt idx="2498">
                  <c:v>326.50299999999999</c:v>
                </c:pt>
                <c:pt idx="2499">
                  <c:v>324.678</c:v>
                </c:pt>
                <c:pt idx="2500">
                  <c:v>333.87799999999999</c:v>
                </c:pt>
                <c:pt idx="2501">
                  <c:v>330.82100000000003</c:v>
                </c:pt>
                <c:pt idx="2502">
                  <c:v>320.03800000000001</c:v>
                </c:pt>
                <c:pt idx="2503">
                  <c:v>326.19099999999997</c:v>
                </c:pt>
                <c:pt idx="2504">
                  <c:v>316.68799999999999</c:v>
                </c:pt>
                <c:pt idx="2505">
                  <c:v>315.613</c:v>
                </c:pt>
                <c:pt idx="2506">
                  <c:v>311.822</c:v>
                </c:pt>
                <c:pt idx="2507">
                  <c:v>319.01100000000002</c:v>
                </c:pt>
                <c:pt idx="2508">
                  <c:v>324.774</c:v>
                </c:pt>
                <c:pt idx="2509">
                  <c:v>326.23099999999999</c:v>
                </c:pt>
                <c:pt idx="2510">
                  <c:v>333.79</c:v>
                </c:pt>
                <c:pt idx="2511">
                  <c:v>332.62599999999998</c:v>
                </c:pt>
                <c:pt idx="2512">
                  <c:v>333.30200000000002</c:v>
                </c:pt>
                <c:pt idx="2513">
                  <c:v>330.74299999999999</c:v>
                </c:pt>
                <c:pt idx="2514">
                  <c:v>327.822</c:v>
                </c:pt>
                <c:pt idx="2515">
                  <c:v>326.28800000000001</c:v>
                </c:pt>
                <c:pt idx="2516">
                  <c:v>320.69200000000001</c:v>
                </c:pt>
                <c:pt idx="2517">
                  <c:v>308.38600000000002</c:v>
                </c:pt>
                <c:pt idx="2518">
                  <c:v>305.94200000000001</c:v>
                </c:pt>
                <c:pt idx="2519">
                  <c:v>306.10000000000002</c:v>
                </c:pt>
                <c:pt idx="2520">
                  <c:v>306.32400000000001</c:v>
                </c:pt>
                <c:pt idx="2521">
                  <c:v>307.01799999999997</c:v>
                </c:pt>
                <c:pt idx="2522">
                  <c:v>310.221</c:v>
                </c:pt>
                <c:pt idx="2523">
                  <c:v>297.09300000000002</c:v>
                </c:pt>
                <c:pt idx="2524">
                  <c:v>302.36</c:v>
                </c:pt>
                <c:pt idx="2525">
                  <c:v>295.00400000000002</c:v>
                </c:pt>
                <c:pt idx="2526">
                  <c:v>295.65699999999998</c:v>
                </c:pt>
                <c:pt idx="2527">
                  <c:v>293.97899999999998</c:v>
                </c:pt>
                <c:pt idx="2528">
                  <c:v>288.54700000000003</c:v>
                </c:pt>
                <c:pt idx="2529">
                  <c:v>288.88</c:v>
                </c:pt>
                <c:pt idx="2530">
                  <c:v>281.19299999999998</c:v>
                </c:pt>
                <c:pt idx="2531">
                  <c:v>289.21199999999999</c:v>
                </c:pt>
                <c:pt idx="2532">
                  <c:v>292.26</c:v>
                </c:pt>
                <c:pt idx="2533">
                  <c:v>300.464</c:v>
                </c:pt>
                <c:pt idx="2534">
                  <c:v>303.12</c:v>
                </c:pt>
                <c:pt idx="2535">
                  <c:v>300.952</c:v>
                </c:pt>
                <c:pt idx="2536">
                  <c:v>305.53199999999998</c:v>
                </c:pt>
                <c:pt idx="2537">
                  <c:v>293.63600000000002</c:v>
                </c:pt>
                <c:pt idx="2538">
                  <c:v>298.20699999999999</c:v>
                </c:pt>
                <c:pt idx="2539">
                  <c:v>293.34199999999998</c:v>
                </c:pt>
                <c:pt idx="2540">
                  <c:v>296.86099999999999</c:v>
                </c:pt>
                <c:pt idx="2541">
                  <c:v>303.346</c:v>
                </c:pt>
                <c:pt idx="2542">
                  <c:v>294.74</c:v>
                </c:pt>
                <c:pt idx="2543">
                  <c:v>287.58</c:v>
                </c:pt>
                <c:pt idx="2544">
                  <c:v>287.54000000000002</c:v>
                </c:pt>
                <c:pt idx="2545">
                  <c:v>292.87299999999999</c:v>
                </c:pt>
                <c:pt idx="2546">
                  <c:v>292.53199999999998</c:v>
                </c:pt>
                <c:pt idx="2547">
                  <c:v>283.96699999999998</c:v>
                </c:pt>
                <c:pt idx="2548">
                  <c:v>281.23200000000003</c:v>
                </c:pt>
                <c:pt idx="2549">
                  <c:v>281.02300000000002</c:v>
                </c:pt>
                <c:pt idx="2550">
                  <c:v>273.75099999999998</c:v>
                </c:pt>
                <c:pt idx="2551">
                  <c:v>287.73599999999999</c:v>
                </c:pt>
                <c:pt idx="2552">
                  <c:v>290.39400000000001</c:v>
                </c:pt>
                <c:pt idx="2553">
                  <c:v>291.83999999999997</c:v>
                </c:pt>
                <c:pt idx="2554">
                  <c:v>288.08800000000002</c:v>
                </c:pt>
                <c:pt idx="2555">
                  <c:v>293.20499999999998</c:v>
                </c:pt>
                <c:pt idx="2556">
                  <c:v>289.03500000000003</c:v>
                </c:pt>
                <c:pt idx="2557">
                  <c:v>283.11599999999999</c:v>
                </c:pt>
                <c:pt idx="2558">
                  <c:v>272.423</c:v>
                </c:pt>
                <c:pt idx="2559">
                  <c:v>269.43200000000002</c:v>
                </c:pt>
                <c:pt idx="2560">
                  <c:v>281.78899999999999</c:v>
                </c:pt>
                <c:pt idx="2561">
                  <c:v>278.94600000000003</c:v>
                </c:pt>
                <c:pt idx="2562">
                  <c:v>273.553</c:v>
                </c:pt>
                <c:pt idx="2563">
                  <c:v>270.01</c:v>
                </c:pt>
                <c:pt idx="2564">
                  <c:v>280.47000000000003</c:v>
                </c:pt>
                <c:pt idx="2565">
                  <c:v>287.54000000000002</c:v>
                </c:pt>
                <c:pt idx="2566">
                  <c:v>288.35199999999998</c:v>
                </c:pt>
                <c:pt idx="2567">
                  <c:v>293.44099999999997</c:v>
                </c:pt>
                <c:pt idx="2568">
                  <c:v>292.2</c:v>
                </c:pt>
                <c:pt idx="2569">
                  <c:v>296.98599999999999</c:v>
                </c:pt>
                <c:pt idx="2570">
                  <c:v>292.52199999999999</c:v>
                </c:pt>
                <c:pt idx="2571">
                  <c:v>297.02499999999998</c:v>
                </c:pt>
                <c:pt idx="2572">
                  <c:v>296.613</c:v>
                </c:pt>
                <c:pt idx="2573">
                  <c:v>303.47199999999998</c:v>
                </c:pt>
                <c:pt idx="2574">
                  <c:v>308.07299999999998</c:v>
                </c:pt>
                <c:pt idx="2575">
                  <c:v>306.55900000000003</c:v>
                </c:pt>
                <c:pt idx="2576">
                  <c:v>301.13600000000002</c:v>
                </c:pt>
                <c:pt idx="2577">
                  <c:v>302.22199999999998</c:v>
                </c:pt>
                <c:pt idx="2578">
                  <c:v>307.642</c:v>
                </c:pt>
                <c:pt idx="2579">
                  <c:v>303.64699999999999</c:v>
                </c:pt>
                <c:pt idx="2580">
                  <c:v>292.53199999999998</c:v>
                </c:pt>
                <c:pt idx="2581">
                  <c:v>294.35899999999998</c:v>
                </c:pt>
                <c:pt idx="2582">
                  <c:v>290.06099999999998</c:v>
                </c:pt>
                <c:pt idx="2583">
                  <c:v>278.62299999999999</c:v>
                </c:pt>
                <c:pt idx="2584">
                  <c:v>275.49900000000002</c:v>
                </c:pt>
                <c:pt idx="2585">
                  <c:v>280.93099999999998</c:v>
                </c:pt>
                <c:pt idx="2586">
                  <c:v>273.32100000000003</c:v>
                </c:pt>
                <c:pt idx="2587">
                  <c:v>273.99299999999999</c:v>
                </c:pt>
                <c:pt idx="2588">
                  <c:v>278.66199999999998</c:v>
                </c:pt>
                <c:pt idx="2589">
                  <c:v>279.69900000000001</c:v>
                </c:pt>
                <c:pt idx="2590">
                  <c:v>274.27600000000001</c:v>
                </c:pt>
                <c:pt idx="2591">
                  <c:v>267.654</c:v>
                </c:pt>
                <c:pt idx="2592">
                  <c:v>274.19099999999997</c:v>
                </c:pt>
                <c:pt idx="2593">
                  <c:v>263.93299999999999</c:v>
                </c:pt>
                <c:pt idx="2594">
                  <c:v>276.63099999999997</c:v>
                </c:pt>
                <c:pt idx="2595">
                  <c:v>282.89299999999997</c:v>
                </c:pt>
                <c:pt idx="2596">
                  <c:v>271.065</c:v>
                </c:pt>
                <c:pt idx="2597">
                  <c:v>277.85199999999998</c:v>
                </c:pt>
                <c:pt idx="2598">
                  <c:v>275.22500000000002</c:v>
                </c:pt>
                <c:pt idx="2599">
                  <c:v>283.23399999999998</c:v>
                </c:pt>
                <c:pt idx="2600">
                  <c:v>270.899</c:v>
                </c:pt>
                <c:pt idx="2601">
                  <c:v>268.33800000000002</c:v>
                </c:pt>
                <c:pt idx="2602">
                  <c:v>258.42500000000001</c:v>
                </c:pt>
                <c:pt idx="2603">
                  <c:v>263.23</c:v>
                </c:pt>
                <c:pt idx="2604">
                  <c:v>254.489</c:v>
                </c:pt>
                <c:pt idx="2605">
                  <c:v>249.41</c:v>
                </c:pt>
                <c:pt idx="2606">
                  <c:v>255.04300000000001</c:v>
                </c:pt>
                <c:pt idx="2607">
                  <c:v>255.416</c:v>
                </c:pt>
                <c:pt idx="2608">
                  <c:v>260.61099999999999</c:v>
                </c:pt>
                <c:pt idx="2609">
                  <c:v>248.74600000000001</c:v>
                </c:pt>
                <c:pt idx="2610">
                  <c:v>247.82599999999999</c:v>
                </c:pt>
                <c:pt idx="2611">
                  <c:v>247.25800000000001</c:v>
                </c:pt>
                <c:pt idx="2612">
                  <c:v>255.179</c:v>
                </c:pt>
                <c:pt idx="2613">
                  <c:v>254.17099999999999</c:v>
                </c:pt>
                <c:pt idx="2614">
                  <c:v>257.01100000000002</c:v>
                </c:pt>
                <c:pt idx="2615">
                  <c:v>260.32</c:v>
                </c:pt>
                <c:pt idx="2616">
                  <c:v>267.50599999999997</c:v>
                </c:pt>
                <c:pt idx="2617">
                  <c:v>266.16300000000001</c:v>
                </c:pt>
                <c:pt idx="2618">
                  <c:v>266.702</c:v>
                </c:pt>
                <c:pt idx="2619">
                  <c:v>268.815</c:v>
                </c:pt>
                <c:pt idx="2620">
                  <c:v>264.35199999999998</c:v>
                </c:pt>
                <c:pt idx="2621">
                  <c:v>263.11</c:v>
                </c:pt>
                <c:pt idx="2622">
                  <c:v>266.78100000000001</c:v>
                </c:pt>
                <c:pt idx="2623">
                  <c:v>264.73599999999999</c:v>
                </c:pt>
                <c:pt idx="2624">
                  <c:v>259.233</c:v>
                </c:pt>
                <c:pt idx="2625">
                  <c:v>247.68100000000001</c:v>
                </c:pt>
                <c:pt idx="2626">
                  <c:v>237.17599999999999</c:v>
                </c:pt>
                <c:pt idx="2627">
                  <c:v>239.35900000000001</c:v>
                </c:pt>
                <c:pt idx="2628">
                  <c:v>246.477</c:v>
                </c:pt>
                <c:pt idx="2629">
                  <c:v>239.82900000000001</c:v>
                </c:pt>
                <c:pt idx="2630">
                  <c:v>242.452</c:v>
                </c:pt>
                <c:pt idx="2631">
                  <c:v>248.41399999999999</c:v>
                </c:pt>
                <c:pt idx="2632">
                  <c:v>247.816</c:v>
                </c:pt>
                <c:pt idx="2633">
                  <c:v>253.42699999999999</c:v>
                </c:pt>
                <c:pt idx="2634">
                  <c:v>262.08</c:v>
                </c:pt>
                <c:pt idx="2635">
                  <c:v>259.33</c:v>
                </c:pt>
                <c:pt idx="2636">
                  <c:v>251.09700000000001</c:v>
                </c:pt>
                <c:pt idx="2637">
                  <c:v>254.797</c:v>
                </c:pt>
                <c:pt idx="2638">
                  <c:v>251.44</c:v>
                </c:pt>
                <c:pt idx="2639">
                  <c:v>254.131</c:v>
                </c:pt>
                <c:pt idx="2640">
                  <c:v>257.33300000000003</c:v>
                </c:pt>
                <c:pt idx="2641">
                  <c:v>260.62099999999998</c:v>
                </c:pt>
                <c:pt idx="2642">
                  <c:v>262.76499999999999</c:v>
                </c:pt>
                <c:pt idx="2643">
                  <c:v>262.04199999999997</c:v>
                </c:pt>
                <c:pt idx="2644">
                  <c:v>258.95699999999999</c:v>
                </c:pt>
                <c:pt idx="2645">
                  <c:v>248.345</c:v>
                </c:pt>
                <c:pt idx="2646">
                  <c:v>247.416</c:v>
                </c:pt>
                <c:pt idx="2647">
                  <c:v>248.74600000000001</c:v>
                </c:pt>
                <c:pt idx="2648">
                  <c:v>251.33199999999999</c:v>
                </c:pt>
                <c:pt idx="2649">
                  <c:v>248.91300000000001</c:v>
                </c:pt>
                <c:pt idx="2650">
                  <c:v>254.08099999999999</c:v>
                </c:pt>
                <c:pt idx="2651">
                  <c:v>256.76499999999999</c:v>
                </c:pt>
                <c:pt idx="2652">
                  <c:v>259.28300000000002</c:v>
                </c:pt>
                <c:pt idx="2653">
                  <c:v>254.89599999999999</c:v>
                </c:pt>
                <c:pt idx="2654">
                  <c:v>253.398</c:v>
                </c:pt>
                <c:pt idx="2655">
                  <c:v>246.613</c:v>
                </c:pt>
                <c:pt idx="2656">
                  <c:v>263.10000000000002</c:v>
                </c:pt>
                <c:pt idx="2657">
                  <c:v>270.61</c:v>
                </c:pt>
                <c:pt idx="2658">
                  <c:v>274.84800000000001</c:v>
                </c:pt>
                <c:pt idx="2659">
                  <c:v>272.173</c:v>
                </c:pt>
                <c:pt idx="2660">
                  <c:v>269.05200000000002</c:v>
                </c:pt>
                <c:pt idx="2661">
                  <c:v>276.54199999999997</c:v>
                </c:pt>
                <c:pt idx="2662">
                  <c:v>277.69600000000003</c:v>
                </c:pt>
                <c:pt idx="2663">
                  <c:v>276.97399999999999</c:v>
                </c:pt>
                <c:pt idx="2664">
                  <c:v>274.43599999999998</c:v>
                </c:pt>
                <c:pt idx="2665">
                  <c:v>276.375</c:v>
                </c:pt>
                <c:pt idx="2666">
                  <c:v>283.09100000000001</c:v>
                </c:pt>
                <c:pt idx="2667">
                  <c:v>280.995</c:v>
                </c:pt>
                <c:pt idx="2668">
                  <c:v>285.78399999999999</c:v>
                </c:pt>
                <c:pt idx="2669">
                  <c:v>287.31</c:v>
                </c:pt>
                <c:pt idx="2670">
                  <c:v>286.565</c:v>
                </c:pt>
                <c:pt idx="2671">
                  <c:v>285.81099999999998</c:v>
                </c:pt>
                <c:pt idx="2672">
                  <c:v>284.68400000000003</c:v>
                </c:pt>
                <c:pt idx="2673">
                  <c:v>280.73899999999998</c:v>
                </c:pt>
                <c:pt idx="2674">
                  <c:v>272.49799999999999</c:v>
                </c:pt>
                <c:pt idx="2675">
                  <c:v>271.21100000000001</c:v>
                </c:pt>
                <c:pt idx="2676">
                  <c:v>270.57499999999999</c:v>
                </c:pt>
                <c:pt idx="2677">
                  <c:v>273.57600000000002</c:v>
                </c:pt>
                <c:pt idx="2678">
                  <c:v>263.02100000000002</c:v>
                </c:pt>
                <c:pt idx="2679">
                  <c:v>260.21499999999997</c:v>
                </c:pt>
                <c:pt idx="2680">
                  <c:v>257.99700000000001</c:v>
                </c:pt>
                <c:pt idx="2681">
                  <c:v>256.52699999999999</c:v>
                </c:pt>
                <c:pt idx="2682">
                  <c:v>255.476</c:v>
                </c:pt>
                <c:pt idx="2683">
                  <c:v>251.21600000000001</c:v>
                </c:pt>
                <c:pt idx="2684">
                  <c:v>248.46100000000001</c:v>
                </c:pt>
                <c:pt idx="2685">
                  <c:v>253.21</c:v>
                </c:pt>
                <c:pt idx="2686">
                  <c:v>253.63</c:v>
                </c:pt>
                <c:pt idx="2687">
                  <c:v>259.45800000000003</c:v>
                </c:pt>
                <c:pt idx="2688">
                  <c:v>261.608</c:v>
                </c:pt>
                <c:pt idx="2689">
                  <c:v>247.22399999999999</c:v>
                </c:pt>
                <c:pt idx="2690">
                  <c:v>247.45099999999999</c:v>
                </c:pt>
                <c:pt idx="2691">
                  <c:v>240.739</c:v>
                </c:pt>
                <c:pt idx="2692">
                  <c:v>240.11</c:v>
                </c:pt>
                <c:pt idx="2693">
                  <c:v>239.89599999999999</c:v>
                </c:pt>
                <c:pt idx="2694">
                  <c:v>237.86600000000001</c:v>
                </c:pt>
                <c:pt idx="2695">
                  <c:v>234.43299999999999</c:v>
                </c:pt>
                <c:pt idx="2696">
                  <c:v>236.42400000000001</c:v>
                </c:pt>
                <c:pt idx="2697">
                  <c:v>233.42</c:v>
                </c:pt>
                <c:pt idx="2698">
                  <c:v>232.96</c:v>
                </c:pt>
                <c:pt idx="2699">
                  <c:v>231.94</c:v>
                </c:pt>
                <c:pt idx="2700">
                  <c:v>236.511</c:v>
                </c:pt>
                <c:pt idx="2701">
                  <c:v>233.01</c:v>
                </c:pt>
                <c:pt idx="2702">
                  <c:v>228.49600000000001</c:v>
                </c:pt>
                <c:pt idx="2703">
                  <c:v>236.18600000000001</c:v>
                </c:pt>
                <c:pt idx="2704">
                  <c:v>244.17400000000001</c:v>
                </c:pt>
                <c:pt idx="2705">
                  <c:v>244.48599999999999</c:v>
                </c:pt>
                <c:pt idx="2706">
                  <c:v>242.12299999999999</c:v>
                </c:pt>
                <c:pt idx="2707">
                  <c:v>229.81100000000001</c:v>
                </c:pt>
                <c:pt idx="2708">
                  <c:v>224.916</c:v>
                </c:pt>
                <c:pt idx="2709">
                  <c:v>221.148</c:v>
                </c:pt>
                <c:pt idx="2710">
                  <c:v>221.482</c:v>
                </c:pt>
                <c:pt idx="2711">
                  <c:v>229.81100000000001</c:v>
                </c:pt>
                <c:pt idx="2712">
                  <c:v>224.238</c:v>
                </c:pt>
                <c:pt idx="2713">
                  <c:v>233.03800000000001</c:v>
                </c:pt>
                <c:pt idx="2714">
                  <c:v>233.99100000000001</c:v>
                </c:pt>
                <c:pt idx="2715">
                  <c:v>232.00899999999999</c:v>
                </c:pt>
                <c:pt idx="2716">
                  <c:v>231.685</c:v>
                </c:pt>
                <c:pt idx="2717">
                  <c:v>237.542</c:v>
                </c:pt>
                <c:pt idx="2718">
                  <c:v>242.57499999999999</c:v>
                </c:pt>
                <c:pt idx="2719">
                  <c:v>245.92099999999999</c:v>
                </c:pt>
                <c:pt idx="2720">
                  <c:v>226.946</c:v>
                </c:pt>
                <c:pt idx="2721">
                  <c:v>222.46199999999999</c:v>
                </c:pt>
                <c:pt idx="2722">
                  <c:v>231.40899999999999</c:v>
                </c:pt>
                <c:pt idx="2723">
                  <c:v>227.74</c:v>
                </c:pt>
                <c:pt idx="2724">
                  <c:v>223.857</c:v>
                </c:pt>
                <c:pt idx="2725">
                  <c:v>215.93600000000001</c:v>
                </c:pt>
                <c:pt idx="2726">
                  <c:v>210.197</c:v>
                </c:pt>
                <c:pt idx="2727">
                  <c:v>217.20400000000001</c:v>
                </c:pt>
                <c:pt idx="2728">
                  <c:v>223.56100000000001</c:v>
                </c:pt>
                <c:pt idx="2729">
                  <c:v>224.541</c:v>
                </c:pt>
                <c:pt idx="2730">
                  <c:v>220.26400000000001</c:v>
                </c:pt>
                <c:pt idx="2731">
                  <c:v>238.38499999999999</c:v>
                </c:pt>
                <c:pt idx="2732">
                  <c:v>242.43700000000001</c:v>
                </c:pt>
                <c:pt idx="2733">
                  <c:v>236.98099999999999</c:v>
                </c:pt>
                <c:pt idx="2734">
                  <c:v>237.39500000000001</c:v>
                </c:pt>
                <c:pt idx="2735">
                  <c:v>237.827</c:v>
                </c:pt>
                <c:pt idx="2736">
                  <c:v>237.77799999999999</c:v>
                </c:pt>
                <c:pt idx="2737">
                  <c:v>237.32499999999999</c:v>
                </c:pt>
                <c:pt idx="2738">
                  <c:v>238.14099999999999</c:v>
                </c:pt>
                <c:pt idx="2739">
                  <c:v>241.07499999999999</c:v>
                </c:pt>
                <c:pt idx="2740">
                  <c:v>243.58099999999999</c:v>
                </c:pt>
                <c:pt idx="2741">
                  <c:v>243.494</c:v>
                </c:pt>
                <c:pt idx="2742">
                  <c:v>237.857</c:v>
                </c:pt>
                <c:pt idx="2743">
                  <c:v>236.45</c:v>
                </c:pt>
                <c:pt idx="2744">
                  <c:v>251.02199999999999</c:v>
                </c:pt>
                <c:pt idx="2745">
                  <c:v>250.577</c:v>
                </c:pt>
                <c:pt idx="2746">
                  <c:v>250.90299999999999</c:v>
                </c:pt>
                <c:pt idx="2747">
                  <c:v>246.16</c:v>
                </c:pt>
                <c:pt idx="2748">
                  <c:v>241.16300000000001</c:v>
                </c:pt>
                <c:pt idx="2749">
                  <c:v>240.42400000000001</c:v>
                </c:pt>
                <c:pt idx="2750">
                  <c:v>243.405</c:v>
                </c:pt>
                <c:pt idx="2751">
                  <c:v>241.458</c:v>
                </c:pt>
                <c:pt idx="2752">
                  <c:v>248.43299999999999</c:v>
                </c:pt>
                <c:pt idx="2753">
                  <c:v>252.77099999999999</c:v>
                </c:pt>
                <c:pt idx="2754">
                  <c:v>253.066</c:v>
                </c:pt>
                <c:pt idx="2755">
                  <c:v>244.989</c:v>
                </c:pt>
                <c:pt idx="2756">
                  <c:v>240.739</c:v>
                </c:pt>
                <c:pt idx="2757">
                  <c:v>236.56700000000001</c:v>
                </c:pt>
                <c:pt idx="2758">
                  <c:v>237.89699999999999</c:v>
                </c:pt>
                <c:pt idx="2759">
                  <c:v>240.48400000000001</c:v>
                </c:pt>
                <c:pt idx="2760">
                  <c:v>234.345</c:v>
                </c:pt>
                <c:pt idx="2761">
                  <c:v>234.87700000000001</c:v>
                </c:pt>
                <c:pt idx="2762">
                  <c:v>233.13300000000001</c:v>
                </c:pt>
                <c:pt idx="2763">
                  <c:v>230.74299999999999</c:v>
                </c:pt>
                <c:pt idx="2764">
                  <c:v>237.119</c:v>
                </c:pt>
                <c:pt idx="2765">
                  <c:v>235.94900000000001</c:v>
                </c:pt>
                <c:pt idx="2766">
                  <c:v>235.71100000000001</c:v>
                </c:pt>
                <c:pt idx="2767">
                  <c:v>225.40199999999999</c:v>
                </c:pt>
                <c:pt idx="2768">
                  <c:v>218.721</c:v>
                </c:pt>
                <c:pt idx="2769">
                  <c:v>221.297</c:v>
                </c:pt>
                <c:pt idx="2770">
                  <c:v>223.452</c:v>
                </c:pt>
                <c:pt idx="2771">
                  <c:v>225.154</c:v>
                </c:pt>
                <c:pt idx="2772">
                  <c:v>231.964</c:v>
                </c:pt>
                <c:pt idx="2773">
                  <c:v>234.65799999999999</c:v>
                </c:pt>
                <c:pt idx="2774">
                  <c:v>235.36699999999999</c:v>
                </c:pt>
                <c:pt idx="2775">
                  <c:v>236.47</c:v>
                </c:pt>
                <c:pt idx="2776">
                  <c:v>232.00399999999999</c:v>
                </c:pt>
                <c:pt idx="2777">
                  <c:v>228.185</c:v>
                </c:pt>
                <c:pt idx="2778">
                  <c:v>236.34100000000001</c:v>
                </c:pt>
                <c:pt idx="2779">
                  <c:v>238.66300000000001</c:v>
                </c:pt>
                <c:pt idx="2780">
                  <c:v>238.131</c:v>
                </c:pt>
                <c:pt idx="2781">
                  <c:v>236.72399999999999</c:v>
                </c:pt>
                <c:pt idx="2782">
                  <c:v>243.994</c:v>
                </c:pt>
                <c:pt idx="2783">
                  <c:v>244.15299999999999</c:v>
                </c:pt>
                <c:pt idx="2784">
                  <c:v>238.79300000000001</c:v>
                </c:pt>
                <c:pt idx="2785">
                  <c:v>243.81</c:v>
                </c:pt>
                <c:pt idx="2786">
                  <c:v>248.67099999999999</c:v>
                </c:pt>
                <c:pt idx="2787">
                  <c:v>260.32900000000001</c:v>
                </c:pt>
                <c:pt idx="2788">
                  <c:v>254.179</c:v>
                </c:pt>
                <c:pt idx="2789">
                  <c:v>252.62299999999999</c:v>
                </c:pt>
                <c:pt idx="2790">
                  <c:v>263.24</c:v>
                </c:pt>
                <c:pt idx="2791">
                  <c:v>262.42399999999998</c:v>
                </c:pt>
                <c:pt idx="2792">
                  <c:v>259.36399999999998</c:v>
                </c:pt>
                <c:pt idx="2793">
                  <c:v>258.85399999999998</c:v>
                </c:pt>
                <c:pt idx="2794">
                  <c:v>266.94</c:v>
                </c:pt>
                <c:pt idx="2795">
                  <c:v>267.77499999999998</c:v>
                </c:pt>
                <c:pt idx="2796">
                  <c:v>265.63499999999999</c:v>
                </c:pt>
                <c:pt idx="2797">
                  <c:v>258.56200000000001</c:v>
                </c:pt>
                <c:pt idx="2798">
                  <c:v>254.53</c:v>
                </c:pt>
                <c:pt idx="2799">
                  <c:v>249.21299999999999</c:v>
                </c:pt>
                <c:pt idx="2800">
                  <c:v>248.06899999999999</c:v>
                </c:pt>
                <c:pt idx="2801">
                  <c:v>251.28399999999999</c:v>
                </c:pt>
                <c:pt idx="2802">
                  <c:v>245.81</c:v>
                </c:pt>
                <c:pt idx="2803">
                  <c:v>246.73599999999999</c:v>
                </c:pt>
                <c:pt idx="2804">
                  <c:v>246.00899999999999</c:v>
                </c:pt>
                <c:pt idx="2805">
                  <c:v>242.9</c:v>
                </c:pt>
                <c:pt idx="2806">
                  <c:v>247.67500000000001</c:v>
                </c:pt>
                <c:pt idx="2807">
                  <c:v>251.797</c:v>
                </c:pt>
                <c:pt idx="2808">
                  <c:v>253.35499999999999</c:v>
                </c:pt>
                <c:pt idx="2809">
                  <c:v>250.672</c:v>
                </c:pt>
                <c:pt idx="2810">
                  <c:v>250.22900000000001</c:v>
                </c:pt>
                <c:pt idx="2811">
                  <c:v>248.86799999999999</c:v>
                </c:pt>
                <c:pt idx="2812">
                  <c:v>245.18899999999999</c:v>
                </c:pt>
                <c:pt idx="2813">
                  <c:v>250.447</c:v>
                </c:pt>
                <c:pt idx="2814">
                  <c:v>257.221</c:v>
                </c:pt>
                <c:pt idx="2815">
                  <c:v>261.80799999999999</c:v>
                </c:pt>
                <c:pt idx="2816">
                  <c:v>272.42200000000003</c:v>
                </c:pt>
                <c:pt idx="2817">
                  <c:v>275.60500000000002</c:v>
                </c:pt>
                <c:pt idx="2818">
                  <c:v>268.50599999999997</c:v>
                </c:pt>
                <c:pt idx="2819">
                  <c:v>270.03399999999999</c:v>
                </c:pt>
                <c:pt idx="2820">
                  <c:v>268.565</c:v>
                </c:pt>
                <c:pt idx="2821">
                  <c:v>273.86099999999999</c:v>
                </c:pt>
                <c:pt idx="2822">
                  <c:v>276.73099999999999</c:v>
                </c:pt>
                <c:pt idx="2823">
                  <c:v>272.59800000000001</c:v>
                </c:pt>
                <c:pt idx="2824">
                  <c:v>271.46499999999997</c:v>
                </c:pt>
                <c:pt idx="2825">
                  <c:v>276.67099999999999</c:v>
                </c:pt>
                <c:pt idx="2826">
                  <c:v>280.16300000000001</c:v>
                </c:pt>
                <c:pt idx="2827">
                  <c:v>284.35500000000002</c:v>
                </c:pt>
                <c:pt idx="2828">
                  <c:v>283.29899999999998</c:v>
                </c:pt>
                <c:pt idx="2829">
                  <c:v>283.25099999999998</c:v>
                </c:pt>
                <c:pt idx="2830">
                  <c:v>280.45100000000002</c:v>
                </c:pt>
                <c:pt idx="2831">
                  <c:v>287.61</c:v>
                </c:pt>
                <c:pt idx="2832">
                  <c:v>285.43099999999998</c:v>
                </c:pt>
                <c:pt idx="2833">
                  <c:v>278.96100000000001</c:v>
                </c:pt>
                <c:pt idx="2834">
                  <c:v>279.61099999999999</c:v>
                </c:pt>
                <c:pt idx="2835">
                  <c:v>285.87400000000002</c:v>
                </c:pt>
                <c:pt idx="2836">
                  <c:v>282.22500000000002</c:v>
                </c:pt>
                <c:pt idx="2837">
                  <c:v>284.84899999999999</c:v>
                </c:pt>
                <c:pt idx="2838">
                  <c:v>284.42399999999998</c:v>
                </c:pt>
                <c:pt idx="2839">
                  <c:v>284.50400000000002</c:v>
                </c:pt>
                <c:pt idx="2840">
                  <c:v>282.19499999999999</c:v>
                </c:pt>
                <c:pt idx="2841">
                  <c:v>281.85199999999998</c:v>
                </c:pt>
                <c:pt idx="2842">
                  <c:v>277.91500000000002</c:v>
                </c:pt>
                <c:pt idx="2843">
                  <c:v>271.65100000000001</c:v>
                </c:pt>
                <c:pt idx="2844">
                  <c:v>291.32900000000001</c:v>
                </c:pt>
                <c:pt idx="2845">
                  <c:v>300.65899999999999</c:v>
                </c:pt>
                <c:pt idx="2846">
                  <c:v>303.05500000000001</c:v>
                </c:pt>
                <c:pt idx="2847">
                  <c:v>301.38</c:v>
                </c:pt>
                <c:pt idx="2848">
                  <c:v>301.23200000000003</c:v>
                </c:pt>
                <c:pt idx="2849">
                  <c:v>300.23500000000001</c:v>
                </c:pt>
                <c:pt idx="2850">
                  <c:v>301.23200000000003</c:v>
                </c:pt>
                <c:pt idx="2851">
                  <c:v>306.399</c:v>
                </c:pt>
                <c:pt idx="2852">
                  <c:v>304.42700000000002</c:v>
                </c:pt>
                <c:pt idx="2853">
                  <c:v>302.8</c:v>
                </c:pt>
                <c:pt idx="2854">
                  <c:v>308.03699999999998</c:v>
                </c:pt>
                <c:pt idx="2855">
                  <c:v>305.86799999999999</c:v>
                </c:pt>
                <c:pt idx="2856">
                  <c:v>304.74299999999999</c:v>
                </c:pt>
                <c:pt idx="2857">
                  <c:v>305.226</c:v>
                </c:pt>
                <c:pt idx="2858">
                  <c:v>307.47500000000002</c:v>
                </c:pt>
                <c:pt idx="2859">
                  <c:v>310.38099999999997</c:v>
                </c:pt>
                <c:pt idx="2860">
                  <c:v>314.84800000000001</c:v>
                </c:pt>
                <c:pt idx="2861">
                  <c:v>314.67099999999999</c:v>
                </c:pt>
                <c:pt idx="2862">
                  <c:v>317.47899999999998</c:v>
                </c:pt>
                <c:pt idx="2863">
                  <c:v>311.62599999999998</c:v>
                </c:pt>
                <c:pt idx="2864">
                  <c:v>310.233</c:v>
                </c:pt>
                <c:pt idx="2865">
                  <c:v>322.16300000000001</c:v>
                </c:pt>
                <c:pt idx="2866">
                  <c:v>329.053</c:v>
                </c:pt>
                <c:pt idx="2867">
                  <c:v>327.39299999999997</c:v>
                </c:pt>
                <c:pt idx="2868">
                  <c:v>324.60399999999998</c:v>
                </c:pt>
                <c:pt idx="2869">
                  <c:v>328.74700000000001</c:v>
                </c:pt>
                <c:pt idx="2870">
                  <c:v>331.53300000000002</c:v>
                </c:pt>
                <c:pt idx="2871">
                  <c:v>332.06700000000001</c:v>
                </c:pt>
                <c:pt idx="2872">
                  <c:v>329.83499999999998</c:v>
                </c:pt>
                <c:pt idx="2873">
                  <c:v>319.65300000000002</c:v>
                </c:pt>
                <c:pt idx="2874">
                  <c:v>321.51100000000002</c:v>
                </c:pt>
                <c:pt idx="2875">
                  <c:v>323.02300000000002</c:v>
                </c:pt>
                <c:pt idx="2876">
                  <c:v>328.02499999999998</c:v>
                </c:pt>
                <c:pt idx="2877">
                  <c:v>330.43799999999999</c:v>
                </c:pt>
                <c:pt idx="2878">
                  <c:v>333.452</c:v>
                </c:pt>
                <c:pt idx="2879">
                  <c:v>344.08800000000002</c:v>
                </c:pt>
                <c:pt idx="2880">
                  <c:v>338.38499999999999</c:v>
                </c:pt>
                <c:pt idx="2881">
                  <c:v>334.15499999999997</c:v>
                </c:pt>
                <c:pt idx="2882">
                  <c:v>329.71600000000001</c:v>
                </c:pt>
                <c:pt idx="2883">
                  <c:v>335.79500000000002</c:v>
                </c:pt>
                <c:pt idx="2884">
                  <c:v>331.15800000000002</c:v>
                </c:pt>
                <c:pt idx="2885">
                  <c:v>324.81299999999999</c:v>
                </c:pt>
                <c:pt idx="2886">
                  <c:v>330.714</c:v>
                </c:pt>
                <c:pt idx="2887">
                  <c:v>331.97800000000001</c:v>
                </c:pt>
                <c:pt idx="2888">
                  <c:v>331.18799999999999</c:v>
                </c:pt>
                <c:pt idx="2889">
                  <c:v>336.61599999999999</c:v>
                </c:pt>
                <c:pt idx="2890">
                  <c:v>334.09500000000003</c:v>
                </c:pt>
                <c:pt idx="2891">
                  <c:v>334.25299999999999</c:v>
                </c:pt>
                <c:pt idx="2892">
                  <c:v>337.33699999999999</c:v>
                </c:pt>
                <c:pt idx="2893">
                  <c:v>333.33300000000003</c:v>
                </c:pt>
                <c:pt idx="2894">
                  <c:v>328.005</c:v>
                </c:pt>
                <c:pt idx="2895">
                  <c:v>328.63799999999998</c:v>
                </c:pt>
                <c:pt idx="2896">
                  <c:v>333.31400000000002</c:v>
                </c:pt>
                <c:pt idx="2897">
                  <c:v>338.71</c:v>
                </c:pt>
                <c:pt idx="2898">
                  <c:v>341.26100000000002</c:v>
                </c:pt>
                <c:pt idx="2899">
                  <c:v>341.745</c:v>
                </c:pt>
                <c:pt idx="2900">
                  <c:v>355.346</c:v>
                </c:pt>
                <c:pt idx="2901">
                  <c:v>350.98700000000002</c:v>
                </c:pt>
                <c:pt idx="2902">
                  <c:v>342.87200000000001</c:v>
                </c:pt>
                <c:pt idx="2903">
                  <c:v>339.80799999999999</c:v>
                </c:pt>
                <c:pt idx="2904">
                  <c:v>341.13200000000001</c:v>
                </c:pt>
                <c:pt idx="2905">
                  <c:v>346.935</c:v>
                </c:pt>
                <c:pt idx="2906">
                  <c:v>333.87599999999998</c:v>
                </c:pt>
                <c:pt idx="2907">
                  <c:v>326.90899999999999</c:v>
                </c:pt>
                <c:pt idx="2908">
                  <c:v>334.47</c:v>
                </c:pt>
                <c:pt idx="2909">
                  <c:v>332.048</c:v>
                </c:pt>
                <c:pt idx="2910">
                  <c:v>332.464</c:v>
                </c:pt>
                <c:pt idx="2911">
                  <c:v>323.72500000000002</c:v>
                </c:pt>
                <c:pt idx="2912">
                  <c:v>322.89600000000002</c:v>
                </c:pt>
                <c:pt idx="2913">
                  <c:v>324</c:v>
                </c:pt>
                <c:pt idx="2914">
                  <c:v>326.30599999999998</c:v>
                </c:pt>
                <c:pt idx="2915">
                  <c:v>322.29199999999997</c:v>
                </c:pt>
                <c:pt idx="2916">
                  <c:v>318.51600000000002</c:v>
                </c:pt>
                <c:pt idx="2917">
                  <c:v>319.20800000000003</c:v>
                </c:pt>
                <c:pt idx="2918">
                  <c:v>317.31</c:v>
                </c:pt>
                <c:pt idx="2919">
                  <c:v>320.30500000000001</c:v>
                </c:pt>
                <c:pt idx="2920">
                  <c:v>318.149</c:v>
                </c:pt>
                <c:pt idx="2921">
                  <c:v>317.37799999999999</c:v>
                </c:pt>
                <c:pt idx="2922">
                  <c:v>313.89100000000002</c:v>
                </c:pt>
                <c:pt idx="2923">
                  <c:v>313.49400000000003</c:v>
                </c:pt>
                <c:pt idx="2924">
                  <c:v>318.84399999999999</c:v>
                </c:pt>
                <c:pt idx="2925">
                  <c:v>319.41899999999998</c:v>
                </c:pt>
                <c:pt idx="2926">
                  <c:v>323.91699999999997</c:v>
                </c:pt>
                <c:pt idx="2927">
                  <c:v>316.95299999999997</c:v>
                </c:pt>
                <c:pt idx="2928">
                  <c:v>319.93400000000003</c:v>
                </c:pt>
                <c:pt idx="2929">
                  <c:v>320.64600000000002</c:v>
                </c:pt>
                <c:pt idx="2930">
                  <c:v>325.31200000000001</c:v>
                </c:pt>
                <c:pt idx="2931">
                  <c:v>325.68799999999999</c:v>
                </c:pt>
                <c:pt idx="2932">
                  <c:v>324.66800000000001</c:v>
                </c:pt>
                <c:pt idx="2933">
                  <c:v>325.56</c:v>
                </c:pt>
                <c:pt idx="2934">
                  <c:v>330.404</c:v>
                </c:pt>
                <c:pt idx="2935">
                  <c:v>329.74</c:v>
                </c:pt>
                <c:pt idx="2936">
                  <c:v>326.798</c:v>
                </c:pt>
                <c:pt idx="2937">
                  <c:v>331.11599999999999</c:v>
                </c:pt>
                <c:pt idx="2938">
                  <c:v>334.75099999999998</c:v>
                </c:pt>
                <c:pt idx="2939">
                  <c:v>328.64</c:v>
                </c:pt>
                <c:pt idx="2940">
                  <c:v>332.89</c:v>
                </c:pt>
                <c:pt idx="2941">
                  <c:v>335.505</c:v>
                </c:pt>
                <c:pt idx="2942">
                  <c:v>327.10500000000002</c:v>
                </c:pt>
                <c:pt idx="2943">
                  <c:v>325.95600000000002</c:v>
                </c:pt>
                <c:pt idx="2944">
                  <c:v>325.55</c:v>
                </c:pt>
                <c:pt idx="2945">
                  <c:v>317.74400000000003</c:v>
                </c:pt>
                <c:pt idx="2946">
                  <c:v>316.51499999999999</c:v>
                </c:pt>
                <c:pt idx="2947">
                  <c:v>314.01900000000001</c:v>
                </c:pt>
                <c:pt idx="2948">
                  <c:v>314.54399999999998</c:v>
                </c:pt>
                <c:pt idx="2949">
                  <c:v>309.19600000000003</c:v>
                </c:pt>
                <c:pt idx="2950">
                  <c:v>309.839</c:v>
                </c:pt>
                <c:pt idx="2951">
                  <c:v>310.68099999999998</c:v>
                </c:pt>
                <c:pt idx="2952">
                  <c:v>312.77100000000002</c:v>
                </c:pt>
                <c:pt idx="2953">
                  <c:v>318.76400000000001</c:v>
                </c:pt>
                <c:pt idx="2954">
                  <c:v>310.43400000000003</c:v>
                </c:pt>
                <c:pt idx="2955">
                  <c:v>315.94600000000003</c:v>
                </c:pt>
                <c:pt idx="2956">
                  <c:v>316.34800000000001</c:v>
                </c:pt>
                <c:pt idx="2957">
                  <c:v>324.173</c:v>
                </c:pt>
                <c:pt idx="2958">
                  <c:v>326.70800000000003</c:v>
                </c:pt>
                <c:pt idx="2959">
                  <c:v>325.29300000000001</c:v>
                </c:pt>
                <c:pt idx="2960">
                  <c:v>329.28500000000003</c:v>
                </c:pt>
                <c:pt idx="2961">
                  <c:v>328.036</c:v>
                </c:pt>
                <c:pt idx="2962">
                  <c:v>324.63799999999998</c:v>
                </c:pt>
                <c:pt idx="2963">
                  <c:v>329.50099999999998</c:v>
                </c:pt>
                <c:pt idx="2964">
                  <c:v>328.92700000000002</c:v>
                </c:pt>
                <c:pt idx="2965">
                  <c:v>326.995</c:v>
                </c:pt>
                <c:pt idx="2966">
                  <c:v>328.19499999999999</c:v>
                </c:pt>
                <c:pt idx="2967">
                  <c:v>323.58800000000002</c:v>
                </c:pt>
                <c:pt idx="2968">
                  <c:v>326.21300000000002</c:v>
                </c:pt>
                <c:pt idx="2969">
                  <c:v>327.41199999999998</c:v>
                </c:pt>
                <c:pt idx="2970">
                  <c:v>337.45699999999999</c:v>
                </c:pt>
                <c:pt idx="2971">
                  <c:v>324.79700000000003</c:v>
                </c:pt>
                <c:pt idx="2972">
                  <c:v>326.69799999999998</c:v>
                </c:pt>
                <c:pt idx="2973">
                  <c:v>334.12900000000002</c:v>
                </c:pt>
                <c:pt idx="2974">
                  <c:v>334.92099999999999</c:v>
                </c:pt>
                <c:pt idx="2975">
                  <c:v>342.80599999999998</c:v>
                </c:pt>
                <c:pt idx="2976">
                  <c:v>345.03300000000002</c:v>
                </c:pt>
                <c:pt idx="2977">
                  <c:v>349.471</c:v>
                </c:pt>
                <c:pt idx="2978">
                  <c:v>353.16699999999997</c:v>
                </c:pt>
                <c:pt idx="2979">
                  <c:v>357.12900000000002</c:v>
                </c:pt>
                <c:pt idx="2980">
                  <c:v>359.774</c:v>
                </c:pt>
                <c:pt idx="2981">
                  <c:v>357.28800000000001</c:v>
                </c:pt>
                <c:pt idx="2982">
                  <c:v>366.18299999999999</c:v>
                </c:pt>
                <c:pt idx="2983">
                  <c:v>363.221</c:v>
                </c:pt>
                <c:pt idx="2984">
                  <c:v>366.77800000000002</c:v>
                </c:pt>
                <c:pt idx="2985">
                  <c:v>366.92700000000002</c:v>
                </c:pt>
                <c:pt idx="2986">
                  <c:v>373.37900000000002</c:v>
                </c:pt>
                <c:pt idx="2987">
                  <c:v>367.10399999999998</c:v>
                </c:pt>
                <c:pt idx="2988">
                  <c:v>374.63799999999998</c:v>
                </c:pt>
                <c:pt idx="2989">
                  <c:v>370.30099999999999</c:v>
                </c:pt>
                <c:pt idx="2990">
                  <c:v>375.04599999999999</c:v>
                </c:pt>
                <c:pt idx="2991">
                  <c:v>374.62799999999999</c:v>
                </c:pt>
                <c:pt idx="2992">
                  <c:v>375.8</c:v>
                </c:pt>
                <c:pt idx="2993">
                  <c:v>379.86</c:v>
                </c:pt>
                <c:pt idx="2994">
                  <c:v>376.03800000000001</c:v>
                </c:pt>
                <c:pt idx="2995">
                  <c:v>376.09800000000001</c:v>
                </c:pt>
                <c:pt idx="2996">
                  <c:v>371.73099999999999</c:v>
                </c:pt>
                <c:pt idx="2997">
                  <c:v>366.40100000000001</c:v>
                </c:pt>
                <c:pt idx="2998">
                  <c:v>369.755</c:v>
                </c:pt>
                <c:pt idx="2999">
                  <c:v>366.06200000000001</c:v>
                </c:pt>
                <c:pt idx="3000">
                  <c:v>368.19600000000003</c:v>
                </c:pt>
                <c:pt idx="3001">
                  <c:v>371.45100000000002</c:v>
                </c:pt>
                <c:pt idx="3002">
                  <c:v>368.54399999999998</c:v>
                </c:pt>
                <c:pt idx="3003">
                  <c:v>371.601</c:v>
                </c:pt>
                <c:pt idx="3004">
                  <c:v>371.59100000000001</c:v>
                </c:pt>
                <c:pt idx="3005">
                  <c:v>363.214</c:v>
                </c:pt>
                <c:pt idx="3006">
                  <c:v>367.97800000000001</c:v>
                </c:pt>
                <c:pt idx="3007">
                  <c:v>369.88400000000001</c:v>
                </c:pt>
                <c:pt idx="3008">
                  <c:v>370.48899999999998</c:v>
                </c:pt>
                <c:pt idx="3009">
                  <c:v>367.87</c:v>
                </c:pt>
                <c:pt idx="3010">
                  <c:v>370.76799999999997</c:v>
                </c:pt>
                <c:pt idx="3011">
                  <c:v>371.80099999999999</c:v>
                </c:pt>
                <c:pt idx="3012">
                  <c:v>371.87900000000002</c:v>
                </c:pt>
                <c:pt idx="3013">
                  <c:v>371.29399999999998</c:v>
                </c:pt>
                <c:pt idx="3014">
                  <c:v>372.49400000000003</c:v>
                </c:pt>
                <c:pt idx="3015">
                  <c:v>373.24900000000002</c:v>
                </c:pt>
                <c:pt idx="3016">
                  <c:v>368.11599999999999</c:v>
                </c:pt>
                <c:pt idx="3017">
                  <c:v>367.85</c:v>
                </c:pt>
                <c:pt idx="3018">
                  <c:v>365.209</c:v>
                </c:pt>
                <c:pt idx="3019">
                  <c:v>365.02</c:v>
                </c:pt>
                <c:pt idx="3020">
                  <c:v>371.90899999999999</c:v>
                </c:pt>
                <c:pt idx="3021">
                  <c:v>373</c:v>
                </c:pt>
                <c:pt idx="3022">
                  <c:v>379.92899999999997</c:v>
                </c:pt>
                <c:pt idx="3023">
                  <c:v>381.77600000000001</c:v>
                </c:pt>
                <c:pt idx="3024">
                  <c:v>385.58699999999999</c:v>
                </c:pt>
                <c:pt idx="3025">
                  <c:v>387.37400000000002</c:v>
                </c:pt>
                <c:pt idx="3026">
                  <c:v>386.57900000000001</c:v>
                </c:pt>
                <c:pt idx="3027">
                  <c:v>390.94600000000003</c:v>
                </c:pt>
                <c:pt idx="3028">
                  <c:v>395.71100000000001</c:v>
                </c:pt>
                <c:pt idx="3029">
                  <c:v>393.56599999999997</c:v>
                </c:pt>
                <c:pt idx="3030">
                  <c:v>395.93900000000002</c:v>
                </c:pt>
                <c:pt idx="3031">
                  <c:v>399.572</c:v>
                </c:pt>
                <c:pt idx="3032">
                  <c:v>401.86500000000001</c:v>
                </c:pt>
                <c:pt idx="3033">
                  <c:v>400.93099999999998</c:v>
                </c:pt>
                <c:pt idx="3034">
                  <c:v>406.68</c:v>
                </c:pt>
                <c:pt idx="3035">
                  <c:v>405.55799999999999</c:v>
                </c:pt>
                <c:pt idx="3036">
                  <c:v>394.62799999999999</c:v>
                </c:pt>
                <c:pt idx="3037">
                  <c:v>400.78300000000002</c:v>
                </c:pt>
                <c:pt idx="3038">
                  <c:v>408.16800000000001</c:v>
                </c:pt>
                <c:pt idx="3039">
                  <c:v>402.63900000000001</c:v>
                </c:pt>
                <c:pt idx="3040">
                  <c:v>402.48</c:v>
                </c:pt>
                <c:pt idx="3041">
                  <c:v>410.97699999999998</c:v>
                </c:pt>
                <c:pt idx="3042">
                  <c:v>411.03699999999998</c:v>
                </c:pt>
                <c:pt idx="3043">
                  <c:v>417.428</c:v>
                </c:pt>
                <c:pt idx="3044">
                  <c:v>412.178</c:v>
                </c:pt>
                <c:pt idx="3045">
                  <c:v>403.30500000000001</c:v>
                </c:pt>
                <c:pt idx="3046">
                  <c:v>407.20299999999997</c:v>
                </c:pt>
                <c:pt idx="3047">
                  <c:v>404.28899999999999</c:v>
                </c:pt>
                <c:pt idx="3048">
                  <c:v>401.803</c:v>
                </c:pt>
                <c:pt idx="3049">
                  <c:v>400.54</c:v>
                </c:pt>
                <c:pt idx="3050">
                  <c:v>399.93299999999999</c:v>
                </c:pt>
                <c:pt idx="3051">
                  <c:v>409.351</c:v>
                </c:pt>
                <c:pt idx="3052">
                  <c:v>408.04700000000003</c:v>
                </c:pt>
                <c:pt idx="3053">
                  <c:v>405.26299999999998</c:v>
                </c:pt>
                <c:pt idx="3054">
                  <c:v>405.20299999999997</c:v>
                </c:pt>
                <c:pt idx="3055">
                  <c:v>405.44200000000001</c:v>
                </c:pt>
                <c:pt idx="3056">
                  <c:v>411.32900000000001</c:v>
                </c:pt>
                <c:pt idx="3057">
                  <c:v>413.17899999999997</c:v>
                </c:pt>
                <c:pt idx="3058">
                  <c:v>412.60199999999998</c:v>
                </c:pt>
                <c:pt idx="3059">
                  <c:v>400.40100000000001</c:v>
                </c:pt>
                <c:pt idx="3060">
                  <c:v>399.84399999999999</c:v>
                </c:pt>
                <c:pt idx="3061">
                  <c:v>406.85399999999998</c:v>
                </c:pt>
                <c:pt idx="3062">
                  <c:v>403.95</c:v>
                </c:pt>
                <c:pt idx="3063">
                  <c:v>402.26100000000002</c:v>
                </c:pt>
                <c:pt idx="3064">
                  <c:v>412.959</c:v>
                </c:pt>
                <c:pt idx="3065">
                  <c:v>412.78199999999998</c:v>
                </c:pt>
                <c:pt idx="3066">
                  <c:v>422.84399999999999</c:v>
                </c:pt>
                <c:pt idx="3067">
                  <c:v>414.09300000000002</c:v>
                </c:pt>
                <c:pt idx="3068">
                  <c:v>414.98899999999998</c:v>
                </c:pt>
                <c:pt idx="3069">
                  <c:v>419.05500000000001</c:v>
                </c:pt>
                <c:pt idx="3070">
                  <c:v>422.85399999999998</c:v>
                </c:pt>
                <c:pt idx="3071">
                  <c:v>426.971</c:v>
                </c:pt>
                <c:pt idx="3072">
                  <c:v>426.34500000000003</c:v>
                </c:pt>
                <c:pt idx="3073">
                  <c:v>420.49799999999999</c:v>
                </c:pt>
                <c:pt idx="3074">
                  <c:v>419.29500000000002</c:v>
                </c:pt>
                <c:pt idx="3075">
                  <c:v>419.07499999999999</c:v>
                </c:pt>
                <c:pt idx="3076">
                  <c:v>418.37</c:v>
                </c:pt>
                <c:pt idx="3077">
                  <c:v>422.19900000000001</c:v>
                </c:pt>
                <c:pt idx="3078">
                  <c:v>419.08499999999998</c:v>
                </c:pt>
                <c:pt idx="3079">
                  <c:v>418.101</c:v>
                </c:pt>
                <c:pt idx="3080">
                  <c:v>415.54599999999999</c:v>
                </c:pt>
                <c:pt idx="3081">
                  <c:v>423.14299999999997</c:v>
                </c:pt>
                <c:pt idx="3082">
                  <c:v>422.28699999999998</c:v>
                </c:pt>
                <c:pt idx="3083">
                  <c:v>423.89800000000002</c:v>
                </c:pt>
                <c:pt idx="3084">
                  <c:v>420.89600000000002</c:v>
                </c:pt>
                <c:pt idx="3085">
                  <c:v>425.53899999999999</c:v>
                </c:pt>
                <c:pt idx="3086">
                  <c:v>419.54199999999997</c:v>
                </c:pt>
                <c:pt idx="3087">
                  <c:v>411.32900000000001</c:v>
                </c:pt>
                <c:pt idx="3088">
                  <c:v>412.26400000000001</c:v>
                </c:pt>
                <c:pt idx="3089">
                  <c:v>409.53800000000001</c:v>
                </c:pt>
                <c:pt idx="3090">
                  <c:v>402.01100000000002</c:v>
                </c:pt>
                <c:pt idx="3091">
                  <c:v>396.89</c:v>
                </c:pt>
                <c:pt idx="3092">
                  <c:v>398.72</c:v>
                </c:pt>
                <c:pt idx="3093">
                  <c:v>405.29300000000001</c:v>
                </c:pt>
                <c:pt idx="3094">
                  <c:v>406.77499999999998</c:v>
                </c:pt>
                <c:pt idx="3095">
                  <c:v>396.81099999999998</c:v>
                </c:pt>
                <c:pt idx="3096">
                  <c:v>404.04899999999998</c:v>
                </c:pt>
                <c:pt idx="3097">
                  <c:v>400.00299999999999</c:v>
                </c:pt>
                <c:pt idx="3098">
                  <c:v>387.15499999999997</c:v>
                </c:pt>
                <c:pt idx="3099">
                  <c:v>392.73399999999998</c:v>
                </c:pt>
                <c:pt idx="3100">
                  <c:v>395.61799999999999</c:v>
                </c:pt>
                <c:pt idx="3101">
                  <c:v>404.38900000000001</c:v>
                </c:pt>
                <c:pt idx="3102">
                  <c:v>411.22899999999998</c:v>
                </c:pt>
                <c:pt idx="3103">
                  <c:v>407.053</c:v>
                </c:pt>
                <c:pt idx="3104">
                  <c:v>408.24700000000001</c:v>
                </c:pt>
                <c:pt idx="3105">
                  <c:v>410.017</c:v>
                </c:pt>
                <c:pt idx="3106">
                  <c:v>412.42200000000003</c:v>
                </c:pt>
                <c:pt idx="3107">
                  <c:v>411.40899999999999</c:v>
                </c:pt>
                <c:pt idx="3108">
                  <c:v>414.233</c:v>
                </c:pt>
                <c:pt idx="3109">
                  <c:v>421.47500000000002</c:v>
                </c:pt>
                <c:pt idx="3110">
                  <c:v>419.39400000000001</c:v>
                </c:pt>
                <c:pt idx="3111">
                  <c:v>418.61599999999999</c:v>
                </c:pt>
                <c:pt idx="3112">
                  <c:v>423.72699999999998</c:v>
                </c:pt>
                <c:pt idx="3113">
                  <c:v>427.41199999999998</c:v>
                </c:pt>
                <c:pt idx="3114">
                  <c:v>428.887</c:v>
                </c:pt>
                <c:pt idx="3115">
                  <c:v>425.38099999999997</c:v>
                </c:pt>
                <c:pt idx="3116">
                  <c:v>428.52800000000002</c:v>
                </c:pt>
                <c:pt idx="3117">
                  <c:v>428.68799999999999</c:v>
                </c:pt>
                <c:pt idx="3118">
                  <c:v>427.54199999999997</c:v>
                </c:pt>
                <c:pt idx="3119">
                  <c:v>413.09699999999998</c:v>
                </c:pt>
                <c:pt idx="3120">
                  <c:v>413.55500000000001</c:v>
                </c:pt>
                <c:pt idx="3121">
                  <c:v>411.95100000000002</c:v>
                </c:pt>
                <c:pt idx="3122">
                  <c:v>414.49099999999999</c:v>
                </c:pt>
                <c:pt idx="3123">
                  <c:v>422.40199999999999</c:v>
                </c:pt>
                <c:pt idx="3124">
                  <c:v>422.90899999999999</c:v>
                </c:pt>
                <c:pt idx="3125">
                  <c:v>422.24200000000002</c:v>
                </c:pt>
                <c:pt idx="3126">
                  <c:v>426.24700000000001</c:v>
                </c:pt>
                <c:pt idx="3127">
                  <c:v>431.03899999999999</c:v>
                </c:pt>
                <c:pt idx="3128">
                  <c:v>439.387</c:v>
                </c:pt>
                <c:pt idx="3129">
                  <c:v>439.90499999999997</c:v>
                </c:pt>
                <c:pt idx="3130">
                  <c:v>440.89100000000002</c:v>
                </c:pt>
                <c:pt idx="3131">
                  <c:v>446.66899999999998</c:v>
                </c:pt>
                <c:pt idx="3132">
                  <c:v>444.64699999999999</c:v>
                </c:pt>
                <c:pt idx="3133">
                  <c:v>444.00900000000001</c:v>
                </c:pt>
                <c:pt idx="3134">
                  <c:v>448.07400000000001</c:v>
                </c:pt>
                <c:pt idx="3135">
                  <c:v>445.97199999999998</c:v>
                </c:pt>
                <c:pt idx="3136">
                  <c:v>449.24</c:v>
                </c:pt>
                <c:pt idx="3137">
                  <c:v>450.44400000000002</c:v>
                </c:pt>
                <c:pt idx="3138">
                  <c:v>451.13200000000001</c:v>
                </c:pt>
                <c:pt idx="3139">
                  <c:v>445.255</c:v>
                </c:pt>
                <c:pt idx="3140">
                  <c:v>454.99700000000001</c:v>
                </c:pt>
                <c:pt idx="3141">
                  <c:v>457.53800000000001</c:v>
                </c:pt>
                <c:pt idx="3142">
                  <c:v>459.02199999999999</c:v>
                </c:pt>
                <c:pt idx="3143">
                  <c:v>465.78699999999998</c:v>
                </c:pt>
                <c:pt idx="3144">
                  <c:v>464.471</c:v>
                </c:pt>
                <c:pt idx="3145">
                  <c:v>457.79700000000003</c:v>
                </c:pt>
                <c:pt idx="3146">
                  <c:v>464.48099999999999</c:v>
                </c:pt>
                <c:pt idx="3147">
                  <c:v>452.97500000000002</c:v>
                </c:pt>
                <c:pt idx="3148">
                  <c:v>451.83</c:v>
                </c:pt>
                <c:pt idx="3149">
                  <c:v>452.238</c:v>
                </c:pt>
                <c:pt idx="3150">
                  <c:v>447.815</c:v>
                </c:pt>
                <c:pt idx="3151">
                  <c:v>441.83800000000002</c:v>
                </c:pt>
                <c:pt idx="3152">
                  <c:v>438.7</c:v>
                </c:pt>
                <c:pt idx="3153">
                  <c:v>435.452</c:v>
                </c:pt>
                <c:pt idx="3154">
                  <c:v>441.26</c:v>
                </c:pt>
                <c:pt idx="3155">
                  <c:v>443.16300000000001</c:v>
                </c:pt>
                <c:pt idx="3156">
                  <c:v>427.27300000000002</c:v>
                </c:pt>
                <c:pt idx="3157">
                  <c:v>416.81299999999999</c:v>
                </c:pt>
                <c:pt idx="3158">
                  <c:v>423.65699999999998</c:v>
                </c:pt>
                <c:pt idx="3159">
                  <c:v>425.11099999999999</c:v>
                </c:pt>
                <c:pt idx="3160">
                  <c:v>421.31599999999997</c:v>
                </c:pt>
                <c:pt idx="3161">
                  <c:v>416.76299999999998</c:v>
                </c:pt>
                <c:pt idx="3162">
                  <c:v>415.52800000000002</c:v>
                </c:pt>
                <c:pt idx="3163">
                  <c:v>406.94</c:v>
                </c:pt>
                <c:pt idx="3164">
                  <c:v>393.65100000000001</c:v>
                </c:pt>
                <c:pt idx="3165">
                  <c:v>398.09399999999999</c:v>
                </c:pt>
                <c:pt idx="3166">
                  <c:v>396.91899999999998</c:v>
                </c:pt>
                <c:pt idx="3167">
                  <c:v>401.16199999999998</c:v>
                </c:pt>
                <c:pt idx="3168">
                  <c:v>404.48</c:v>
                </c:pt>
                <c:pt idx="3169">
                  <c:v>405.267</c:v>
                </c:pt>
                <c:pt idx="3170">
                  <c:v>412.43900000000002</c:v>
                </c:pt>
                <c:pt idx="3171">
                  <c:v>415.279</c:v>
                </c:pt>
                <c:pt idx="3172">
                  <c:v>420.18900000000002</c:v>
                </c:pt>
                <c:pt idx="3173">
                  <c:v>417.63400000000001</c:v>
                </c:pt>
                <c:pt idx="3174">
                  <c:v>420.68799999999999</c:v>
                </c:pt>
                <c:pt idx="3175">
                  <c:v>423.95100000000002</c:v>
                </c:pt>
                <c:pt idx="3176">
                  <c:v>423.29300000000001</c:v>
                </c:pt>
                <c:pt idx="3177">
                  <c:v>414.72</c:v>
                </c:pt>
                <c:pt idx="3178">
                  <c:v>415.95699999999999</c:v>
                </c:pt>
                <c:pt idx="3179">
                  <c:v>412.66399999999999</c:v>
                </c:pt>
                <c:pt idx="3180">
                  <c:v>413.01299999999998</c:v>
                </c:pt>
                <c:pt idx="3181">
                  <c:v>409.78</c:v>
                </c:pt>
                <c:pt idx="3182">
                  <c:v>412.29500000000002</c:v>
                </c:pt>
                <c:pt idx="3183">
                  <c:v>416.30700000000002</c:v>
                </c:pt>
                <c:pt idx="3184">
                  <c:v>408.62200000000001</c:v>
                </c:pt>
                <c:pt idx="3185">
                  <c:v>408.08300000000003</c:v>
                </c:pt>
                <c:pt idx="3186">
                  <c:v>407.57400000000001</c:v>
                </c:pt>
                <c:pt idx="3187">
                  <c:v>400.89800000000002</c:v>
                </c:pt>
                <c:pt idx="3188">
                  <c:v>404.91</c:v>
                </c:pt>
                <c:pt idx="3189">
                  <c:v>413.37299999999999</c:v>
                </c:pt>
                <c:pt idx="3190">
                  <c:v>422.19499999999999</c:v>
                </c:pt>
                <c:pt idx="3191">
                  <c:v>426.14699999999999</c:v>
                </c:pt>
                <c:pt idx="3192">
                  <c:v>429.73</c:v>
                </c:pt>
                <c:pt idx="3193">
                  <c:v>430.47800000000001</c:v>
                </c:pt>
                <c:pt idx="3194">
                  <c:v>434.28100000000001</c:v>
                </c:pt>
                <c:pt idx="3195">
                  <c:v>429.94900000000001</c:v>
                </c:pt>
                <c:pt idx="3196">
                  <c:v>437.81400000000002</c:v>
                </c:pt>
                <c:pt idx="3197">
                  <c:v>434.4</c:v>
                </c:pt>
                <c:pt idx="3198">
                  <c:v>432.64400000000001</c:v>
                </c:pt>
                <c:pt idx="3199">
                  <c:v>428.31299999999999</c:v>
                </c:pt>
                <c:pt idx="3200">
                  <c:v>431.24700000000001</c:v>
                </c:pt>
                <c:pt idx="3201">
                  <c:v>430.44799999999998</c:v>
                </c:pt>
                <c:pt idx="3202">
                  <c:v>427.16500000000002</c:v>
                </c:pt>
                <c:pt idx="3203">
                  <c:v>429.44</c:v>
                </c:pt>
                <c:pt idx="3204">
                  <c:v>419.85</c:v>
                </c:pt>
                <c:pt idx="3205">
                  <c:v>416.29700000000003</c:v>
                </c:pt>
                <c:pt idx="3206">
                  <c:v>415.70800000000003</c:v>
                </c:pt>
                <c:pt idx="3207">
                  <c:v>415.22899999999998</c:v>
                </c:pt>
                <c:pt idx="3208">
                  <c:v>408.72199999999998</c:v>
                </c:pt>
                <c:pt idx="3209">
                  <c:v>413.88200000000001</c:v>
                </c:pt>
                <c:pt idx="3210">
                  <c:v>416.62599999999998</c:v>
                </c:pt>
                <c:pt idx="3211">
                  <c:v>415.00900000000001</c:v>
                </c:pt>
                <c:pt idx="3212">
                  <c:v>415.488</c:v>
                </c:pt>
                <c:pt idx="3213">
                  <c:v>418.303</c:v>
                </c:pt>
                <c:pt idx="3214">
                  <c:v>417.904</c:v>
                </c:pt>
                <c:pt idx="3215">
                  <c:v>415.28899999999999</c:v>
                </c:pt>
                <c:pt idx="3216">
                  <c:v>415.88799999999998</c:v>
                </c:pt>
                <c:pt idx="3217">
                  <c:v>417.32499999999999</c:v>
                </c:pt>
                <c:pt idx="3218">
                  <c:v>417.94299999999998</c:v>
                </c:pt>
                <c:pt idx="3219">
                  <c:v>426.65600000000001</c:v>
                </c:pt>
                <c:pt idx="3220">
                  <c:v>423.75200000000001</c:v>
                </c:pt>
                <c:pt idx="3221">
                  <c:v>423.88200000000001</c:v>
                </c:pt>
                <c:pt idx="3222">
                  <c:v>427.29500000000002</c:v>
                </c:pt>
                <c:pt idx="3223">
                  <c:v>425.738</c:v>
                </c:pt>
                <c:pt idx="3224">
                  <c:v>431.08699999999999</c:v>
                </c:pt>
                <c:pt idx="3225">
                  <c:v>431.666</c:v>
                </c:pt>
                <c:pt idx="3226">
                  <c:v>405.53800000000001</c:v>
                </c:pt>
                <c:pt idx="3227">
                  <c:v>409.55</c:v>
                </c:pt>
                <c:pt idx="3228">
                  <c:v>407.64400000000001</c:v>
                </c:pt>
                <c:pt idx="3229">
                  <c:v>410.63799999999998</c:v>
                </c:pt>
                <c:pt idx="3230">
                  <c:v>419.34100000000001</c:v>
                </c:pt>
                <c:pt idx="3231">
                  <c:v>424.58</c:v>
                </c:pt>
                <c:pt idx="3232">
                  <c:v>421.69600000000003</c:v>
                </c:pt>
                <c:pt idx="3233">
                  <c:v>417.17500000000001</c:v>
                </c:pt>
                <c:pt idx="3234">
                  <c:v>422.185</c:v>
                </c:pt>
                <c:pt idx="3235">
                  <c:v>424.351</c:v>
                </c:pt>
                <c:pt idx="3236">
                  <c:v>426.03699999999998</c:v>
                </c:pt>
                <c:pt idx="3237">
                  <c:v>414.17099999999999</c:v>
                </c:pt>
                <c:pt idx="3238">
                  <c:v>414.92899999999997</c:v>
                </c:pt>
                <c:pt idx="3239">
                  <c:v>416.95499999999998</c:v>
                </c:pt>
                <c:pt idx="3240">
                  <c:v>414.66</c:v>
                </c:pt>
                <c:pt idx="3241">
                  <c:v>412.87</c:v>
                </c:pt>
                <c:pt idx="3242">
                  <c:v>417</c:v>
                </c:pt>
                <c:pt idx="3243">
                  <c:v>418.79</c:v>
                </c:pt>
                <c:pt idx="3244">
                  <c:v>427.99</c:v>
                </c:pt>
                <c:pt idx="3245">
                  <c:v>422.99</c:v>
                </c:pt>
                <c:pt idx="3246">
                  <c:v>423.46</c:v>
                </c:pt>
                <c:pt idx="3247">
                  <c:v>430.98</c:v>
                </c:pt>
                <c:pt idx="3248">
                  <c:v>431.2</c:v>
                </c:pt>
                <c:pt idx="3249">
                  <c:v>437.42</c:v>
                </c:pt>
                <c:pt idx="3250">
                  <c:v>442.62</c:v>
                </c:pt>
                <c:pt idx="3251">
                  <c:v>443.57</c:v>
                </c:pt>
                <c:pt idx="3252">
                  <c:v>446.02</c:v>
                </c:pt>
                <c:pt idx="3253">
                  <c:v>443.33</c:v>
                </c:pt>
                <c:pt idx="3254">
                  <c:v>448.99</c:v>
                </c:pt>
                <c:pt idx="3255">
                  <c:v>449.56</c:v>
                </c:pt>
                <c:pt idx="3256">
                  <c:v>447.27</c:v>
                </c:pt>
                <c:pt idx="3257">
                  <c:v>451.59</c:v>
                </c:pt>
                <c:pt idx="3258">
                  <c:v>454.46</c:v>
                </c:pt>
                <c:pt idx="3259">
                  <c:v>437.39</c:v>
                </c:pt>
                <c:pt idx="3260">
                  <c:v>437.03</c:v>
                </c:pt>
                <c:pt idx="3261">
                  <c:v>436.6</c:v>
                </c:pt>
                <c:pt idx="3262">
                  <c:v>435.25</c:v>
                </c:pt>
                <c:pt idx="3263">
                  <c:v>439.33</c:v>
                </c:pt>
                <c:pt idx="3264">
                  <c:v>438.11</c:v>
                </c:pt>
                <c:pt idx="3265">
                  <c:v>430.53</c:v>
                </c:pt>
                <c:pt idx="3266">
                  <c:v>424.83</c:v>
                </c:pt>
                <c:pt idx="3267">
                  <c:v>421.5</c:v>
                </c:pt>
                <c:pt idx="3268">
                  <c:v>418.58</c:v>
                </c:pt>
                <c:pt idx="3269">
                  <c:v>423.35</c:v>
                </c:pt>
                <c:pt idx="3270">
                  <c:v>427.85</c:v>
                </c:pt>
                <c:pt idx="3271">
                  <c:v>422.37</c:v>
                </c:pt>
                <c:pt idx="3272">
                  <c:v>424.56</c:v>
                </c:pt>
                <c:pt idx="3273">
                  <c:v>418.95</c:v>
                </c:pt>
                <c:pt idx="3274">
                  <c:v>417.19</c:v>
                </c:pt>
                <c:pt idx="3275">
                  <c:v>415.67</c:v>
                </c:pt>
                <c:pt idx="3276">
                  <c:v>426.31</c:v>
                </c:pt>
                <c:pt idx="3277">
                  <c:v>424.58</c:v>
                </c:pt>
                <c:pt idx="3278">
                  <c:v>429.03</c:v>
                </c:pt>
                <c:pt idx="3279">
                  <c:v>428.5</c:v>
                </c:pt>
                <c:pt idx="3280">
                  <c:v>446.2</c:v>
                </c:pt>
                <c:pt idx="3281">
                  <c:v>446.71</c:v>
                </c:pt>
                <c:pt idx="3282">
                  <c:v>444.06</c:v>
                </c:pt>
                <c:pt idx="3283">
                  <c:v>434.56</c:v>
                </c:pt>
                <c:pt idx="3284">
                  <c:v>447.2</c:v>
                </c:pt>
                <c:pt idx="3285">
                  <c:v>442.33</c:v>
                </c:pt>
                <c:pt idx="3286">
                  <c:v>414.99</c:v>
                </c:pt>
                <c:pt idx="3287">
                  <c:v>415.06</c:v>
                </c:pt>
                <c:pt idx="3288">
                  <c:v>410.92</c:v>
                </c:pt>
                <c:pt idx="3289">
                  <c:v>412.37</c:v>
                </c:pt>
                <c:pt idx="3290">
                  <c:v>413.29</c:v>
                </c:pt>
                <c:pt idx="3291">
                  <c:v>415.82</c:v>
                </c:pt>
                <c:pt idx="3292">
                  <c:v>409.75</c:v>
                </c:pt>
                <c:pt idx="3293">
                  <c:v>412.22</c:v>
                </c:pt>
                <c:pt idx="3294">
                  <c:v>411.44</c:v>
                </c:pt>
                <c:pt idx="3295">
                  <c:v>409.04</c:v>
                </c:pt>
                <c:pt idx="3296">
                  <c:v>410.54</c:v>
                </c:pt>
                <c:pt idx="3297">
                  <c:v>408.43</c:v>
                </c:pt>
                <c:pt idx="3298">
                  <c:v>409.64</c:v>
                </c:pt>
                <c:pt idx="3299">
                  <c:v>414.77</c:v>
                </c:pt>
                <c:pt idx="3300">
                  <c:v>416.13</c:v>
                </c:pt>
                <c:pt idx="3301">
                  <c:v>408.21</c:v>
                </c:pt>
                <c:pt idx="3302">
                  <c:v>404</c:v>
                </c:pt>
                <c:pt idx="3303">
                  <c:v>397.9</c:v>
                </c:pt>
                <c:pt idx="3304">
                  <c:v>399.73</c:v>
                </c:pt>
                <c:pt idx="3305">
                  <c:v>392.53</c:v>
                </c:pt>
                <c:pt idx="3306">
                  <c:v>396.99</c:v>
                </c:pt>
                <c:pt idx="3307">
                  <c:v>388.49</c:v>
                </c:pt>
                <c:pt idx="3308">
                  <c:v>388.61</c:v>
                </c:pt>
                <c:pt idx="3309">
                  <c:v>401.02</c:v>
                </c:pt>
                <c:pt idx="3310">
                  <c:v>396.89</c:v>
                </c:pt>
                <c:pt idx="3311">
                  <c:v>393.31</c:v>
                </c:pt>
                <c:pt idx="3312">
                  <c:v>380.16</c:v>
                </c:pt>
                <c:pt idx="3313">
                  <c:v>380.45</c:v>
                </c:pt>
                <c:pt idx="3314">
                  <c:v>383.27</c:v>
                </c:pt>
                <c:pt idx="3315">
                  <c:v>378.77</c:v>
                </c:pt>
                <c:pt idx="3316">
                  <c:v>388.56</c:v>
                </c:pt>
                <c:pt idx="3317">
                  <c:v>388.7</c:v>
                </c:pt>
                <c:pt idx="3318">
                  <c:v>383.52</c:v>
                </c:pt>
                <c:pt idx="3319">
                  <c:v>387.82</c:v>
                </c:pt>
                <c:pt idx="3320">
                  <c:v>386.84</c:v>
                </c:pt>
                <c:pt idx="3321">
                  <c:v>391.26</c:v>
                </c:pt>
                <c:pt idx="3322">
                  <c:v>393.08</c:v>
                </c:pt>
                <c:pt idx="3323">
                  <c:v>395.16</c:v>
                </c:pt>
                <c:pt idx="3324">
                  <c:v>389.97</c:v>
                </c:pt>
                <c:pt idx="3325">
                  <c:v>390.58</c:v>
                </c:pt>
                <c:pt idx="3326">
                  <c:v>378.8</c:v>
                </c:pt>
                <c:pt idx="3327">
                  <c:v>375.39</c:v>
                </c:pt>
                <c:pt idx="3328">
                  <c:v>382.19</c:v>
                </c:pt>
                <c:pt idx="3329">
                  <c:v>382.14</c:v>
                </c:pt>
                <c:pt idx="3330">
                  <c:v>373.11</c:v>
                </c:pt>
                <c:pt idx="3331">
                  <c:v>359.84</c:v>
                </c:pt>
                <c:pt idx="3332">
                  <c:v>357.86</c:v>
                </c:pt>
                <c:pt idx="3333">
                  <c:v>354.56</c:v>
                </c:pt>
                <c:pt idx="3334">
                  <c:v>390.49</c:v>
                </c:pt>
                <c:pt idx="3335">
                  <c:v>381.35</c:v>
                </c:pt>
                <c:pt idx="3336">
                  <c:v>388.45</c:v>
                </c:pt>
                <c:pt idx="3337">
                  <c:v>387.81</c:v>
                </c:pt>
                <c:pt idx="3338">
                  <c:v>385.73</c:v>
                </c:pt>
                <c:pt idx="3339">
                  <c:v>371.61</c:v>
                </c:pt>
                <c:pt idx="3340">
                  <c:v>367.78</c:v>
                </c:pt>
                <c:pt idx="3341">
                  <c:v>359.12</c:v>
                </c:pt>
                <c:pt idx="3342">
                  <c:v>366.82</c:v>
                </c:pt>
                <c:pt idx="3343">
                  <c:v>374.39</c:v>
                </c:pt>
                <c:pt idx="3344">
                  <c:v>387.3</c:v>
                </c:pt>
                <c:pt idx="3345">
                  <c:v>391.85</c:v>
                </c:pt>
                <c:pt idx="3346">
                  <c:v>391.16</c:v>
                </c:pt>
                <c:pt idx="3347">
                  <c:v>394.04</c:v>
                </c:pt>
                <c:pt idx="3348">
                  <c:v>395.26</c:v>
                </c:pt>
                <c:pt idx="3349">
                  <c:v>425.4</c:v>
                </c:pt>
                <c:pt idx="3350">
                  <c:v>435.28</c:v>
                </c:pt>
                <c:pt idx="3351">
                  <c:v>436.17</c:v>
                </c:pt>
                <c:pt idx="3352">
                  <c:v>433.31</c:v>
                </c:pt>
                <c:pt idx="3353">
                  <c:v>433.35</c:v>
                </c:pt>
                <c:pt idx="3354">
                  <c:v>438.17</c:v>
                </c:pt>
                <c:pt idx="3355">
                  <c:v>438.73</c:v>
                </c:pt>
                <c:pt idx="3356">
                  <c:v>449.26</c:v>
                </c:pt>
                <c:pt idx="3357">
                  <c:v>449.14</c:v>
                </c:pt>
                <c:pt idx="3358">
                  <c:v>452.94</c:v>
                </c:pt>
                <c:pt idx="3359">
                  <c:v>453.13</c:v>
                </c:pt>
                <c:pt idx="3360">
                  <c:v>454.27</c:v>
                </c:pt>
                <c:pt idx="3361">
                  <c:v>458.87</c:v>
                </c:pt>
                <c:pt idx="3362">
                  <c:v>458.17</c:v>
                </c:pt>
                <c:pt idx="3363">
                  <c:v>452.57</c:v>
                </c:pt>
                <c:pt idx="3364">
                  <c:v>454.86</c:v>
                </c:pt>
                <c:pt idx="3365">
                  <c:v>450.18</c:v>
                </c:pt>
                <c:pt idx="3366">
                  <c:v>460.69</c:v>
                </c:pt>
                <c:pt idx="3367">
                  <c:v>457.36</c:v>
                </c:pt>
                <c:pt idx="3368">
                  <c:v>458.68</c:v>
                </c:pt>
                <c:pt idx="3369">
                  <c:v>460.36</c:v>
                </c:pt>
                <c:pt idx="3370">
                  <c:v>461.97</c:v>
                </c:pt>
                <c:pt idx="3371">
                  <c:v>462.97</c:v>
                </c:pt>
                <c:pt idx="3372">
                  <c:v>463.87</c:v>
                </c:pt>
                <c:pt idx="3373">
                  <c:v>467.68</c:v>
                </c:pt>
                <c:pt idx="3374">
                  <c:v>470.38</c:v>
                </c:pt>
                <c:pt idx="3375">
                  <c:v>472.75</c:v>
                </c:pt>
                <c:pt idx="3376">
                  <c:v>470.92</c:v>
                </c:pt>
                <c:pt idx="3377">
                  <c:v>472.62</c:v>
                </c:pt>
                <c:pt idx="3378">
                  <c:v>478.87</c:v>
                </c:pt>
                <c:pt idx="3379">
                  <c:v>474.96</c:v>
                </c:pt>
                <c:pt idx="3380">
                  <c:v>479.14</c:v>
                </c:pt>
                <c:pt idx="3381">
                  <c:v>478.04</c:v>
                </c:pt>
                <c:pt idx="3382">
                  <c:v>480.24</c:v>
                </c:pt>
                <c:pt idx="3383">
                  <c:v>477.4</c:v>
                </c:pt>
                <c:pt idx="3384">
                  <c:v>486</c:v>
                </c:pt>
                <c:pt idx="3385">
                  <c:v>490.11</c:v>
                </c:pt>
                <c:pt idx="3386">
                  <c:v>492.27</c:v>
                </c:pt>
                <c:pt idx="3387">
                  <c:v>497.45</c:v>
                </c:pt>
                <c:pt idx="3388">
                  <c:v>495.94</c:v>
                </c:pt>
                <c:pt idx="3389">
                  <c:v>497.41</c:v>
                </c:pt>
                <c:pt idx="3390">
                  <c:v>492.05</c:v>
                </c:pt>
                <c:pt idx="3391">
                  <c:v>491.09</c:v>
                </c:pt>
                <c:pt idx="3392">
                  <c:v>498.84</c:v>
                </c:pt>
                <c:pt idx="3393">
                  <c:v>497.72</c:v>
                </c:pt>
                <c:pt idx="3394">
                  <c:v>496.62</c:v>
                </c:pt>
                <c:pt idx="3395">
                  <c:v>503.51</c:v>
                </c:pt>
                <c:pt idx="3396">
                  <c:v>501.48</c:v>
                </c:pt>
                <c:pt idx="3397">
                  <c:v>503.32</c:v>
                </c:pt>
                <c:pt idx="3398">
                  <c:v>503.02</c:v>
                </c:pt>
                <c:pt idx="3399">
                  <c:v>505.82</c:v>
                </c:pt>
                <c:pt idx="3400">
                  <c:v>505.62</c:v>
                </c:pt>
                <c:pt idx="3401">
                  <c:v>511.7</c:v>
                </c:pt>
                <c:pt idx="3402">
                  <c:v>510.05</c:v>
                </c:pt>
                <c:pt idx="3403">
                  <c:v>510.06</c:v>
                </c:pt>
                <c:pt idx="3404">
                  <c:v>505.27</c:v>
                </c:pt>
                <c:pt idx="3405">
                  <c:v>505.87</c:v>
                </c:pt>
                <c:pt idx="3406">
                  <c:v>510.88</c:v>
                </c:pt>
                <c:pt idx="3407">
                  <c:v>513.71</c:v>
                </c:pt>
                <c:pt idx="3408">
                  <c:v>512.5</c:v>
                </c:pt>
                <c:pt idx="3409">
                  <c:v>512.57000000000005</c:v>
                </c:pt>
                <c:pt idx="3410">
                  <c:v>513.24</c:v>
                </c:pt>
                <c:pt idx="3411">
                  <c:v>533.5</c:v>
                </c:pt>
                <c:pt idx="3412">
                  <c:v>524.11</c:v>
                </c:pt>
                <c:pt idx="3413">
                  <c:v>535.64</c:v>
                </c:pt>
                <c:pt idx="3414">
                  <c:v>527.75</c:v>
                </c:pt>
                <c:pt idx="3415">
                  <c:v>524.94000000000005</c:v>
                </c:pt>
                <c:pt idx="3416">
                  <c:v>520.84</c:v>
                </c:pt>
                <c:pt idx="3417">
                  <c:v>522.04</c:v>
                </c:pt>
                <c:pt idx="3418">
                  <c:v>521.77</c:v>
                </c:pt>
                <c:pt idx="3419">
                  <c:v>529.24</c:v>
                </c:pt>
                <c:pt idx="3420">
                  <c:v>520.58000000000004</c:v>
                </c:pt>
                <c:pt idx="3421">
                  <c:v>522.48</c:v>
                </c:pt>
                <c:pt idx="3422">
                  <c:v>520.16999999999996</c:v>
                </c:pt>
                <c:pt idx="3423">
                  <c:v>517.1</c:v>
                </c:pt>
                <c:pt idx="3424">
                  <c:v>509.77</c:v>
                </c:pt>
                <c:pt idx="3425">
                  <c:v>505.72</c:v>
                </c:pt>
                <c:pt idx="3426">
                  <c:v>504.24</c:v>
                </c:pt>
                <c:pt idx="3427">
                  <c:v>507.23</c:v>
                </c:pt>
                <c:pt idx="3428">
                  <c:v>504.26</c:v>
                </c:pt>
                <c:pt idx="3429">
                  <c:v>502.04</c:v>
                </c:pt>
                <c:pt idx="3430">
                  <c:v>506.74</c:v>
                </c:pt>
                <c:pt idx="3431">
                  <c:v>509.64</c:v>
                </c:pt>
                <c:pt idx="3432">
                  <c:v>506.69</c:v>
                </c:pt>
                <c:pt idx="3433">
                  <c:v>505.12</c:v>
                </c:pt>
                <c:pt idx="3434">
                  <c:v>505.35</c:v>
                </c:pt>
                <c:pt idx="3435">
                  <c:v>507.97</c:v>
                </c:pt>
                <c:pt idx="3436">
                  <c:v>495</c:v>
                </c:pt>
                <c:pt idx="3437">
                  <c:v>498.2</c:v>
                </c:pt>
                <c:pt idx="3438">
                  <c:v>498.41</c:v>
                </c:pt>
                <c:pt idx="3439">
                  <c:v>500.37</c:v>
                </c:pt>
                <c:pt idx="3440">
                  <c:v>501.01</c:v>
                </c:pt>
                <c:pt idx="3441">
                  <c:v>509.9</c:v>
                </c:pt>
                <c:pt idx="3442">
                  <c:v>515.36</c:v>
                </c:pt>
                <c:pt idx="3443">
                  <c:v>509.04</c:v>
                </c:pt>
                <c:pt idx="3444">
                  <c:v>510.02</c:v>
                </c:pt>
                <c:pt idx="3445">
                  <c:v>508.45</c:v>
                </c:pt>
                <c:pt idx="3446">
                  <c:v>517.92999999999995</c:v>
                </c:pt>
                <c:pt idx="3447">
                  <c:v>514.45000000000005</c:v>
                </c:pt>
                <c:pt idx="3448">
                  <c:v>509.23</c:v>
                </c:pt>
                <c:pt idx="3449">
                  <c:v>510.15</c:v>
                </c:pt>
                <c:pt idx="3450">
                  <c:v>507.03</c:v>
                </c:pt>
                <c:pt idx="3451">
                  <c:v>511.46</c:v>
                </c:pt>
                <c:pt idx="3452">
                  <c:v>514.6</c:v>
                </c:pt>
                <c:pt idx="3453">
                  <c:v>517.95000000000005</c:v>
                </c:pt>
                <c:pt idx="3454">
                  <c:v>519.71</c:v>
                </c:pt>
                <c:pt idx="3455">
                  <c:v>515.74</c:v>
                </c:pt>
                <c:pt idx="3456">
                  <c:v>517.35</c:v>
                </c:pt>
                <c:pt idx="3457">
                  <c:v>528.57000000000005</c:v>
                </c:pt>
                <c:pt idx="3458">
                  <c:v>523.98</c:v>
                </c:pt>
                <c:pt idx="3459">
                  <c:v>524.85</c:v>
                </c:pt>
                <c:pt idx="3460">
                  <c:v>522.4</c:v>
                </c:pt>
                <c:pt idx="3461">
                  <c:v>510.96</c:v>
                </c:pt>
                <c:pt idx="3462">
                  <c:v>514.04999999999995</c:v>
                </c:pt>
                <c:pt idx="3463">
                  <c:v>513.57000000000005</c:v>
                </c:pt>
                <c:pt idx="3464">
                  <c:v>513.42999999999995</c:v>
                </c:pt>
                <c:pt idx="3465">
                  <c:v>511.61</c:v>
                </c:pt>
                <c:pt idx="3466">
                  <c:v>513.58000000000004</c:v>
                </c:pt>
                <c:pt idx="3467">
                  <c:v>516.79</c:v>
                </c:pt>
                <c:pt idx="3468">
                  <c:v>517.66</c:v>
                </c:pt>
                <c:pt idx="3469">
                  <c:v>520.54</c:v>
                </c:pt>
                <c:pt idx="3470">
                  <c:v>520.55999999999995</c:v>
                </c:pt>
                <c:pt idx="3471">
                  <c:v>523.61</c:v>
                </c:pt>
                <c:pt idx="3472">
                  <c:v>531.52</c:v>
                </c:pt>
                <c:pt idx="3473">
                  <c:v>542.07000000000005</c:v>
                </c:pt>
                <c:pt idx="3474">
                  <c:v>541.54999999999995</c:v>
                </c:pt>
                <c:pt idx="3475">
                  <c:v>525.76</c:v>
                </c:pt>
                <c:pt idx="3476">
                  <c:v>517.80999999999995</c:v>
                </c:pt>
                <c:pt idx="3477">
                  <c:v>517.03</c:v>
                </c:pt>
                <c:pt idx="3478">
                  <c:v>514.33000000000004</c:v>
                </c:pt>
                <c:pt idx="3479">
                  <c:v>507.16</c:v>
                </c:pt>
                <c:pt idx="3480">
                  <c:v>497.1</c:v>
                </c:pt>
                <c:pt idx="3481">
                  <c:v>496.82</c:v>
                </c:pt>
                <c:pt idx="3482">
                  <c:v>506</c:v>
                </c:pt>
                <c:pt idx="3483">
                  <c:v>508.68</c:v>
                </c:pt>
                <c:pt idx="3484">
                  <c:v>511.14</c:v>
                </c:pt>
                <c:pt idx="3485">
                  <c:v>503.29</c:v>
                </c:pt>
                <c:pt idx="3486">
                  <c:v>510.18</c:v>
                </c:pt>
                <c:pt idx="3487">
                  <c:v>507.49</c:v>
                </c:pt>
                <c:pt idx="3488">
                  <c:v>493.79</c:v>
                </c:pt>
                <c:pt idx="3489">
                  <c:v>487.12</c:v>
                </c:pt>
                <c:pt idx="3490">
                  <c:v>478.43</c:v>
                </c:pt>
                <c:pt idx="3491">
                  <c:v>472.12</c:v>
                </c:pt>
                <c:pt idx="3492">
                  <c:v>474</c:v>
                </c:pt>
                <c:pt idx="3493">
                  <c:v>476.99</c:v>
                </c:pt>
                <c:pt idx="3494">
                  <c:v>485.5</c:v>
                </c:pt>
                <c:pt idx="3495">
                  <c:v>492.01</c:v>
                </c:pt>
                <c:pt idx="3496">
                  <c:v>486.74</c:v>
                </c:pt>
                <c:pt idx="3497">
                  <c:v>490</c:v>
                </c:pt>
                <c:pt idx="3498">
                  <c:v>477.73</c:v>
                </c:pt>
                <c:pt idx="3499">
                  <c:v>480.84</c:v>
                </c:pt>
                <c:pt idx="3500">
                  <c:v>483.16</c:v>
                </c:pt>
                <c:pt idx="3501">
                  <c:v>491.02</c:v>
                </c:pt>
                <c:pt idx="3502">
                  <c:v>492.02</c:v>
                </c:pt>
                <c:pt idx="3503">
                  <c:v>478.56</c:v>
                </c:pt>
                <c:pt idx="3504">
                  <c:v>483.47</c:v>
                </c:pt>
                <c:pt idx="3505">
                  <c:v>478.53</c:v>
                </c:pt>
                <c:pt idx="3506">
                  <c:v>474.82</c:v>
                </c:pt>
                <c:pt idx="3507">
                  <c:v>476.39</c:v>
                </c:pt>
                <c:pt idx="3508">
                  <c:v>476.12</c:v>
                </c:pt>
                <c:pt idx="3509">
                  <c:v>483.98</c:v>
                </c:pt>
                <c:pt idx="3510">
                  <c:v>485.92</c:v>
                </c:pt>
                <c:pt idx="3511">
                  <c:v>484.92</c:v>
                </c:pt>
                <c:pt idx="3512">
                  <c:v>486.85</c:v>
                </c:pt>
                <c:pt idx="3513">
                  <c:v>488.02</c:v>
                </c:pt>
                <c:pt idx="3514">
                  <c:v>487.71</c:v>
                </c:pt>
                <c:pt idx="3515">
                  <c:v>487.1</c:v>
                </c:pt>
                <c:pt idx="3516">
                  <c:v>487.48</c:v>
                </c:pt>
                <c:pt idx="3517">
                  <c:v>483.62</c:v>
                </c:pt>
                <c:pt idx="3518">
                  <c:v>472.94</c:v>
                </c:pt>
                <c:pt idx="3519">
                  <c:v>472.85</c:v>
                </c:pt>
                <c:pt idx="3520">
                  <c:v>478.51</c:v>
                </c:pt>
                <c:pt idx="3521">
                  <c:v>483.47</c:v>
                </c:pt>
                <c:pt idx="3522">
                  <c:v>478.11</c:v>
                </c:pt>
                <c:pt idx="3523">
                  <c:v>479.28</c:v>
                </c:pt>
                <c:pt idx="3524">
                  <c:v>477.18</c:v>
                </c:pt>
                <c:pt idx="3525">
                  <c:v>470.67</c:v>
                </c:pt>
                <c:pt idx="3526">
                  <c:v>459.38</c:v>
                </c:pt>
                <c:pt idx="3527">
                  <c:v>456.66</c:v>
                </c:pt>
                <c:pt idx="3528">
                  <c:v>459.86</c:v>
                </c:pt>
                <c:pt idx="3529">
                  <c:v>454.52</c:v>
                </c:pt>
                <c:pt idx="3530">
                  <c:v>444.11</c:v>
                </c:pt>
                <c:pt idx="3531">
                  <c:v>451.14</c:v>
                </c:pt>
                <c:pt idx="3532">
                  <c:v>465.95</c:v>
                </c:pt>
                <c:pt idx="3533">
                  <c:v>470.28</c:v>
                </c:pt>
                <c:pt idx="3534">
                  <c:v>480.58</c:v>
                </c:pt>
                <c:pt idx="3535">
                  <c:v>481.63</c:v>
                </c:pt>
                <c:pt idx="3536">
                  <c:v>433.5</c:v>
                </c:pt>
                <c:pt idx="3537">
                  <c:v>430.29</c:v>
                </c:pt>
                <c:pt idx="3538">
                  <c:v>423.37</c:v>
                </c:pt>
                <c:pt idx="3539">
                  <c:v>411.21</c:v>
                </c:pt>
                <c:pt idx="3540">
                  <c:v>414.19</c:v>
                </c:pt>
                <c:pt idx="3541">
                  <c:v>393.67</c:v>
                </c:pt>
                <c:pt idx="3542">
                  <c:v>401.14</c:v>
                </c:pt>
                <c:pt idx="3543">
                  <c:v>413.6</c:v>
                </c:pt>
                <c:pt idx="3544">
                  <c:v>413.27</c:v>
                </c:pt>
                <c:pt idx="3545">
                  <c:v>404.37</c:v>
                </c:pt>
                <c:pt idx="3546">
                  <c:v>401.84</c:v>
                </c:pt>
                <c:pt idx="3547">
                  <c:v>401.32</c:v>
                </c:pt>
                <c:pt idx="3548">
                  <c:v>396.86</c:v>
                </c:pt>
                <c:pt idx="3549">
                  <c:v>399.6</c:v>
                </c:pt>
                <c:pt idx="3550">
                  <c:v>398.46</c:v>
                </c:pt>
                <c:pt idx="3551">
                  <c:v>397.23</c:v>
                </c:pt>
                <c:pt idx="3552">
                  <c:v>384.47</c:v>
                </c:pt>
                <c:pt idx="3553">
                  <c:v>389</c:v>
                </c:pt>
                <c:pt idx="3554">
                  <c:v>400.6</c:v>
                </c:pt>
                <c:pt idx="3555">
                  <c:v>401.72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8F-47B3-9E1E-55F26FC0A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6509915"/>
        <c:axId val="83852358"/>
      </c:lineChart>
      <c:catAx>
        <c:axId val="565099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852358"/>
        <c:crosses val="autoZero"/>
        <c:auto val="1"/>
        <c:lblAlgn val="ctr"/>
        <c:lblOffset val="100"/>
        <c:noMultiLvlLbl val="0"/>
      </c:catAx>
      <c:valAx>
        <c:axId val="83852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Price (USD)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5650991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MSFT vs S&amp;P 500 Log Returns (Beta Regression)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Returns</c:v>
          </c:tx>
          <c:spPr>
            <a:ln w="47520">
              <a:noFill/>
              <a:prstDash val="solid"/>
            </a:ln>
          </c:spPr>
          <c:marker>
            <c:symbol val="circle"/>
            <c:size val="2"/>
            <c:spPr>
              <a:solidFill>
                <a:srgbClr val="4472C4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'[1]MSFT Analysis'!$G$6:$G$3560</c:f>
              <c:numCache>
                <c:formatCode>General</c:formatCode>
                <c:ptCount val="3555"/>
                <c:pt idx="0">
                  <c:v>-2.5401851188711095E-3</c:v>
                </c:pt>
                <c:pt idx="1">
                  <c:v>2.2591283435529062E-3</c:v>
                </c:pt>
                <c:pt idx="2">
                  <c:v>8.8465194982314723E-3</c:v>
                </c:pt>
                <c:pt idx="3">
                  <c:v>3.0953044479032282E-4</c:v>
                </c:pt>
                <c:pt idx="4">
                  <c:v>2.3338676271165535E-3</c:v>
                </c:pt>
                <c:pt idx="5">
                  <c:v>-4.9601779332832637E-3</c:v>
                </c:pt>
                <c:pt idx="6">
                  <c:v>3.5465972840967364E-3</c:v>
                </c:pt>
                <c:pt idx="7">
                  <c:v>1.104669323633066E-2</c:v>
                </c:pt>
                <c:pt idx="8">
                  <c:v>4.9265315806270226E-3</c:v>
                </c:pt>
                <c:pt idx="9">
                  <c:v>6.6923208119318213E-4</c:v>
                </c:pt>
                <c:pt idx="10">
                  <c:v>4.7123563413351943E-4</c:v>
                </c:pt>
                <c:pt idx="11">
                  <c:v>-1.026362395993147E-3</c:v>
                </c:pt>
                <c:pt idx="12">
                  <c:v>8.6416691016175592E-3</c:v>
                </c:pt>
                <c:pt idx="13">
                  <c:v>-5.7705048401983719E-3</c:v>
                </c:pt>
                <c:pt idx="14">
                  <c:v>-1.5940734220098644E-3</c:v>
                </c:pt>
                <c:pt idx="15">
                  <c:v>-2.5253499086551E-3</c:v>
                </c:pt>
                <c:pt idx="16">
                  <c:v>-4.5706973394398057E-4</c:v>
                </c:pt>
                <c:pt idx="17">
                  <c:v>8.860289331437619E-3</c:v>
                </c:pt>
                <c:pt idx="18">
                  <c:v>1.0944925478258915E-3</c:v>
                </c:pt>
                <c:pt idx="19">
                  <c:v>1.4499737264160701E-2</c:v>
                </c:pt>
                <c:pt idx="20">
                  <c:v>-4.2391317108323237E-4</c:v>
                </c:pt>
                <c:pt idx="21">
                  <c:v>2.0212685879011623E-3</c:v>
                </c:pt>
                <c:pt idx="22">
                  <c:v>2.1579461175579256E-3</c:v>
                </c:pt>
                <c:pt idx="23">
                  <c:v>1.4730323066491182E-3</c:v>
                </c:pt>
                <c:pt idx="24">
                  <c:v>-6.9101696706045917E-3</c:v>
                </c:pt>
                <c:pt idx="25">
                  <c:v>6.7770197880235375E-3</c:v>
                </c:pt>
                <c:pt idx="26">
                  <c:v>-9.3995055527716274E-4</c:v>
                </c:pt>
                <c:pt idx="27">
                  <c:v>-5.3977329957059358E-3</c:v>
                </c:pt>
                <c:pt idx="28">
                  <c:v>1.0965322528886171E-2</c:v>
                </c:pt>
                <c:pt idx="29">
                  <c:v>2.3462189950568782E-3</c:v>
                </c:pt>
                <c:pt idx="30">
                  <c:v>7.1967808528795797E-4</c:v>
                </c:pt>
                <c:pt idx="31">
                  <c:v>-3.34575126341362E-3</c:v>
                </c:pt>
                <c:pt idx="32">
                  <c:v>4.262957005584894E-3</c:v>
                </c:pt>
                <c:pt idx="33">
                  <c:v>1.6708196763969795E-3</c:v>
                </c:pt>
                <c:pt idx="34">
                  <c:v>1.3536603940939738E-3</c:v>
                </c:pt>
                <c:pt idx="35">
                  <c:v>3.3506493568948885E-3</c:v>
                </c:pt>
                <c:pt idx="36">
                  <c:v>-4.7482429432547935E-3</c:v>
                </c:pt>
                <c:pt idx="37">
                  <c:v>6.1392207480289963E-3</c:v>
                </c:pt>
                <c:pt idx="38">
                  <c:v>-3.2510634673347419E-3</c:v>
                </c:pt>
                <c:pt idx="39">
                  <c:v>-3.877164727582936E-3</c:v>
                </c:pt>
                <c:pt idx="40">
                  <c:v>-1.5489527433395317E-2</c:v>
                </c:pt>
                <c:pt idx="41">
                  <c:v>6.8769072088010284E-3</c:v>
                </c:pt>
                <c:pt idx="42">
                  <c:v>9.7700277612063294E-3</c:v>
                </c:pt>
                <c:pt idx="43">
                  <c:v>3.6247016059477617E-3</c:v>
                </c:pt>
                <c:pt idx="44">
                  <c:v>1.6046915379674782E-4</c:v>
                </c:pt>
                <c:pt idx="45">
                  <c:v>1.796914314001119E-2</c:v>
                </c:pt>
                <c:pt idx="46">
                  <c:v>-1.1970340792054287E-3</c:v>
                </c:pt>
                <c:pt idx="47">
                  <c:v>5.9495041200391232E-3</c:v>
                </c:pt>
                <c:pt idx="48">
                  <c:v>1.1187237741202927E-3</c:v>
                </c:pt>
                <c:pt idx="49">
                  <c:v>3.9660028103612023E-3</c:v>
                </c:pt>
                <c:pt idx="50">
                  <c:v>-3.0050426304927035E-3</c:v>
                </c:pt>
                <c:pt idx="51">
                  <c:v>-1.8729464492867856E-3</c:v>
                </c:pt>
                <c:pt idx="52">
                  <c:v>-7.2326448201014181E-3</c:v>
                </c:pt>
                <c:pt idx="53">
                  <c:v>3.1040675271881042E-3</c:v>
                </c:pt>
                <c:pt idx="54">
                  <c:v>1.3790282585130287E-2</c:v>
                </c:pt>
                <c:pt idx="55">
                  <c:v>-2.8207566873393645E-3</c:v>
                </c:pt>
                <c:pt idx="56">
                  <c:v>-4.9537726478604228E-3</c:v>
                </c:pt>
                <c:pt idx="57">
                  <c:v>-1.6092170290043855E-3</c:v>
                </c:pt>
                <c:pt idx="58">
                  <c:v>3.6916552995440582E-3</c:v>
                </c:pt>
                <c:pt idx="59">
                  <c:v>7.4765777930732918E-3</c:v>
                </c:pt>
                <c:pt idx="60">
                  <c:v>-3.9965877474346378E-3</c:v>
                </c:pt>
                <c:pt idx="61">
                  <c:v>-1.0254895475303529E-2</c:v>
                </c:pt>
                <c:pt idx="62">
                  <c:v>-6.2923664233309191E-4</c:v>
                </c:pt>
                <c:pt idx="63">
                  <c:v>-1.1423434105777059E-2</c:v>
                </c:pt>
                <c:pt idx="64">
                  <c:v>-1.7229035445361768E-2</c:v>
                </c:pt>
                <c:pt idx="65">
                  <c:v>7.4212931815645089E-3</c:v>
                </c:pt>
                <c:pt idx="66">
                  <c:v>1.3685325404961968E-2</c:v>
                </c:pt>
                <c:pt idx="67">
                  <c:v>-1.2553512960530443E-2</c:v>
                </c:pt>
                <c:pt idx="68">
                  <c:v>-5.036808959588716E-4</c:v>
                </c:pt>
                <c:pt idx="69">
                  <c:v>1.5367918875513488E-2</c:v>
                </c:pt>
                <c:pt idx="70">
                  <c:v>-4.0635232720984613E-3</c:v>
                </c:pt>
                <c:pt idx="71">
                  <c:v>-5.952096817443118E-3</c:v>
                </c:pt>
                <c:pt idx="72">
                  <c:v>1.1685932847406632E-3</c:v>
                </c:pt>
                <c:pt idx="73">
                  <c:v>-8.4430489857261516E-3</c:v>
                </c:pt>
                <c:pt idx="74">
                  <c:v>3.6729981305998567E-3</c:v>
                </c:pt>
                <c:pt idx="75">
                  <c:v>1.3552363677729872E-2</c:v>
                </c:pt>
                <c:pt idx="76">
                  <c:v>6.6579239517370777E-3</c:v>
                </c:pt>
                <c:pt idx="77">
                  <c:v>2.4114104160489723E-3</c:v>
                </c:pt>
                <c:pt idx="78">
                  <c:v>-3.8910971640511403E-3</c:v>
                </c:pt>
                <c:pt idx="79">
                  <c:v>5.6424983763752054E-3</c:v>
                </c:pt>
                <c:pt idx="80">
                  <c:v>-2.4998855665210461E-3</c:v>
                </c:pt>
                <c:pt idx="81">
                  <c:v>-7.688270722404974E-3</c:v>
                </c:pt>
                <c:pt idx="82">
                  <c:v>-1.6279016486759133E-2</c:v>
                </c:pt>
                <c:pt idx="83">
                  <c:v>3.5053383740709244E-4</c:v>
                </c:pt>
                <c:pt idx="84">
                  <c:v>-4.2878637386193951E-3</c:v>
                </c:pt>
                <c:pt idx="85">
                  <c:v>-6.7248165728184027E-3</c:v>
                </c:pt>
                <c:pt idx="86">
                  <c:v>2.5142221555989205E-3</c:v>
                </c:pt>
                <c:pt idx="87">
                  <c:v>-3.3931093490318499E-3</c:v>
                </c:pt>
                <c:pt idx="88">
                  <c:v>-1.1175044036911441E-2</c:v>
                </c:pt>
                <c:pt idx="89">
                  <c:v>-5.7624522046803815E-3</c:v>
                </c:pt>
                <c:pt idx="90">
                  <c:v>-4.4135550996594808E-3</c:v>
                </c:pt>
                <c:pt idx="91">
                  <c:v>-1.516574932256603E-2</c:v>
                </c:pt>
                <c:pt idx="92">
                  <c:v>-7.4151904335883496E-3</c:v>
                </c:pt>
                <c:pt idx="93">
                  <c:v>1.5908669197356163E-2</c:v>
                </c:pt>
                <c:pt idx="94">
                  <c:v>4.8620766582948318E-4</c:v>
                </c:pt>
                <c:pt idx="95">
                  <c:v>1.6922853300106668E-3</c:v>
                </c:pt>
                <c:pt idx="96">
                  <c:v>1.3790283825421373E-3</c:v>
                </c:pt>
                <c:pt idx="97">
                  <c:v>-2.167899276191806E-3</c:v>
                </c:pt>
                <c:pt idx="98">
                  <c:v>1.1017981539835837E-2</c:v>
                </c:pt>
                <c:pt idx="99">
                  <c:v>-1.4438555426152216E-2</c:v>
                </c:pt>
                <c:pt idx="100">
                  <c:v>-2.2792684195200048E-3</c:v>
                </c:pt>
                <c:pt idx="101">
                  <c:v>-2.4951359516333108E-2</c:v>
                </c:pt>
                <c:pt idx="102">
                  <c:v>1.0953673794903053E-4</c:v>
                </c:pt>
                <c:pt idx="103">
                  <c:v>5.7105566157771509E-3</c:v>
                </c:pt>
                <c:pt idx="104">
                  <c:v>2.2787772335250183E-2</c:v>
                </c:pt>
                <c:pt idx="105">
                  <c:v>-1.0645902098176338E-4</c:v>
                </c:pt>
                <c:pt idx="106">
                  <c:v>8.0813875904548593E-3</c:v>
                </c:pt>
                <c:pt idx="107">
                  <c:v>-1.2700439066485178E-2</c:v>
                </c:pt>
                <c:pt idx="108">
                  <c:v>1.1583390373813106E-2</c:v>
                </c:pt>
                <c:pt idx="109">
                  <c:v>-7.0479932229503646E-3</c:v>
                </c:pt>
                <c:pt idx="110">
                  <c:v>1.0756614732241909E-2</c:v>
                </c:pt>
                <c:pt idx="111">
                  <c:v>1.0284752736562524E-2</c:v>
                </c:pt>
                <c:pt idx="112">
                  <c:v>1.4436567200249713E-3</c:v>
                </c:pt>
                <c:pt idx="113">
                  <c:v>9.767870585814924E-3</c:v>
                </c:pt>
                <c:pt idx="114">
                  <c:v>-1.6877516747354983E-3</c:v>
                </c:pt>
                <c:pt idx="115">
                  <c:v>-2.2513258771434952E-2</c:v>
                </c:pt>
                <c:pt idx="116">
                  <c:v>7.1489819720210544E-3</c:v>
                </c:pt>
                <c:pt idx="117">
                  <c:v>-1.6083465459972662E-2</c:v>
                </c:pt>
                <c:pt idx="118">
                  <c:v>4.7613532585773716E-3</c:v>
                </c:pt>
                <c:pt idx="119">
                  <c:v>8.9447923523008708E-3</c:v>
                </c:pt>
                <c:pt idx="120">
                  <c:v>-2.112076068222122E-3</c:v>
                </c:pt>
                <c:pt idx="121">
                  <c:v>2.4614798034165282E-2</c:v>
                </c:pt>
                <c:pt idx="122">
                  <c:v>2.4563100993451855E-3</c:v>
                </c:pt>
                <c:pt idx="123">
                  <c:v>6.2127645053796339E-3</c:v>
                </c:pt>
                <c:pt idx="124">
                  <c:v>-4.6979952180121604E-3</c:v>
                </c:pt>
                <c:pt idx="125">
                  <c:v>-9.4774904376453764E-3</c:v>
                </c:pt>
                <c:pt idx="126">
                  <c:v>-1.6401076395319903E-3</c:v>
                </c:pt>
                <c:pt idx="127">
                  <c:v>-8.1591288327641839E-3</c:v>
                </c:pt>
                <c:pt idx="128">
                  <c:v>-1.490912885989825E-5</c:v>
                </c:pt>
                <c:pt idx="129">
                  <c:v>-4.9996180683616704E-3</c:v>
                </c:pt>
                <c:pt idx="130">
                  <c:v>1.636274497101934E-2</c:v>
                </c:pt>
                <c:pt idx="131">
                  <c:v>-2.316985120192678E-3</c:v>
                </c:pt>
                <c:pt idx="132">
                  <c:v>7.3823344056611782E-3</c:v>
                </c:pt>
                <c:pt idx="133">
                  <c:v>6.6582862145774472E-3</c:v>
                </c:pt>
                <c:pt idx="134">
                  <c:v>2.7134294953041031E-3</c:v>
                </c:pt>
                <c:pt idx="135">
                  <c:v>-1.011263852275059E-2</c:v>
                </c:pt>
                <c:pt idx="136">
                  <c:v>-8.9489683826660012E-3</c:v>
                </c:pt>
                <c:pt idx="137">
                  <c:v>-9.0820795122977943E-3</c:v>
                </c:pt>
                <c:pt idx="138">
                  <c:v>-3.1387788913235705E-4</c:v>
                </c:pt>
                <c:pt idx="139">
                  <c:v>1.6405659452859416E-2</c:v>
                </c:pt>
                <c:pt idx="140">
                  <c:v>1.8900849989626385E-2</c:v>
                </c:pt>
                <c:pt idx="141">
                  <c:v>-4.8353283011341573E-4</c:v>
                </c:pt>
                <c:pt idx="142">
                  <c:v>-4.3260985787338772E-3</c:v>
                </c:pt>
                <c:pt idx="143">
                  <c:v>-2.9041927884913225E-3</c:v>
                </c:pt>
                <c:pt idx="144">
                  <c:v>-7.532002677547946E-3</c:v>
                </c:pt>
                <c:pt idx="145">
                  <c:v>1.8861295205931709E-2</c:v>
                </c:pt>
                <c:pt idx="146">
                  <c:v>2.3265677120569918E-3</c:v>
                </c:pt>
                <c:pt idx="147">
                  <c:v>5.0937661557810326E-3</c:v>
                </c:pt>
                <c:pt idx="148">
                  <c:v>6.2063727884550447E-4</c:v>
                </c:pt>
                <c:pt idx="149">
                  <c:v>4.13544294347905E-4</c:v>
                </c:pt>
                <c:pt idx="150">
                  <c:v>2.1860889478816747E-3</c:v>
                </c:pt>
                <c:pt idx="151">
                  <c:v>-1.2526781188120387E-3</c:v>
                </c:pt>
                <c:pt idx="152">
                  <c:v>-1.2820330212278219E-4</c:v>
                </c:pt>
                <c:pt idx="153">
                  <c:v>1.1390090430037803E-3</c:v>
                </c:pt>
                <c:pt idx="154">
                  <c:v>7.0754343324954463E-3</c:v>
                </c:pt>
                <c:pt idx="155">
                  <c:v>1.8703665370596102E-3</c:v>
                </c:pt>
                <c:pt idx="156">
                  <c:v>-2.1154395355287849E-5</c:v>
                </c:pt>
                <c:pt idx="157">
                  <c:v>-3.5036944682847937E-3</c:v>
                </c:pt>
                <c:pt idx="158">
                  <c:v>2.2641562930589981E-4</c:v>
                </c:pt>
                <c:pt idx="159">
                  <c:v>-8.1049751636543699E-3</c:v>
                </c:pt>
                <c:pt idx="160">
                  <c:v>6.4339535401051222E-3</c:v>
                </c:pt>
                <c:pt idx="161">
                  <c:v>-4.8908941741975952E-4</c:v>
                </c:pt>
                <c:pt idx="162">
                  <c:v>-8.0858523276048809E-4</c:v>
                </c:pt>
                <c:pt idx="163">
                  <c:v>8.4403453494465283E-4</c:v>
                </c:pt>
                <c:pt idx="164">
                  <c:v>-7.836422697165871E-3</c:v>
                </c:pt>
                <c:pt idx="165">
                  <c:v>5.0604870542372508E-3</c:v>
                </c:pt>
                <c:pt idx="166">
                  <c:v>-1.1666288598383128E-3</c:v>
                </c:pt>
                <c:pt idx="167">
                  <c:v>-1.0682316087138285E-3</c:v>
                </c:pt>
                <c:pt idx="168">
                  <c:v>2.0229498271412946E-2</c:v>
                </c:pt>
                <c:pt idx="169">
                  <c:v>4.0417610177212364E-3</c:v>
                </c:pt>
                <c:pt idx="170">
                  <c:v>-6.1667443421586504E-3</c:v>
                </c:pt>
                <c:pt idx="171">
                  <c:v>3.1299804777848361E-3</c:v>
                </c:pt>
                <c:pt idx="172">
                  <c:v>2.0905056879527827E-3</c:v>
                </c:pt>
                <c:pt idx="173">
                  <c:v>1.617821963021452E-2</c:v>
                </c:pt>
                <c:pt idx="174">
                  <c:v>3.9511152790704966E-3</c:v>
                </c:pt>
                <c:pt idx="175">
                  <c:v>-3.1295294353358739E-3</c:v>
                </c:pt>
                <c:pt idx="176">
                  <c:v>-1.2805984266831857E-3</c:v>
                </c:pt>
                <c:pt idx="177">
                  <c:v>1.18478151903211E-3</c:v>
                </c:pt>
                <c:pt idx="178">
                  <c:v>-5.4085326052881347E-4</c:v>
                </c:pt>
                <c:pt idx="179">
                  <c:v>-7.5331888366289224E-5</c:v>
                </c:pt>
                <c:pt idx="180">
                  <c:v>-2.2351434037312782E-3</c:v>
                </c:pt>
                <c:pt idx="181">
                  <c:v>-1.0557355654258943E-2</c:v>
                </c:pt>
                <c:pt idx="182">
                  <c:v>-5.7532394483594748E-3</c:v>
                </c:pt>
                <c:pt idx="183">
                  <c:v>9.6026733646948151E-3</c:v>
                </c:pt>
                <c:pt idx="184">
                  <c:v>-4.4878218697084783E-3</c:v>
                </c:pt>
                <c:pt idx="185">
                  <c:v>2.6480349319839992E-3</c:v>
                </c:pt>
                <c:pt idx="186">
                  <c:v>8.7189996666161944E-4</c:v>
                </c:pt>
                <c:pt idx="187">
                  <c:v>3.6178640233520921E-3</c:v>
                </c:pt>
                <c:pt idx="188">
                  <c:v>7.1487982954376974E-3</c:v>
                </c:pt>
                <c:pt idx="189">
                  <c:v>-3.2166114302795205E-4</c:v>
                </c:pt>
                <c:pt idx="190">
                  <c:v>-3.4626904363913532E-3</c:v>
                </c:pt>
                <c:pt idx="191">
                  <c:v>-9.9401652318431739E-3</c:v>
                </c:pt>
                <c:pt idx="192">
                  <c:v>-6.2073100173509251E-3</c:v>
                </c:pt>
                <c:pt idx="193">
                  <c:v>1.954351929163438E-4</c:v>
                </c:pt>
                <c:pt idx="194">
                  <c:v>-2.9705448850503111E-3</c:v>
                </c:pt>
                <c:pt idx="195">
                  <c:v>8.0454434366606341E-3</c:v>
                </c:pt>
                <c:pt idx="196">
                  <c:v>1.0217529003082159E-2</c:v>
                </c:pt>
                <c:pt idx="197">
                  <c:v>4.1086129344168739E-3</c:v>
                </c:pt>
                <c:pt idx="198">
                  <c:v>-2.4466730272574805E-3</c:v>
                </c:pt>
                <c:pt idx="199">
                  <c:v>-1.6710127170061661E-2</c:v>
                </c:pt>
                <c:pt idx="200">
                  <c:v>4.3948225512983235E-4</c:v>
                </c:pt>
                <c:pt idx="201">
                  <c:v>-1.4549262064668257E-2</c:v>
                </c:pt>
                <c:pt idx="202">
                  <c:v>-3.0901628496863881E-3</c:v>
                </c:pt>
                <c:pt idx="203">
                  <c:v>2.9910856826463454E-3</c:v>
                </c:pt>
                <c:pt idx="204">
                  <c:v>-7.2922680414156456E-4</c:v>
                </c:pt>
                <c:pt idx="205">
                  <c:v>1.5580184869156202E-4</c:v>
                </c:pt>
                <c:pt idx="206">
                  <c:v>1.0867260747050345E-2</c:v>
                </c:pt>
                <c:pt idx="207">
                  <c:v>-9.4237076580922455E-3</c:v>
                </c:pt>
                <c:pt idx="208">
                  <c:v>2.1614299275310735E-3</c:v>
                </c:pt>
                <c:pt idx="209">
                  <c:v>7.822505758014995E-3</c:v>
                </c:pt>
                <c:pt idx="210">
                  <c:v>-2.3990494932418175E-2</c:v>
                </c:pt>
                <c:pt idx="211">
                  <c:v>-1.2279919394418561E-2</c:v>
                </c:pt>
                <c:pt idx="212">
                  <c:v>1.6972760624259981E-3</c:v>
                </c:pt>
                <c:pt idx="213">
                  <c:v>1.3044045411771709E-4</c:v>
                </c:pt>
                <c:pt idx="214">
                  <c:v>-3.9933835596909703E-3</c:v>
                </c:pt>
                <c:pt idx="215">
                  <c:v>-1.394884192572606E-2</c:v>
                </c:pt>
                <c:pt idx="216">
                  <c:v>-1.5947906895285239E-3</c:v>
                </c:pt>
                <c:pt idx="217">
                  <c:v>4.8282386725694085E-3</c:v>
                </c:pt>
                <c:pt idx="218">
                  <c:v>1.9667369768091868E-2</c:v>
                </c:pt>
                <c:pt idx="219">
                  <c:v>6.6313477760757589E-4</c:v>
                </c:pt>
                <c:pt idx="220">
                  <c:v>2.3175148199859131E-3</c:v>
                </c:pt>
                <c:pt idx="221">
                  <c:v>1.2942205804867957E-2</c:v>
                </c:pt>
                <c:pt idx="222">
                  <c:v>-2.0316547209315592E-3</c:v>
                </c:pt>
                <c:pt idx="223">
                  <c:v>-5.2402240238485368E-3</c:v>
                </c:pt>
                <c:pt idx="224">
                  <c:v>7.8252507809793547E-3</c:v>
                </c:pt>
                <c:pt idx="225">
                  <c:v>4.2606261459933554E-3</c:v>
                </c:pt>
                <c:pt idx="226">
                  <c:v>1.6242192307947768E-4</c:v>
                </c:pt>
                <c:pt idx="227">
                  <c:v>-4.7564535251138646E-3</c:v>
                </c:pt>
                <c:pt idx="228">
                  <c:v>-1.7113382080492271E-3</c:v>
                </c:pt>
                <c:pt idx="229">
                  <c:v>1.5836215685260085E-3</c:v>
                </c:pt>
                <c:pt idx="230">
                  <c:v>3.3011980873050694E-3</c:v>
                </c:pt>
                <c:pt idx="231">
                  <c:v>2.916658435379544E-3</c:v>
                </c:pt>
                <c:pt idx="232">
                  <c:v>3.3843095274054159E-4</c:v>
                </c:pt>
                <c:pt idx="233">
                  <c:v>6.52758967448202E-3</c:v>
                </c:pt>
                <c:pt idx="234">
                  <c:v>4.4812906866902318E-4</c:v>
                </c:pt>
                <c:pt idx="235">
                  <c:v>-6.3414692504306803E-3</c:v>
                </c:pt>
                <c:pt idx="236">
                  <c:v>-4.1439789908631845E-3</c:v>
                </c:pt>
                <c:pt idx="237">
                  <c:v>1.1800667190939215E-2</c:v>
                </c:pt>
                <c:pt idx="238">
                  <c:v>1.1421148426265303E-2</c:v>
                </c:pt>
                <c:pt idx="239">
                  <c:v>-7.6181593722409987E-3</c:v>
                </c:pt>
                <c:pt idx="240">
                  <c:v>5.4731860885176876E-3</c:v>
                </c:pt>
                <c:pt idx="241">
                  <c:v>-9.4230021072279815E-3</c:v>
                </c:pt>
                <c:pt idx="242">
                  <c:v>-2.4432858581227004E-3</c:v>
                </c:pt>
                <c:pt idx="243">
                  <c:v>-4.7989018809801616E-3</c:v>
                </c:pt>
                <c:pt idx="244">
                  <c:v>-1.2191986513380225E-3</c:v>
                </c:pt>
                <c:pt idx="245">
                  <c:v>-1.11115011894783E-2</c:v>
                </c:pt>
                <c:pt idx="246">
                  <c:v>1.6800106652478265E-2</c:v>
                </c:pt>
                <c:pt idx="247">
                  <c:v>2.5086044824864026E-2</c:v>
                </c:pt>
                <c:pt idx="248">
                  <c:v>-2.0877620279685176E-3</c:v>
                </c:pt>
                <c:pt idx="249">
                  <c:v>4.8533166109664457E-3</c:v>
                </c:pt>
                <c:pt idx="250">
                  <c:v>-3.1280332571486792E-3</c:v>
                </c:pt>
                <c:pt idx="251">
                  <c:v>-3.2476459151946561E-3</c:v>
                </c:pt>
                <c:pt idx="252">
                  <c:v>2.6523487451191913E-3</c:v>
                </c:pt>
                <c:pt idx="253">
                  <c:v>7.5687167942973159E-3</c:v>
                </c:pt>
                <c:pt idx="254">
                  <c:v>-4.7551601988409018E-5</c:v>
                </c:pt>
                <c:pt idx="255">
                  <c:v>-9.3110825592432821E-4</c:v>
                </c:pt>
                <c:pt idx="256">
                  <c:v>1.128093030996665E-3</c:v>
                </c:pt>
                <c:pt idx="257">
                  <c:v>1.969459797129973E-4</c:v>
                </c:pt>
                <c:pt idx="258">
                  <c:v>5.6271034223067872E-3</c:v>
                </c:pt>
                <c:pt idx="259">
                  <c:v>3.3974659565910057E-3</c:v>
                </c:pt>
                <c:pt idx="260">
                  <c:v>4.41827922681335E-3</c:v>
                </c:pt>
                <c:pt idx="261">
                  <c:v>1.5063419833833689E-3</c:v>
                </c:pt>
                <c:pt idx="262">
                  <c:v>6.689791044299383E-6</c:v>
                </c:pt>
                <c:pt idx="263">
                  <c:v>5.4306987208722545E-3</c:v>
                </c:pt>
                <c:pt idx="264">
                  <c:v>-1.8513960681661246E-3</c:v>
                </c:pt>
                <c:pt idx="265">
                  <c:v>5.0930622521802886E-3</c:v>
                </c:pt>
                <c:pt idx="266">
                  <c:v>-3.9072413320486547E-3</c:v>
                </c:pt>
                <c:pt idx="267">
                  <c:v>-2.5666081881304615E-3</c:v>
                </c:pt>
                <c:pt idx="268">
                  <c:v>1.0002474404177631E-2</c:v>
                </c:pt>
                <c:pt idx="269">
                  <c:v>-1.1605777551404992E-2</c:v>
                </c:pt>
                <c:pt idx="270">
                  <c:v>1.036258025857612E-2</c:v>
                </c:pt>
                <c:pt idx="271">
                  <c:v>5.4904893537455462E-4</c:v>
                </c:pt>
                <c:pt idx="272">
                  <c:v>-1.807043989846203E-3</c:v>
                </c:pt>
                <c:pt idx="273">
                  <c:v>5.6419689055853262E-3</c:v>
                </c:pt>
                <c:pt idx="274">
                  <c:v>-6.0627230072434325E-4</c:v>
                </c:pt>
                <c:pt idx="275">
                  <c:v>1.5939722256221329E-3</c:v>
                </c:pt>
                <c:pt idx="276">
                  <c:v>5.92152029303837E-4</c:v>
                </c:pt>
                <c:pt idx="277">
                  <c:v>6.9040115047624235E-4</c:v>
                </c:pt>
                <c:pt idx="278">
                  <c:v>-1.0456502891147328E-3</c:v>
                </c:pt>
                <c:pt idx="279">
                  <c:v>7.3097584169803118E-3</c:v>
                </c:pt>
                <c:pt idx="280">
                  <c:v>-1.248171740825915E-2</c:v>
                </c:pt>
                <c:pt idx="281">
                  <c:v>-6.3230670101523416E-3</c:v>
                </c:pt>
                <c:pt idx="282">
                  <c:v>8.7342587449727293E-3</c:v>
                </c:pt>
                <c:pt idx="283">
                  <c:v>-1.8479275284333255E-2</c:v>
                </c:pt>
                <c:pt idx="284">
                  <c:v>6.0908995959643225E-3</c:v>
                </c:pt>
                <c:pt idx="285">
                  <c:v>1.2645666418416045E-2</c:v>
                </c:pt>
                <c:pt idx="286">
                  <c:v>-8.644953634581831E-4</c:v>
                </c:pt>
                <c:pt idx="287">
                  <c:v>2.3212270716333073E-3</c:v>
                </c:pt>
                <c:pt idx="288">
                  <c:v>4.6001264007408333E-3</c:v>
                </c:pt>
                <c:pt idx="289">
                  <c:v>9.5204944895365129E-3</c:v>
                </c:pt>
                <c:pt idx="290">
                  <c:v>1.0839757653689358E-3</c:v>
                </c:pt>
                <c:pt idx="291">
                  <c:v>1.8148119521493281E-3</c:v>
                </c:pt>
                <c:pt idx="292">
                  <c:v>4.4711004109199912E-3</c:v>
                </c:pt>
                <c:pt idx="293">
                  <c:v>3.2438723173948535E-3</c:v>
                </c:pt>
                <c:pt idx="294">
                  <c:v>-2.4061516417888235E-3</c:v>
                </c:pt>
                <c:pt idx="295">
                  <c:v>1.3131640123256268E-3</c:v>
                </c:pt>
                <c:pt idx="296">
                  <c:v>5.5873772173025285E-3</c:v>
                </c:pt>
                <c:pt idx="297">
                  <c:v>-1.6197549581095975E-3</c:v>
                </c:pt>
                <c:pt idx="298">
                  <c:v>-5.5255858913691377E-3</c:v>
                </c:pt>
                <c:pt idx="299">
                  <c:v>-2.4254633815200036E-3</c:v>
                </c:pt>
                <c:pt idx="300">
                  <c:v>6.6751668015524457E-3</c:v>
                </c:pt>
                <c:pt idx="301">
                  <c:v>-8.3169804044007662E-3</c:v>
                </c:pt>
                <c:pt idx="302">
                  <c:v>7.1486659821265496E-3</c:v>
                </c:pt>
                <c:pt idx="303">
                  <c:v>-3.3455821309178592E-3</c:v>
                </c:pt>
                <c:pt idx="304">
                  <c:v>7.7549129435386119E-3</c:v>
                </c:pt>
                <c:pt idx="305">
                  <c:v>-5.8849494121564802E-4</c:v>
                </c:pt>
                <c:pt idx="306">
                  <c:v>4.0484851148155808E-3</c:v>
                </c:pt>
                <c:pt idx="307">
                  <c:v>-4.4836823364220995E-3</c:v>
                </c:pt>
                <c:pt idx="308">
                  <c:v>5.1589620297942326E-3</c:v>
                </c:pt>
                <c:pt idx="309">
                  <c:v>-1.0602095506201462E-2</c:v>
                </c:pt>
                <c:pt idx="310">
                  <c:v>4.0402538202902035E-3</c:v>
                </c:pt>
                <c:pt idx="311">
                  <c:v>-4.3041765503969041E-3</c:v>
                </c:pt>
                <c:pt idx="312">
                  <c:v>6.2830119890327149E-3</c:v>
                </c:pt>
                <c:pt idx="313">
                  <c:v>3.5380407825949659E-3</c:v>
                </c:pt>
                <c:pt idx="314">
                  <c:v>1.2115446292433605E-2</c:v>
                </c:pt>
                <c:pt idx="315">
                  <c:v>3.5459469426653589E-3</c:v>
                </c:pt>
                <c:pt idx="316">
                  <c:v>-2.8407860171352811E-3</c:v>
                </c:pt>
                <c:pt idx="317">
                  <c:v>-2.3234130479996954E-2</c:v>
                </c:pt>
                <c:pt idx="318">
                  <c:v>1.4205865503323178E-2</c:v>
                </c:pt>
                <c:pt idx="319">
                  <c:v>-1.4431354089724242E-2</c:v>
                </c:pt>
                <c:pt idx="320">
                  <c:v>-6.7235401752622328E-3</c:v>
                </c:pt>
                <c:pt idx="321">
                  <c:v>8.8089795490163252E-3</c:v>
                </c:pt>
                <c:pt idx="322">
                  <c:v>4.6507982154273889E-3</c:v>
                </c:pt>
                <c:pt idx="323">
                  <c:v>1.0365294248898439E-2</c:v>
                </c:pt>
                <c:pt idx="324">
                  <c:v>6.3339846780946741E-6</c:v>
                </c:pt>
                <c:pt idx="325">
                  <c:v>4.0266177447456745E-3</c:v>
                </c:pt>
                <c:pt idx="326">
                  <c:v>-1.8437840671979098E-3</c:v>
                </c:pt>
                <c:pt idx="327">
                  <c:v>7.1603183893662135E-3</c:v>
                </c:pt>
                <c:pt idx="328">
                  <c:v>2.4818418469955725E-3</c:v>
                </c:pt>
                <c:pt idx="329">
                  <c:v>-9.3514754188050771E-3</c:v>
                </c:pt>
                <c:pt idx="330">
                  <c:v>9.3639943536941335E-3</c:v>
                </c:pt>
                <c:pt idx="331">
                  <c:v>1.04795153331448E-2</c:v>
                </c:pt>
                <c:pt idx="332">
                  <c:v>1.9059883489792062E-3</c:v>
                </c:pt>
                <c:pt idx="333">
                  <c:v>5.2166631841068997E-3</c:v>
                </c:pt>
                <c:pt idx="334">
                  <c:v>4.1305507302880854E-3</c:v>
                </c:pt>
                <c:pt idx="335">
                  <c:v>-3.6939809321391258E-3</c:v>
                </c:pt>
                <c:pt idx="336">
                  <c:v>4.3124006751514296E-3</c:v>
                </c:pt>
                <c:pt idx="337">
                  <c:v>4.2846606096343147E-5</c:v>
                </c:pt>
                <c:pt idx="338">
                  <c:v>1.0091099634557102E-2</c:v>
                </c:pt>
                <c:pt idx="339">
                  <c:v>5.1010651178161831E-3</c:v>
                </c:pt>
                <c:pt idx="340">
                  <c:v>-5.0222965730849136E-3</c:v>
                </c:pt>
                <c:pt idx="341">
                  <c:v>1.0247411805593496E-2</c:v>
                </c:pt>
                <c:pt idx="342">
                  <c:v>-7.0790941716164719E-4</c:v>
                </c:pt>
                <c:pt idx="343">
                  <c:v>1.7209076486218429E-3</c:v>
                </c:pt>
                <c:pt idx="344">
                  <c:v>-8.3080390400197494E-3</c:v>
                </c:pt>
                <c:pt idx="345">
                  <c:v>-2.928135769918223E-3</c:v>
                </c:pt>
                <c:pt idx="346">
                  <c:v>-5.5149678226770488E-4</c:v>
                </c:pt>
                <c:pt idx="347">
                  <c:v>6.3209120130071905E-3</c:v>
                </c:pt>
                <c:pt idx="348">
                  <c:v>-7.072892060328735E-3</c:v>
                </c:pt>
                <c:pt idx="349">
                  <c:v>3.6635955678957278E-3</c:v>
                </c:pt>
                <c:pt idx="350">
                  <c:v>-1.4410550273650714E-2</c:v>
                </c:pt>
                <c:pt idx="351">
                  <c:v>5.9184070822181989E-3</c:v>
                </c:pt>
                <c:pt idx="352">
                  <c:v>-5.5260242096006633E-3</c:v>
                </c:pt>
                <c:pt idx="353">
                  <c:v>-1.3875566725247141E-2</c:v>
                </c:pt>
                <c:pt idx="354">
                  <c:v>8.4544332066969503E-3</c:v>
                </c:pt>
                <c:pt idx="355">
                  <c:v>1.2749947667659597E-2</c:v>
                </c:pt>
                <c:pt idx="356">
                  <c:v>-3.4690629921981507E-4</c:v>
                </c:pt>
                <c:pt idx="357">
                  <c:v>-1.020523152075696E-2</c:v>
                </c:pt>
                <c:pt idx="358">
                  <c:v>-8.404786017584211E-3</c:v>
                </c:pt>
                <c:pt idx="359">
                  <c:v>1.4676090161454946E-2</c:v>
                </c:pt>
                <c:pt idx="360">
                  <c:v>-5.902398007852176E-3</c:v>
                </c:pt>
                <c:pt idx="361">
                  <c:v>7.5388397237181716E-3</c:v>
                </c:pt>
                <c:pt idx="362">
                  <c:v>7.7609517888806018E-3</c:v>
                </c:pt>
                <c:pt idx="363">
                  <c:v>-1.3948298829170962E-2</c:v>
                </c:pt>
                <c:pt idx="364">
                  <c:v>-2.532835452574456E-2</c:v>
                </c:pt>
                <c:pt idx="365">
                  <c:v>2.6661484311964016E-3</c:v>
                </c:pt>
                <c:pt idx="366">
                  <c:v>-1.2219313502973374E-2</c:v>
                </c:pt>
                <c:pt idx="367">
                  <c:v>9.4524163829988878E-3</c:v>
                </c:pt>
                <c:pt idx="368">
                  <c:v>9.5448020236501563E-3</c:v>
                </c:pt>
                <c:pt idx="369">
                  <c:v>6.1807276592703957E-3</c:v>
                </c:pt>
                <c:pt idx="370">
                  <c:v>-4.2988374872954703E-3</c:v>
                </c:pt>
                <c:pt idx="371">
                  <c:v>5.3892420362545825E-3</c:v>
                </c:pt>
                <c:pt idx="372">
                  <c:v>-5.4505365172693261E-4</c:v>
                </c:pt>
                <c:pt idx="373">
                  <c:v>8.236595098241727E-4</c:v>
                </c:pt>
                <c:pt idx="374">
                  <c:v>1.0150057885384197E-2</c:v>
                </c:pt>
                <c:pt idx="375">
                  <c:v>5.2378380021182091E-3</c:v>
                </c:pt>
                <c:pt idx="376">
                  <c:v>7.2036706293219874E-3</c:v>
                </c:pt>
                <c:pt idx="377">
                  <c:v>1.8154641283901302E-4</c:v>
                </c:pt>
                <c:pt idx="378">
                  <c:v>1.3463198150456835E-2</c:v>
                </c:pt>
                <c:pt idx="379">
                  <c:v>3.0817767542262128E-3</c:v>
                </c:pt>
                <c:pt idx="380">
                  <c:v>1.3739002782673193E-3</c:v>
                </c:pt>
                <c:pt idx="381">
                  <c:v>-3.7156612435484218E-3</c:v>
                </c:pt>
                <c:pt idx="382">
                  <c:v>2.7701921402020061E-3</c:v>
                </c:pt>
                <c:pt idx="383">
                  <c:v>5.0203649363598224E-3</c:v>
                </c:pt>
                <c:pt idx="384">
                  <c:v>1.6087728890168559E-3</c:v>
                </c:pt>
                <c:pt idx="385">
                  <c:v>2.0309250638510861E-3</c:v>
                </c:pt>
                <c:pt idx="386">
                  <c:v>-1.8536452449211241E-3</c:v>
                </c:pt>
                <c:pt idx="387">
                  <c:v>-3.8184593198933806E-3</c:v>
                </c:pt>
                <c:pt idx="388">
                  <c:v>2.5531752308375314E-3</c:v>
                </c:pt>
                <c:pt idx="389">
                  <c:v>8.2793700580897325E-4</c:v>
                </c:pt>
                <c:pt idx="390">
                  <c:v>-3.7429936680698351E-3</c:v>
                </c:pt>
                <c:pt idx="391">
                  <c:v>3.7374417942905253E-4</c:v>
                </c:pt>
                <c:pt idx="392">
                  <c:v>-1.3643009906418412E-4</c:v>
                </c:pt>
                <c:pt idx="393">
                  <c:v>1.2462579504871753E-2</c:v>
                </c:pt>
                <c:pt idx="394">
                  <c:v>1.6390855232919159E-3</c:v>
                </c:pt>
                <c:pt idx="395">
                  <c:v>-1.480913754279429E-3</c:v>
                </c:pt>
                <c:pt idx="396">
                  <c:v>-5.7394613731720544E-3</c:v>
                </c:pt>
                <c:pt idx="397">
                  <c:v>-3.81314875241731E-3</c:v>
                </c:pt>
                <c:pt idx="398">
                  <c:v>3.8779527938558253E-3</c:v>
                </c:pt>
                <c:pt idx="399">
                  <c:v>-3.5763855287662917E-3</c:v>
                </c:pt>
                <c:pt idx="400">
                  <c:v>-1.1535425383448848E-3</c:v>
                </c:pt>
                <c:pt idx="401">
                  <c:v>2.7721724913956085E-3</c:v>
                </c:pt>
                <c:pt idx="402">
                  <c:v>-5.1900517442756379E-3</c:v>
                </c:pt>
                <c:pt idx="403">
                  <c:v>-1.4384523926260438E-2</c:v>
                </c:pt>
                <c:pt idx="404">
                  <c:v>-3.3100734140073594E-3</c:v>
                </c:pt>
                <c:pt idx="405">
                  <c:v>-5.9178400932658947E-3</c:v>
                </c:pt>
                <c:pt idx="406">
                  <c:v>3.8139634700918462E-3</c:v>
                </c:pt>
                <c:pt idx="407">
                  <c:v>-5.7964139652054766E-3</c:v>
                </c:pt>
                <c:pt idx="408">
                  <c:v>8.5824950407145766E-3</c:v>
                </c:pt>
                <c:pt idx="409">
                  <c:v>3.9392183354132132E-3</c:v>
                </c:pt>
                <c:pt idx="410">
                  <c:v>-4.047856913079035E-3</c:v>
                </c:pt>
                <c:pt idx="411">
                  <c:v>-1.6001509567328324E-2</c:v>
                </c:pt>
                <c:pt idx="412">
                  <c:v>2.7438892221566106E-3</c:v>
                </c:pt>
                <c:pt idx="413">
                  <c:v>1.9614259312179068E-3</c:v>
                </c:pt>
                <c:pt idx="414">
                  <c:v>-3.1793224259261555E-3</c:v>
                </c:pt>
                <c:pt idx="415">
                  <c:v>4.1555453751369511E-3</c:v>
                </c:pt>
                <c:pt idx="416">
                  <c:v>8.0842264234291927E-3</c:v>
                </c:pt>
                <c:pt idx="417">
                  <c:v>1.2091315073432651E-3</c:v>
                </c:pt>
                <c:pt idx="418">
                  <c:v>5.4376557675273835E-5</c:v>
                </c:pt>
                <c:pt idx="419">
                  <c:v>9.9433320560937486E-3</c:v>
                </c:pt>
                <c:pt idx="420">
                  <c:v>7.3189229171092005E-3</c:v>
                </c:pt>
                <c:pt idx="421">
                  <c:v>3.0476259239930587E-3</c:v>
                </c:pt>
                <c:pt idx="422">
                  <c:v>-3.3861650418574234E-3</c:v>
                </c:pt>
                <c:pt idx="423">
                  <c:v>2.7110335432424617E-3</c:v>
                </c:pt>
                <c:pt idx="424">
                  <c:v>5.6770168919803715E-3</c:v>
                </c:pt>
                <c:pt idx="425">
                  <c:v>4.2088494865901299E-3</c:v>
                </c:pt>
                <c:pt idx="426">
                  <c:v>1.2104115967809937E-2</c:v>
                </c:pt>
                <c:pt idx="427">
                  <c:v>-1.8446229845168335E-3</c:v>
                </c:pt>
                <c:pt idx="428">
                  <c:v>-7.2430937969337897E-3</c:v>
                </c:pt>
                <c:pt idx="429">
                  <c:v>-4.7307188688171364E-3</c:v>
                </c:pt>
                <c:pt idx="430">
                  <c:v>-2.6005674711671984E-3</c:v>
                </c:pt>
                <c:pt idx="431">
                  <c:v>-2.7432108029442847E-3</c:v>
                </c:pt>
                <c:pt idx="432">
                  <c:v>3.4793515156158698E-3</c:v>
                </c:pt>
                <c:pt idx="433">
                  <c:v>-4.0820957930202389E-3</c:v>
                </c:pt>
                <c:pt idx="434">
                  <c:v>-6.0475090187600816E-3</c:v>
                </c:pt>
                <c:pt idx="435">
                  <c:v>7.9667537209757739E-3</c:v>
                </c:pt>
                <c:pt idx="436">
                  <c:v>-6.6688898770376765E-4</c:v>
                </c:pt>
                <c:pt idx="437">
                  <c:v>-9.0199957444824265E-3</c:v>
                </c:pt>
                <c:pt idx="438">
                  <c:v>7.0284870655762189E-3</c:v>
                </c:pt>
                <c:pt idx="439">
                  <c:v>-8.5427446236556424E-3</c:v>
                </c:pt>
                <c:pt idx="440">
                  <c:v>-1.2408723348868085E-2</c:v>
                </c:pt>
                <c:pt idx="441">
                  <c:v>5.7369749599523064E-4</c:v>
                </c:pt>
                <c:pt idx="442">
                  <c:v>2.1595603003649867E-2</c:v>
                </c:pt>
                <c:pt idx="443">
                  <c:v>6.2666589042077387E-3</c:v>
                </c:pt>
                <c:pt idx="444">
                  <c:v>4.0664039111895159E-3</c:v>
                </c:pt>
                <c:pt idx="445">
                  <c:v>-7.0888155544114413E-3</c:v>
                </c:pt>
                <c:pt idx="446">
                  <c:v>1.3732816122981576E-2</c:v>
                </c:pt>
                <c:pt idx="447">
                  <c:v>6.7213230176509332E-3</c:v>
                </c:pt>
                <c:pt idx="448">
                  <c:v>6.5274195501484516E-3</c:v>
                </c:pt>
                <c:pt idx="449">
                  <c:v>9.1712618574313345E-5</c:v>
                </c:pt>
                <c:pt idx="450">
                  <c:v>5.7211107858845976E-3</c:v>
                </c:pt>
                <c:pt idx="451">
                  <c:v>-4.7357309912257808E-3</c:v>
                </c:pt>
                <c:pt idx="452">
                  <c:v>3.2528719960210105E-3</c:v>
                </c:pt>
                <c:pt idx="453">
                  <c:v>4.3851726383198801E-3</c:v>
                </c:pt>
                <c:pt idx="454">
                  <c:v>1.328835930998072E-3</c:v>
                </c:pt>
                <c:pt idx="455">
                  <c:v>5.568680457237637E-3</c:v>
                </c:pt>
                <c:pt idx="456">
                  <c:v>-4.8879104801314577E-3</c:v>
                </c:pt>
                <c:pt idx="457">
                  <c:v>-3.846759576849974E-3</c:v>
                </c:pt>
                <c:pt idx="458">
                  <c:v>2.8992283353028092E-3</c:v>
                </c:pt>
                <c:pt idx="459">
                  <c:v>3.5641773126337483E-3</c:v>
                </c:pt>
                <c:pt idx="460">
                  <c:v>-2.8094838497391963E-3</c:v>
                </c:pt>
                <c:pt idx="461">
                  <c:v>4.2564576101536706E-3</c:v>
                </c:pt>
                <c:pt idx="462">
                  <c:v>-1.327045548901987E-2</c:v>
                </c:pt>
                <c:pt idx="463">
                  <c:v>1.333823103901602E-2</c:v>
                </c:pt>
                <c:pt idx="464">
                  <c:v>7.2265352474504111E-4</c:v>
                </c:pt>
                <c:pt idx="465">
                  <c:v>-2.3731640314203425E-3</c:v>
                </c:pt>
                <c:pt idx="466">
                  <c:v>8.0627195734255634E-3</c:v>
                </c:pt>
                <c:pt idx="467">
                  <c:v>4.8255995473341796E-3</c:v>
                </c:pt>
                <c:pt idx="468">
                  <c:v>4.2131136773868576E-3</c:v>
                </c:pt>
                <c:pt idx="469">
                  <c:v>-3.7050389068854113E-3</c:v>
                </c:pt>
                <c:pt idx="470">
                  <c:v>-2.0450361935312332E-3</c:v>
                </c:pt>
                <c:pt idx="471">
                  <c:v>-3.642235986195912E-3</c:v>
                </c:pt>
                <c:pt idx="472">
                  <c:v>8.0957162744240488E-3</c:v>
                </c:pt>
                <c:pt idx="473">
                  <c:v>4.9491714942796741E-3</c:v>
                </c:pt>
                <c:pt idx="474">
                  <c:v>-1.2641245404365169E-3</c:v>
                </c:pt>
                <c:pt idx="475">
                  <c:v>1.4978239973848013E-4</c:v>
                </c:pt>
                <c:pt idx="476">
                  <c:v>2.4820094847459511E-3</c:v>
                </c:pt>
                <c:pt idx="477">
                  <c:v>-7.8604171175170024E-4</c:v>
                </c:pt>
                <c:pt idx="478">
                  <c:v>-2.7227046439559808E-3</c:v>
                </c:pt>
                <c:pt idx="479">
                  <c:v>-3.1979560353162999E-3</c:v>
                </c:pt>
                <c:pt idx="480">
                  <c:v>-1.3043625524062031E-3</c:v>
                </c:pt>
                <c:pt idx="481">
                  <c:v>-4.3489995429874546E-3</c:v>
                </c:pt>
                <c:pt idx="482">
                  <c:v>1.1175230224585924E-2</c:v>
                </c:pt>
                <c:pt idx="483">
                  <c:v>1.8154350128978636E-3</c:v>
                </c:pt>
                <c:pt idx="484">
                  <c:v>-3.1847248870443094E-3</c:v>
                </c:pt>
                <c:pt idx="485">
                  <c:v>-1.1381383944921048E-2</c:v>
                </c:pt>
                <c:pt idx="486">
                  <c:v>-3.777704817573199E-3</c:v>
                </c:pt>
                <c:pt idx="487">
                  <c:v>-1.0138503227667498E-4</c:v>
                </c:pt>
                <c:pt idx="488">
                  <c:v>6.3001000102775595E-3</c:v>
                </c:pt>
                <c:pt idx="489">
                  <c:v>-3.1057840714818681E-3</c:v>
                </c:pt>
                <c:pt idx="490">
                  <c:v>1.6510892525584176E-2</c:v>
                </c:pt>
                <c:pt idx="491">
                  <c:v>-5.8007045338986994E-4</c:v>
                </c:pt>
                <c:pt idx="492">
                  <c:v>4.8071714880478693E-3</c:v>
                </c:pt>
                <c:pt idx="493">
                  <c:v>5.3040046897099881E-3</c:v>
                </c:pt>
                <c:pt idx="494">
                  <c:v>2.9115282591196121E-3</c:v>
                </c:pt>
                <c:pt idx="495">
                  <c:v>4.7342647208743665E-3</c:v>
                </c:pt>
                <c:pt idx="496">
                  <c:v>-3.3664366586225631E-4</c:v>
                </c:pt>
                <c:pt idx="497">
                  <c:v>-1.7922752982837381E-4</c:v>
                </c:pt>
                <c:pt idx="498">
                  <c:v>3.9518351004493735E-3</c:v>
                </c:pt>
                <c:pt idx="499">
                  <c:v>-8.9014102804498407E-3</c:v>
                </c:pt>
                <c:pt idx="500">
                  <c:v>-3.3302851523223272E-4</c:v>
                </c:pt>
                <c:pt idx="501">
                  <c:v>-2.514940611652187E-3</c:v>
                </c:pt>
                <c:pt idx="502">
                  <c:v>6.0633534103130306E-3</c:v>
                </c:pt>
                <c:pt idx="503">
                  <c:v>-2.1222353203285233E-4</c:v>
                </c:pt>
                <c:pt idx="504">
                  <c:v>3.4824057245738698E-4</c:v>
                </c:pt>
                <c:pt idx="505">
                  <c:v>2.3040357971461523E-3</c:v>
                </c:pt>
                <c:pt idx="506">
                  <c:v>-1.2655942268644282E-2</c:v>
                </c:pt>
                <c:pt idx="507">
                  <c:v>1.075984662417709E-2</c:v>
                </c:pt>
                <c:pt idx="508">
                  <c:v>5.1528891483296332E-3</c:v>
                </c:pt>
                <c:pt idx="509">
                  <c:v>-1.3480337804588889E-3</c:v>
                </c:pt>
                <c:pt idx="510">
                  <c:v>-3.9027458285236156E-3</c:v>
                </c:pt>
                <c:pt idx="511">
                  <c:v>2.7698592046981876E-3</c:v>
                </c:pt>
                <c:pt idx="512">
                  <c:v>5.747344722354488E-4</c:v>
                </c:pt>
                <c:pt idx="513">
                  <c:v>-8.9293113410991373E-3</c:v>
                </c:pt>
                <c:pt idx="514">
                  <c:v>-2.109646461003822E-2</c:v>
                </c:pt>
                <c:pt idx="515">
                  <c:v>-4.8882329232613157E-3</c:v>
                </c:pt>
                <c:pt idx="516">
                  <c:v>6.121908511444599E-3</c:v>
                </c:pt>
                <c:pt idx="517">
                  <c:v>-1.0261676387288874E-2</c:v>
                </c:pt>
                <c:pt idx="518">
                  <c:v>1.1204049508506285E-2</c:v>
                </c:pt>
                <c:pt idx="519">
                  <c:v>-6.4863036975730442E-3</c:v>
                </c:pt>
                <c:pt idx="520">
                  <c:v>-2.3096632288166549E-2</c:v>
                </c:pt>
                <c:pt idx="521">
                  <c:v>7.6120799117127824E-3</c:v>
                </c:pt>
                <c:pt idx="522">
                  <c:v>-2.0303185904787225E-3</c:v>
                </c:pt>
                <c:pt idx="523">
                  <c:v>1.2363032529603139E-2</c:v>
                </c:pt>
                <c:pt idx="524">
                  <c:v>1.3214212922079903E-2</c:v>
                </c:pt>
                <c:pt idx="525">
                  <c:v>1.5680346623456046E-3</c:v>
                </c:pt>
                <c:pt idx="526">
                  <c:v>1.1001356953851574E-2</c:v>
                </c:pt>
                <c:pt idx="527">
                  <c:v>-2.6930401563143885E-4</c:v>
                </c:pt>
                <c:pt idx="528">
                  <c:v>5.7932413627504236E-3</c:v>
                </c:pt>
                <c:pt idx="529">
                  <c:v>4.7976627138052634E-3</c:v>
                </c:pt>
                <c:pt idx="530">
                  <c:v>1.1578007430249318E-3</c:v>
                </c:pt>
                <c:pt idx="531">
                  <c:v>-6.5458564679824966E-3</c:v>
                </c:pt>
                <c:pt idx="532">
                  <c:v>6.0133259028154577E-3</c:v>
                </c:pt>
                <c:pt idx="533">
                  <c:v>-1.9205507490625245E-3</c:v>
                </c:pt>
                <c:pt idx="534">
                  <c:v>6.167463480648212E-3</c:v>
                </c:pt>
                <c:pt idx="535">
                  <c:v>-1.3485959587527492E-3</c:v>
                </c:pt>
                <c:pt idx="536">
                  <c:v>2.1678571816661324E-5</c:v>
                </c:pt>
                <c:pt idx="537">
                  <c:v>4.9358788663713881E-3</c:v>
                </c:pt>
                <c:pt idx="538">
                  <c:v>2.778871606797594E-3</c:v>
                </c:pt>
                <c:pt idx="539">
                  <c:v>-7.4058818780435871E-3</c:v>
                </c:pt>
                <c:pt idx="540">
                  <c:v>1.5152293854515365E-2</c:v>
                </c:pt>
                <c:pt idx="541">
                  <c:v>-5.3365779740162576E-5</c:v>
                </c:pt>
                <c:pt idx="542">
                  <c:v>1.716949158601179E-3</c:v>
                </c:pt>
                <c:pt idx="543">
                  <c:v>5.3793938560730995E-4</c:v>
                </c:pt>
                <c:pt idx="544">
                  <c:v>-4.633562520154853E-4</c:v>
                </c:pt>
                <c:pt idx="545">
                  <c:v>-5.0950761792528144E-3</c:v>
                </c:pt>
                <c:pt idx="546">
                  <c:v>3.0515307410829926E-4</c:v>
                </c:pt>
                <c:pt idx="547">
                  <c:v>-1.1770099320208021E-2</c:v>
                </c:pt>
                <c:pt idx="548">
                  <c:v>-2.8257875816496739E-3</c:v>
                </c:pt>
                <c:pt idx="549">
                  <c:v>9.567743988496134E-3</c:v>
                </c:pt>
                <c:pt idx="550">
                  <c:v>7.1936586040894802E-3</c:v>
                </c:pt>
                <c:pt idx="551">
                  <c:v>-6.1505355930613122E-3</c:v>
                </c:pt>
                <c:pt idx="552">
                  <c:v>6.022339367196353E-3</c:v>
                </c:pt>
                <c:pt idx="553">
                  <c:v>-2.9369853639483641E-3</c:v>
                </c:pt>
                <c:pt idx="554">
                  <c:v>-4.8765389499373611E-3</c:v>
                </c:pt>
                <c:pt idx="555">
                  <c:v>4.3942419206480258E-3</c:v>
                </c:pt>
                <c:pt idx="556">
                  <c:v>-7.0249712006657423E-3</c:v>
                </c:pt>
                <c:pt idx="557">
                  <c:v>-1.9018808412744233E-3</c:v>
                </c:pt>
                <c:pt idx="558">
                  <c:v>4.6295129977681881E-3</c:v>
                </c:pt>
                <c:pt idx="559">
                  <c:v>7.8928870113299885E-3</c:v>
                </c:pt>
                <c:pt idx="560">
                  <c:v>7.0146594306005365E-3</c:v>
                </c:pt>
                <c:pt idx="561">
                  <c:v>2.8492612790418292E-3</c:v>
                </c:pt>
                <c:pt idx="562">
                  <c:v>-1.1270826423899496E-3</c:v>
                </c:pt>
                <c:pt idx="563">
                  <c:v>-1.2616514258563742E-2</c:v>
                </c:pt>
                <c:pt idx="564">
                  <c:v>-1.0808351829803234E-2</c:v>
                </c:pt>
                <c:pt idx="565">
                  <c:v>3.7435802443231501E-3</c:v>
                </c:pt>
                <c:pt idx="566">
                  <c:v>1.085898956046606E-2</c:v>
                </c:pt>
                <c:pt idx="567">
                  <c:v>-2.1105915074922734E-2</c:v>
                </c:pt>
                <c:pt idx="568">
                  <c:v>-9.5320514425906184E-3</c:v>
                </c:pt>
                <c:pt idx="569">
                  <c:v>8.1836838818938485E-3</c:v>
                </c:pt>
                <c:pt idx="570">
                  <c:v>6.7345821134063982E-3</c:v>
                </c:pt>
                <c:pt idx="571">
                  <c:v>1.0433825888179194E-2</c:v>
                </c:pt>
                <c:pt idx="572">
                  <c:v>1.3629682617378818E-3</c:v>
                </c:pt>
                <c:pt idx="573">
                  <c:v>3.767994738389568E-3</c:v>
                </c:pt>
                <c:pt idx="574">
                  <c:v>4.0837708429826225E-3</c:v>
                </c:pt>
                <c:pt idx="575">
                  <c:v>-2.2157486947723798E-3</c:v>
                </c:pt>
                <c:pt idx="576">
                  <c:v>1.715503883693198E-3</c:v>
                </c:pt>
                <c:pt idx="577">
                  <c:v>-8.1293656428790845E-3</c:v>
                </c:pt>
                <c:pt idx="578">
                  <c:v>3.2307955332088844E-3</c:v>
                </c:pt>
                <c:pt idx="579">
                  <c:v>4.7495126317660839E-3</c:v>
                </c:pt>
                <c:pt idx="580">
                  <c:v>2.9875523247041838E-3</c:v>
                </c:pt>
                <c:pt idx="581">
                  <c:v>-1.4332617611718807E-4</c:v>
                </c:pt>
                <c:pt idx="582">
                  <c:v>-1.3493343030381874E-3</c:v>
                </c:pt>
                <c:pt idx="583">
                  <c:v>1.8694572336087256E-3</c:v>
                </c:pt>
                <c:pt idx="584">
                  <c:v>-9.0289976403566084E-3</c:v>
                </c:pt>
                <c:pt idx="585">
                  <c:v>5.6007599828579776E-3</c:v>
                </c:pt>
                <c:pt idx="586">
                  <c:v>-1.3745926338061829E-3</c:v>
                </c:pt>
                <c:pt idx="587">
                  <c:v>1.5183361955399689E-3</c:v>
                </c:pt>
                <c:pt idx="588">
                  <c:v>9.6262329027441348E-3</c:v>
                </c:pt>
                <c:pt idx="589">
                  <c:v>4.2170739403580638E-4</c:v>
                </c:pt>
                <c:pt idx="590">
                  <c:v>-4.7121308116253539E-3</c:v>
                </c:pt>
                <c:pt idx="591">
                  <c:v>-9.4058756211604158E-3</c:v>
                </c:pt>
                <c:pt idx="592">
                  <c:v>3.7399575698852106E-3</c:v>
                </c:pt>
                <c:pt idx="593">
                  <c:v>3.8374297012765974E-3</c:v>
                </c:pt>
                <c:pt idx="594">
                  <c:v>-6.5196044560605956E-3</c:v>
                </c:pt>
                <c:pt idx="595">
                  <c:v>8.0833015659244594E-3</c:v>
                </c:pt>
                <c:pt idx="596">
                  <c:v>2.3594648720788379E-3</c:v>
                </c:pt>
                <c:pt idx="597">
                  <c:v>4.2393723425778601E-3</c:v>
                </c:pt>
                <c:pt idx="598">
                  <c:v>5.9699477493898685E-3</c:v>
                </c:pt>
                <c:pt idx="599">
                  <c:v>-1.1146902132564401E-3</c:v>
                </c:pt>
                <c:pt idx="600">
                  <c:v>5.3527587392555058E-3</c:v>
                </c:pt>
                <c:pt idx="601">
                  <c:v>1.8420236241803512E-3</c:v>
                </c:pt>
                <c:pt idx="602">
                  <c:v>7.2754866092336699E-4</c:v>
                </c:pt>
                <c:pt idx="603">
                  <c:v>-3.7929861387248808E-4</c:v>
                </c:pt>
                <c:pt idx="604">
                  <c:v>1.8898689985705139E-3</c:v>
                </c:pt>
                <c:pt idx="605">
                  <c:v>6.5041047829359376E-3</c:v>
                </c:pt>
                <c:pt idx="606">
                  <c:v>4.6170934741916929E-3</c:v>
                </c:pt>
                <c:pt idx="607">
                  <c:v>9.3829079027121039E-4</c:v>
                </c:pt>
                <c:pt idx="608">
                  <c:v>-2.4602389631178353E-4</c:v>
                </c:pt>
                <c:pt idx="609">
                  <c:v>-3.5432986633579717E-3</c:v>
                </c:pt>
                <c:pt idx="610">
                  <c:v>-7.1141239638480343E-3</c:v>
                </c:pt>
                <c:pt idx="611">
                  <c:v>3.1296339563013217E-3</c:v>
                </c:pt>
                <c:pt idx="612">
                  <c:v>8.3635786534210811E-4</c:v>
                </c:pt>
                <c:pt idx="613">
                  <c:v>2.1702325923407999E-3</c:v>
                </c:pt>
                <c:pt idx="614">
                  <c:v>7.6892481123617502E-3</c:v>
                </c:pt>
                <c:pt idx="615">
                  <c:v>1.2766632824317233E-3</c:v>
                </c:pt>
                <c:pt idx="616">
                  <c:v>1.7285560156963271E-3</c:v>
                </c:pt>
                <c:pt idx="617">
                  <c:v>-1.324678767336581E-4</c:v>
                </c:pt>
                <c:pt idx="618">
                  <c:v>-6.4561039462425959E-3</c:v>
                </c:pt>
                <c:pt idx="619">
                  <c:v>4.8855324556185036E-3</c:v>
                </c:pt>
                <c:pt idx="620">
                  <c:v>-1.179549508052484E-3</c:v>
                </c:pt>
                <c:pt idx="621">
                  <c:v>1.9090501895577705E-3</c:v>
                </c:pt>
                <c:pt idx="622">
                  <c:v>-3.7233595333743678E-4</c:v>
                </c:pt>
                <c:pt idx="623">
                  <c:v>6.6555901516330051E-3</c:v>
                </c:pt>
                <c:pt idx="624">
                  <c:v>6.5857132934445356E-4</c:v>
                </c:pt>
                <c:pt idx="625">
                  <c:v>5.464577266607205E-3</c:v>
                </c:pt>
                <c:pt idx="626">
                  <c:v>-3.9312809110307861E-3</c:v>
                </c:pt>
                <c:pt idx="627">
                  <c:v>-7.0737299445003425E-3</c:v>
                </c:pt>
                <c:pt idx="628">
                  <c:v>4.6335189363311338E-3</c:v>
                </c:pt>
                <c:pt idx="629">
                  <c:v>-4.1396779380016777E-3</c:v>
                </c:pt>
                <c:pt idx="630">
                  <c:v>1.4698966344172243E-3</c:v>
                </c:pt>
                <c:pt idx="631">
                  <c:v>4.8318457773097378E-3</c:v>
                </c:pt>
                <c:pt idx="632">
                  <c:v>-1.9339917631568573E-3</c:v>
                </c:pt>
                <c:pt idx="633">
                  <c:v>4.1923269614829216E-3</c:v>
                </c:pt>
                <c:pt idx="634">
                  <c:v>-1.1904630539099268E-2</c:v>
                </c:pt>
                <c:pt idx="635">
                  <c:v>1.0212621215764002E-2</c:v>
                </c:pt>
                <c:pt idx="636">
                  <c:v>-2.322963707646372E-3</c:v>
                </c:pt>
                <c:pt idx="637">
                  <c:v>5.0035988712575554E-3</c:v>
                </c:pt>
                <c:pt idx="638">
                  <c:v>1.7529106323480887E-3</c:v>
                </c:pt>
                <c:pt idx="639">
                  <c:v>4.8805155195559568E-4</c:v>
                </c:pt>
                <c:pt idx="640">
                  <c:v>-4.8609385938271771E-3</c:v>
                </c:pt>
                <c:pt idx="641">
                  <c:v>2.8807884462303611E-4</c:v>
                </c:pt>
                <c:pt idx="642">
                  <c:v>-4.538026355257783E-3</c:v>
                </c:pt>
                <c:pt idx="643">
                  <c:v>6.0913396397368385E-5</c:v>
                </c:pt>
                <c:pt idx="644">
                  <c:v>-2.0201982180386897E-2</c:v>
                </c:pt>
                <c:pt idx="645">
                  <c:v>-2.8632061512498972E-3</c:v>
                </c:pt>
                <c:pt idx="646">
                  <c:v>7.1633321677376247E-3</c:v>
                </c:pt>
                <c:pt idx="647">
                  <c:v>-9.7326638909587745E-3</c:v>
                </c:pt>
                <c:pt idx="648">
                  <c:v>1.5623169160183835E-5</c:v>
                </c:pt>
                <c:pt idx="649">
                  <c:v>-5.5720924051179815E-3</c:v>
                </c:pt>
                <c:pt idx="650">
                  <c:v>1.146541212583467E-2</c:v>
                </c:pt>
                <c:pt idx="651">
                  <c:v>2.7555846424938877E-3</c:v>
                </c:pt>
                <c:pt idx="652">
                  <c:v>-1.6379596859127999E-3</c:v>
                </c:pt>
                <c:pt idx="653">
                  <c:v>6.6847821518630762E-3</c:v>
                </c:pt>
                <c:pt idx="654">
                  <c:v>4.3363557532498454E-3</c:v>
                </c:pt>
                <c:pt idx="655">
                  <c:v>-6.1377306783057757E-5</c:v>
                </c:pt>
                <c:pt idx="656">
                  <c:v>8.4955181427630883E-3</c:v>
                </c:pt>
                <c:pt idx="657">
                  <c:v>4.9881975467810091E-3</c:v>
                </c:pt>
                <c:pt idx="658">
                  <c:v>2.4747310461941839E-3</c:v>
                </c:pt>
                <c:pt idx="659">
                  <c:v>2.9455546469971902E-3</c:v>
                </c:pt>
                <c:pt idx="660">
                  <c:v>-1.9945896478233741E-3</c:v>
                </c:pt>
                <c:pt idx="661">
                  <c:v>4.7763441463173689E-3</c:v>
                </c:pt>
                <c:pt idx="662">
                  <c:v>1.050541125247729E-3</c:v>
                </c:pt>
                <c:pt idx="663">
                  <c:v>4.9998250071612606E-5</c:v>
                </c:pt>
                <c:pt idx="664">
                  <c:v>-1.6913280954213741E-3</c:v>
                </c:pt>
                <c:pt idx="665">
                  <c:v>3.3149118755349209E-3</c:v>
                </c:pt>
                <c:pt idx="666">
                  <c:v>-5.4423128675924639E-4</c:v>
                </c:pt>
                <c:pt idx="667">
                  <c:v>-7.7941547787828132E-4</c:v>
                </c:pt>
                <c:pt idx="668">
                  <c:v>-1.5356260692695059E-3</c:v>
                </c:pt>
                <c:pt idx="669">
                  <c:v>5.0232793825961582E-3</c:v>
                </c:pt>
                <c:pt idx="670">
                  <c:v>-3.0778848267845093E-3</c:v>
                </c:pt>
                <c:pt idx="671">
                  <c:v>-6.5664725492672778E-3</c:v>
                </c:pt>
                <c:pt idx="672">
                  <c:v>3.6394434933185002E-3</c:v>
                </c:pt>
                <c:pt idx="673">
                  <c:v>8.8151184980712178E-4</c:v>
                </c:pt>
                <c:pt idx="674">
                  <c:v>-5.9804496107261707E-3</c:v>
                </c:pt>
                <c:pt idx="675">
                  <c:v>-7.103865355538411E-4</c:v>
                </c:pt>
                <c:pt idx="676">
                  <c:v>7.4565195560981042E-3</c:v>
                </c:pt>
                <c:pt idx="677">
                  <c:v>1.2948221428846019E-3</c:v>
                </c:pt>
                <c:pt idx="678">
                  <c:v>4.8792375757879137E-3</c:v>
                </c:pt>
                <c:pt idx="679">
                  <c:v>-4.7740293713845845E-4</c:v>
                </c:pt>
                <c:pt idx="680">
                  <c:v>-8.0456099735066993E-3</c:v>
                </c:pt>
                <c:pt idx="681">
                  <c:v>-5.7932403429418761E-3</c:v>
                </c:pt>
                <c:pt idx="682">
                  <c:v>7.8019621743095095E-3</c:v>
                </c:pt>
                <c:pt idx="683">
                  <c:v>-1.6300883863057503E-2</c:v>
                </c:pt>
                <c:pt idx="684">
                  <c:v>8.53926846933231E-3</c:v>
                </c:pt>
                <c:pt idx="685">
                  <c:v>-2.5500878576278762E-3</c:v>
                </c:pt>
                <c:pt idx="686">
                  <c:v>-2.7898116618691174E-3</c:v>
                </c:pt>
                <c:pt idx="687">
                  <c:v>-1.3337103869609681E-2</c:v>
                </c:pt>
                <c:pt idx="688">
                  <c:v>5.1383104720751194E-6</c:v>
                </c:pt>
                <c:pt idx="689">
                  <c:v>1.1103645698160249E-2</c:v>
                </c:pt>
                <c:pt idx="690">
                  <c:v>-1.5663462589335857E-3</c:v>
                </c:pt>
                <c:pt idx="691">
                  <c:v>-1.5241633339008961E-2</c:v>
                </c:pt>
                <c:pt idx="692">
                  <c:v>1.7310927441677434E-2</c:v>
                </c:pt>
                <c:pt idx="693">
                  <c:v>-2.0877820755941481E-2</c:v>
                </c:pt>
                <c:pt idx="694">
                  <c:v>-1.1517102846274005E-2</c:v>
                </c:pt>
                <c:pt idx="695">
                  <c:v>-1.6605025431830202E-2</c:v>
                </c:pt>
                <c:pt idx="696">
                  <c:v>1.5776404760320126E-3</c:v>
                </c:pt>
                <c:pt idx="697">
                  <c:v>-8.1333214869814974E-3</c:v>
                </c:pt>
                <c:pt idx="698">
                  <c:v>1.4495671456831241E-4</c:v>
                </c:pt>
                <c:pt idx="699">
                  <c:v>1.2801813443832692E-2</c:v>
                </c:pt>
                <c:pt idx="700">
                  <c:v>9.101116168173851E-3</c:v>
                </c:pt>
                <c:pt idx="701">
                  <c:v>1.9385360865204253E-2</c:v>
                </c:pt>
                <c:pt idx="702">
                  <c:v>-7.3260779688414726E-3</c:v>
                </c:pt>
                <c:pt idx="703">
                  <c:v>1.2228325652846546E-2</c:v>
                </c:pt>
                <c:pt idx="704">
                  <c:v>7.0286850120311814E-3</c:v>
                </c:pt>
                <c:pt idx="705">
                  <c:v>-1.502721736806668E-3</c:v>
                </c:pt>
                <c:pt idx="706">
                  <c:v>1.1868342458139376E-2</c:v>
                </c:pt>
                <c:pt idx="707">
                  <c:v>-1.3863160247666469E-3</c:v>
                </c:pt>
                <c:pt idx="708">
                  <c:v>6.2108096401566381E-3</c:v>
                </c:pt>
                <c:pt idx="709">
                  <c:v>1.1663102277224974E-2</c:v>
                </c:pt>
                <c:pt idx="710">
                  <c:v>-1.1893375899205164E-4</c:v>
                </c:pt>
                <c:pt idx="711">
                  <c:v>-2.8338120807535872E-3</c:v>
                </c:pt>
                <c:pt idx="712">
                  <c:v>5.6843254698454955E-3</c:v>
                </c:pt>
                <c:pt idx="713">
                  <c:v>3.7683963328125326E-3</c:v>
                </c:pt>
                <c:pt idx="714">
                  <c:v>3.4948426815119868E-4</c:v>
                </c:pt>
                <c:pt idx="715">
                  <c:v>3.1153438558825866E-3</c:v>
                </c:pt>
                <c:pt idx="716">
                  <c:v>6.9643008842389554E-4</c:v>
                </c:pt>
                <c:pt idx="717">
                  <c:v>-7.0133624589671954E-4</c:v>
                </c:pt>
                <c:pt idx="718">
                  <c:v>5.2972597729773947E-4</c:v>
                </c:pt>
                <c:pt idx="719">
                  <c:v>2.4024613086403535E-4</c:v>
                </c:pt>
                <c:pt idx="720">
                  <c:v>7.3508875830995222E-4</c:v>
                </c:pt>
                <c:pt idx="721">
                  <c:v>5.1207992441207693E-3</c:v>
                </c:pt>
                <c:pt idx="722">
                  <c:v>-1.5022487778296994E-3</c:v>
                </c:pt>
                <c:pt idx="723">
                  <c:v>1.9651497131154641E-3</c:v>
                </c:pt>
                <c:pt idx="724">
                  <c:v>5.2232126037382535E-3</c:v>
                </c:pt>
                <c:pt idx="725">
                  <c:v>2.8599722850845412E-3</c:v>
                </c:pt>
                <c:pt idx="726">
                  <c:v>-1.1507481131779239E-3</c:v>
                </c:pt>
                <c:pt idx="727">
                  <c:v>2.8020289550014527E-3</c:v>
                </c:pt>
                <c:pt idx="728">
                  <c:v>-2.5456552865591015E-3</c:v>
                </c:pt>
                <c:pt idx="729">
                  <c:v>-6.8527324708350058E-3</c:v>
                </c:pt>
                <c:pt idx="730">
                  <c:v>6.3641145965672059E-3</c:v>
                </c:pt>
                <c:pt idx="731">
                  <c:v>3.7576597991097705E-3</c:v>
                </c:pt>
                <c:pt idx="732">
                  <c:v>-1.1624963624507377E-3</c:v>
                </c:pt>
                <c:pt idx="733">
                  <c:v>1.6637374265151782E-3</c:v>
                </c:pt>
                <c:pt idx="734">
                  <c:v>-7.2829941231697731E-3</c:v>
                </c:pt>
                <c:pt idx="735">
                  <c:v>-2.3785657360814608E-4</c:v>
                </c:pt>
                <c:pt idx="736">
                  <c:v>-1.6486095225712944E-2</c:v>
                </c:pt>
                <c:pt idx="737">
                  <c:v>4.5254627925939775E-3</c:v>
                </c:pt>
                <c:pt idx="738">
                  <c:v>-1.6346465435817352E-2</c:v>
                </c:pt>
                <c:pt idx="739">
                  <c:v>-6.3628106729409261E-3</c:v>
                </c:pt>
                <c:pt idx="740">
                  <c:v>-8.5252524609650115E-3</c:v>
                </c:pt>
                <c:pt idx="741">
                  <c:v>2.0148061015694455E-2</c:v>
                </c:pt>
                <c:pt idx="742">
                  <c:v>2.3731391638557114E-2</c:v>
                </c:pt>
                <c:pt idx="743">
                  <c:v>4.5596756540114657E-3</c:v>
                </c:pt>
                <c:pt idx="744">
                  <c:v>3.8031565245638006E-3</c:v>
                </c:pt>
                <c:pt idx="745">
                  <c:v>1.7448949438961451E-3</c:v>
                </c:pt>
                <c:pt idx="746">
                  <c:v>-1.3928747275794275E-4</c:v>
                </c:pt>
                <c:pt idx="747">
                  <c:v>3.3040443422532773E-3</c:v>
                </c:pt>
                <c:pt idx="748">
                  <c:v>8.6138007977164255E-4</c:v>
                </c:pt>
                <c:pt idx="749">
                  <c:v>-4.9006072778080582E-3</c:v>
                </c:pt>
                <c:pt idx="750">
                  <c:v>-1.036428918775506E-2</c:v>
                </c:pt>
                <c:pt idx="751">
                  <c:v>-3.400451807075162E-4</c:v>
                </c:pt>
                <c:pt idx="752">
                  <c:v>-1.8447215507429587E-2</c:v>
                </c:pt>
                <c:pt idx="753">
                  <c:v>-8.9332691248878455E-3</c:v>
                </c:pt>
                <c:pt idx="754">
                  <c:v>1.1562716479232132E-2</c:v>
                </c:pt>
                <c:pt idx="755">
                  <c:v>1.7730232270553911E-2</c:v>
                </c:pt>
                <c:pt idx="756">
                  <c:v>-8.4394028943683176E-3</c:v>
                </c:pt>
                <c:pt idx="757">
                  <c:v>-8.1265930033877221E-3</c:v>
                </c:pt>
                <c:pt idx="758">
                  <c:v>-2.5818951027174481E-3</c:v>
                </c:pt>
                <c:pt idx="759">
                  <c:v>-5.8300241971988576E-3</c:v>
                </c:pt>
                <c:pt idx="760">
                  <c:v>-9.2909153471455157E-3</c:v>
                </c:pt>
                <c:pt idx="761">
                  <c:v>1.3334893478396E-2</c:v>
                </c:pt>
                <c:pt idx="762">
                  <c:v>1.5487500528907781E-3</c:v>
                </c:pt>
                <c:pt idx="763">
                  <c:v>4.7204915668688828E-3</c:v>
                </c:pt>
                <c:pt idx="764">
                  <c:v>1.5154358001382194E-2</c:v>
                </c:pt>
                <c:pt idx="765">
                  <c:v>-5.5067369293280901E-3</c:v>
                </c:pt>
                <c:pt idx="766">
                  <c:v>2.565158589374469E-3</c:v>
                </c:pt>
                <c:pt idx="767">
                  <c:v>-1.347826914874784E-2</c:v>
                </c:pt>
                <c:pt idx="768">
                  <c:v>-1.3587495823831957E-2</c:v>
                </c:pt>
                <c:pt idx="769">
                  <c:v>9.4895341296701297E-3</c:v>
                </c:pt>
                <c:pt idx="770">
                  <c:v>-1.3077094111243876E-2</c:v>
                </c:pt>
                <c:pt idx="771">
                  <c:v>1.2879177186226798E-2</c:v>
                </c:pt>
                <c:pt idx="772">
                  <c:v>1.4336212205417897E-2</c:v>
                </c:pt>
                <c:pt idx="773">
                  <c:v>-4.164697065034053E-3</c:v>
                </c:pt>
                <c:pt idx="774">
                  <c:v>1.0238806024834353E-2</c:v>
                </c:pt>
                <c:pt idx="775">
                  <c:v>-3.424003889146327E-3</c:v>
                </c:pt>
                <c:pt idx="776">
                  <c:v>-4.2562487923016503E-3</c:v>
                </c:pt>
                <c:pt idx="777">
                  <c:v>1.0618932294575799E-2</c:v>
                </c:pt>
                <c:pt idx="778">
                  <c:v>-2.900568511630124E-5</c:v>
                </c:pt>
                <c:pt idx="779">
                  <c:v>9.5983185809504629E-3</c:v>
                </c:pt>
                <c:pt idx="780">
                  <c:v>4.0664545328546334E-3</c:v>
                </c:pt>
                <c:pt idx="781">
                  <c:v>1.5962531949234387E-3</c:v>
                </c:pt>
                <c:pt idx="782">
                  <c:v>-3.1428422028125343E-4</c:v>
                </c:pt>
                <c:pt idx="783">
                  <c:v>-1.0626309930072469E-3</c:v>
                </c:pt>
                <c:pt idx="784">
                  <c:v>6.1077963032981041E-3</c:v>
                </c:pt>
                <c:pt idx="785">
                  <c:v>-3.0332041294573771E-4</c:v>
                </c:pt>
                <c:pt idx="786">
                  <c:v>2.7549400403308333E-3</c:v>
                </c:pt>
                <c:pt idx="787">
                  <c:v>-7.6607701401540612E-4</c:v>
                </c:pt>
                <c:pt idx="788">
                  <c:v>-1.477063185743682E-3</c:v>
                </c:pt>
                <c:pt idx="789">
                  <c:v>-2.9606876752680299E-3</c:v>
                </c:pt>
                <c:pt idx="790">
                  <c:v>6.1062889142892368E-3</c:v>
                </c:pt>
                <c:pt idx="791">
                  <c:v>-4.5489372363725104E-3</c:v>
                </c:pt>
                <c:pt idx="792">
                  <c:v>-4.3981612914209805E-3</c:v>
                </c:pt>
                <c:pt idx="793">
                  <c:v>1.1953606197183842E-3</c:v>
                </c:pt>
                <c:pt idx="794">
                  <c:v>-1.4275342485307393E-2</c:v>
                </c:pt>
                <c:pt idx="795">
                  <c:v>3.9366999468925627E-3</c:v>
                </c:pt>
                <c:pt idx="796">
                  <c:v>-1.7106870531886451E-2</c:v>
                </c:pt>
                <c:pt idx="797">
                  <c:v>-1.9194991693251124E-3</c:v>
                </c:pt>
                <c:pt idx="798">
                  <c:v>1.2522721054237218E-2</c:v>
                </c:pt>
                <c:pt idx="799">
                  <c:v>-6.0932131665859804E-3</c:v>
                </c:pt>
                <c:pt idx="800">
                  <c:v>1.3442889619502027E-2</c:v>
                </c:pt>
                <c:pt idx="801">
                  <c:v>-3.3257399856237396E-3</c:v>
                </c:pt>
                <c:pt idx="802">
                  <c:v>1.2085115625505266E-2</c:v>
                </c:pt>
                <c:pt idx="803">
                  <c:v>-4.8844984753110381E-3</c:v>
                </c:pt>
                <c:pt idx="804">
                  <c:v>8.9723452173247273E-3</c:v>
                </c:pt>
                <c:pt idx="805">
                  <c:v>-1.7471731581735757E-3</c:v>
                </c:pt>
                <c:pt idx="806">
                  <c:v>-6.1583828258348948E-3</c:v>
                </c:pt>
                <c:pt idx="807">
                  <c:v>-1.4665950218136469E-2</c:v>
                </c:pt>
                <c:pt idx="808">
                  <c:v>-2.380259551864185E-3</c:v>
                </c:pt>
                <c:pt idx="809">
                  <c:v>2.3657037582941712E-3</c:v>
                </c:pt>
                <c:pt idx="810">
                  <c:v>1.2162396804615399E-2</c:v>
                </c:pt>
                <c:pt idx="811">
                  <c:v>-8.8346389509214723E-3</c:v>
                </c:pt>
                <c:pt idx="812">
                  <c:v>-3.9732777015764314E-3</c:v>
                </c:pt>
                <c:pt idx="813">
                  <c:v>3.5234427543923289E-3</c:v>
                </c:pt>
                <c:pt idx="814">
                  <c:v>6.586997425284128E-3</c:v>
                </c:pt>
                <c:pt idx="815">
                  <c:v>-2.0640140117176337E-3</c:v>
                </c:pt>
                <c:pt idx="816">
                  <c:v>2.6790260911049436E-3</c:v>
                </c:pt>
                <c:pt idx="817">
                  <c:v>4.4475616557317519E-3</c:v>
                </c:pt>
                <c:pt idx="818">
                  <c:v>5.1893163356351961E-3</c:v>
                </c:pt>
                <c:pt idx="819">
                  <c:v>-4.5917462766684588E-3</c:v>
                </c:pt>
                <c:pt idx="820">
                  <c:v>1.6283576529126241E-3</c:v>
                </c:pt>
                <c:pt idx="821">
                  <c:v>5.1350866086935787E-3</c:v>
                </c:pt>
                <c:pt idx="822">
                  <c:v>-7.7879774665911791E-4</c:v>
                </c:pt>
                <c:pt idx="823">
                  <c:v>-1.1375675981876396E-2</c:v>
                </c:pt>
                <c:pt idx="824">
                  <c:v>9.1927622342074314E-3</c:v>
                </c:pt>
                <c:pt idx="825">
                  <c:v>-1.4817676241149391E-3</c:v>
                </c:pt>
                <c:pt idx="826">
                  <c:v>5.0746200095614369E-3</c:v>
                </c:pt>
                <c:pt idx="827">
                  <c:v>2.3549546644853884E-3</c:v>
                </c:pt>
                <c:pt idx="828">
                  <c:v>2.2502621405813723E-3</c:v>
                </c:pt>
                <c:pt idx="829">
                  <c:v>-4.1499038644162989E-3</c:v>
                </c:pt>
                <c:pt idx="830">
                  <c:v>2.7653627744773542E-3</c:v>
                </c:pt>
                <c:pt idx="831">
                  <c:v>-3.7473898615125326E-3</c:v>
                </c:pt>
                <c:pt idx="832">
                  <c:v>-1.0180511364075624E-2</c:v>
                </c:pt>
                <c:pt idx="833">
                  <c:v>1.0863762718014008E-2</c:v>
                </c:pt>
                <c:pt idx="834">
                  <c:v>2.9364562942421689E-3</c:v>
                </c:pt>
                <c:pt idx="835">
                  <c:v>-1.1907989281938557E-2</c:v>
                </c:pt>
                <c:pt idx="836">
                  <c:v>-4.4656528892180703E-3</c:v>
                </c:pt>
                <c:pt idx="837">
                  <c:v>3.7666635227395196E-3</c:v>
                </c:pt>
                <c:pt idx="838">
                  <c:v>1.336810183819619E-2</c:v>
                </c:pt>
                <c:pt idx="839">
                  <c:v>-5.102547415113407E-3</c:v>
                </c:pt>
                <c:pt idx="840">
                  <c:v>-2.9540151581351707E-3</c:v>
                </c:pt>
                <c:pt idx="841">
                  <c:v>-3.0493615635559612E-4</c:v>
                </c:pt>
                <c:pt idx="842">
                  <c:v>1.0721548914049037E-2</c:v>
                </c:pt>
                <c:pt idx="843">
                  <c:v>7.6817406925065615E-4</c:v>
                </c:pt>
                <c:pt idx="844">
                  <c:v>3.0433262041808752E-3</c:v>
                </c:pt>
                <c:pt idx="845">
                  <c:v>-6.4364124626619236E-4</c:v>
                </c:pt>
                <c:pt idx="846">
                  <c:v>-9.3095867249196713E-4</c:v>
                </c:pt>
                <c:pt idx="847">
                  <c:v>2.3351597649989828E-3</c:v>
                </c:pt>
                <c:pt idx="848">
                  <c:v>-2.2363806280129898E-3</c:v>
                </c:pt>
                <c:pt idx="849">
                  <c:v>-1.0335154142642595E-2</c:v>
                </c:pt>
                <c:pt idx="850">
                  <c:v>9.1209049217876367E-3</c:v>
                </c:pt>
                <c:pt idx="851">
                  <c:v>-1.2675915340863882E-3</c:v>
                </c:pt>
                <c:pt idx="852">
                  <c:v>-6.3384457913584413E-3</c:v>
                </c:pt>
                <c:pt idx="853">
                  <c:v>2.0573017741854285E-3</c:v>
                </c:pt>
                <c:pt idx="854">
                  <c:v>-1.0091607056388198E-3</c:v>
                </c:pt>
                <c:pt idx="855">
                  <c:v>2.1166434256780875E-3</c:v>
                </c:pt>
                <c:pt idx="856">
                  <c:v>-8.6605718154161154E-3</c:v>
                </c:pt>
                <c:pt idx="857">
                  <c:v>-1.4372106268171129E-3</c:v>
                </c:pt>
                <c:pt idx="858">
                  <c:v>-6.4955370983836944E-3</c:v>
                </c:pt>
                <c:pt idx="859">
                  <c:v>4.1832655565178788E-4</c:v>
                </c:pt>
                <c:pt idx="860">
                  <c:v>1.1970467999834084E-2</c:v>
                </c:pt>
                <c:pt idx="861">
                  <c:v>1.7370426241117387E-3</c:v>
                </c:pt>
                <c:pt idx="862">
                  <c:v>-7.018875011890289E-3</c:v>
                </c:pt>
                <c:pt idx="863">
                  <c:v>-4.6332055293856079E-3</c:v>
                </c:pt>
                <c:pt idx="864">
                  <c:v>5.6736790864062693E-3</c:v>
                </c:pt>
                <c:pt idx="865">
                  <c:v>1.9777309251246271E-3</c:v>
                </c:pt>
                <c:pt idx="866">
                  <c:v>9.853976761801558E-3</c:v>
                </c:pt>
                <c:pt idx="867">
                  <c:v>-5.3176152134035261E-3</c:v>
                </c:pt>
                <c:pt idx="868">
                  <c:v>6.0763173508369944E-3</c:v>
                </c:pt>
                <c:pt idx="869">
                  <c:v>6.3573541421357567E-4</c:v>
                </c:pt>
                <c:pt idx="870">
                  <c:v>-7.3805257559009111E-3</c:v>
                </c:pt>
                <c:pt idx="871">
                  <c:v>-2.977994976722945E-3</c:v>
                </c:pt>
                <c:pt idx="872">
                  <c:v>-3.9012322679491675E-4</c:v>
                </c:pt>
                <c:pt idx="873">
                  <c:v>-2.1086921949260151E-2</c:v>
                </c:pt>
                <c:pt idx="874">
                  <c:v>2.654858078183291E-3</c:v>
                </c:pt>
                <c:pt idx="875">
                  <c:v>6.9121861093133178E-3</c:v>
                </c:pt>
                <c:pt idx="876">
                  <c:v>-3.0812190316463852E-4</c:v>
                </c:pt>
                <c:pt idx="877">
                  <c:v>-3.8692233125439636E-3</c:v>
                </c:pt>
                <c:pt idx="878">
                  <c:v>6.0625230864869576E-3</c:v>
                </c:pt>
                <c:pt idx="879">
                  <c:v>-1.6792948927196509E-2</c:v>
                </c:pt>
                <c:pt idx="880">
                  <c:v>2.2596453237141356E-3</c:v>
                </c:pt>
                <c:pt idx="881">
                  <c:v>1.2262958517226932E-2</c:v>
                </c:pt>
                <c:pt idx="882">
                  <c:v>1.1005278427365045E-2</c:v>
                </c:pt>
                <c:pt idx="883">
                  <c:v>4.4433429011478572E-3</c:v>
                </c:pt>
                <c:pt idx="884">
                  <c:v>-7.3523311386536176E-4</c:v>
                </c:pt>
                <c:pt idx="885">
                  <c:v>7.9826687162939235E-3</c:v>
                </c:pt>
                <c:pt idx="886">
                  <c:v>1.1056405254354067E-3</c:v>
                </c:pt>
                <c:pt idx="887">
                  <c:v>7.7087234599653289E-4</c:v>
                </c:pt>
                <c:pt idx="888">
                  <c:v>-4.2707640446294944E-3</c:v>
                </c:pt>
                <c:pt idx="889">
                  <c:v>-2.3905372610337479E-3</c:v>
                </c:pt>
                <c:pt idx="890">
                  <c:v>-5.6922099476966175E-3</c:v>
                </c:pt>
                <c:pt idx="891">
                  <c:v>-1.0761020194054139E-2</c:v>
                </c:pt>
                <c:pt idx="892">
                  <c:v>-5.7917500692277806E-3</c:v>
                </c:pt>
                <c:pt idx="893">
                  <c:v>1.231002184803006E-2</c:v>
                </c:pt>
                <c:pt idx="894">
                  <c:v>7.2921105076044846E-3</c:v>
                </c:pt>
                <c:pt idx="895">
                  <c:v>2.8454898986964683E-5</c:v>
                </c:pt>
                <c:pt idx="896">
                  <c:v>-2.274201152523918E-3</c:v>
                </c:pt>
                <c:pt idx="897">
                  <c:v>-2.7606707871855756E-3</c:v>
                </c:pt>
                <c:pt idx="898">
                  <c:v>-2.2522532043250201E-3</c:v>
                </c:pt>
                <c:pt idx="899">
                  <c:v>3.1098289855839203E-3</c:v>
                </c:pt>
                <c:pt idx="900">
                  <c:v>-7.7831821886354671E-3</c:v>
                </c:pt>
                <c:pt idx="901">
                  <c:v>-2.8790276379214528E-3</c:v>
                </c:pt>
                <c:pt idx="902">
                  <c:v>1.2726901022967103E-2</c:v>
                </c:pt>
                <c:pt idx="903">
                  <c:v>-9.6031299685016367E-3</c:v>
                </c:pt>
                <c:pt idx="904">
                  <c:v>9.4961303213885308E-4</c:v>
                </c:pt>
                <c:pt idx="905">
                  <c:v>-1.275950900305485E-3</c:v>
                </c:pt>
                <c:pt idx="906">
                  <c:v>3.9042620368306804E-3</c:v>
                </c:pt>
                <c:pt idx="907">
                  <c:v>5.1979382552371483E-3</c:v>
                </c:pt>
                <c:pt idx="908">
                  <c:v>-2.6289735480122659E-3</c:v>
                </c:pt>
                <c:pt idx="909">
                  <c:v>-8.2892253214384998E-3</c:v>
                </c:pt>
                <c:pt idx="910">
                  <c:v>-2.1325899205105869E-2</c:v>
                </c:pt>
                <c:pt idx="911">
                  <c:v>-3.2369259548499681E-2</c:v>
                </c:pt>
                <c:pt idx="912">
                  <c:v>-4.0211416281175603E-2</c:v>
                </c:pt>
                <c:pt idx="913">
                  <c:v>-1.3614262532188859E-2</c:v>
                </c:pt>
                <c:pt idx="914">
                  <c:v>3.8291286558614003E-2</c:v>
                </c:pt>
                <c:pt idx="915">
                  <c:v>2.400724232625184E-2</c:v>
                </c:pt>
                <c:pt idx="916">
                  <c:v>6.0857080788743101E-4</c:v>
                </c:pt>
                <c:pt idx="917">
                  <c:v>-8.4271083533501261E-3</c:v>
                </c:pt>
                <c:pt idx="918">
                  <c:v>-3.00226098516122E-2</c:v>
                </c:pt>
                <c:pt idx="919">
                  <c:v>1.8127666183109615E-2</c:v>
                </c:pt>
                <c:pt idx="920">
                  <c:v>1.164105680449443E-3</c:v>
                </c:pt>
                <c:pt idx="921">
                  <c:v>-1.5448291002620419E-2</c:v>
                </c:pt>
                <c:pt idx="922">
                  <c:v>2.4773604592646017E-2</c:v>
                </c:pt>
                <c:pt idx="923">
                  <c:v>-1.3995038527950136E-2</c:v>
                </c:pt>
                <c:pt idx="924">
                  <c:v>5.2640755505400285E-3</c:v>
                </c:pt>
                <c:pt idx="925">
                  <c:v>4.4770015545705895E-3</c:v>
                </c:pt>
                <c:pt idx="926">
                  <c:v>-4.0980313248036339E-3</c:v>
                </c:pt>
                <c:pt idx="927">
                  <c:v>1.2749719911298718E-2</c:v>
                </c:pt>
                <c:pt idx="928">
                  <c:v>8.6676940705017226E-3</c:v>
                </c:pt>
                <c:pt idx="929">
                  <c:v>-2.5642905425419791E-3</c:v>
                </c:pt>
                <c:pt idx="930">
                  <c:v>-1.6296270451088189E-2</c:v>
                </c:pt>
                <c:pt idx="931">
                  <c:v>4.5554218905156504E-3</c:v>
                </c:pt>
                <c:pt idx="932">
                  <c:v>-1.2394939887069493E-2</c:v>
                </c:pt>
                <c:pt idx="933">
                  <c:v>-2.0507542933684945E-3</c:v>
                </c:pt>
                <c:pt idx="934">
                  <c:v>-3.3686417802160917E-3</c:v>
                </c:pt>
                <c:pt idx="935">
                  <c:v>-4.6588915786858695E-4</c:v>
                </c:pt>
                <c:pt idx="936">
                  <c:v>-2.6001239239395291E-2</c:v>
                </c:pt>
                <c:pt idx="937">
                  <c:v>1.2321224333906237E-3</c:v>
                </c:pt>
                <c:pt idx="938">
                  <c:v>1.8895865203796398E-2</c:v>
                </c:pt>
                <c:pt idx="939">
                  <c:v>1.9719818557877231E-3</c:v>
                </c:pt>
                <c:pt idx="940">
                  <c:v>1.421377260428928E-2</c:v>
                </c:pt>
                <c:pt idx="941">
                  <c:v>1.8124561438544923E-2</c:v>
                </c:pt>
                <c:pt idx="942">
                  <c:v>-3.5946869664685399E-3</c:v>
                </c:pt>
                <c:pt idx="943">
                  <c:v>8.0035640716168491E-3</c:v>
                </c:pt>
                <c:pt idx="944">
                  <c:v>8.7797314496566338E-3</c:v>
                </c:pt>
                <c:pt idx="945">
                  <c:v>7.2486796675928192E-4</c:v>
                </c:pt>
                <c:pt idx="946">
                  <c:v>1.2746911096436508E-3</c:v>
                </c:pt>
                <c:pt idx="947">
                  <c:v>-6.8488138094229302E-3</c:v>
                </c:pt>
                <c:pt idx="948">
                  <c:v>-4.7274552579458298E-3</c:v>
                </c:pt>
                <c:pt idx="949">
                  <c:v>1.4743553692310356E-2</c:v>
                </c:pt>
                <c:pt idx="950">
                  <c:v>4.5600613407668789E-3</c:v>
                </c:pt>
                <c:pt idx="951">
                  <c:v>2.7048493195005823E-4</c:v>
                </c:pt>
                <c:pt idx="952">
                  <c:v>-1.4220938665690213E-3</c:v>
                </c:pt>
                <c:pt idx="953">
                  <c:v>-5.8424102714401318E-3</c:v>
                </c:pt>
                <c:pt idx="954">
                  <c:v>1.6490813232663316E-2</c:v>
                </c:pt>
                <c:pt idx="955">
                  <c:v>1.0970005786788946E-2</c:v>
                </c:pt>
                <c:pt idx="956">
                  <c:v>-1.9149470559137484E-3</c:v>
                </c:pt>
                <c:pt idx="957">
                  <c:v>-2.5573668722574231E-3</c:v>
                </c:pt>
                <c:pt idx="958">
                  <c:v>1.177038977262058E-2</c:v>
                </c:pt>
                <c:pt idx="959">
                  <c:v>-4.4978659820061288E-4</c:v>
                </c:pt>
                <c:pt idx="960">
                  <c:v>-4.8215754142581276E-3</c:v>
                </c:pt>
                <c:pt idx="961">
                  <c:v>1.1803904793109323E-2</c:v>
                </c:pt>
                <c:pt idx="962">
                  <c:v>2.7243576169235862E-3</c:v>
                </c:pt>
                <c:pt idx="963">
                  <c:v>-3.5516762958985523E-3</c:v>
                </c:pt>
                <c:pt idx="964">
                  <c:v>-1.1327293322022361E-3</c:v>
                </c:pt>
                <c:pt idx="965">
                  <c:v>-3.4769107284318419E-4</c:v>
                </c:pt>
                <c:pt idx="966">
                  <c:v>-9.8713515026068524E-3</c:v>
                </c:pt>
                <c:pt idx="967">
                  <c:v>1.5095068126030056E-3</c:v>
                </c:pt>
                <c:pt idx="968">
                  <c:v>-3.2333213949674142E-3</c:v>
                </c:pt>
                <c:pt idx="969">
                  <c:v>-1.4089149017324396E-2</c:v>
                </c:pt>
                <c:pt idx="970">
                  <c:v>-1.1270674060276152E-2</c:v>
                </c:pt>
                <c:pt idx="971">
                  <c:v>1.4793350640956328E-2</c:v>
                </c:pt>
                <c:pt idx="972">
                  <c:v>-1.3402769799722193E-3</c:v>
                </c:pt>
                <c:pt idx="973">
                  <c:v>1.6033163805428428E-2</c:v>
                </c:pt>
                <c:pt idx="974">
                  <c:v>-1.1236981412047731E-3</c:v>
                </c:pt>
                <c:pt idx="975">
                  <c:v>3.8029879831690382E-3</c:v>
                </c:pt>
                <c:pt idx="976">
                  <c:v>-1.2357033585728208E-3</c:v>
                </c:pt>
                <c:pt idx="977">
                  <c:v>1.2213434858008502E-3</c:v>
                </c:pt>
                <c:pt idx="978">
                  <c:v>-1.2924813505752467E-4</c:v>
                </c:pt>
                <c:pt idx="979">
                  <c:v>5.9344626506564215E-4</c:v>
                </c:pt>
                <c:pt idx="980">
                  <c:v>-4.651706497517027E-3</c:v>
                </c:pt>
                <c:pt idx="981">
                  <c:v>1.0623952433730842E-2</c:v>
                </c:pt>
                <c:pt idx="982">
                  <c:v>-1.1056653069340215E-2</c:v>
                </c:pt>
                <c:pt idx="983">
                  <c:v>-1.4477878923262813E-2</c:v>
                </c:pt>
                <c:pt idx="984">
                  <c:v>2.0317941551718299E-2</c:v>
                </c:pt>
                <c:pt idx="985">
                  <c:v>-7.014104884478266E-3</c:v>
                </c:pt>
                <c:pt idx="986">
                  <c:v>-6.5110623052767533E-3</c:v>
                </c:pt>
                <c:pt idx="987">
                  <c:v>-7.7690413899379369E-3</c:v>
                </c:pt>
                <c:pt idx="988">
                  <c:v>2.2488637110527291E-3</c:v>
                </c:pt>
                <c:pt idx="989">
                  <c:v>-1.9613874846502764E-2</c:v>
                </c:pt>
                <c:pt idx="990">
                  <c:v>4.7443146166453133E-3</c:v>
                </c:pt>
                <c:pt idx="991">
                  <c:v>1.0562534400149612E-2</c:v>
                </c:pt>
                <c:pt idx="992">
                  <c:v>1.4410619402612932E-2</c:v>
                </c:pt>
                <c:pt idx="993">
                  <c:v>-1.515475083488926E-2</c:v>
                </c:pt>
                <c:pt idx="994">
                  <c:v>-1.7957512179647538E-2</c:v>
                </c:pt>
                <c:pt idx="995">
                  <c:v>7.748318994364429E-3</c:v>
                </c:pt>
                <c:pt idx="996">
                  <c:v>8.7781220393295094E-3</c:v>
                </c:pt>
                <c:pt idx="997">
                  <c:v>1.2341563236114893E-2</c:v>
                </c:pt>
                <c:pt idx="998">
                  <c:v>-1.599891742574954E-3</c:v>
                </c:pt>
                <c:pt idx="999">
                  <c:v>-2.1809411946235105E-3</c:v>
                </c:pt>
                <c:pt idx="1000">
                  <c:v>1.0573612487139963E-2</c:v>
                </c:pt>
                <c:pt idx="1001">
                  <c:v>-7.2433991595191854E-3</c:v>
                </c:pt>
                <c:pt idx="1002">
                  <c:v>-9.4564043127839722E-3</c:v>
                </c:pt>
                <c:pt idx="1003">
                  <c:v>-1.5422087447211375E-2</c:v>
                </c:pt>
                <c:pt idx="1004">
                  <c:v>2.0102404911239561E-3</c:v>
                </c:pt>
                <c:pt idx="1005">
                  <c:v>-1.3202187278752919E-2</c:v>
                </c:pt>
                <c:pt idx="1006">
                  <c:v>-2.3985794022258523E-2</c:v>
                </c:pt>
                <c:pt idx="1007">
                  <c:v>-1.0897570278899054E-2</c:v>
                </c:pt>
                <c:pt idx="1008">
                  <c:v>8.5290069397867538E-4</c:v>
                </c:pt>
                <c:pt idx="1009">
                  <c:v>7.7725092573912389E-3</c:v>
                </c:pt>
                <c:pt idx="1010">
                  <c:v>-2.5282362871704309E-2</c:v>
                </c:pt>
                <c:pt idx="1011">
                  <c:v>1.6558094217956527E-2</c:v>
                </c:pt>
                <c:pt idx="1012">
                  <c:v>-2.1835767111975091E-2</c:v>
                </c:pt>
                <c:pt idx="1013">
                  <c:v>5.316801750062664E-4</c:v>
                </c:pt>
                <c:pt idx="1014">
                  <c:v>-1.1762765749513873E-2</c:v>
                </c:pt>
                <c:pt idx="1015">
                  <c:v>5.181970226003676E-3</c:v>
                </c:pt>
                <c:pt idx="1016">
                  <c:v>2.0080708854120791E-2</c:v>
                </c:pt>
                <c:pt idx="1017">
                  <c:v>-1.5761508958281073E-2</c:v>
                </c:pt>
                <c:pt idx="1018">
                  <c:v>1.4045211853838186E-2</c:v>
                </c:pt>
                <c:pt idx="1019">
                  <c:v>-1.0922893803811026E-2</c:v>
                </c:pt>
                <c:pt idx="1020">
                  <c:v>5.5133325226166194E-3</c:v>
                </c:pt>
                <c:pt idx="1021">
                  <c:v>2.4458648291019413E-2</c:v>
                </c:pt>
                <c:pt idx="1022">
                  <c:v>-4.4334239646468779E-4</c:v>
                </c:pt>
                <c:pt idx="1023">
                  <c:v>-1.8920981595370201E-2</c:v>
                </c:pt>
                <c:pt idx="1024">
                  <c:v>4.9796200980441394E-3</c:v>
                </c:pt>
                <c:pt idx="1025">
                  <c:v>1.525609102635925E-3</c:v>
                </c:pt>
                <c:pt idx="1026">
                  <c:v>-1.8654209739793221E-2</c:v>
                </c:pt>
                <c:pt idx="1027">
                  <c:v>-1.4255000337827674E-2</c:v>
                </c:pt>
                <c:pt idx="1028">
                  <c:v>-6.638511706025009E-4</c:v>
                </c:pt>
                <c:pt idx="1029">
                  <c:v>-1.8898131031094855E-4</c:v>
                </c:pt>
                <c:pt idx="1030">
                  <c:v>-1.2377431213466798E-2</c:v>
                </c:pt>
                <c:pt idx="1031">
                  <c:v>1.9329975470501772E-2</c:v>
                </c:pt>
                <c:pt idx="1032">
                  <c:v>1.6381776635361386E-2</c:v>
                </c:pt>
                <c:pt idx="1033">
                  <c:v>1.634611531802933E-2</c:v>
                </c:pt>
                <c:pt idx="1034">
                  <c:v>-4.6766370852842467E-3</c:v>
                </c:pt>
                <c:pt idx="1035">
                  <c:v>-2.607147233575974E-5</c:v>
                </c:pt>
                <c:pt idx="1036">
                  <c:v>1.4350746375528583E-2</c:v>
                </c:pt>
                <c:pt idx="1037">
                  <c:v>-1.2532587736590248E-2</c:v>
                </c:pt>
                <c:pt idx="1038">
                  <c:v>4.429944898265448E-3</c:v>
                </c:pt>
                <c:pt idx="1039">
                  <c:v>1.1284417050872818E-2</c:v>
                </c:pt>
                <c:pt idx="1040">
                  <c:v>-1.8719154129472615E-3</c:v>
                </c:pt>
                <c:pt idx="1041">
                  <c:v>-8.1540959183034733E-3</c:v>
                </c:pt>
                <c:pt idx="1042">
                  <c:v>2.3588387634097943E-2</c:v>
                </c:pt>
                <c:pt idx="1043">
                  <c:v>4.0859621010796536E-3</c:v>
                </c:pt>
                <c:pt idx="1044">
                  <c:v>3.4925974922729325E-3</c:v>
                </c:pt>
                <c:pt idx="1045">
                  <c:v>3.3004569962263434E-3</c:v>
                </c:pt>
                <c:pt idx="1046">
                  <c:v>8.8461303950758267E-4</c:v>
                </c:pt>
                <c:pt idx="1047">
                  <c:v>-1.1303756111464681E-2</c:v>
                </c:pt>
                <c:pt idx="1048">
                  <c:v>5.0396728076172173E-3</c:v>
                </c:pt>
                <c:pt idx="1049">
                  <c:v>1.5582470255186083E-4</c:v>
                </c:pt>
                <c:pt idx="1050">
                  <c:v>1.6262547567990299E-2</c:v>
                </c:pt>
                <c:pt idx="1051">
                  <c:v>-1.2618048449994732E-3</c:v>
                </c:pt>
                <c:pt idx="1052">
                  <c:v>-1.8386503245784805E-3</c:v>
                </c:pt>
                <c:pt idx="1053">
                  <c:v>5.5847689767839007E-3</c:v>
                </c:pt>
                <c:pt idx="1054">
                  <c:v>6.5735853667514303E-3</c:v>
                </c:pt>
                <c:pt idx="1055">
                  <c:v>4.3959123835568669E-3</c:v>
                </c:pt>
                <c:pt idx="1056">
                  <c:v>9.8508242181442169E-4</c:v>
                </c:pt>
                <c:pt idx="1057">
                  <c:v>-8.7774911765066258E-4</c:v>
                </c:pt>
                <c:pt idx="1058">
                  <c:v>-6.4064665305301419E-3</c:v>
                </c:pt>
                <c:pt idx="1059">
                  <c:v>-3.7813217888834326E-4</c:v>
                </c:pt>
                <c:pt idx="1060">
                  <c:v>5.4505413835056777E-4</c:v>
                </c:pt>
                <c:pt idx="1061">
                  <c:v>8.7780312721493121E-3</c:v>
                </c:pt>
                <c:pt idx="1062">
                  <c:v>4.3409084032825307E-3</c:v>
                </c:pt>
                <c:pt idx="1063">
                  <c:v>-2.041861276038347E-3</c:v>
                </c:pt>
                <c:pt idx="1064">
                  <c:v>6.3109401913092533E-3</c:v>
                </c:pt>
                <c:pt idx="1065">
                  <c:v>-3.2134091933979764E-3</c:v>
                </c:pt>
                <c:pt idx="1066">
                  <c:v>-1.0196376617517549E-2</c:v>
                </c:pt>
                <c:pt idx="1067">
                  <c:v>1.0452861947236771E-2</c:v>
                </c:pt>
                <c:pt idx="1068">
                  <c:v>-1.2048133236940891E-2</c:v>
                </c:pt>
                <c:pt idx="1069">
                  <c:v>2.782731266950438E-3</c:v>
                </c:pt>
                <c:pt idx="1070">
                  <c:v>-2.7435530304558238E-3</c:v>
                </c:pt>
                <c:pt idx="1071">
                  <c:v>9.6157633089034942E-3</c:v>
                </c:pt>
                <c:pt idx="1072">
                  <c:v>9.9900930750864061E-3</c:v>
                </c:pt>
                <c:pt idx="1073">
                  <c:v>1.7286084744860797E-4</c:v>
                </c:pt>
                <c:pt idx="1074">
                  <c:v>-9.8474612318046658E-4</c:v>
                </c:pt>
                <c:pt idx="1075">
                  <c:v>6.5196742612829879E-3</c:v>
                </c:pt>
                <c:pt idx="1076">
                  <c:v>3.0797566260183499E-3</c:v>
                </c:pt>
                <c:pt idx="1077">
                  <c:v>7.6132474175960086E-4</c:v>
                </c:pt>
                <c:pt idx="1078">
                  <c:v>-5.207599968700849E-3</c:v>
                </c:pt>
                <c:pt idx="1079">
                  <c:v>4.7811888913341718E-5</c:v>
                </c:pt>
                <c:pt idx="1080">
                  <c:v>-1.8136709785938731E-3</c:v>
                </c:pt>
                <c:pt idx="1081">
                  <c:v>1.8710422279640288E-3</c:v>
                </c:pt>
                <c:pt idx="1082">
                  <c:v>1.6480173786207935E-3</c:v>
                </c:pt>
                <c:pt idx="1083">
                  <c:v>-9.2737108991200311E-3</c:v>
                </c:pt>
                <c:pt idx="1084">
                  <c:v>-5.0759446457705557E-3</c:v>
                </c:pt>
                <c:pt idx="1085">
                  <c:v>7.779663181895582E-3</c:v>
                </c:pt>
                <c:pt idx="1086">
                  <c:v>-8.7145890251247322E-3</c:v>
                </c:pt>
                <c:pt idx="1087">
                  <c:v>-5.9545830446672615E-3</c:v>
                </c:pt>
                <c:pt idx="1088">
                  <c:v>-2.3892241230235656E-4</c:v>
                </c:pt>
                <c:pt idx="1089">
                  <c:v>3.1696056255198523E-3</c:v>
                </c:pt>
                <c:pt idx="1090">
                  <c:v>7.5318955023680417E-4</c:v>
                </c:pt>
                <c:pt idx="1091">
                  <c:v>1.2406388310731433E-2</c:v>
                </c:pt>
                <c:pt idx="1092">
                  <c:v>-9.6075554928176481E-3</c:v>
                </c:pt>
                <c:pt idx="1093">
                  <c:v>-1.6955023208444766E-4</c:v>
                </c:pt>
                <c:pt idx="1094">
                  <c:v>-8.5143749616302909E-3</c:v>
                </c:pt>
                <c:pt idx="1095">
                  <c:v>9.7490117600573523E-3</c:v>
                </c:pt>
                <c:pt idx="1096">
                  <c:v>-9.4558869991757388E-3</c:v>
                </c:pt>
                <c:pt idx="1097">
                  <c:v>2.0513622093808805E-4</c:v>
                </c:pt>
                <c:pt idx="1098">
                  <c:v>-3.7136112860127355E-3</c:v>
                </c:pt>
                <c:pt idx="1099">
                  <c:v>6.0014450623727053E-3</c:v>
                </c:pt>
                <c:pt idx="1100">
                  <c:v>-2.0876223328746188E-3</c:v>
                </c:pt>
                <c:pt idx="1101">
                  <c:v>1.3588628383570183E-2</c:v>
                </c:pt>
                <c:pt idx="1102">
                  <c:v>6.9505391897537305E-3</c:v>
                </c:pt>
                <c:pt idx="1103">
                  <c:v>-2.1049408780701167E-4</c:v>
                </c:pt>
                <c:pt idx="1104">
                  <c:v>4.2777137484011473E-3</c:v>
                </c:pt>
                <c:pt idx="1105">
                  <c:v>-1.0057174210022859E-3</c:v>
                </c:pt>
                <c:pt idx="1106">
                  <c:v>1.1343381543654862E-3</c:v>
                </c:pt>
                <c:pt idx="1107">
                  <c:v>2.8207287425610055E-3</c:v>
                </c:pt>
                <c:pt idx="1108">
                  <c:v>-2.916001771314822E-3</c:v>
                </c:pt>
                <c:pt idx="1109">
                  <c:v>4.8853143586385676E-3</c:v>
                </c:pt>
                <c:pt idx="1110">
                  <c:v>1.2886294463136218E-3</c:v>
                </c:pt>
                <c:pt idx="1111">
                  <c:v>3.3039911887868061E-3</c:v>
                </c:pt>
                <c:pt idx="1112">
                  <c:v>-1.7191710652795132E-3</c:v>
                </c:pt>
                <c:pt idx="1113">
                  <c:v>-9.2175742558201733E-3</c:v>
                </c:pt>
                <c:pt idx="1114">
                  <c:v>-8.1482943594018125E-3</c:v>
                </c:pt>
                <c:pt idx="1115">
                  <c:v>-1.80050982836035E-3</c:v>
                </c:pt>
                <c:pt idx="1116">
                  <c:v>-1.8423761246134855E-3</c:v>
                </c:pt>
                <c:pt idx="1117">
                  <c:v>3.1280978105988734E-3</c:v>
                </c:pt>
                <c:pt idx="1118">
                  <c:v>-3.2632746994190635E-3</c:v>
                </c:pt>
                <c:pt idx="1119">
                  <c:v>5.7913686336797431E-3</c:v>
                </c:pt>
                <c:pt idx="1120">
                  <c:v>2.7084373542945453E-3</c:v>
                </c:pt>
                <c:pt idx="1121">
                  <c:v>-1.6529523329488472E-3</c:v>
                </c:pt>
                <c:pt idx="1122">
                  <c:v>1.3275511311332405E-2</c:v>
                </c:pt>
                <c:pt idx="1123">
                  <c:v>-3.6580777234719343E-2</c:v>
                </c:pt>
                <c:pt idx="1124">
                  <c:v>-1.826224926163297E-2</c:v>
                </c:pt>
                <c:pt idx="1125">
                  <c:v>1.76141579169895E-2</c:v>
                </c:pt>
                <c:pt idx="1126">
                  <c:v>1.6889216752452151E-2</c:v>
                </c:pt>
                <c:pt idx="1127">
                  <c:v>1.3473821400287618E-2</c:v>
                </c:pt>
                <c:pt idx="1128">
                  <c:v>1.9467806929598444E-3</c:v>
                </c:pt>
                <c:pt idx="1129">
                  <c:v>-6.8710755834286629E-3</c:v>
                </c:pt>
                <c:pt idx="1130">
                  <c:v>5.3387197390260708E-3</c:v>
                </c:pt>
                <c:pt idx="1131">
                  <c:v>-8.7192063899741768E-4</c:v>
                </c:pt>
                <c:pt idx="1132">
                  <c:v>1.5138185866623861E-2</c:v>
                </c:pt>
                <c:pt idx="1133">
                  <c:v>3.4028145868032489E-3</c:v>
                </c:pt>
                <c:pt idx="1134">
                  <c:v>6.9848510963644384E-3</c:v>
                </c:pt>
                <c:pt idx="1135">
                  <c:v>1.3474052016275426E-4</c:v>
                </c:pt>
                <c:pt idx="1136">
                  <c:v>5.2453910425336123E-3</c:v>
                </c:pt>
                <c:pt idx="1137">
                  <c:v>-9.2937454238768344E-4</c:v>
                </c:pt>
                <c:pt idx="1138">
                  <c:v>2.3795068786033225E-3</c:v>
                </c:pt>
                <c:pt idx="1139">
                  <c:v>-1.4362676143070065E-3</c:v>
                </c:pt>
                <c:pt idx="1140">
                  <c:v>4.2612128673701335E-3</c:v>
                </c:pt>
                <c:pt idx="1141">
                  <c:v>-3.6190247858399653E-3</c:v>
                </c:pt>
                <c:pt idx="1142">
                  <c:v>4.5435772372509073E-3</c:v>
                </c:pt>
                <c:pt idx="1143">
                  <c:v>-3.0159962634030003E-3</c:v>
                </c:pt>
                <c:pt idx="1144">
                  <c:v>3.2275466775932843E-4</c:v>
                </c:pt>
                <c:pt idx="1145">
                  <c:v>-1.1993285198676762E-3</c:v>
                </c:pt>
                <c:pt idx="1146">
                  <c:v>1.6049295062452703E-3</c:v>
                </c:pt>
                <c:pt idx="1147">
                  <c:v>1.6299621902952422E-3</c:v>
                </c:pt>
                <c:pt idx="1148">
                  <c:v>-1.2705897060663312E-3</c:v>
                </c:pt>
                <c:pt idx="1149">
                  <c:v>-6.3819139077918741E-3</c:v>
                </c:pt>
                <c:pt idx="1150">
                  <c:v>3.1290382452996857E-3</c:v>
                </c:pt>
                <c:pt idx="1151">
                  <c:v>2.1256735230357668E-4</c:v>
                </c:pt>
                <c:pt idx="1152">
                  <c:v>8.5666436043246308E-3</c:v>
                </c:pt>
                <c:pt idx="1153">
                  <c:v>-9.0747435050471642E-4</c:v>
                </c:pt>
                <c:pt idx="1154">
                  <c:v>3.8967320664632022E-4</c:v>
                </c:pt>
                <c:pt idx="1155">
                  <c:v>-2.8687970506289257E-3</c:v>
                </c:pt>
                <c:pt idx="1156">
                  <c:v>4.7233927423996338E-3</c:v>
                </c:pt>
                <c:pt idx="1157">
                  <c:v>-7.9636787248911652E-4</c:v>
                </c:pt>
                <c:pt idx="1158">
                  <c:v>2.7890832400516256E-3</c:v>
                </c:pt>
                <c:pt idx="1159">
                  <c:v>-5.4941419708265955E-3</c:v>
                </c:pt>
                <c:pt idx="1160">
                  <c:v>1.8668145969237696E-3</c:v>
                </c:pt>
                <c:pt idx="1161">
                  <c:v>2.1971793405895896E-3</c:v>
                </c:pt>
                <c:pt idx="1162">
                  <c:v>-1.4413542987100584E-3</c:v>
                </c:pt>
                <c:pt idx="1163">
                  <c:v>-5.6337900636122971E-4</c:v>
                </c:pt>
                <c:pt idx="1164">
                  <c:v>1.9498626169790064E-3</c:v>
                </c:pt>
                <c:pt idx="1165">
                  <c:v>-5.254072980571481E-3</c:v>
                </c:pt>
                <c:pt idx="1166">
                  <c:v>-1.3661738453380294E-3</c:v>
                </c:pt>
                <c:pt idx="1167">
                  <c:v>-1.5800957333464785E-3</c:v>
                </c:pt>
                <c:pt idx="1168">
                  <c:v>5.2145001841601589E-3</c:v>
                </c:pt>
                <c:pt idx="1169">
                  <c:v>-1.9556990050680497E-3</c:v>
                </c:pt>
                <c:pt idx="1170">
                  <c:v>-2.3786147623904054E-3</c:v>
                </c:pt>
                <c:pt idx="1171">
                  <c:v>-4.1457364561137788E-5</c:v>
                </c:pt>
                <c:pt idx="1172">
                  <c:v>4.1923000419618493E-3</c:v>
                </c:pt>
                <c:pt idx="1173">
                  <c:v>2.9772423433708003E-3</c:v>
                </c:pt>
                <c:pt idx="1174">
                  <c:v>-1.4636466783063686E-4</c:v>
                </c:pt>
                <c:pt idx="1175">
                  <c:v>-2.2255507805430696E-3</c:v>
                </c:pt>
                <c:pt idx="1176">
                  <c:v>-2.4827747563078314E-2</c:v>
                </c:pt>
                <c:pt idx="1177">
                  <c:v>1.4570396678017971E-2</c:v>
                </c:pt>
                <c:pt idx="1178">
                  <c:v>-1.4941739368126835E-2</c:v>
                </c:pt>
                <c:pt idx="1179">
                  <c:v>-5.8784940521235899E-4</c:v>
                </c:pt>
                <c:pt idx="1180">
                  <c:v>1.0058521089340135E-2</c:v>
                </c:pt>
                <c:pt idx="1181">
                  <c:v>-3.7793821611113664E-3</c:v>
                </c:pt>
                <c:pt idx="1182">
                  <c:v>-1.869910337847447E-5</c:v>
                </c:pt>
                <c:pt idx="1183">
                  <c:v>2.991437033863788E-4</c:v>
                </c:pt>
                <c:pt idx="1184">
                  <c:v>1.0857950722306076E-2</c:v>
                </c:pt>
                <c:pt idx="1185">
                  <c:v>6.4788374909876233E-3</c:v>
                </c:pt>
                <c:pt idx="1186">
                  <c:v>-5.7532972898826128E-3</c:v>
                </c:pt>
                <c:pt idx="1187">
                  <c:v>-8.624922689932854E-3</c:v>
                </c:pt>
                <c:pt idx="1188">
                  <c:v>6.4235723182359062E-3</c:v>
                </c:pt>
                <c:pt idx="1189">
                  <c:v>5.2824909853757054E-3</c:v>
                </c:pt>
                <c:pt idx="1190">
                  <c:v>-9.365019283515956E-3</c:v>
                </c:pt>
                <c:pt idx="1191">
                  <c:v>7.9363291030870517E-3</c:v>
                </c:pt>
                <c:pt idx="1192">
                  <c:v>-3.2659915807079186E-3</c:v>
                </c:pt>
                <c:pt idx="1193">
                  <c:v>-4.9678998383077579E-3</c:v>
                </c:pt>
                <c:pt idx="1194">
                  <c:v>4.2874907334568115E-3</c:v>
                </c:pt>
                <c:pt idx="1195">
                  <c:v>4.8142577020570391E-4</c:v>
                </c:pt>
                <c:pt idx="1196">
                  <c:v>-3.2587738683275704E-3</c:v>
                </c:pt>
                <c:pt idx="1197">
                  <c:v>4.5953664043352545E-3</c:v>
                </c:pt>
                <c:pt idx="1198">
                  <c:v>-1.252460917831065E-2</c:v>
                </c:pt>
                <c:pt idx="1199">
                  <c:v>1.1459550215575632E-3</c:v>
                </c:pt>
                <c:pt idx="1200">
                  <c:v>-3.1041312647029852E-3</c:v>
                </c:pt>
                <c:pt idx="1201">
                  <c:v>2.0161621250175643E-4</c:v>
                </c:pt>
                <c:pt idx="1202">
                  <c:v>-3.0426272686303788E-3</c:v>
                </c:pt>
                <c:pt idx="1203">
                  <c:v>6.1414599634068111E-3</c:v>
                </c:pt>
                <c:pt idx="1204">
                  <c:v>2.1895995806570281E-3</c:v>
                </c:pt>
                <c:pt idx="1205">
                  <c:v>-1.3766939590792353E-3</c:v>
                </c:pt>
                <c:pt idx="1206">
                  <c:v>-8.4063047335106874E-5</c:v>
                </c:pt>
                <c:pt idx="1207">
                  <c:v>4.7385172845472385E-3</c:v>
                </c:pt>
                <c:pt idx="1208">
                  <c:v>-3.8048801401324552E-3</c:v>
                </c:pt>
                <c:pt idx="1209">
                  <c:v>-1.7419369788728072E-3</c:v>
                </c:pt>
                <c:pt idx="1210">
                  <c:v>-2.9912461712177669E-3</c:v>
                </c:pt>
                <c:pt idx="1211">
                  <c:v>-3.1130804936909326E-3</c:v>
                </c:pt>
                <c:pt idx="1212">
                  <c:v>-1.2227928604123579E-4</c:v>
                </c:pt>
                <c:pt idx="1213">
                  <c:v>-6.8100511662960534E-3</c:v>
                </c:pt>
                <c:pt idx="1214">
                  <c:v>-6.5468703977364399E-3</c:v>
                </c:pt>
                <c:pt idx="1215">
                  <c:v>-4.4331988718818317E-3</c:v>
                </c:pt>
                <c:pt idx="1216">
                  <c:v>-1.6675295681625661E-3</c:v>
                </c:pt>
                <c:pt idx="1217">
                  <c:v>2.1980157782961814E-2</c:v>
                </c:pt>
                <c:pt idx="1218">
                  <c:v>3.7648601743320194E-3</c:v>
                </c:pt>
                <c:pt idx="1219">
                  <c:v>1.1016142751234132E-2</c:v>
                </c:pt>
                <c:pt idx="1220">
                  <c:v>1.9488592414451842E-3</c:v>
                </c:pt>
                <c:pt idx="1221">
                  <c:v>-1.398914799700448E-3</c:v>
                </c:pt>
                <c:pt idx="1222">
                  <c:v>-1.155094545772426E-4</c:v>
                </c:pt>
                <c:pt idx="1223">
                  <c:v>7.4529817276226176E-3</c:v>
                </c:pt>
                <c:pt idx="1224">
                  <c:v>-1.5835388740046499E-3</c:v>
                </c:pt>
                <c:pt idx="1225">
                  <c:v>4.6653888648148147E-3</c:v>
                </c:pt>
                <c:pt idx="1226">
                  <c:v>-2.3895530273762948E-3</c:v>
                </c:pt>
                <c:pt idx="1227">
                  <c:v>7.4336884116068527E-3</c:v>
                </c:pt>
                <c:pt idx="1228">
                  <c:v>2.1630866034014736E-3</c:v>
                </c:pt>
                <c:pt idx="1229">
                  <c:v>8.0768484718235598E-4</c:v>
                </c:pt>
                <c:pt idx="1230">
                  <c:v>3.9066882037051285E-3</c:v>
                </c:pt>
                <c:pt idx="1231">
                  <c:v>-5.2683318269105429E-3</c:v>
                </c:pt>
                <c:pt idx="1232">
                  <c:v>1.3344289127455414E-3</c:v>
                </c:pt>
                <c:pt idx="1233">
                  <c:v>-2.6569970689346348E-3</c:v>
                </c:pt>
                <c:pt idx="1234">
                  <c:v>-3.5217319747589582E-3</c:v>
                </c:pt>
                <c:pt idx="1235">
                  <c:v>3.969856521291979E-4</c:v>
                </c:pt>
                <c:pt idx="1236">
                  <c:v>5.8044223683808216E-3</c:v>
                </c:pt>
                <c:pt idx="1237">
                  <c:v>3.4050755798857375E-3</c:v>
                </c:pt>
                <c:pt idx="1238">
                  <c:v>1.3077306345682039E-2</c:v>
                </c:pt>
                <c:pt idx="1239">
                  <c:v>2.1570846729904334E-3</c:v>
                </c:pt>
                <c:pt idx="1240">
                  <c:v>5.9213794812155249E-3</c:v>
                </c:pt>
                <c:pt idx="1241">
                  <c:v>-1.1380520171109239E-3</c:v>
                </c:pt>
                <c:pt idx="1242">
                  <c:v>6.5184787900044779E-3</c:v>
                </c:pt>
                <c:pt idx="1243">
                  <c:v>-8.1503213600785333E-3</c:v>
                </c:pt>
                <c:pt idx="1244">
                  <c:v>3.8757077378476596E-3</c:v>
                </c:pt>
                <c:pt idx="1245">
                  <c:v>-1.7521740727583343E-3</c:v>
                </c:pt>
                <c:pt idx="1246">
                  <c:v>1.9731900398514256E-3</c:v>
                </c:pt>
                <c:pt idx="1247">
                  <c:v>3.6309210492785509E-3</c:v>
                </c:pt>
                <c:pt idx="1248">
                  <c:v>-2.4603512457385653E-3</c:v>
                </c:pt>
                <c:pt idx="1249">
                  <c:v>-1.8647241237848297E-3</c:v>
                </c:pt>
                <c:pt idx="1250">
                  <c:v>1.2508980027710417E-3</c:v>
                </c:pt>
                <c:pt idx="1251">
                  <c:v>2.2459178098379177E-3</c:v>
                </c:pt>
                <c:pt idx="1252">
                  <c:v>-8.3916576362484015E-3</c:v>
                </c:pt>
                <c:pt idx="1253">
                  <c:v>-2.9338679703151362E-4</c:v>
                </c:pt>
                <c:pt idx="1254">
                  <c:v>-4.6478652506068445E-3</c:v>
                </c:pt>
                <c:pt idx="1255">
                  <c:v>8.4507670468079114E-3</c:v>
                </c:pt>
                <c:pt idx="1256">
                  <c:v>5.7059983723568549E-3</c:v>
                </c:pt>
                <c:pt idx="1257">
                  <c:v>-7.7096760248118474E-4</c:v>
                </c:pt>
                <c:pt idx="1258">
                  <c:v>3.5107977582784673E-3</c:v>
                </c:pt>
                <c:pt idx="1259">
                  <c:v>-3.5548710080266039E-3</c:v>
                </c:pt>
                <c:pt idx="1260">
                  <c:v>0</c:v>
                </c:pt>
                <c:pt idx="1261">
                  <c:v>2.8255693040190599E-3</c:v>
                </c:pt>
                <c:pt idx="1262">
                  <c:v>-2.1470565426564801E-3</c:v>
                </c:pt>
                <c:pt idx="1263">
                  <c:v>1.8481528138047062E-3</c:v>
                </c:pt>
                <c:pt idx="1264">
                  <c:v>-2.9719143156583245E-3</c:v>
                </c:pt>
                <c:pt idx="1265">
                  <c:v>1.7622003864136812E-3</c:v>
                </c:pt>
                <c:pt idx="1266">
                  <c:v>-3.6158590231882884E-3</c:v>
                </c:pt>
                <c:pt idx="1267">
                  <c:v>3.3605323797867037E-3</c:v>
                </c:pt>
                <c:pt idx="1268">
                  <c:v>-2.6937022929649501E-3</c:v>
                </c:pt>
                <c:pt idx="1269">
                  <c:v>6.5430889919335022E-3</c:v>
                </c:pt>
                <c:pt idx="1270">
                  <c:v>7.9940317900096345E-3</c:v>
                </c:pt>
                <c:pt idx="1271">
                  <c:v>-7.355741836108801E-4</c:v>
                </c:pt>
                <c:pt idx="1272">
                  <c:v>-8.6684371967846608E-4</c:v>
                </c:pt>
                <c:pt idx="1273">
                  <c:v>-6.027656215802972E-3</c:v>
                </c:pt>
                <c:pt idx="1274">
                  <c:v>-8.9039584633273847E-4</c:v>
                </c:pt>
                <c:pt idx="1275">
                  <c:v>2.983489915560355E-4</c:v>
                </c:pt>
                <c:pt idx="1276">
                  <c:v>5.7012544303699489E-4</c:v>
                </c:pt>
                <c:pt idx="1277">
                  <c:v>7.2385736758165571E-3</c:v>
                </c:pt>
                <c:pt idx="1278">
                  <c:v>-2.1176570774647531E-3</c:v>
                </c:pt>
                <c:pt idx="1279">
                  <c:v>2.267949521675034E-4</c:v>
                </c:pt>
                <c:pt idx="1280">
                  <c:v>6.9315026479685557E-4</c:v>
                </c:pt>
                <c:pt idx="1281">
                  <c:v>5.7359789123306989E-3</c:v>
                </c:pt>
                <c:pt idx="1282">
                  <c:v>3.559715435258431E-3</c:v>
                </c:pt>
                <c:pt idx="1283">
                  <c:v>5.2321757481008707E-3</c:v>
                </c:pt>
                <c:pt idx="1284">
                  <c:v>3.9992937743571818E-3</c:v>
                </c:pt>
                <c:pt idx="1285">
                  <c:v>4.9799220870501608E-3</c:v>
                </c:pt>
                <c:pt idx="1286">
                  <c:v>-8.644791200295176E-4</c:v>
                </c:pt>
                <c:pt idx="1287">
                  <c:v>1.6771742275309119E-3</c:v>
                </c:pt>
                <c:pt idx="1288">
                  <c:v>6.0298621810357042E-3</c:v>
                </c:pt>
                <c:pt idx="1289">
                  <c:v>-1.0828646208509895E-3</c:v>
                </c:pt>
                <c:pt idx="1290">
                  <c:v>4.1890311468295642E-4</c:v>
                </c:pt>
                <c:pt idx="1291">
                  <c:v>1.4922378935534736E-3</c:v>
                </c:pt>
                <c:pt idx="1292">
                  <c:v>1.0175023940541276E-3</c:v>
                </c:pt>
                <c:pt idx="1293">
                  <c:v>-2.5816606675474183E-3</c:v>
                </c:pt>
                <c:pt idx="1294">
                  <c:v>1.3581181939563836E-2</c:v>
                </c:pt>
                <c:pt idx="1295">
                  <c:v>-5.8771004764202996E-3</c:v>
                </c:pt>
                <c:pt idx="1296">
                  <c:v>5.0366839538305158E-4</c:v>
                </c:pt>
                <c:pt idx="1297">
                  <c:v>-3.2825982574175411E-3</c:v>
                </c:pt>
                <c:pt idx="1298">
                  <c:v>-2.9175558777588639E-3</c:v>
                </c:pt>
                <c:pt idx="1299">
                  <c:v>-2.2868650550458714E-3</c:v>
                </c:pt>
                <c:pt idx="1300">
                  <c:v>7.9951779378723649E-4</c:v>
                </c:pt>
                <c:pt idx="1301">
                  <c:v>3.2633480993077457E-3</c:v>
                </c:pt>
                <c:pt idx="1302">
                  <c:v>3.6661912266134326E-4</c:v>
                </c:pt>
                <c:pt idx="1303">
                  <c:v>-3.3847406821550332E-3</c:v>
                </c:pt>
                <c:pt idx="1304">
                  <c:v>8.3398543883171257E-3</c:v>
                </c:pt>
                <c:pt idx="1305">
                  <c:v>-1.6279814951152382E-3</c:v>
                </c:pt>
                <c:pt idx="1306">
                  <c:v>-1.315228474144621E-3</c:v>
                </c:pt>
                <c:pt idx="1307">
                  <c:v>-2.0119037369022092E-3</c:v>
                </c:pt>
                <c:pt idx="1308">
                  <c:v>-1.2485615265953647E-2</c:v>
                </c:pt>
                <c:pt idx="1309">
                  <c:v>1.8881319714754499E-3</c:v>
                </c:pt>
                <c:pt idx="1310">
                  <c:v>-1.0608362855033045E-3</c:v>
                </c:pt>
                <c:pt idx="1311">
                  <c:v>-8.4436053238891068E-4</c:v>
                </c:pt>
                <c:pt idx="1312">
                  <c:v>-1.0201534529525073E-3</c:v>
                </c:pt>
                <c:pt idx="1313">
                  <c:v>7.2253173808166449E-3</c:v>
                </c:pt>
                <c:pt idx="1314">
                  <c:v>1.0848148191858569E-3</c:v>
                </c:pt>
                <c:pt idx="1315">
                  <c:v>2.9307365363928895E-3</c:v>
                </c:pt>
                <c:pt idx="1316">
                  <c:v>-2.2575567952728324E-3</c:v>
                </c:pt>
                <c:pt idx="1317">
                  <c:v>-1.6435249677560892E-3</c:v>
                </c:pt>
                <c:pt idx="1318">
                  <c:v>5.5944057403117787E-4</c:v>
                </c:pt>
                <c:pt idx="1319">
                  <c:v>-3.0595532989129127E-3</c:v>
                </c:pt>
                <c:pt idx="1320">
                  <c:v>1.9276336842417722E-3</c:v>
                </c:pt>
                <c:pt idx="1321">
                  <c:v>-8.2749318857336135E-4</c:v>
                </c:pt>
                <c:pt idx="1322">
                  <c:v>6.8750400569067267E-4</c:v>
                </c:pt>
                <c:pt idx="1323">
                  <c:v>-1.4349580253540969E-3</c:v>
                </c:pt>
                <c:pt idx="1324">
                  <c:v>-3.7669958202624669E-3</c:v>
                </c:pt>
                <c:pt idx="1325">
                  <c:v>-6.8380284760690994E-3</c:v>
                </c:pt>
                <c:pt idx="1326">
                  <c:v>8.5764405680456898E-3</c:v>
                </c:pt>
                <c:pt idx="1327">
                  <c:v>-2.9075736718455298E-3</c:v>
                </c:pt>
                <c:pt idx="1328">
                  <c:v>-1.7178170006366042E-3</c:v>
                </c:pt>
                <c:pt idx="1329">
                  <c:v>7.5287796425385226E-3</c:v>
                </c:pt>
                <c:pt idx="1330">
                  <c:v>-3.039625852145616E-3</c:v>
                </c:pt>
                <c:pt idx="1331">
                  <c:v>1.0781752773837281E-2</c:v>
                </c:pt>
                <c:pt idx="1332">
                  <c:v>6.0721281060621066E-3</c:v>
                </c:pt>
                <c:pt idx="1333">
                  <c:v>-4.8575605114247193E-4</c:v>
                </c:pt>
                <c:pt idx="1334">
                  <c:v>5.5273837202107399E-4</c:v>
                </c:pt>
                <c:pt idx="1335">
                  <c:v>-1.9149508153329291E-3</c:v>
                </c:pt>
                <c:pt idx="1336">
                  <c:v>1.7307386358750435E-3</c:v>
                </c:pt>
                <c:pt idx="1337">
                  <c:v>1.1884089692428136E-3</c:v>
                </c:pt>
                <c:pt idx="1338">
                  <c:v>-1.2721529972957541E-3</c:v>
                </c:pt>
                <c:pt idx="1339">
                  <c:v>5.8187604333453274E-4</c:v>
                </c:pt>
                <c:pt idx="1340">
                  <c:v>4.0803513003330903E-3</c:v>
                </c:pt>
                <c:pt idx="1341">
                  <c:v>3.7510393509375765E-5</c:v>
                </c:pt>
                <c:pt idx="1342">
                  <c:v>-1.0257908036239289E-3</c:v>
                </c:pt>
                <c:pt idx="1343">
                  <c:v>1.1299789591918902E-3</c:v>
                </c:pt>
                <c:pt idx="1344">
                  <c:v>-2.1651757390083516E-3</c:v>
                </c:pt>
                <c:pt idx="1345">
                  <c:v>-1.4795189665720563E-3</c:v>
                </c:pt>
                <c:pt idx="1346">
                  <c:v>4.7650730024741666E-3</c:v>
                </c:pt>
                <c:pt idx="1347">
                  <c:v>-6.8707203842168071E-4</c:v>
                </c:pt>
                <c:pt idx="1348">
                  <c:v>-1.8345513143686251E-2</c:v>
                </c:pt>
                <c:pt idx="1349">
                  <c:v>3.6800634407031319E-3</c:v>
                </c:pt>
                <c:pt idx="1350">
                  <c:v>6.744699024732498E-3</c:v>
                </c:pt>
                <c:pt idx="1351">
                  <c:v>5.14684693721281E-3</c:v>
                </c:pt>
                <c:pt idx="1352">
                  <c:v>1.8362259042573701E-3</c:v>
                </c:pt>
                <c:pt idx="1353">
                  <c:v>2.4860459084413127E-3</c:v>
                </c:pt>
                <c:pt idx="1354">
                  <c:v>4.4320390592464875E-3</c:v>
                </c:pt>
                <c:pt idx="1355">
                  <c:v>3.1050179408999626E-4</c:v>
                </c:pt>
                <c:pt idx="1356">
                  <c:v>-1.205286007825416E-3</c:v>
                </c:pt>
                <c:pt idx="1357">
                  <c:v>-4.6013129062012688E-4</c:v>
                </c:pt>
                <c:pt idx="1358">
                  <c:v>7.5425917183000596E-3</c:v>
                </c:pt>
                <c:pt idx="1359">
                  <c:v>3.7008707032855424E-3</c:v>
                </c:pt>
                <c:pt idx="1360">
                  <c:v>-1.2184192007356274E-3</c:v>
                </c:pt>
                <c:pt idx="1361">
                  <c:v>-2.7829007381501205E-3</c:v>
                </c:pt>
                <c:pt idx="1362">
                  <c:v>1.5671051049044751E-3</c:v>
                </c:pt>
                <c:pt idx="1363">
                  <c:v>2.6710883611008482E-4</c:v>
                </c:pt>
                <c:pt idx="1364">
                  <c:v>-8.3032584781852277E-4</c:v>
                </c:pt>
                <c:pt idx="1365">
                  <c:v>-9.7919023038320948E-4</c:v>
                </c:pt>
                <c:pt idx="1366">
                  <c:v>4.501274608283941E-3</c:v>
                </c:pt>
                <c:pt idx="1367">
                  <c:v>-9.962549022444363E-4</c:v>
                </c:pt>
                <c:pt idx="1368">
                  <c:v>-2.2421257837553104E-3</c:v>
                </c:pt>
                <c:pt idx="1369">
                  <c:v>2.8362322694394307E-4</c:v>
                </c:pt>
                <c:pt idx="1370">
                  <c:v>8.3125589925565676E-3</c:v>
                </c:pt>
                <c:pt idx="1371">
                  <c:v>-6.7191883898731087E-3</c:v>
                </c:pt>
                <c:pt idx="1372">
                  <c:v>-5.8284627643293246E-4</c:v>
                </c:pt>
                <c:pt idx="1373">
                  <c:v>-4.5584186772818001E-4</c:v>
                </c:pt>
                <c:pt idx="1374">
                  <c:v>1.5596785299304831E-3</c:v>
                </c:pt>
                <c:pt idx="1375">
                  <c:v>3.157439383918202E-4</c:v>
                </c:pt>
                <c:pt idx="1376">
                  <c:v>-8.1055101118562012E-3</c:v>
                </c:pt>
                <c:pt idx="1377">
                  <c:v>8.7694772165970627E-3</c:v>
                </c:pt>
                <c:pt idx="1378">
                  <c:v>-8.6372206717718336E-3</c:v>
                </c:pt>
                <c:pt idx="1379">
                  <c:v>1.532073698797482E-3</c:v>
                </c:pt>
                <c:pt idx="1380">
                  <c:v>2.3081276913972876E-3</c:v>
                </c:pt>
                <c:pt idx="1381">
                  <c:v>1.4522119983846045E-3</c:v>
                </c:pt>
                <c:pt idx="1382">
                  <c:v>-9.4129712485487432E-3</c:v>
                </c:pt>
                <c:pt idx="1383">
                  <c:v>6.3827407569568501E-3</c:v>
                </c:pt>
                <c:pt idx="1384">
                  <c:v>9.2733607738550183E-4</c:v>
                </c:pt>
                <c:pt idx="1385">
                  <c:v>-7.8302730584169154E-4</c:v>
                </c:pt>
                <c:pt idx="1386">
                  <c:v>7.2790630263669361E-3</c:v>
                </c:pt>
                <c:pt idx="1387">
                  <c:v>1.8727975574500866E-3</c:v>
                </c:pt>
                <c:pt idx="1388">
                  <c:v>4.6626401441430309E-3</c:v>
                </c:pt>
                <c:pt idx="1389">
                  <c:v>-5.2862612116695394E-5</c:v>
                </c:pt>
                <c:pt idx="1390">
                  <c:v>5.9759135880759124E-4</c:v>
                </c:pt>
                <c:pt idx="1391">
                  <c:v>5.3582702920709109E-3</c:v>
                </c:pt>
                <c:pt idx="1392">
                  <c:v>-1.5361976712352472E-4</c:v>
                </c:pt>
                <c:pt idx="1393">
                  <c:v>-3.6797486863832021E-4</c:v>
                </c:pt>
                <c:pt idx="1394">
                  <c:v>-1.0642496123316407E-3</c:v>
                </c:pt>
                <c:pt idx="1395">
                  <c:v>2.9189192431246041E-3</c:v>
                </c:pt>
                <c:pt idx="1396">
                  <c:v>2.8254516874271819E-4</c:v>
                </c:pt>
                <c:pt idx="1397">
                  <c:v>-9.7309854748828207E-4</c:v>
                </c:pt>
                <c:pt idx="1398">
                  <c:v>-1.3420867417742238E-3</c:v>
                </c:pt>
                <c:pt idx="1399">
                  <c:v>-7.2839109727374364E-4</c:v>
                </c:pt>
                <c:pt idx="1400">
                  <c:v>2.4461011054493871E-3</c:v>
                </c:pt>
                <c:pt idx="1401">
                  <c:v>4.9253925160855719E-4</c:v>
                </c:pt>
                <c:pt idx="1402">
                  <c:v>-2.1859786914876496E-3</c:v>
                </c:pt>
                <c:pt idx="1403">
                  <c:v>1.887254323046072E-3</c:v>
                </c:pt>
                <c:pt idx="1404">
                  <c:v>1.6459116133836385E-3</c:v>
                </c:pt>
                <c:pt idx="1405">
                  <c:v>-2.41735609047731E-3</c:v>
                </c:pt>
                <c:pt idx="1406">
                  <c:v>-3.6371425392981165E-4</c:v>
                </c:pt>
                <c:pt idx="1407">
                  <c:v>-1.4580194485226952E-2</c:v>
                </c:pt>
                <c:pt idx="1408">
                  <c:v>1.2747131060238811E-3</c:v>
                </c:pt>
                <c:pt idx="1409">
                  <c:v>9.9936436037592596E-3</c:v>
                </c:pt>
                <c:pt idx="1410">
                  <c:v>-4.9894026935336125E-4</c:v>
                </c:pt>
                <c:pt idx="1411">
                  <c:v>1.4190955851406412E-3</c:v>
                </c:pt>
                <c:pt idx="1412">
                  <c:v>-1.5557302982010086E-2</c:v>
                </c:pt>
                <c:pt idx="1413">
                  <c:v>-1.8370697733361559E-3</c:v>
                </c:pt>
                <c:pt idx="1414">
                  <c:v>1.1619475876316547E-3</c:v>
                </c:pt>
                <c:pt idx="1415">
                  <c:v>9.8917395364131917E-3</c:v>
                </c:pt>
                <c:pt idx="1416">
                  <c:v>-3.459582133507087E-3</c:v>
                </c:pt>
                <c:pt idx="1417">
                  <c:v>-2.0765887523938203E-3</c:v>
                </c:pt>
                <c:pt idx="1418">
                  <c:v>1.671439670407706E-3</c:v>
                </c:pt>
                <c:pt idx="1419">
                  <c:v>4.869774552017658E-4</c:v>
                </c:pt>
                <c:pt idx="1420">
                  <c:v>8.4244280665693428E-4</c:v>
                </c:pt>
                <c:pt idx="1421">
                  <c:v>4.6045159851196751E-3</c:v>
                </c:pt>
                <c:pt idx="1422">
                  <c:v>5.704748858195643E-3</c:v>
                </c:pt>
                <c:pt idx="1423">
                  <c:v>1.9805188155972674E-3</c:v>
                </c:pt>
                <c:pt idx="1424">
                  <c:v>-7.5794785683446272E-3</c:v>
                </c:pt>
                <c:pt idx="1425">
                  <c:v>3.1238663821462308E-3</c:v>
                </c:pt>
                <c:pt idx="1426">
                  <c:v>-1.7847581700066779E-4</c:v>
                </c:pt>
                <c:pt idx="1427">
                  <c:v>-1.4898927557054817E-3</c:v>
                </c:pt>
                <c:pt idx="1428">
                  <c:v>1.0780904250841916E-2</c:v>
                </c:pt>
                <c:pt idx="1429">
                  <c:v>3.3583535924836664E-3</c:v>
                </c:pt>
                <c:pt idx="1430">
                  <c:v>7.5677951898545429E-4</c:v>
                </c:pt>
                <c:pt idx="1431">
                  <c:v>-1.1013239025146775E-3</c:v>
                </c:pt>
                <c:pt idx="1432">
                  <c:v>1.8455323152087293E-3</c:v>
                </c:pt>
                <c:pt idx="1433">
                  <c:v>1.454807314799407E-3</c:v>
                </c:pt>
                <c:pt idx="1434">
                  <c:v>1.1096653781502376E-3</c:v>
                </c:pt>
                <c:pt idx="1435">
                  <c:v>6.3411163685643339E-4</c:v>
                </c:pt>
                <c:pt idx="1436">
                  <c:v>-3.0506088934585734E-3</c:v>
                </c:pt>
                <c:pt idx="1437">
                  <c:v>6.4763475664636797E-4</c:v>
                </c:pt>
                <c:pt idx="1438">
                  <c:v>-2.2244992049246771E-3</c:v>
                </c:pt>
                <c:pt idx="1439">
                  <c:v>7.2093721869792582E-5</c:v>
                </c:pt>
                <c:pt idx="1440">
                  <c:v>4.0768420216074665E-3</c:v>
                </c:pt>
                <c:pt idx="1441">
                  <c:v>1.2038828664962132E-3</c:v>
                </c:pt>
                <c:pt idx="1442">
                  <c:v>3.6982437735080622E-3</c:v>
                </c:pt>
                <c:pt idx="1443">
                  <c:v>3.8665151329828713E-3</c:v>
                </c:pt>
                <c:pt idx="1444">
                  <c:v>2.1565266962995347E-3</c:v>
                </c:pt>
                <c:pt idx="1445">
                  <c:v>1.2459783329185144E-3</c:v>
                </c:pt>
                <c:pt idx="1446">
                  <c:v>5.6308733972806214E-3</c:v>
                </c:pt>
                <c:pt idx="1447">
                  <c:v>-1.0742150246923344E-3</c:v>
                </c:pt>
                <c:pt idx="1448">
                  <c:v>-1.8060255475314134E-3</c:v>
                </c:pt>
                <c:pt idx="1449">
                  <c:v>2.3197540709582955E-3</c:v>
                </c:pt>
                <c:pt idx="1450">
                  <c:v>1.8018446358107835E-3</c:v>
                </c:pt>
                <c:pt idx="1451">
                  <c:v>-1.6881541443298049E-3</c:v>
                </c:pt>
                <c:pt idx="1452">
                  <c:v>8.7772580623768782E-4</c:v>
                </c:pt>
                <c:pt idx="1453">
                  <c:v>1.7492339334793062E-3</c:v>
                </c:pt>
                <c:pt idx="1454">
                  <c:v>6.7226893288223496E-4</c:v>
                </c:pt>
                <c:pt idx="1455">
                  <c:v>7.4209767067105596E-4</c:v>
                </c:pt>
                <c:pt idx="1456">
                  <c:v>3.2790981212585998E-4</c:v>
                </c:pt>
                <c:pt idx="1457">
                  <c:v>5.103849469401585E-3</c:v>
                </c:pt>
                <c:pt idx="1458">
                  <c:v>-3.9804028670812871E-3</c:v>
                </c:pt>
                <c:pt idx="1459">
                  <c:v>1.6166388736675908E-3</c:v>
                </c:pt>
                <c:pt idx="1460">
                  <c:v>-4.6739631114622714E-3</c:v>
                </c:pt>
                <c:pt idx="1461">
                  <c:v>1.2701392021270566E-3</c:v>
                </c:pt>
                <c:pt idx="1462">
                  <c:v>8.0405453538159206E-3</c:v>
                </c:pt>
                <c:pt idx="1463">
                  <c:v>-3.1975812572382673E-3</c:v>
                </c:pt>
                <c:pt idx="1464">
                  <c:v>9.4403950998150389E-4</c:v>
                </c:pt>
                <c:pt idx="1465">
                  <c:v>1.5908062532808776E-3</c:v>
                </c:pt>
                <c:pt idx="1466">
                  <c:v>1.8995156292258536E-4</c:v>
                </c:pt>
                <c:pt idx="1467">
                  <c:v>3.0922932168462635E-3</c:v>
                </c:pt>
                <c:pt idx="1468">
                  <c:v>1.2705230741123081E-3</c:v>
                </c:pt>
                <c:pt idx="1469">
                  <c:v>-1.8912456610798272E-4</c:v>
                </c:pt>
                <c:pt idx="1470">
                  <c:v>1.442617636431107E-3</c:v>
                </c:pt>
                <c:pt idx="1471">
                  <c:v>-3.7690718494426323E-3</c:v>
                </c:pt>
                <c:pt idx="1472">
                  <c:v>-8.9802054450679157E-4</c:v>
                </c:pt>
                <c:pt idx="1473">
                  <c:v>9.8313581772029252E-4</c:v>
                </c:pt>
                <c:pt idx="1474">
                  <c:v>-2.3122919993494805E-3</c:v>
                </c:pt>
                <c:pt idx="1475">
                  <c:v>-5.5409989946132651E-3</c:v>
                </c:pt>
                <c:pt idx="1476">
                  <c:v>8.1627400224411704E-3</c:v>
                </c:pt>
                <c:pt idx="1477">
                  <c:v>-2.6294963926015349E-3</c:v>
                </c:pt>
                <c:pt idx="1478">
                  <c:v>1.2749493588078771E-3</c:v>
                </c:pt>
                <c:pt idx="1479">
                  <c:v>6.5197860056391329E-3</c:v>
                </c:pt>
                <c:pt idx="1480">
                  <c:v>-7.5056151295621967E-4</c:v>
                </c:pt>
                <c:pt idx="1481">
                  <c:v>2.0540443802283723E-3</c:v>
                </c:pt>
                <c:pt idx="1482">
                  <c:v>-3.8433157526338035E-4</c:v>
                </c:pt>
                <c:pt idx="1483">
                  <c:v>9.8002872957213879E-3</c:v>
                </c:pt>
                <c:pt idx="1484">
                  <c:v>-3.6930504444957223E-4</c:v>
                </c:pt>
                <c:pt idx="1485">
                  <c:v>8.1575831857880702E-3</c:v>
                </c:pt>
                <c:pt idx="1486">
                  <c:v>-2.0265423397495962E-3</c:v>
                </c:pt>
                <c:pt idx="1487">
                  <c:v>-1.052699437952113E-3</c:v>
                </c:pt>
                <c:pt idx="1488">
                  <c:v>-3.7464387216745616E-3</c:v>
                </c:pt>
                <c:pt idx="1489">
                  <c:v>-1.1409360251520882E-4</c:v>
                </c:pt>
                <c:pt idx="1490">
                  <c:v>2.9280818451754833E-3</c:v>
                </c:pt>
                <c:pt idx="1491">
                  <c:v>5.491194628844653E-3</c:v>
                </c:pt>
                <c:pt idx="1492">
                  <c:v>3.1968457929972233E-3</c:v>
                </c:pt>
                <c:pt idx="1493">
                  <c:v>1.5476797289272538E-3</c:v>
                </c:pt>
                <c:pt idx="1494">
                  <c:v>-4.7306532187143082E-4</c:v>
                </c:pt>
                <c:pt idx="1495">
                  <c:v>-4.0791347395288243E-3</c:v>
                </c:pt>
                <c:pt idx="1496">
                  <c:v>8.9342951949163939E-3</c:v>
                </c:pt>
                <c:pt idx="1497">
                  <c:v>5.3485331483242001E-3</c:v>
                </c:pt>
                <c:pt idx="1498">
                  <c:v>-3.2355197885935352E-3</c:v>
                </c:pt>
                <c:pt idx="1499">
                  <c:v>-8.2824699924951802E-4</c:v>
                </c:pt>
                <c:pt idx="1500">
                  <c:v>1.983661548850703E-3</c:v>
                </c:pt>
                <c:pt idx="1501">
                  <c:v>-4.5827892849429578E-4</c:v>
                </c:pt>
                <c:pt idx="1502">
                  <c:v>-1.0589429458703716E-3</c:v>
                </c:pt>
                <c:pt idx="1503">
                  <c:v>7.9058462627016842E-4</c:v>
                </c:pt>
                <c:pt idx="1504">
                  <c:v>1.8323481522244368E-3</c:v>
                </c:pt>
                <c:pt idx="1505">
                  <c:v>-5.1966579366681887E-3</c:v>
                </c:pt>
                <c:pt idx="1506">
                  <c:v>8.2690966618669728E-3</c:v>
                </c:pt>
                <c:pt idx="1507">
                  <c:v>6.3784333821309434E-3</c:v>
                </c:pt>
                <c:pt idx="1508">
                  <c:v>4.0205680372948248E-3</c:v>
                </c:pt>
                <c:pt idx="1509">
                  <c:v>7.0091779035817607E-3</c:v>
                </c:pt>
                <c:pt idx="1510">
                  <c:v>1.6609423836402202E-3</c:v>
                </c:pt>
                <c:pt idx="1511">
                  <c:v>1.3020551030292105E-3</c:v>
                </c:pt>
                <c:pt idx="1512">
                  <c:v>-1.112824506788398E-3</c:v>
                </c:pt>
                <c:pt idx="1513">
                  <c:v>7.0089974904075066E-3</c:v>
                </c:pt>
                <c:pt idx="1514">
                  <c:v>6.726951075669084E-3</c:v>
                </c:pt>
                <c:pt idx="1515">
                  <c:v>-3.5306886277954239E-3</c:v>
                </c:pt>
                <c:pt idx="1516">
                  <c:v>9.3709571605236092E-3</c:v>
                </c:pt>
                <c:pt idx="1517">
                  <c:v>-1.6176870607860264E-3</c:v>
                </c:pt>
                <c:pt idx="1518">
                  <c:v>4.3756410828246122E-3</c:v>
                </c:pt>
                <c:pt idx="1519">
                  <c:v>8.0343920983147674E-3</c:v>
                </c:pt>
                <c:pt idx="1520">
                  <c:v>2.1720359026722361E-3</c:v>
                </c:pt>
                <c:pt idx="1521">
                  <c:v>-5.6018758940720487E-4</c:v>
                </c:pt>
                <c:pt idx="1522">
                  <c:v>6.024531651585847E-4</c:v>
                </c:pt>
                <c:pt idx="1523">
                  <c:v>1.1771597314994501E-2</c:v>
                </c:pt>
                <c:pt idx="1524">
                  <c:v>-6.7547057606620409E-3</c:v>
                </c:pt>
                <c:pt idx="1525">
                  <c:v>-1.0958608318405548E-2</c:v>
                </c:pt>
                <c:pt idx="1526">
                  <c:v>4.8882088876100647E-4</c:v>
                </c:pt>
                <c:pt idx="1527">
                  <c:v>-6.4827068101673384E-4</c:v>
                </c:pt>
                <c:pt idx="1528">
                  <c:v>-2.1436645011316622E-2</c:v>
                </c:pt>
                <c:pt idx="1529">
                  <c:v>-4.1842561245182139E-2</c:v>
                </c:pt>
                <c:pt idx="1530">
                  <c:v>1.7290591086863923E-2</c:v>
                </c:pt>
                <c:pt idx="1531">
                  <c:v>-5.0141453066676256E-3</c:v>
                </c:pt>
                <c:pt idx="1532">
                  <c:v>-3.8259085020510716E-2</c:v>
                </c:pt>
                <c:pt idx="1533">
                  <c:v>1.4825626559634099E-2</c:v>
                </c:pt>
                <c:pt idx="1534">
                  <c:v>1.3818684318076369E-2</c:v>
                </c:pt>
                <c:pt idx="1535">
                  <c:v>2.6095439836837349E-3</c:v>
                </c:pt>
                <c:pt idx="1536">
                  <c:v>1.3313461230303598E-2</c:v>
                </c:pt>
                <c:pt idx="1537">
                  <c:v>1.1996836229864197E-2</c:v>
                </c:pt>
                <c:pt idx="1538">
                  <c:v>3.733924947562478E-4</c:v>
                </c:pt>
                <c:pt idx="1539">
                  <c:v>-5.8585314248203952E-3</c:v>
                </c:pt>
                <c:pt idx="1540">
                  <c:v>-5.5116898090027547E-3</c:v>
                </c:pt>
                <c:pt idx="1541">
                  <c:v>9.7312085292120475E-4</c:v>
                </c:pt>
                <c:pt idx="1542">
                  <c:v>1.590124602558474E-2</c:v>
                </c:pt>
                <c:pt idx="1543">
                  <c:v>1.1688421260557077E-2</c:v>
                </c:pt>
                <c:pt idx="1544">
                  <c:v>-1.2788286983879777E-2</c:v>
                </c:pt>
                <c:pt idx="1545">
                  <c:v>-1.1157824195769547E-2</c:v>
                </c:pt>
                <c:pt idx="1546">
                  <c:v>-1.3413907890662753E-2</c:v>
                </c:pt>
                <c:pt idx="1547">
                  <c:v>5.0587563087125835E-3</c:v>
                </c:pt>
                <c:pt idx="1548">
                  <c:v>1.0971639144904529E-2</c:v>
                </c:pt>
                <c:pt idx="1549">
                  <c:v>2.6353184422145334E-3</c:v>
                </c:pt>
                <c:pt idx="1550">
                  <c:v>-4.8396677706154348E-4</c:v>
                </c:pt>
                <c:pt idx="1551">
                  <c:v>4.453176811945213E-3</c:v>
                </c:pt>
                <c:pt idx="1552">
                  <c:v>1.7229511513169881E-2</c:v>
                </c:pt>
                <c:pt idx="1553">
                  <c:v>-1.2747798242772499E-3</c:v>
                </c:pt>
                <c:pt idx="1554">
                  <c:v>-6.3839245851629312E-3</c:v>
                </c:pt>
                <c:pt idx="1555">
                  <c:v>-5.7409415327189526E-3</c:v>
                </c:pt>
                <c:pt idx="1556">
                  <c:v>-7.8227193941249383E-4</c:v>
                </c:pt>
                <c:pt idx="1557">
                  <c:v>1.7020228353889482E-3</c:v>
                </c:pt>
                <c:pt idx="1558">
                  <c:v>-1.4306008195445936E-2</c:v>
                </c:pt>
                <c:pt idx="1559">
                  <c:v>1.4807014304161871E-3</c:v>
                </c:pt>
                <c:pt idx="1560">
                  <c:v>-1.8456884848011977E-3</c:v>
                </c:pt>
                <c:pt idx="1561">
                  <c:v>-2.5484890016140731E-2</c:v>
                </c:pt>
                <c:pt idx="1562">
                  <c:v>-2.1189833248420765E-2</c:v>
                </c:pt>
                <c:pt idx="1563">
                  <c:v>2.6795026112632157E-2</c:v>
                </c:pt>
                <c:pt idx="1564">
                  <c:v>-1.7427312133270447E-2</c:v>
                </c:pt>
                <c:pt idx="1565">
                  <c:v>-2.9208740450646013E-3</c:v>
                </c:pt>
                <c:pt idx="1566">
                  <c:v>1.3675733119263357E-2</c:v>
                </c:pt>
                <c:pt idx="1567">
                  <c:v>-2.2590592580476767E-2</c:v>
                </c:pt>
                <c:pt idx="1568">
                  <c:v>1.2535934603553565E-2</c:v>
                </c:pt>
                <c:pt idx="1569">
                  <c:v>1.1500105825438875E-2</c:v>
                </c:pt>
                <c:pt idx="1570">
                  <c:v>6.8393662400598977E-3</c:v>
                </c:pt>
                <c:pt idx="1571">
                  <c:v>-2.2164022802027339E-2</c:v>
                </c:pt>
                <c:pt idx="1572">
                  <c:v>3.3310173527511624E-3</c:v>
                </c:pt>
                <c:pt idx="1573">
                  <c:v>1.6588521255114928E-2</c:v>
                </c:pt>
                <c:pt idx="1574">
                  <c:v>-5.540619488903829E-3</c:v>
                </c:pt>
                <c:pt idx="1575">
                  <c:v>8.2168801872393362E-3</c:v>
                </c:pt>
                <c:pt idx="1576">
                  <c:v>-2.8908218745022159E-3</c:v>
                </c:pt>
                <c:pt idx="1577">
                  <c:v>8.0763223621077573E-3</c:v>
                </c:pt>
                <c:pt idx="1578">
                  <c:v>1.0605144127271393E-2</c:v>
                </c:pt>
                <c:pt idx="1579">
                  <c:v>8.310203745819628E-4</c:v>
                </c:pt>
                <c:pt idx="1580">
                  <c:v>-5.7425779413078446E-3</c:v>
                </c:pt>
                <c:pt idx="1581">
                  <c:v>-8.5731804710458409E-3</c:v>
                </c:pt>
                <c:pt idx="1582">
                  <c:v>5.6175251820395682E-5</c:v>
                </c:pt>
                <c:pt idx="1583">
                  <c:v>-1.3470895618345118E-2</c:v>
                </c:pt>
                <c:pt idx="1584">
                  <c:v>1.8354334726678417E-3</c:v>
                </c:pt>
                <c:pt idx="1585">
                  <c:v>1.0380129158368218E-2</c:v>
                </c:pt>
                <c:pt idx="1586">
                  <c:v>1.1130162199066156E-3</c:v>
                </c:pt>
                <c:pt idx="1587">
                  <c:v>-8.2212439071443575E-3</c:v>
                </c:pt>
                <c:pt idx="1588">
                  <c:v>2.5458022179105093E-3</c:v>
                </c:pt>
                <c:pt idx="1589">
                  <c:v>-7.2319031675897134E-3</c:v>
                </c:pt>
                <c:pt idx="1590">
                  <c:v>-2.2562397993906034E-3</c:v>
                </c:pt>
                <c:pt idx="1591">
                  <c:v>1.2729831933829549E-2</c:v>
                </c:pt>
                <c:pt idx="1592">
                  <c:v>3.451995069662222E-3</c:v>
                </c:pt>
                <c:pt idx="1593">
                  <c:v>-2.6569121971978244E-4</c:v>
                </c:pt>
                <c:pt idx="1594">
                  <c:v>9.6356042161504785E-3</c:v>
                </c:pt>
                <c:pt idx="1595">
                  <c:v>9.3270009795039417E-3</c:v>
                </c:pt>
                <c:pt idx="1596">
                  <c:v>1.7061751151760478E-3</c:v>
                </c:pt>
                <c:pt idx="1597">
                  <c:v>8.8313169348161837E-4</c:v>
                </c:pt>
                <c:pt idx="1598">
                  <c:v>-6.8656799596488963E-3</c:v>
                </c:pt>
                <c:pt idx="1599">
                  <c:v>4.0523361876279775E-3</c:v>
                </c:pt>
                <c:pt idx="1600">
                  <c:v>-8.562100552650634E-4</c:v>
                </c:pt>
                <c:pt idx="1601">
                  <c:v>-2.6356975373117938E-3</c:v>
                </c:pt>
                <c:pt idx="1602">
                  <c:v>7.3595901759010559E-3</c:v>
                </c:pt>
                <c:pt idx="1603">
                  <c:v>-3.1406635129493403E-3</c:v>
                </c:pt>
                <c:pt idx="1604">
                  <c:v>3.2431094088002069E-3</c:v>
                </c:pt>
                <c:pt idx="1605">
                  <c:v>-2.0252522464269634E-3</c:v>
                </c:pt>
                <c:pt idx="1606">
                  <c:v>-2.3600281824850003E-3</c:v>
                </c:pt>
                <c:pt idx="1607">
                  <c:v>-1.1631583739263906E-2</c:v>
                </c:pt>
                <c:pt idx="1608">
                  <c:v>1.2615911702766044E-2</c:v>
                </c:pt>
                <c:pt idx="1609">
                  <c:v>-6.9033368781207007E-3</c:v>
                </c:pt>
                <c:pt idx="1610">
                  <c:v>1.079076407564197E-2</c:v>
                </c:pt>
                <c:pt idx="1611">
                  <c:v>4.4695950894616818E-3</c:v>
                </c:pt>
                <c:pt idx="1612">
                  <c:v>7.0237116833561891E-4</c:v>
                </c:pt>
                <c:pt idx="1613">
                  <c:v>8.5308831756656898E-3</c:v>
                </c:pt>
                <c:pt idx="1614">
                  <c:v>-7.1445069721093465E-4</c:v>
                </c:pt>
                <c:pt idx="1615">
                  <c:v>3.1210606659344705E-3</c:v>
                </c:pt>
                <c:pt idx="1616">
                  <c:v>1.0681475490628696E-3</c:v>
                </c:pt>
                <c:pt idx="1617">
                  <c:v>1.7418322369011133E-3</c:v>
                </c:pt>
                <c:pt idx="1618">
                  <c:v>-4.0341772794630594E-3</c:v>
                </c:pt>
                <c:pt idx="1619">
                  <c:v>2.4684618120292836E-3</c:v>
                </c:pt>
                <c:pt idx="1620">
                  <c:v>-1.0175922059649557E-3</c:v>
                </c:pt>
                <c:pt idx="1621">
                  <c:v>-2.1284228000868419E-3</c:v>
                </c:pt>
                <c:pt idx="1622">
                  <c:v>-4.0315497659651062E-3</c:v>
                </c:pt>
                <c:pt idx="1623">
                  <c:v>1.7106973363122029E-3</c:v>
                </c:pt>
                <c:pt idx="1624">
                  <c:v>-6.3657076922923536E-3</c:v>
                </c:pt>
                <c:pt idx="1625">
                  <c:v>1.8602493447316098E-3</c:v>
                </c:pt>
                <c:pt idx="1626">
                  <c:v>-1.3819790665146471E-2</c:v>
                </c:pt>
                <c:pt idx="1627">
                  <c:v>2.2021541473088704E-3</c:v>
                </c:pt>
                <c:pt idx="1628">
                  <c:v>-8.6415213868015241E-3</c:v>
                </c:pt>
                <c:pt idx="1629">
                  <c:v>6.1596150392206625E-3</c:v>
                </c:pt>
                <c:pt idx="1630">
                  <c:v>7.5809434912754855E-4</c:v>
                </c:pt>
                <c:pt idx="1631">
                  <c:v>3.0633182696388058E-3</c:v>
                </c:pt>
                <c:pt idx="1632">
                  <c:v>-4.959632808581322E-3</c:v>
                </c:pt>
                <c:pt idx="1633">
                  <c:v>8.5838066940842651E-3</c:v>
                </c:pt>
                <c:pt idx="1634">
                  <c:v>8.4455320847041989E-3</c:v>
                </c:pt>
                <c:pt idx="1635">
                  <c:v>8.7843436152737018E-3</c:v>
                </c:pt>
                <c:pt idx="1636">
                  <c:v>3.4671897996766143E-3</c:v>
                </c:pt>
                <c:pt idx="1637">
                  <c:v>-7.1194619539736125E-3</c:v>
                </c:pt>
                <c:pt idx="1638">
                  <c:v>8.7109846615288089E-3</c:v>
                </c:pt>
                <c:pt idx="1639">
                  <c:v>1.0786485794734959E-3</c:v>
                </c:pt>
                <c:pt idx="1640">
                  <c:v>-1.0286192765856391E-3</c:v>
                </c:pt>
                <c:pt idx="1641">
                  <c:v>3.9657825363438081E-3</c:v>
                </c:pt>
                <c:pt idx="1642">
                  <c:v>2.1581578355824118E-3</c:v>
                </c:pt>
                <c:pt idx="1643">
                  <c:v>-3.9607817464154278E-3</c:v>
                </c:pt>
                <c:pt idx="1644">
                  <c:v>-9.489291369751974E-4</c:v>
                </c:pt>
                <c:pt idx="1645">
                  <c:v>1.8363971848938719E-3</c:v>
                </c:pt>
                <c:pt idx="1646">
                  <c:v>4.7695465529177935E-3</c:v>
                </c:pt>
                <c:pt idx="1647">
                  <c:v>9.060376426541358E-3</c:v>
                </c:pt>
                <c:pt idx="1648">
                  <c:v>-3.0368580797846918E-3</c:v>
                </c:pt>
                <c:pt idx="1649">
                  <c:v>-6.5838795461225143E-3</c:v>
                </c:pt>
                <c:pt idx="1650">
                  <c:v>-5.7707999094024024E-3</c:v>
                </c:pt>
                <c:pt idx="1651">
                  <c:v>4.8728581939806326E-3</c:v>
                </c:pt>
                <c:pt idx="1652">
                  <c:v>-1.0409173801414606E-3</c:v>
                </c:pt>
                <c:pt idx="1653">
                  <c:v>4.914398127409042E-3</c:v>
                </c:pt>
                <c:pt idx="1654">
                  <c:v>4.6333873211502116E-3</c:v>
                </c:pt>
                <c:pt idx="1655">
                  <c:v>3.5320512931104955E-3</c:v>
                </c:pt>
                <c:pt idx="1656">
                  <c:v>2.8201845679715165E-3</c:v>
                </c:pt>
                <c:pt idx="1657">
                  <c:v>-2.6241438881196129E-4</c:v>
                </c:pt>
                <c:pt idx="1658">
                  <c:v>-1.4427591414417902E-3</c:v>
                </c:pt>
                <c:pt idx="1659">
                  <c:v>-7.1392952256226182E-3</c:v>
                </c:pt>
                <c:pt idx="1660">
                  <c:v>-4.0140031013779489E-3</c:v>
                </c:pt>
                <c:pt idx="1661">
                  <c:v>6.3689195466782979E-3</c:v>
                </c:pt>
                <c:pt idx="1662">
                  <c:v>-7.6312639158579937E-3</c:v>
                </c:pt>
                <c:pt idx="1663">
                  <c:v>7.8882767591131279E-3</c:v>
                </c:pt>
                <c:pt idx="1664">
                  <c:v>3.3176268652185398E-3</c:v>
                </c:pt>
                <c:pt idx="1665">
                  <c:v>2.4250166951827559E-3</c:v>
                </c:pt>
                <c:pt idx="1666">
                  <c:v>2.0664306891217009E-3</c:v>
                </c:pt>
                <c:pt idx="1667">
                  <c:v>-3.9826858501759574E-4</c:v>
                </c:pt>
                <c:pt idx="1668">
                  <c:v>-1.6926632005294403E-3</c:v>
                </c:pt>
                <c:pt idx="1669">
                  <c:v>6.1797194745907722E-3</c:v>
                </c:pt>
                <c:pt idx="1670">
                  <c:v>7.6411243957242277E-3</c:v>
                </c:pt>
                <c:pt idx="1671">
                  <c:v>2.6923196567344023E-4</c:v>
                </c:pt>
                <c:pt idx="1672">
                  <c:v>5.6852358046606769E-3</c:v>
                </c:pt>
                <c:pt idx="1673">
                  <c:v>-4.4401182457849643E-3</c:v>
                </c:pt>
                <c:pt idx="1674">
                  <c:v>1.3442134217546059E-4</c:v>
                </c:pt>
                <c:pt idx="1675">
                  <c:v>-1.6556752036839839E-3</c:v>
                </c:pt>
                <c:pt idx="1676">
                  <c:v>-2.8071067225424913E-3</c:v>
                </c:pt>
                <c:pt idx="1677">
                  <c:v>-3.6589741948485021E-3</c:v>
                </c:pt>
                <c:pt idx="1678">
                  <c:v>-2.2157571246540649E-3</c:v>
                </c:pt>
                <c:pt idx="1679">
                  <c:v>1.8960451407243311E-3</c:v>
                </c:pt>
                <c:pt idx="1680">
                  <c:v>3.7328621563787081E-3</c:v>
                </c:pt>
                <c:pt idx="1681">
                  <c:v>3.5659819551439804E-4</c:v>
                </c:pt>
                <c:pt idx="1682">
                  <c:v>5.2683486546839242E-3</c:v>
                </c:pt>
                <c:pt idx="1683">
                  <c:v>2.7542708586353852E-4</c:v>
                </c:pt>
                <c:pt idx="1684">
                  <c:v>-5.5853146174804991E-3</c:v>
                </c:pt>
                <c:pt idx="1685">
                  <c:v>5.354649595431229E-3</c:v>
                </c:pt>
                <c:pt idx="1686">
                  <c:v>1.2525249991826694E-3</c:v>
                </c:pt>
                <c:pt idx="1687">
                  <c:v>7.8099973940756514E-3</c:v>
                </c:pt>
                <c:pt idx="1688">
                  <c:v>-3.6857427018063469E-4</c:v>
                </c:pt>
                <c:pt idx="1689">
                  <c:v>-3.5219491222055663E-3</c:v>
                </c:pt>
                <c:pt idx="1690">
                  <c:v>-1.3059284486635185E-3</c:v>
                </c:pt>
                <c:pt idx="1691">
                  <c:v>-3.2946695026326335E-3</c:v>
                </c:pt>
                <c:pt idx="1692">
                  <c:v>2.7594661468949336E-3</c:v>
                </c:pt>
                <c:pt idx="1693">
                  <c:v>-6.8634415355334628E-6</c:v>
                </c:pt>
                <c:pt idx="1694">
                  <c:v>3.6344555873070567E-3</c:v>
                </c:pt>
                <c:pt idx="1695">
                  <c:v>-3.967154747124362E-4</c:v>
                </c:pt>
                <c:pt idx="1696">
                  <c:v>7.1124001534755626E-4</c:v>
                </c:pt>
                <c:pt idx="1697">
                  <c:v>-8.2030691043885728E-3</c:v>
                </c:pt>
                <c:pt idx="1698">
                  <c:v>-5.543301253226848E-3</c:v>
                </c:pt>
                <c:pt idx="1699">
                  <c:v>-3.951473188331464E-4</c:v>
                </c:pt>
                <c:pt idx="1700">
                  <c:v>-1.4189640475695234E-3</c:v>
                </c:pt>
                <c:pt idx="1701">
                  <c:v>-3.3416333989061714E-2</c:v>
                </c:pt>
                <c:pt idx="1702">
                  <c:v>-2.0787647463574973E-2</c:v>
                </c:pt>
                <c:pt idx="1703">
                  <c:v>1.4106320709680948E-2</c:v>
                </c:pt>
                <c:pt idx="1704">
                  <c:v>-5.922538841602318E-3</c:v>
                </c:pt>
                <c:pt idx="1705">
                  <c:v>2.1267870038650147E-2</c:v>
                </c:pt>
                <c:pt idx="1706">
                  <c:v>-2.5270816079308065E-4</c:v>
                </c:pt>
                <c:pt idx="1707">
                  <c:v>-1.4496515061645461E-2</c:v>
                </c:pt>
                <c:pt idx="1708">
                  <c:v>-3.6123513910236955E-4</c:v>
                </c:pt>
                <c:pt idx="1709">
                  <c:v>-4.3087439887895167E-3</c:v>
                </c:pt>
                <c:pt idx="1710">
                  <c:v>-5.5270973242133609E-3</c:v>
                </c:pt>
                <c:pt idx="1711">
                  <c:v>-3.135083200711912E-2</c:v>
                </c:pt>
                <c:pt idx="1712">
                  <c:v>1.8453729479332191E-2</c:v>
                </c:pt>
                <c:pt idx="1713">
                  <c:v>-1.7479090705260276E-2</c:v>
                </c:pt>
                <c:pt idx="1714">
                  <c:v>-6.5812303337732898E-3</c:v>
                </c:pt>
                <c:pt idx="1715">
                  <c:v>1.5545366655688744E-2</c:v>
                </c:pt>
                <c:pt idx="1716">
                  <c:v>1.0792838671999127E-2</c:v>
                </c:pt>
                <c:pt idx="1717">
                  <c:v>1.0502452503904892E-2</c:v>
                </c:pt>
                <c:pt idx="1718">
                  <c:v>-6.3366998101070391E-3</c:v>
                </c:pt>
                <c:pt idx="1719">
                  <c:v>5.5846938170283911E-3</c:v>
                </c:pt>
                <c:pt idx="1720">
                  <c:v>6.2398268627495259E-3</c:v>
                </c:pt>
                <c:pt idx="1721">
                  <c:v>2.0987099015788779E-2</c:v>
                </c:pt>
                <c:pt idx="1722">
                  <c:v>-2.5121349979599032E-3</c:v>
                </c:pt>
                <c:pt idx="1723">
                  <c:v>-9.2415615930208604E-3</c:v>
                </c:pt>
                <c:pt idx="1724">
                  <c:v>-1.9898136727593101E-2</c:v>
                </c:pt>
                <c:pt idx="1725">
                  <c:v>-1.4830044565126614E-3</c:v>
                </c:pt>
                <c:pt idx="1726">
                  <c:v>-7.5962428487097063E-3</c:v>
                </c:pt>
                <c:pt idx="1727">
                  <c:v>1.0538079545354202E-2</c:v>
                </c:pt>
                <c:pt idx="1728">
                  <c:v>2.2208125151236689E-3</c:v>
                </c:pt>
                <c:pt idx="1729">
                  <c:v>-1.6783146839093228E-2</c:v>
                </c:pt>
                <c:pt idx="1730">
                  <c:v>-1.8317962154308476E-2</c:v>
                </c:pt>
                <c:pt idx="1731">
                  <c:v>3.038654446444182E-3</c:v>
                </c:pt>
                <c:pt idx="1732">
                  <c:v>-6.5764677658551214E-3</c:v>
                </c:pt>
                <c:pt idx="1733">
                  <c:v>1.5413016366781477E-2</c:v>
                </c:pt>
                <c:pt idx="1734">
                  <c:v>3.2563952280602691E-3</c:v>
                </c:pt>
                <c:pt idx="1735">
                  <c:v>2.2714007938884229E-2</c:v>
                </c:pt>
                <c:pt idx="1736">
                  <c:v>-2.1854981435022809E-3</c:v>
                </c:pt>
                <c:pt idx="1737">
                  <c:v>8.1375938558372295E-3</c:v>
                </c:pt>
                <c:pt idx="1738">
                  <c:v>1.0881931492828126E-2</c:v>
                </c:pt>
                <c:pt idx="1739">
                  <c:v>-3.2900208542344787E-2</c:v>
                </c:pt>
                <c:pt idx="1740">
                  <c:v>-1.5233481015795478E-3</c:v>
                </c:pt>
                <c:pt idx="1741">
                  <c:v>-2.3596383238556007E-2</c:v>
                </c:pt>
                <c:pt idx="1742">
                  <c:v>1.7606440003852311E-3</c:v>
                </c:pt>
                <c:pt idx="1743">
                  <c:v>-3.564318930519869E-4</c:v>
                </c:pt>
                <c:pt idx="1744">
                  <c:v>5.4048563356254914E-3</c:v>
                </c:pt>
                <c:pt idx="1745">
                  <c:v>-1.999392643992198E-4</c:v>
                </c:pt>
                <c:pt idx="1746">
                  <c:v>-1.9271178750727643E-2</c:v>
                </c:pt>
                <c:pt idx="1747">
                  <c:v>-2.0992280594401735E-2</c:v>
                </c:pt>
                <c:pt idx="1748">
                  <c:v>8.6408358098435416E-5</c:v>
                </c:pt>
                <c:pt idx="1749">
                  <c:v>-1.5515478113209684E-2</c:v>
                </c:pt>
                <c:pt idx="1750">
                  <c:v>-1.5897793403096879E-2</c:v>
                </c:pt>
                <c:pt idx="1751">
                  <c:v>-2.0803200653483116E-2</c:v>
                </c:pt>
                <c:pt idx="1752">
                  <c:v>-2.7486565922407408E-2</c:v>
                </c:pt>
                <c:pt idx="1753">
                  <c:v>4.8403238994109442E-2</c:v>
                </c:pt>
                <c:pt idx="1754">
                  <c:v>8.5261777916688236E-3</c:v>
                </c:pt>
                <c:pt idx="1755">
                  <c:v>-1.2423185913211249E-3</c:v>
                </c:pt>
                <c:pt idx="1756">
                  <c:v>8.4565829777873986E-3</c:v>
                </c:pt>
                <c:pt idx="1757">
                  <c:v>1.2677203464647186E-3</c:v>
                </c:pt>
                <c:pt idx="1758">
                  <c:v>-2.5068276263535243E-2</c:v>
                </c:pt>
                <c:pt idx="1759">
                  <c:v>3.3759378318728883E-2</c:v>
                </c:pt>
                <c:pt idx="1760">
                  <c:v>6.9859758341247287E-3</c:v>
                </c:pt>
                <c:pt idx="1761">
                  <c:v>9.648598495866724E-3</c:v>
                </c:pt>
                <c:pt idx="1762">
                  <c:v>4.0896523041704267E-3</c:v>
                </c:pt>
                <c:pt idx="1763">
                  <c:v>4.508267632578381E-3</c:v>
                </c:pt>
                <c:pt idx="1764">
                  <c:v>-1.4635367547150111E-4</c:v>
                </c:pt>
                <c:pt idx="1765">
                  <c:v>-5.2714324201361554E-3</c:v>
                </c:pt>
                <c:pt idx="1766">
                  <c:v>1.06646417681244E-2</c:v>
                </c:pt>
                <c:pt idx="1767">
                  <c:v>2.2195019060886282E-3</c:v>
                </c:pt>
                <c:pt idx="1768">
                  <c:v>7.5627828542582029E-3</c:v>
                </c:pt>
                <c:pt idx="1769">
                  <c:v>1.3096912647036883E-2</c:v>
                </c:pt>
                <c:pt idx="1770">
                  <c:v>-1.4258454363476867E-2</c:v>
                </c:pt>
                <c:pt idx="1771">
                  <c:v>2.200471333308696E-3</c:v>
                </c:pt>
                <c:pt idx="1772">
                  <c:v>1.3747320396555432E-3</c:v>
                </c:pt>
                <c:pt idx="1773">
                  <c:v>8.4528936024961705E-3</c:v>
                </c:pt>
                <c:pt idx="1774">
                  <c:v>-7.8778091211158478E-3</c:v>
                </c:pt>
                <c:pt idx="1775">
                  <c:v>-1.4572709979783426E-3</c:v>
                </c:pt>
                <c:pt idx="1776">
                  <c:v>1.5429591679246102E-2</c:v>
                </c:pt>
                <c:pt idx="1777">
                  <c:v>8.560630907940894E-3</c:v>
                </c:pt>
                <c:pt idx="1778">
                  <c:v>8.9823187443282919E-4</c:v>
                </c:pt>
                <c:pt idx="1779">
                  <c:v>6.7533489353567532E-3</c:v>
                </c:pt>
                <c:pt idx="1780">
                  <c:v>4.697431279443067E-3</c:v>
                </c:pt>
                <c:pt idx="1781">
                  <c:v>-2.2269728784431774E-3</c:v>
                </c:pt>
                <c:pt idx="1782">
                  <c:v>-9.4011719208093036E-3</c:v>
                </c:pt>
                <c:pt idx="1783">
                  <c:v>6.7603388654662077E-4</c:v>
                </c:pt>
                <c:pt idx="1784">
                  <c:v>7.0879050825508596E-4</c:v>
                </c:pt>
                <c:pt idx="1785">
                  <c:v>1.2807878037835878E-2</c:v>
                </c:pt>
                <c:pt idx="1786">
                  <c:v>3.0194138361176875E-3</c:v>
                </c:pt>
                <c:pt idx="1787">
                  <c:v>-2.6551456286969719E-3</c:v>
                </c:pt>
                <c:pt idx="1788">
                  <c:v>1.0819962367806283E-2</c:v>
                </c:pt>
                <c:pt idx="1789">
                  <c:v>1.4976529973075329E-3</c:v>
                </c:pt>
                <c:pt idx="1790">
                  <c:v>1.7755546082880141E-3</c:v>
                </c:pt>
                <c:pt idx="1791">
                  <c:v>-3.5326446287138233E-3</c:v>
                </c:pt>
                <c:pt idx="1792">
                  <c:v>6.3906244381742427E-3</c:v>
                </c:pt>
                <c:pt idx="1793">
                  <c:v>1.2310380564024776E-3</c:v>
                </c:pt>
                <c:pt idx="1794">
                  <c:v>-7.9069630113047843E-4</c:v>
                </c:pt>
                <c:pt idx="1795">
                  <c:v>-5.4419042278991056E-4</c:v>
                </c:pt>
                <c:pt idx="1796">
                  <c:v>-2.8295460586895897E-3</c:v>
                </c:pt>
                <c:pt idx="1797">
                  <c:v>6.8716739803607518E-3</c:v>
                </c:pt>
                <c:pt idx="1798">
                  <c:v>-3.8881492742662512E-3</c:v>
                </c:pt>
                <c:pt idx="1799">
                  <c:v>-1.1321175028613038E-3</c:v>
                </c:pt>
                <c:pt idx="1800">
                  <c:v>-6.5454909924979043E-3</c:v>
                </c:pt>
                <c:pt idx="1801">
                  <c:v>-8.1589038889600621E-3</c:v>
                </c:pt>
                <c:pt idx="1802">
                  <c:v>-2.1340139198386563E-3</c:v>
                </c:pt>
                <c:pt idx="1803">
                  <c:v>1.455954294099511E-2</c:v>
                </c:pt>
                <c:pt idx="1804">
                  <c:v>2.9489762744178273E-3</c:v>
                </c:pt>
                <c:pt idx="1805">
                  <c:v>6.9255815470474699E-3</c:v>
                </c:pt>
                <c:pt idx="1806">
                  <c:v>-8.6842017060344712E-4</c:v>
                </c:pt>
                <c:pt idx="1807">
                  <c:v>4.972519373935739E-3</c:v>
                </c:pt>
                <c:pt idx="1808">
                  <c:v>3.6991105620370161E-3</c:v>
                </c:pt>
                <c:pt idx="1809">
                  <c:v>-1.3061489628502955E-4</c:v>
                </c:pt>
                <c:pt idx="1810">
                  <c:v>-2.9486656918281009E-3</c:v>
                </c:pt>
                <c:pt idx="1811">
                  <c:v>1.0794049627223466E-2</c:v>
                </c:pt>
                <c:pt idx="1812">
                  <c:v>-1.9156854235052909E-2</c:v>
                </c:pt>
                <c:pt idx="1813">
                  <c:v>-8.3942516810502456E-4</c:v>
                </c:pt>
                <c:pt idx="1814">
                  <c:v>7.1571051948916761E-3</c:v>
                </c:pt>
                <c:pt idx="1815">
                  <c:v>-4.6551989086819415E-3</c:v>
                </c:pt>
                <c:pt idx="1816">
                  <c:v>3.5831172994041961E-3</c:v>
                </c:pt>
                <c:pt idx="1817">
                  <c:v>6.7117196856877198E-3</c:v>
                </c:pt>
                <c:pt idx="1818">
                  <c:v>1.1502181500052781E-2</c:v>
                </c:pt>
                <c:pt idx="1819">
                  <c:v>1.7438524840564605E-5</c:v>
                </c:pt>
                <c:pt idx="1820">
                  <c:v>2.1461030004631186E-3</c:v>
                </c:pt>
                <c:pt idx="1821">
                  <c:v>2.0824685638528733E-3</c:v>
                </c:pt>
                <c:pt idx="1822">
                  <c:v>4.6256836918425713E-3</c:v>
                </c:pt>
                <c:pt idx="1823">
                  <c:v>1.0469016298636597E-3</c:v>
                </c:pt>
                <c:pt idx="1824">
                  <c:v>-6.0859527261046698E-3</c:v>
                </c:pt>
                <c:pt idx="1825">
                  <c:v>3.4718343144997492E-3</c:v>
                </c:pt>
                <c:pt idx="1826">
                  <c:v>3.8085148008697833E-5</c:v>
                </c:pt>
                <c:pt idx="1827">
                  <c:v>6.5876322869365339E-3</c:v>
                </c:pt>
                <c:pt idx="1828">
                  <c:v>-6.2962436214583303E-4</c:v>
                </c:pt>
                <c:pt idx="1829">
                  <c:v>5.0923505738616681E-4</c:v>
                </c:pt>
                <c:pt idx="1830">
                  <c:v>-2.2763638303940604E-3</c:v>
                </c:pt>
                <c:pt idx="1831">
                  <c:v>1.5778199046987368E-3</c:v>
                </c:pt>
                <c:pt idx="1832">
                  <c:v>1.0115259764941317E-3</c:v>
                </c:pt>
                <c:pt idx="1833">
                  <c:v>8.8023644018914056E-3</c:v>
                </c:pt>
                <c:pt idx="1834">
                  <c:v>-2.1941919046150143E-3</c:v>
                </c:pt>
                <c:pt idx="1835">
                  <c:v>-3.6901504155019838E-4</c:v>
                </c:pt>
                <c:pt idx="1836">
                  <c:v>4.6743634859040149E-3</c:v>
                </c:pt>
                <c:pt idx="1837">
                  <c:v>1.0708986882482718E-3</c:v>
                </c:pt>
                <c:pt idx="1838">
                  <c:v>9.5094813291652096E-4</c:v>
                </c:pt>
                <c:pt idx="1839">
                  <c:v>-7.5304126495015673E-3</c:v>
                </c:pt>
                <c:pt idx="1840">
                  <c:v>-2.1262580234037609E-3</c:v>
                </c:pt>
                <c:pt idx="1841">
                  <c:v>9.5921706414815368E-3</c:v>
                </c:pt>
                <c:pt idx="1842">
                  <c:v>-4.4810396666553265E-3</c:v>
                </c:pt>
                <c:pt idx="1843">
                  <c:v>-1.6649515009818341E-2</c:v>
                </c:pt>
                <c:pt idx="1844">
                  <c:v>-1.6066713268179022E-3</c:v>
                </c:pt>
                <c:pt idx="1845">
                  <c:v>-3.0260155887187833E-3</c:v>
                </c:pt>
                <c:pt idx="1846">
                  <c:v>3.7134177564540913E-3</c:v>
                </c:pt>
                <c:pt idx="1847">
                  <c:v>-2.4426544706444165E-2</c:v>
                </c:pt>
                <c:pt idx="1848">
                  <c:v>7.9840602076551824E-3</c:v>
                </c:pt>
                <c:pt idx="1849">
                  <c:v>5.8219770208102466E-3</c:v>
                </c:pt>
                <c:pt idx="1850">
                  <c:v>8.8559196487121624E-3</c:v>
                </c:pt>
                <c:pt idx="1851">
                  <c:v>-5.8544236531281706E-3</c:v>
                </c:pt>
                <c:pt idx="1852">
                  <c:v>-6.7722408534153554E-3</c:v>
                </c:pt>
                <c:pt idx="1853">
                  <c:v>8.4599047136238066E-3</c:v>
                </c:pt>
                <c:pt idx="1854">
                  <c:v>-2.8283616990028514E-3</c:v>
                </c:pt>
                <c:pt idx="1855">
                  <c:v>-1.1985681943016436E-2</c:v>
                </c:pt>
                <c:pt idx="1856">
                  <c:v>1.3526195784275823E-3</c:v>
                </c:pt>
                <c:pt idx="1857">
                  <c:v>-8.4108909346528385E-3</c:v>
                </c:pt>
                <c:pt idx="1858">
                  <c:v>-6.9359555174738127E-3</c:v>
                </c:pt>
                <c:pt idx="1859">
                  <c:v>2.0962411748005594E-3</c:v>
                </c:pt>
                <c:pt idx="1860">
                  <c:v>-1.3283188023120184E-2</c:v>
                </c:pt>
                <c:pt idx="1861">
                  <c:v>-2.7690315718501501E-3</c:v>
                </c:pt>
                <c:pt idx="1862">
                  <c:v>2.1205902322179549E-2</c:v>
                </c:pt>
                <c:pt idx="1863">
                  <c:v>8.1287685006414707E-3</c:v>
                </c:pt>
                <c:pt idx="1864">
                  <c:v>6.1168095558660623E-3</c:v>
                </c:pt>
                <c:pt idx="1865">
                  <c:v>1.0442945224567081E-2</c:v>
                </c:pt>
                <c:pt idx="1866">
                  <c:v>4.6492574289522378E-3</c:v>
                </c:pt>
                <c:pt idx="1867">
                  <c:v>-3.4993807146250003E-4</c:v>
                </c:pt>
                <c:pt idx="1868">
                  <c:v>-2.0396984988729416E-3</c:v>
                </c:pt>
                <c:pt idx="1869">
                  <c:v>4.0890781712417494E-3</c:v>
                </c:pt>
                <c:pt idx="1870">
                  <c:v>-1.612842169983723E-3</c:v>
                </c:pt>
                <c:pt idx="1871">
                  <c:v>9.3133570302482102E-4</c:v>
                </c:pt>
                <c:pt idx="1872">
                  <c:v>9.670462557011119E-3</c:v>
                </c:pt>
                <c:pt idx="1873">
                  <c:v>2.9807301410620332E-3</c:v>
                </c:pt>
                <c:pt idx="1874">
                  <c:v>9.4276151277163066E-3</c:v>
                </c:pt>
                <c:pt idx="1875">
                  <c:v>-1.2600261801485599E-3</c:v>
                </c:pt>
                <c:pt idx="1876">
                  <c:v>-1.7334348561240606E-3</c:v>
                </c:pt>
                <c:pt idx="1877">
                  <c:v>-9.5417023155633419E-3</c:v>
                </c:pt>
                <c:pt idx="1878">
                  <c:v>-1.2347459021461497E-3</c:v>
                </c:pt>
                <c:pt idx="1879">
                  <c:v>3.8159225573172161E-3</c:v>
                </c:pt>
                <c:pt idx="1880">
                  <c:v>5.7409118108132217E-3</c:v>
                </c:pt>
                <c:pt idx="1881">
                  <c:v>7.6429955755801899E-3</c:v>
                </c:pt>
                <c:pt idx="1882">
                  <c:v>2.9238703472561083E-3</c:v>
                </c:pt>
                <c:pt idx="1883">
                  <c:v>7.6430761271929189E-3</c:v>
                </c:pt>
                <c:pt idx="1884">
                  <c:v>-1.8074819954691978E-3</c:v>
                </c:pt>
                <c:pt idx="1885">
                  <c:v>-4.8471859933760311E-3</c:v>
                </c:pt>
                <c:pt idx="1886">
                  <c:v>1.2358159804265049E-3</c:v>
                </c:pt>
                <c:pt idx="1887">
                  <c:v>4.5004847673177414E-3</c:v>
                </c:pt>
                <c:pt idx="1888">
                  <c:v>2.2826717159195975E-3</c:v>
                </c:pt>
                <c:pt idx="1889">
                  <c:v>4.6094985236418001E-3</c:v>
                </c:pt>
                <c:pt idx="1890">
                  <c:v>1.7584401022740885E-4</c:v>
                </c:pt>
                <c:pt idx="1891">
                  <c:v>-3.4095813595054242E-3</c:v>
                </c:pt>
                <c:pt idx="1892">
                  <c:v>-6.5526262851549463E-3</c:v>
                </c:pt>
                <c:pt idx="1893">
                  <c:v>3.5755356654507981E-3</c:v>
                </c:pt>
                <c:pt idx="1894">
                  <c:v>-6.1958896877547841E-3</c:v>
                </c:pt>
                <c:pt idx="1895">
                  <c:v>2.8247279603128136E-3</c:v>
                </c:pt>
                <c:pt idx="1896">
                  <c:v>6.8241647017276323E-3</c:v>
                </c:pt>
                <c:pt idx="1897">
                  <c:v>4.6771636608934396E-3</c:v>
                </c:pt>
                <c:pt idx="1898">
                  <c:v>-5.276251069020221E-3</c:v>
                </c:pt>
                <c:pt idx="1899">
                  <c:v>7.3604742596646913E-3</c:v>
                </c:pt>
                <c:pt idx="1900">
                  <c:v>-1.6173767299502979E-3</c:v>
                </c:pt>
                <c:pt idx="1901">
                  <c:v>-2.5819723830935032E-3</c:v>
                </c:pt>
                <c:pt idx="1902">
                  <c:v>-1.0945190319276599E-2</c:v>
                </c:pt>
                <c:pt idx="1903">
                  <c:v>-9.0395867268047228E-3</c:v>
                </c:pt>
                <c:pt idx="1904">
                  <c:v>-7.3093853544549392E-3</c:v>
                </c:pt>
                <c:pt idx="1905">
                  <c:v>-3.0230162083586681E-2</c:v>
                </c:pt>
                <c:pt idx="1906">
                  <c:v>1.2933013700777157E-2</c:v>
                </c:pt>
                <c:pt idx="1907">
                  <c:v>7.6659588370266651E-4</c:v>
                </c:pt>
                <c:pt idx="1908">
                  <c:v>1.8588425780336086E-2</c:v>
                </c:pt>
                <c:pt idx="1909">
                  <c:v>-6.6385297600620738E-3</c:v>
                </c:pt>
                <c:pt idx="1910">
                  <c:v>-1.2393825636975902E-2</c:v>
                </c:pt>
                <c:pt idx="1911">
                  <c:v>1.5018305968787296E-2</c:v>
                </c:pt>
                <c:pt idx="1912">
                  <c:v>-2.9730363473091367E-2</c:v>
                </c:pt>
                <c:pt idx="1913">
                  <c:v>2.461236782690441E-3</c:v>
                </c:pt>
                <c:pt idx="1914">
                  <c:v>1.4323116131046663E-2</c:v>
                </c:pt>
                <c:pt idx="1915">
                  <c:v>1.2033185301994735E-2</c:v>
                </c:pt>
                <c:pt idx="1916">
                  <c:v>-7.9462520811493E-3</c:v>
                </c:pt>
                <c:pt idx="1917">
                  <c:v>8.2130062994995642E-3</c:v>
                </c:pt>
                <c:pt idx="1918">
                  <c:v>-5.0620962947638712E-4</c:v>
                </c:pt>
                <c:pt idx="1919">
                  <c:v>-2.6288935558066755E-2</c:v>
                </c:pt>
                <c:pt idx="1920">
                  <c:v>1.0923191173948981E-2</c:v>
                </c:pt>
                <c:pt idx="1921">
                  <c:v>-3.2083318806849889E-3</c:v>
                </c:pt>
                <c:pt idx="1922">
                  <c:v>6.52414118680143E-3</c:v>
                </c:pt>
                <c:pt idx="1923">
                  <c:v>1.260743543874108E-2</c:v>
                </c:pt>
                <c:pt idx="1924">
                  <c:v>6.4262082115234761E-4</c:v>
                </c:pt>
                <c:pt idx="1925">
                  <c:v>-6.9230294011075758E-3</c:v>
                </c:pt>
                <c:pt idx="1926">
                  <c:v>1.0783722026351545E-2</c:v>
                </c:pt>
                <c:pt idx="1927">
                  <c:v>1.2925922894213253E-2</c:v>
                </c:pt>
                <c:pt idx="1928">
                  <c:v>9.1020391827530893E-4</c:v>
                </c:pt>
                <c:pt idx="1929">
                  <c:v>-9.4004841318652159E-5</c:v>
                </c:pt>
                <c:pt idx="1930">
                  <c:v>3.2226552944139824E-4</c:v>
                </c:pt>
                <c:pt idx="1931">
                  <c:v>7.2036590507942328E-3</c:v>
                </c:pt>
                <c:pt idx="1932">
                  <c:v>2.8749707848360149E-3</c:v>
                </c:pt>
                <c:pt idx="1933">
                  <c:v>-7.2461844366199951E-4</c:v>
                </c:pt>
                <c:pt idx="1934">
                  <c:v>-3.1405356059661417E-3</c:v>
                </c:pt>
                <c:pt idx="1935">
                  <c:v>2.5784285879443072E-3</c:v>
                </c:pt>
                <c:pt idx="1936">
                  <c:v>3.4262353493549175E-4</c:v>
                </c:pt>
                <c:pt idx="1937">
                  <c:v>1.9955034655944141E-5</c:v>
                </c:pt>
                <c:pt idx="1938">
                  <c:v>-4.9076089603009186E-3</c:v>
                </c:pt>
                <c:pt idx="1939">
                  <c:v>-9.6927563433914354E-5</c:v>
                </c:pt>
                <c:pt idx="1940">
                  <c:v>-8.4520120896715845E-3</c:v>
                </c:pt>
                <c:pt idx="1941">
                  <c:v>6.1396789000371316E-3</c:v>
                </c:pt>
                <c:pt idx="1942">
                  <c:v>-2.4318711052058748E-3</c:v>
                </c:pt>
                <c:pt idx="1943">
                  <c:v>-5.3305084118475841E-3</c:v>
                </c:pt>
                <c:pt idx="1944">
                  <c:v>5.0349266847075358E-3</c:v>
                </c:pt>
                <c:pt idx="1945">
                  <c:v>-1.2334130226057026E-2</c:v>
                </c:pt>
                <c:pt idx="1946">
                  <c:v>-1.806544138860686E-2</c:v>
                </c:pt>
                <c:pt idx="1947">
                  <c:v>7.9403822367327143E-3</c:v>
                </c:pt>
                <c:pt idx="1948">
                  <c:v>1.41167416692291E-2</c:v>
                </c:pt>
                <c:pt idx="1949">
                  <c:v>-4.4883622575893614E-3</c:v>
                </c:pt>
                <c:pt idx="1950">
                  <c:v>-1.5683166513284146E-2</c:v>
                </c:pt>
                <c:pt idx="1951">
                  <c:v>9.063350218850439E-3</c:v>
                </c:pt>
                <c:pt idx="1952">
                  <c:v>6.3952088460510412E-3</c:v>
                </c:pt>
                <c:pt idx="1953">
                  <c:v>1.0879533213144676E-2</c:v>
                </c:pt>
                <c:pt idx="1954">
                  <c:v>-1.3880421740668583E-3</c:v>
                </c:pt>
                <c:pt idx="1955">
                  <c:v>9.906435272235942E-3</c:v>
                </c:pt>
                <c:pt idx="1956">
                  <c:v>-2.0015477739079852E-3</c:v>
                </c:pt>
                <c:pt idx="1957">
                  <c:v>2.759018658342625E-3</c:v>
                </c:pt>
                <c:pt idx="1958">
                  <c:v>-3.927045645713622E-3</c:v>
                </c:pt>
                <c:pt idx="1959">
                  <c:v>6.8481074978751595E-3</c:v>
                </c:pt>
                <c:pt idx="1960">
                  <c:v>-3.5750557426104746E-3</c:v>
                </c:pt>
                <c:pt idx="1961">
                  <c:v>2.8430935856431803E-3</c:v>
                </c:pt>
                <c:pt idx="1962">
                  <c:v>1.9185981834693214E-3</c:v>
                </c:pt>
                <c:pt idx="1963">
                  <c:v>4.0644263323678705E-3</c:v>
                </c:pt>
                <c:pt idx="1964">
                  <c:v>5.5658617746479786E-3</c:v>
                </c:pt>
                <c:pt idx="1965">
                  <c:v>-8.3274228806782234E-4</c:v>
                </c:pt>
                <c:pt idx="1966">
                  <c:v>3.2480476180495634E-3</c:v>
                </c:pt>
                <c:pt idx="1967">
                  <c:v>-3.0274515138039699E-3</c:v>
                </c:pt>
                <c:pt idx="1968">
                  <c:v>9.615978507102713E-3</c:v>
                </c:pt>
                <c:pt idx="1969">
                  <c:v>3.6972108027207482E-3</c:v>
                </c:pt>
                <c:pt idx="1970">
                  <c:v>-1.1864344814073249E-3</c:v>
                </c:pt>
                <c:pt idx="1971">
                  <c:v>7.0227918482797182E-4</c:v>
                </c:pt>
                <c:pt idx="1972">
                  <c:v>2.7264069235454487E-3</c:v>
                </c:pt>
                <c:pt idx="1973">
                  <c:v>2.5573557297830268E-3</c:v>
                </c:pt>
                <c:pt idx="1974">
                  <c:v>-1.9643733187996349E-3</c:v>
                </c:pt>
                <c:pt idx="1975">
                  <c:v>1.5633980380800601E-3</c:v>
                </c:pt>
                <c:pt idx="1976">
                  <c:v>7.1129737167743444E-4</c:v>
                </c:pt>
                <c:pt idx="1977">
                  <c:v>8.3674308309544126E-4</c:v>
                </c:pt>
                <c:pt idx="1978">
                  <c:v>7.666003452600061E-3</c:v>
                </c:pt>
                <c:pt idx="1979">
                  <c:v>5.0300442070485511E-4</c:v>
                </c:pt>
                <c:pt idx="1980">
                  <c:v>-5.9273880698187292E-4</c:v>
                </c:pt>
                <c:pt idx="1981">
                  <c:v>-3.7632657632212341E-3</c:v>
                </c:pt>
                <c:pt idx="1982">
                  <c:v>-1.5840312391350534E-3</c:v>
                </c:pt>
                <c:pt idx="1983">
                  <c:v>2.172573969691297E-3</c:v>
                </c:pt>
                <c:pt idx="1984">
                  <c:v>7.4792987268079824E-3</c:v>
                </c:pt>
                <c:pt idx="1985">
                  <c:v>2.1931231456042352E-3</c:v>
                </c:pt>
                <c:pt idx="1986">
                  <c:v>4.1657790039729458E-3</c:v>
                </c:pt>
                <c:pt idx="1987">
                  <c:v>-4.0193171713462017E-3</c:v>
                </c:pt>
                <c:pt idx="1988">
                  <c:v>-8.6685275462029671E-3</c:v>
                </c:pt>
                <c:pt idx="1989">
                  <c:v>-6.6601718383736989E-3</c:v>
                </c:pt>
                <c:pt idx="1990">
                  <c:v>6.3036386858473471E-3</c:v>
                </c:pt>
                <c:pt idx="1991">
                  <c:v>1.4991519920369975E-3</c:v>
                </c:pt>
                <c:pt idx="1992">
                  <c:v>9.0942520403683308E-3</c:v>
                </c:pt>
                <c:pt idx="1993">
                  <c:v>-3.1678491662223223E-3</c:v>
                </c:pt>
                <c:pt idx="1994">
                  <c:v>-1.0975548602935618E-3</c:v>
                </c:pt>
                <c:pt idx="1995">
                  <c:v>2.9039810658439487E-3</c:v>
                </c:pt>
                <c:pt idx="1996">
                  <c:v>8.538608499854607E-3</c:v>
                </c:pt>
                <c:pt idx="1997">
                  <c:v>7.2585315391421147E-5</c:v>
                </c:pt>
                <c:pt idx="1998">
                  <c:v>7.1223916512376051E-3</c:v>
                </c:pt>
                <c:pt idx="1999">
                  <c:v>3.3521461097710362E-4</c:v>
                </c:pt>
                <c:pt idx="2000">
                  <c:v>-4.3235386016704703E-4</c:v>
                </c:pt>
                <c:pt idx="2001">
                  <c:v>4.4493085995832623E-3</c:v>
                </c:pt>
                <c:pt idx="2002">
                  <c:v>4.9326414590377477E-3</c:v>
                </c:pt>
                <c:pt idx="2003">
                  <c:v>8.6575659030548003E-4</c:v>
                </c:pt>
                <c:pt idx="2004">
                  <c:v>-1.9542791796535865E-4</c:v>
                </c:pt>
                <c:pt idx="2005">
                  <c:v>5.1150531820716109E-3</c:v>
                </c:pt>
                <c:pt idx="2006">
                  <c:v>3.3950984041702139E-5</c:v>
                </c:pt>
                <c:pt idx="2007">
                  <c:v>-5.7976021775765895E-3</c:v>
                </c:pt>
                <c:pt idx="2008">
                  <c:v>2.9416937024937355E-3</c:v>
                </c:pt>
                <c:pt idx="2009">
                  <c:v>8.3438744546931679E-3</c:v>
                </c:pt>
                <c:pt idx="2010">
                  <c:v>-7.0849095780836013E-3</c:v>
                </c:pt>
                <c:pt idx="2011">
                  <c:v>3.527166358322553E-3</c:v>
                </c:pt>
                <c:pt idx="2012">
                  <c:v>-2.807144942889736E-3</c:v>
                </c:pt>
                <c:pt idx="2013">
                  <c:v>4.8904373587368467E-3</c:v>
                </c:pt>
                <c:pt idx="2014">
                  <c:v>6.6332440375756734E-3</c:v>
                </c:pt>
                <c:pt idx="2015">
                  <c:v>-2.8593073050462519E-3</c:v>
                </c:pt>
                <c:pt idx="2016">
                  <c:v>6.9520595923161831E-3</c:v>
                </c:pt>
                <c:pt idx="2017">
                  <c:v>-1.5156867317727837E-3</c:v>
                </c:pt>
                <c:pt idx="2018">
                  <c:v>1.8684086233433153E-3</c:v>
                </c:pt>
                <c:pt idx="2019">
                  <c:v>8.33174163220134E-3</c:v>
                </c:pt>
                <c:pt idx="2020">
                  <c:v>3.8547057177216299E-3</c:v>
                </c:pt>
                <c:pt idx="2021">
                  <c:v>-2.6554769371424261E-3</c:v>
                </c:pt>
                <c:pt idx="2022">
                  <c:v>2.8904605969510904E-4</c:v>
                </c:pt>
                <c:pt idx="2023">
                  <c:v>1.1403144471457103E-3</c:v>
                </c:pt>
                <c:pt idx="2024">
                  <c:v>-9.0832687899366753E-3</c:v>
                </c:pt>
                <c:pt idx="2025">
                  <c:v>-1.5855725118383686E-2</c:v>
                </c:pt>
                <c:pt idx="2026">
                  <c:v>1.0003350352589398E-2</c:v>
                </c:pt>
                <c:pt idx="2027">
                  <c:v>-8.6722329104840649E-4</c:v>
                </c:pt>
                <c:pt idx="2028">
                  <c:v>3.1294538629889324E-3</c:v>
                </c:pt>
                <c:pt idx="2029">
                  <c:v>-1.7864476392643731E-2</c:v>
                </c:pt>
                <c:pt idx="2030">
                  <c:v>7.2284558629105433E-3</c:v>
                </c:pt>
                <c:pt idx="2031">
                  <c:v>1.4869265218066252E-2</c:v>
                </c:pt>
                <c:pt idx="2032">
                  <c:v>1.1187822882933645E-2</c:v>
                </c:pt>
                <c:pt idx="2033">
                  <c:v>3.3201287296620923E-3</c:v>
                </c:pt>
                <c:pt idx="2034">
                  <c:v>-5.4154705145391972E-3</c:v>
                </c:pt>
                <c:pt idx="2035">
                  <c:v>7.2996521623710205E-3</c:v>
                </c:pt>
                <c:pt idx="2036">
                  <c:v>1.6870749056512096E-3</c:v>
                </c:pt>
                <c:pt idx="2037">
                  <c:v>6.4418675537450355E-3</c:v>
                </c:pt>
                <c:pt idx="2038">
                  <c:v>-1.6317734419649113E-3</c:v>
                </c:pt>
                <c:pt idx="2039">
                  <c:v>1.8418447338326407E-3</c:v>
                </c:pt>
                <c:pt idx="2040">
                  <c:v>-2.9242515783095627E-3</c:v>
                </c:pt>
                <c:pt idx="2041">
                  <c:v>4.6947887144410351E-3</c:v>
                </c:pt>
                <c:pt idx="2042">
                  <c:v>-3.8228404778309472E-3</c:v>
                </c:pt>
                <c:pt idx="2043">
                  <c:v>-1.0573815022893411E-2</c:v>
                </c:pt>
                <c:pt idx="2044">
                  <c:v>-3.4088046120521465E-2</c:v>
                </c:pt>
                <c:pt idx="2045">
                  <c:v>-3.0747925188099268E-2</c:v>
                </c:pt>
                <c:pt idx="2046">
                  <c:v>-3.7856753407310142E-3</c:v>
                </c:pt>
                <c:pt idx="2047">
                  <c:v>-4.5168174100652832E-2</c:v>
                </c:pt>
                <c:pt idx="2048">
                  <c:v>-8.2724499142758506E-3</c:v>
                </c:pt>
                <c:pt idx="2049">
                  <c:v>4.5010865172777872E-2</c:v>
                </c:pt>
                <c:pt idx="2050">
                  <c:v>-2.8510530261905299E-2</c:v>
                </c:pt>
                <c:pt idx="2051">
                  <c:v>4.133635094064169E-2</c:v>
                </c:pt>
                <c:pt idx="2052">
                  <c:v>-3.4510725624696516E-2</c:v>
                </c:pt>
                <c:pt idx="2053">
                  <c:v>-1.7201002454620039E-2</c:v>
                </c:pt>
                <c:pt idx="2054">
                  <c:v>-7.9010394848266635E-2</c:v>
                </c:pt>
                <c:pt idx="2055">
                  <c:v>4.821508053580021E-2</c:v>
                </c:pt>
                <c:pt idx="2056">
                  <c:v>-5.0102856837410732E-2</c:v>
                </c:pt>
                <c:pt idx="2057">
                  <c:v>-9.9944851846007432E-2</c:v>
                </c:pt>
                <c:pt idx="2058">
                  <c:v>8.8808356440746597E-2</c:v>
                </c:pt>
                <c:pt idx="2059">
                  <c:v>-0.12765214115647325</c:v>
                </c:pt>
                <c:pt idx="2060">
                  <c:v>5.8226286690741702E-2</c:v>
                </c:pt>
                <c:pt idx="2061">
                  <c:v>-5.322233622142454E-2</c:v>
                </c:pt>
                <c:pt idx="2062">
                  <c:v>4.6968462774209588E-3</c:v>
                </c:pt>
                <c:pt idx="2063">
                  <c:v>-4.4327634743158498E-2</c:v>
                </c:pt>
                <c:pt idx="2064">
                  <c:v>-2.9731491257259945E-2</c:v>
                </c:pt>
                <c:pt idx="2065">
                  <c:v>8.9683156948216491E-2</c:v>
                </c:pt>
                <c:pt idx="2066">
                  <c:v>1.1468998674479099E-2</c:v>
                </c:pt>
                <c:pt idx="2067">
                  <c:v>6.0543828751667757E-2</c:v>
                </c:pt>
                <c:pt idx="2068">
                  <c:v>-3.4267808022629478E-2</c:v>
                </c:pt>
                <c:pt idx="2069">
                  <c:v>3.2966616221455518E-2</c:v>
                </c:pt>
                <c:pt idx="2070">
                  <c:v>-1.6142381973062482E-2</c:v>
                </c:pt>
                <c:pt idx="2071">
                  <c:v>-4.5146328727152268E-2</c:v>
                </c:pt>
                <c:pt idx="2072">
                  <c:v>2.2572695703622976E-2</c:v>
                </c:pt>
                <c:pt idx="2073">
                  <c:v>-1.5252860231953606E-2</c:v>
                </c:pt>
                <c:pt idx="2074">
                  <c:v>6.7968230567686042E-2</c:v>
                </c:pt>
                <c:pt idx="2075">
                  <c:v>-1.6043316629523077E-3</c:v>
                </c:pt>
                <c:pt idx="2076">
                  <c:v>3.3489345244689953E-2</c:v>
                </c:pt>
                <c:pt idx="2077">
                  <c:v>1.438343869822631E-2</c:v>
                </c:pt>
                <c:pt idx="2078">
                  <c:v>-1.0155992507349275E-2</c:v>
                </c:pt>
                <c:pt idx="2079">
                  <c:v>3.01144965504564E-2</c:v>
                </c:pt>
                <c:pt idx="2080">
                  <c:v>-2.2276750679012372E-2</c:v>
                </c:pt>
                <c:pt idx="2081">
                  <c:v>5.7998589924373595E-3</c:v>
                </c:pt>
                <c:pt idx="2082">
                  <c:v>2.6440929079185473E-2</c:v>
                </c:pt>
                <c:pt idx="2083">
                  <c:v>-1.8042794099790368E-2</c:v>
                </c:pt>
                <c:pt idx="2084">
                  <c:v>-3.1155167779795462E-2</c:v>
                </c:pt>
                <c:pt idx="2085">
                  <c:v>2.2671301062101197E-2</c:v>
                </c:pt>
                <c:pt idx="2086">
                  <c:v>-5.395641810268519E-4</c:v>
                </c:pt>
                <c:pt idx="2087">
                  <c:v>1.3822111461719605E-2</c:v>
                </c:pt>
                <c:pt idx="2088">
                  <c:v>1.4606871524449172E-2</c:v>
                </c:pt>
                <c:pt idx="2089">
                  <c:v>-5.2561394601198371E-3</c:v>
                </c:pt>
                <c:pt idx="2090">
                  <c:v>2.6236663207249239E-2</c:v>
                </c:pt>
                <c:pt idx="2091">
                  <c:v>-9.2551165252656598E-3</c:v>
                </c:pt>
                <c:pt idx="2092">
                  <c:v>-2.8460220686828817E-2</c:v>
                </c:pt>
                <c:pt idx="2093">
                  <c:v>4.2408122145938705E-3</c:v>
                </c:pt>
                <c:pt idx="2094">
                  <c:v>8.9999521895380505E-3</c:v>
                </c:pt>
                <c:pt idx="2095">
                  <c:v>-7.0038733986003436E-3</c:v>
                </c:pt>
                <c:pt idx="2096">
                  <c:v>1.1438948664053582E-2</c:v>
                </c:pt>
                <c:pt idx="2097">
                  <c:v>1.6730758062550522E-2</c:v>
                </c:pt>
                <c:pt idx="2098">
                  <c:v>1.3310602938770966E-4</c:v>
                </c:pt>
                <c:pt idx="2099">
                  <c:v>-2.0713426598791537E-2</c:v>
                </c:pt>
                <c:pt idx="2100">
                  <c:v>-1.7616955794106534E-2</c:v>
                </c:pt>
                <c:pt idx="2101">
                  <c:v>1.1458917804071491E-2</c:v>
                </c:pt>
                <c:pt idx="2102">
                  <c:v>3.9186922544353266E-3</c:v>
                </c:pt>
                <c:pt idx="2103">
                  <c:v>3.1015221473356874E-2</c:v>
                </c:pt>
                <c:pt idx="2104">
                  <c:v>-1.0539757419425795E-2</c:v>
                </c:pt>
                <c:pt idx="2105">
                  <c:v>1.6513934417861521E-2</c:v>
                </c:pt>
                <c:pt idx="2106">
                  <c:v>-7.803935472623133E-3</c:v>
                </c:pt>
                <c:pt idx="2107">
                  <c:v>2.3509655202508628E-3</c:v>
                </c:pt>
                <c:pt idx="2108">
                  <c:v>1.2214261971750162E-2</c:v>
                </c:pt>
                <c:pt idx="2109">
                  <c:v>1.4718492616296689E-2</c:v>
                </c:pt>
                <c:pt idx="2110">
                  <c:v>-2.1101714760443074E-3</c:v>
                </c:pt>
                <c:pt idx="2111">
                  <c:v>4.8007678588045241E-3</c:v>
                </c:pt>
                <c:pt idx="2112">
                  <c:v>3.744242117017055E-3</c:v>
                </c:pt>
                <c:pt idx="2113">
                  <c:v>8.177278702023465E-3</c:v>
                </c:pt>
                <c:pt idx="2114">
                  <c:v>1.3556655475681826E-2</c:v>
                </c:pt>
                <c:pt idx="2115">
                  <c:v>-3.3743829350457951E-3</c:v>
                </c:pt>
                <c:pt idx="2116">
                  <c:v>2.5874065601552972E-2</c:v>
                </c:pt>
                <c:pt idx="2117">
                  <c:v>1.1969668235859062E-2</c:v>
                </c:pt>
                <c:pt idx="2118">
                  <c:v>-7.8297553381980623E-3</c:v>
                </c:pt>
                <c:pt idx="2119">
                  <c:v>-5.3272433765708446E-3</c:v>
                </c:pt>
                <c:pt idx="2120">
                  <c:v>-6.0752759198692892E-2</c:v>
                </c:pt>
                <c:pt idx="2121">
                  <c:v>1.2976299868566436E-2</c:v>
                </c:pt>
                <c:pt idx="2122">
                  <c:v>8.277851423430304E-3</c:v>
                </c:pt>
                <c:pt idx="2123">
                  <c:v>1.878488465267299E-2</c:v>
                </c:pt>
                <c:pt idx="2124">
                  <c:v>-3.6067962213368692E-3</c:v>
                </c:pt>
                <c:pt idx="2125">
                  <c:v>5.9401205504019245E-4</c:v>
                </c:pt>
                <c:pt idx="2126">
                  <c:v>-5.6654822009647747E-3</c:v>
                </c:pt>
                <c:pt idx="2127">
                  <c:v>6.4740556904391263E-3</c:v>
                </c:pt>
                <c:pt idx="2128">
                  <c:v>4.2981911703125365E-3</c:v>
                </c:pt>
                <c:pt idx="2129">
                  <c:v>-2.6195278732754491E-2</c:v>
                </c:pt>
                <c:pt idx="2130">
                  <c:v>1.0899850173409288E-2</c:v>
                </c:pt>
                <c:pt idx="2131">
                  <c:v>-2.4525217335129464E-2</c:v>
                </c:pt>
                <c:pt idx="2132">
                  <c:v>1.4578907539069857E-2</c:v>
                </c:pt>
                <c:pt idx="2133">
                  <c:v>1.529233363768146E-2</c:v>
                </c:pt>
                <c:pt idx="2134">
                  <c:v>5.0095420996641308E-3</c:v>
                </c:pt>
                <c:pt idx="2135">
                  <c:v>4.5310018326532803E-3</c:v>
                </c:pt>
                <c:pt idx="2136">
                  <c:v>1.5756943165826313E-2</c:v>
                </c:pt>
                <c:pt idx="2137">
                  <c:v>-1.0877508816987262E-2</c:v>
                </c:pt>
                <c:pt idx="2138">
                  <c:v>7.7970264812917862E-3</c:v>
                </c:pt>
                <c:pt idx="2139">
                  <c:v>-5.6596254512879147E-3</c:v>
                </c:pt>
                <c:pt idx="2140">
                  <c:v>1.0411813000986475E-2</c:v>
                </c:pt>
                <c:pt idx="2141">
                  <c:v>-9.4066236664834702E-3</c:v>
                </c:pt>
                <c:pt idx="2142">
                  <c:v>1.3317285189446137E-2</c:v>
                </c:pt>
                <c:pt idx="2143">
                  <c:v>9.0410448847842075E-3</c:v>
                </c:pt>
                <c:pt idx="2144">
                  <c:v>-3.4119183131618158E-3</c:v>
                </c:pt>
                <c:pt idx="2145">
                  <c:v>2.8445899031588197E-3</c:v>
                </c:pt>
                <c:pt idx="2146">
                  <c:v>8.3717641704647815E-3</c:v>
                </c:pt>
                <c:pt idx="2147">
                  <c:v>1.6776413721593887E-3</c:v>
                </c:pt>
                <c:pt idx="2148">
                  <c:v>5.7306396229577271E-3</c:v>
                </c:pt>
                <c:pt idx="2149">
                  <c:v>-1.2396345287241563E-2</c:v>
                </c:pt>
                <c:pt idx="2150">
                  <c:v>-6.2096307443050324E-3</c:v>
                </c:pt>
                <c:pt idx="2151">
                  <c:v>7.3679195100667611E-3</c:v>
                </c:pt>
                <c:pt idx="2152">
                  <c:v>-6.4944443446863422E-3</c:v>
                </c:pt>
                <c:pt idx="2153">
                  <c:v>1.2351783128253628E-2</c:v>
                </c:pt>
                <c:pt idx="2154">
                  <c:v>-3.7573107206831397E-3</c:v>
                </c:pt>
                <c:pt idx="2155">
                  <c:v>7.6411913923716676E-3</c:v>
                </c:pt>
                <c:pt idx="2156">
                  <c:v>7.1553658839056062E-3</c:v>
                </c:pt>
                <c:pt idx="2157">
                  <c:v>3.6054526780178501E-3</c:v>
                </c:pt>
                <c:pt idx="2158">
                  <c:v>6.4091575198012216E-3</c:v>
                </c:pt>
                <c:pt idx="2159">
                  <c:v>6.4071581324233757E-3</c:v>
                </c:pt>
                <c:pt idx="2160">
                  <c:v>6.3279428537303944E-4</c:v>
                </c:pt>
                <c:pt idx="2161">
                  <c:v>2.7384827334759297E-3</c:v>
                </c:pt>
                <c:pt idx="2162">
                  <c:v>-8.0010465432212886E-3</c:v>
                </c:pt>
                <c:pt idx="2163">
                  <c:v>1.3899455827979215E-2</c:v>
                </c:pt>
                <c:pt idx="2164">
                  <c:v>-2.0492235227105187E-3</c:v>
                </c:pt>
                <c:pt idx="2165">
                  <c:v>-1.7194661396471121E-4</c:v>
                </c:pt>
                <c:pt idx="2166">
                  <c:v>2.7062093485908582E-3</c:v>
                </c:pt>
                <c:pt idx="2167">
                  <c:v>2.3007288895721292E-3</c:v>
                </c:pt>
                <c:pt idx="2168">
                  <c:v>-4.4141436389460408E-3</c:v>
                </c:pt>
                <c:pt idx="2169">
                  <c:v>3.1536808202811935E-3</c:v>
                </c:pt>
                <c:pt idx="2170">
                  <c:v>3.4352287393030465E-3</c:v>
                </c:pt>
                <c:pt idx="2171">
                  <c:v>9.9935809549321058E-3</c:v>
                </c:pt>
                <c:pt idx="2172">
                  <c:v>3.58987425339455E-3</c:v>
                </c:pt>
                <c:pt idx="2173">
                  <c:v>1.0144040989640822E-2</c:v>
                </c:pt>
                <c:pt idx="2174">
                  <c:v>1.6716264045830256E-3</c:v>
                </c:pt>
                <c:pt idx="2175">
                  <c:v>6.7100140785116896E-3</c:v>
                </c:pt>
                <c:pt idx="2176">
                  <c:v>-2.1973891312895358E-3</c:v>
                </c:pt>
                <c:pt idx="2177">
                  <c:v>7.496875851234013E-3</c:v>
                </c:pt>
                <c:pt idx="2178">
                  <c:v>1.5248997908235747E-2</c:v>
                </c:pt>
                <c:pt idx="2179">
                  <c:v>-3.5757586556313434E-2</c:v>
                </c:pt>
                <c:pt idx="2180">
                  <c:v>-8.1662523968659001E-3</c:v>
                </c:pt>
                <c:pt idx="2181">
                  <c:v>-2.8148866864058281E-2</c:v>
                </c:pt>
                <c:pt idx="2182">
                  <c:v>1.9944798533671326E-2</c:v>
                </c:pt>
                <c:pt idx="2183">
                  <c:v>-1.774123987058698E-2</c:v>
                </c:pt>
                <c:pt idx="2184">
                  <c:v>5.32921379765575E-4</c:v>
                </c:pt>
                <c:pt idx="2185">
                  <c:v>1.2661314711189059E-2</c:v>
                </c:pt>
                <c:pt idx="2186">
                  <c:v>5.2058118315071811E-3</c:v>
                </c:pt>
                <c:pt idx="2187">
                  <c:v>-4.6296583637453039E-3</c:v>
                </c:pt>
                <c:pt idx="2188">
                  <c:v>-8.4479553221299946E-3</c:v>
                </c:pt>
                <c:pt idx="2189">
                  <c:v>-1.1245565213035068E-2</c:v>
                </c:pt>
                <c:pt idx="2190">
                  <c:v>-1.1638590711243436E-2</c:v>
                </c:pt>
                <c:pt idx="2191">
                  <c:v>1.0463013638868866E-2</c:v>
                </c:pt>
                <c:pt idx="2192">
                  <c:v>-2.4007294161091854E-2</c:v>
                </c:pt>
                <c:pt idx="2193">
                  <c:v>2.9829543473573147E-3</c:v>
                </c:pt>
                <c:pt idx="2194">
                  <c:v>1.5850478138509476E-2</c:v>
                </c:pt>
                <c:pt idx="2195">
                  <c:v>1.5982150874003724E-2</c:v>
                </c:pt>
                <c:pt idx="2196">
                  <c:v>-4.8242447838090239E-3</c:v>
                </c:pt>
                <c:pt idx="2197">
                  <c:v>8.2198337849473339E-3</c:v>
                </c:pt>
                <c:pt idx="2198">
                  <c:v>5.2789351215227383E-3</c:v>
                </c:pt>
                <c:pt idx="2199">
                  <c:v>-9.6237750916984329E-3</c:v>
                </c:pt>
                <c:pt idx="2200">
                  <c:v>1.7813057021042421E-2</c:v>
                </c:pt>
                <c:pt idx="2201">
                  <c:v>-1.4072027020773103E-2</c:v>
                </c:pt>
                <c:pt idx="2202">
                  <c:v>1.7247172188931348E-2</c:v>
                </c:pt>
                <c:pt idx="2203">
                  <c:v>7.9781730936344594E-3</c:v>
                </c:pt>
                <c:pt idx="2204">
                  <c:v>8.7551487402514096E-3</c:v>
                </c:pt>
                <c:pt idx="2205">
                  <c:v>1.6282507554067349E-2</c:v>
                </c:pt>
                <c:pt idx="2206">
                  <c:v>-6.3268804537488111E-3</c:v>
                </c:pt>
                <c:pt idx="2207">
                  <c:v>-6.6451691550408936E-3</c:v>
                </c:pt>
                <c:pt idx="2208">
                  <c:v>-1.5289711398439405E-3</c:v>
                </c:pt>
                <c:pt idx="2209">
                  <c:v>1.3491886946954788E-4</c:v>
                </c:pt>
                <c:pt idx="2210">
                  <c:v>-1.6464623898632638E-2</c:v>
                </c:pt>
                <c:pt idx="2211">
                  <c:v>4.7161384872977134E-3</c:v>
                </c:pt>
                <c:pt idx="2212">
                  <c:v>-2.1980970313859494E-3</c:v>
                </c:pt>
                <c:pt idx="2213">
                  <c:v>5.2053738863262616E-3</c:v>
                </c:pt>
                <c:pt idx="2214">
                  <c:v>3.4398664911297477E-3</c:v>
                </c:pt>
                <c:pt idx="2215">
                  <c:v>-1.8764495369547173E-2</c:v>
                </c:pt>
                <c:pt idx="2216">
                  <c:v>-3.0301938037524704E-3</c:v>
                </c:pt>
                <c:pt idx="2217">
                  <c:v>-3.5925571226008889E-2</c:v>
                </c:pt>
                <c:pt idx="2218">
                  <c:v>1.18765014438055E-2</c:v>
                </c:pt>
                <c:pt idx="2219">
                  <c:v>-1.2203669046735501E-2</c:v>
                </c:pt>
                <c:pt idx="2220">
                  <c:v>1.2242941894852779E-2</c:v>
                </c:pt>
                <c:pt idx="2221">
                  <c:v>1.7642760820758659E-2</c:v>
                </c:pt>
                <c:pt idx="2222">
                  <c:v>2.1807516584335981E-2</c:v>
                </c:pt>
                <c:pt idx="2223">
                  <c:v>1.9273262670013912E-2</c:v>
                </c:pt>
                <c:pt idx="2224">
                  <c:v>-2.8775379869741254E-4</c:v>
                </c:pt>
                <c:pt idx="2225">
                  <c:v>1.1631958050304203E-2</c:v>
                </c:pt>
                <c:pt idx="2226">
                  <c:v>-1.4007834839128777E-3</c:v>
                </c:pt>
                <c:pt idx="2227">
                  <c:v>7.622761226929676E-3</c:v>
                </c:pt>
                <c:pt idx="2228">
                  <c:v>-1.0028678908945363E-2</c:v>
                </c:pt>
                <c:pt idx="2229">
                  <c:v>1.3518576706374859E-2</c:v>
                </c:pt>
                <c:pt idx="2230">
                  <c:v>1.1580731916656505E-2</c:v>
                </c:pt>
                <c:pt idx="2231">
                  <c:v>-4.8034761341036901E-3</c:v>
                </c:pt>
                <c:pt idx="2232">
                  <c:v>-1.1631213479601318E-2</c:v>
                </c:pt>
                <c:pt idx="2233">
                  <c:v>3.9386539225387159E-3</c:v>
                </c:pt>
                <c:pt idx="2234">
                  <c:v>-6.8157156362698918E-3</c:v>
                </c:pt>
                <c:pt idx="2235">
                  <c:v>5.6200945950578216E-3</c:v>
                </c:pt>
                <c:pt idx="2236">
                  <c:v>1.6032507557285768E-2</c:v>
                </c:pt>
                <c:pt idx="2237">
                  <c:v>-1.5856720266289198E-3</c:v>
                </c:pt>
                <c:pt idx="2238">
                  <c:v>2.3940572799516376E-3</c:v>
                </c:pt>
                <c:pt idx="2239">
                  <c:v>-4.6060814384970977E-3</c:v>
                </c:pt>
                <c:pt idx="2240">
                  <c:v>1.1208121636017976E-2</c:v>
                </c:pt>
                <c:pt idx="2241">
                  <c:v>1.7895485348597621E-3</c:v>
                </c:pt>
                <c:pt idx="2242">
                  <c:v>-6.2434142870242462E-4</c:v>
                </c:pt>
                <c:pt idx="2243">
                  <c:v>8.7974240454147031E-3</c:v>
                </c:pt>
                <c:pt idx="2244">
                  <c:v>-1.9374711787083175E-3</c:v>
                </c:pt>
                <c:pt idx="2245">
                  <c:v>2.7832605897471193E-3</c:v>
                </c:pt>
                <c:pt idx="2246">
                  <c:v>-7.9809835607026966E-3</c:v>
                </c:pt>
                <c:pt idx="2247">
                  <c:v>-1.2859425386560199E-3</c:v>
                </c:pt>
                <c:pt idx="2248">
                  <c:v>-1.2657607983834493E-3</c:v>
                </c:pt>
                <c:pt idx="2249">
                  <c:v>-4.3687962305264194E-3</c:v>
                </c:pt>
                <c:pt idx="2250">
                  <c:v>1.2838447626446777E-2</c:v>
                </c:pt>
                <c:pt idx="2251">
                  <c:v>1.7712784469306416E-3</c:v>
                </c:pt>
                <c:pt idx="2252">
                  <c:v>5.7411269476310561E-3</c:v>
                </c:pt>
                <c:pt idx="2253">
                  <c:v>-3.5172785050231921E-3</c:v>
                </c:pt>
                <c:pt idx="2254">
                  <c:v>-3.913931036978114E-3</c:v>
                </c:pt>
                <c:pt idx="2255">
                  <c:v>-2.0752684841428568E-3</c:v>
                </c:pt>
                <c:pt idx="2256">
                  <c:v>7.4553327379252537E-4</c:v>
                </c:pt>
                <c:pt idx="2257">
                  <c:v>3.5303368029281483E-3</c:v>
                </c:pt>
                <c:pt idx="2258">
                  <c:v>8.6846946033693542E-3</c:v>
                </c:pt>
                <c:pt idx="2259">
                  <c:v>-2.2298465500115035E-3</c:v>
                </c:pt>
                <c:pt idx="2260">
                  <c:v>1.3406481091209083E-3</c:v>
                </c:pt>
                <c:pt idx="2261">
                  <c:v>6.4181969787920831E-3</c:v>
                </c:pt>
                <c:pt idx="2262">
                  <c:v>-1.4864718123372964E-2</c:v>
                </c:pt>
                <c:pt idx="2263">
                  <c:v>7.0575761707220575E-3</c:v>
                </c:pt>
                <c:pt idx="2264">
                  <c:v>5.6936608662176199E-3</c:v>
                </c:pt>
                <c:pt idx="2265">
                  <c:v>1.4738221178340893E-2</c:v>
                </c:pt>
                <c:pt idx="2266">
                  <c:v>5.4768655361056894E-3</c:v>
                </c:pt>
                <c:pt idx="2267">
                  <c:v>-6.5763737616643747E-3</c:v>
                </c:pt>
                <c:pt idx="2268">
                  <c:v>4.1574571696605784E-4</c:v>
                </c:pt>
                <c:pt idx="2269">
                  <c:v>2.2730179027713113E-3</c:v>
                </c:pt>
                <c:pt idx="2270">
                  <c:v>-3.7605002910535887E-3</c:v>
                </c:pt>
                <c:pt idx="2271">
                  <c:v>-7.2159905065941393E-3</c:v>
                </c:pt>
                <c:pt idx="2272">
                  <c:v>8.1034807715100084E-3</c:v>
                </c:pt>
                <c:pt idx="2273">
                  <c:v>1.3839368887685784E-2</c:v>
                </c:pt>
                <c:pt idx="2274">
                  <c:v>3.1668077285579088E-4</c:v>
                </c:pt>
                <c:pt idx="2275">
                  <c:v>-3.0151272949282431E-3</c:v>
                </c:pt>
                <c:pt idx="2276">
                  <c:v>3.609282023548102E-3</c:v>
                </c:pt>
                <c:pt idx="2277">
                  <c:v>-1.4899457394751568E-3</c:v>
                </c:pt>
                <c:pt idx="2278">
                  <c:v>-2.601328989204868E-2</c:v>
                </c:pt>
                <c:pt idx="2279">
                  <c:v>9.7133349275994544E-3</c:v>
                </c:pt>
                <c:pt idx="2280">
                  <c:v>-1.9500405967127862E-2</c:v>
                </c:pt>
                <c:pt idx="2281">
                  <c:v>1.5924269140718334E-2</c:v>
                </c:pt>
                <c:pt idx="2282">
                  <c:v>1.3802541965649213E-2</c:v>
                </c:pt>
                <c:pt idx="2283">
                  <c:v>1.0082963259948519E-3</c:v>
                </c:pt>
                <c:pt idx="2284">
                  <c:v>1.0794829768938023E-2</c:v>
                </c:pt>
                <c:pt idx="2285">
                  <c:v>3.8898969855535024E-3</c:v>
                </c:pt>
                <c:pt idx="2286">
                  <c:v>7.3721051298863676E-3</c:v>
                </c:pt>
                <c:pt idx="2287">
                  <c:v>-1.1141179817578345E-3</c:v>
                </c:pt>
                <c:pt idx="2288">
                  <c:v>-3.4521954387729651E-4</c:v>
                </c:pt>
                <c:pt idx="2289">
                  <c:v>1.6610747648429303E-3</c:v>
                </c:pt>
                <c:pt idx="2290">
                  <c:v>4.6999211490260486E-3</c:v>
                </c:pt>
                <c:pt idx="2291">
                  <c:v>-5.6943700997991403E-4</c:v>
                </c:pt>
                <c:pt idx="2292">
                  <c:v>-3.2045087202880161E-4</c:v>
                </c:pt>
                <c:pt idx="2293">
                  <c:v>-4.4255868696270202E-3</c:v>
                </c:pt>
                <c:pt idx="2294">
                  <c:v>-1.8566165820490526E-3</c:v>
                </c:pt>
                <c:pt idx="2295">
                  <c:v>-7.7629028925333757E-3</c:v>
                </c:pt>
                <c:pt idx="2296">
                  <c:v>1.2554994192235645E-3</c:v>
                </c:pt>
                <c:pt idx="2297">
                  <c:v>1.1287715277782164E-2</c:v>
                </c:pt>
                <c:pt idx="2298">
                  <c:v>-2.4783434790564104E-2</c:v>
                </c:pt>
                <c:pt idx="2299">
                  <c:v>-4.7614837180722748E-3</c:v>
                </c:pt>
                <c:pt idx="2300">
                  <c:v>2.3512130081996933E-2</c:v>
                </c:pt>
                <c:pt idx="2301">
                  <c:v>-8.113671312552936E-3</c:v>
                </c:pt>
                <c:pt idx="2302">
                  <c:v>-1.3152318131987126E-2</c:v>
                </c:pt>
                <c:pt idx="2303">
                  <c:v>-1.3508037960082262E-2</c:v>
                </c:pt>
                <c:pt idx="2304">
                  <c:v>1.9308363815583877E-2</c:v>
                </c:pt>
                <c:pt idx="2305">
                  <c:v>-5.3736840305412389E-3</c:v>
                </c:pt>
                <c:pt idx="2306">
                  <c:v>1.4055441418613446E-2</c:v>
                </c:pt>
                <c:pt idx="2307">
                  <c:v>6.0121736231132121E-3</c:v>
                </c:pt>
                <c:pt idx="2308">
                  <c:v>1.0341818218279307E-2</c:v>
                </c:pt>
                <c:pt idx="2309">
                  <c:v>1.0148833501624158E-3</c:v>
                </c:pt>
                <c:pt idx="2310">
                  <c:v>6.4709765908568051E-3</c:v>
                </c:pt>
                <c:pt idx="2311">
                  <c:v>-1.5709218841469892E-3</c:v>
                </c:pt>
                <c:pt idx="2312">
                  <c:v>2.8752053049775832E-3</c:v>
                </c:pt>
                <c:pt idx="2313">
                  <c:v>-1.4870520601810135E-2</c:v>
                </c:pt>
                <c:pt idx="2314">
                  <c:v>-6.0292060646939332E-4</c:v>
                </c:pt>
                <c:pt idx="2315">
                  <c:v>7.0005595506540804E-3</c:v>
                </c:pt>
                <c:pt idx="2316">
                  <c:v>-7.6601008099493138E-3</c:v>
                </c:pt>
                <c:pt idx="2317">
                  <c:v>-5.4823039848238466E-3</c:v>
                </c:pt>
                <c:pt idx="2318">
                  <c:v>5.2265508159267142E-3</c:v>
                </c:pt>
                <c:pt idx="2319">
                  <c:v>1.6494413826353246E-2</c:v>
                </c:pt>
                <c:pt idx="2320">
                  <c:v>-8.6840193082478952E-4</c:v>
                </c:pt>
                <c:pt idx="2321">
                  <c:v>-3.1628196118815713E-3</c:v>
                </c:pt>
                <c:pt idx="2322">
                  <c:v>3.6159929659948988E-3</c:v>
                </c:pt>
                <c:pt idx="2323">
                  <c:v>1.1755774236888511E-2</c:v>
                </c:pt>
                <c:pt idx="2324">
                  <c:v>1.4335038467166317E-2</c:v>
                </c:pt>
                <c:pt idx="2325">
                  <c:v>-9.7401211108184122E-4</c:v>
                </c:pt>
                <c:pt idx="2326">
                  <c:v>1.4741432833555816E-3</c:v>
                </c:pt>
                <c:pt idx="2327">
                  <c:v>4.2117580408072355E-3</c:v>
                </c:pt>
                <c:pt idx="2328">
                  <c:v>7.6903163725556868E-3</c:v>
                </c:pt>
                <c:pt idx="2329">
                  <c:v>-1.9620215667317165E-4</c:v>
                </c:pt>
                <c:pt idx="2330">
                  <c:v>3.289166381145364E-3</c:v>
                </c:pt>
                <c:pt idx="2331">
                  <c:v>-4.0961799296970009E-3</c:v>
                </c:pt>
                <c:pt idx="2332">
                  <c:v>1.1033158016154329E-2</c:v>
                </c:pt>
                <c:pt idx="2333">
                  <c:v>3.6022533265398387E-3</c:v>
                </c:pt>
                <c:pt idx="2334">
                  <c:v>-5.3205822668759327E-3</c:v>
                </c:pt>
                <c:pt idx="2335">
                  <c:v>-6.8256031307080047E-3</c:v>
                </c:pt>
                <c:pt idx="2336">
                  <c:v>9.2630254691135495E-3</c:v>
                </c:pt>
                <c:pt idx="2337">
                  <c:v>-9.2533518567931589E-3</c:v>
                </c:pt>
                <c:pt idx="2338">
                  <c:v>1.0869423861541933E-2</c:v>
                </c:pt>
                <c:pt idx="2339">
                  <c:v>1.7806378908788009E-3</c:v>
                </c:pt>
                <c:pt idx="2340">
                  <c:v>-2.1494231269923608E-4</c:v>
                </c:pt>
                <c:pt idx="2341">
                  <c:v>-8.4588829283031668E-4</c:v>
                </c:pt>
                <c:pt idx="2342">
                  <c:v>6.7400325437081072E-3</c:v>
                </c:pt>
                <c:pt idx="2343">
                  <c:v>-7.2206437182024286E-3</c:v>
                </c:pt>
                <c:pt idx="2344">
                  <c:v>2.7442656970409606E-3</c:v>
                </c:pt>
                <c:pt idx="2345">
                  <c:v>-6.7007377404054557E-3</c:v>
                </c:pt>
                <c:pt idx="2346">
                  <c:v>7.0329145687402232E-4</c:v>
                </c:pt>
                <c:pt idx="2347">
                  <c:v>8.1322341159119176E-3</c:v>
                </c:pt>
                <c:pt idx="2348">
                  <c:v>7.3462962378118236E-3</c:v>
                </c:pt>
                <c:pt idx="2349">
                  <c:v>-1.0490499399026396E-2</c:v>
                </c:pt>
                <c:pt idx="2350">
                  <c:v>-8.711731693215893E-3</c:v>
                </c:pt>
                <c:pt idx="2351">
                  <c:v>-2.1682768452684537E-2</c:v>
                </c:pt>
                <c:pt idx="2352">
                  <c:v>1.2099654192200689E-2</c:v>
                </c:pt>
                <c:pt idx="2353">
                  <c:v>1.480775516646066E-2</c:v>
                </c:pt>
                <c:pt idx="2354">
                  <c:v>-2.5332441694025701E-3</c:v>
                </c:pt>
                <c:pt idx="2355">
                  <c:v>-8.5537819278382349E-3</c:v>
                </c:pt>
                <c:pt idx="2356">
                  <c:v>-2.9477755951036366E-3</c:v>
                </c:pt>
                <c:pt idx="2357">
                  <c:v>1.0499443868610717E-2</c:v>
                </c:pt>
                <c:pt idx="2358">
                  <c:v>-7.8412700139645676E-4</c:v>
                </c:pt>
                <c:pt idx="2359">
                  <c:v>9.8625111190549994E-3</c:v>
                </c:pt>
                <c:pt idx="2360">
                  <c:v>-2.1275639556263349E-3</c:v>
                </c:pt>
                <c:pt idx="2361">
                  <c:v>1.8749737128450623E-3</c:v>
                </c:pt>
                <c:pt idx="2362">
                  <c:v>1.1647198427041133E-3</c:v>
                </c:pt>
                <c:pt idx="2363">
                  <c:v>7.6859107720652112E-4</c:v>
                </c:pt>
                <c:pt idx="2364">
                  <c:v>-4.9249657496948439E-4</c:v>
                </c:pt>
                <c:pt idx="2365">
                  <c:v>1.4458704850342234E-3</c:v>
                </c:pt>
                <c:pt idx="2366">
                  <c:v>-3.6352984992414229E-3</c:v>
                </c:pt>
                <c:pt idx="2367">
                  <c:v>8.7952943520972007E-3</c:v>
                </c:pt>
                <c:pt idx="2368">
                  <c:v>-7.9702856848250638E-4</c:v>
                </c:pt>
                <c:pt idx="2369">
                  <c:v>1.7506961427659565E-4</c:v>
                </c:pt>
                <c:pt idx="2370">
                  <c:v>-1.8255417468125729E-3</c:v>
                </c:pt>
                <c:pt idx="2371">
                  <c:v>4.641367023082649E-3</c:v>
                </c:pt>
                <c:pt idx="2372">
                  <c:v>1.9465941937430961E-3</c:v>
                </c:pt>
                <c:pt idx="2373">
                  <c:v>1.8135655401930488E-3</c:v>
                </c:pt>
                <c:pt idx="2374">
                  <c:v>-2.0137061101785226E-3</c:v>
                </c:pt>
                <c:pt idx="2375">
                  <c:v>-5.404786783292966E-3</c:v>
                </c:pt>
                <c:pt idx="2376">
                  <c:v>-4.3573191809956221E-4</c:v>
                </c:pt>
                <c:pt idx="2377">
                  <c:v>-1.3211434948255869E-2</c:v>
                </c:pt>
                <c:pt idx="2378">
                  <c:v>1.3905201143734752E-2</c:v>
                </c:pt>
                <c:pt idx="2379">
                  <c:v>5.1114294233350907E-3</c:v>
                </c:pt>
                <c:pt idx="2380">
                  <c:v>-1.0838474815418405E-3</c:v>
                </c:pt>
                <c:pt idx="2381">
                  <c:v>5.7943377765723673E-3</c:v>
                </c:pt>
                <c:pt idx="2382">
                  <c:v>3.3250724723028176E-3</c:v>
                </c:pt>
                <c:pt idx="2383">
                  <c:v>2.3123663514123699E-3</c:v>
                </c:pt>
                <c:pt idx="2384">
                  <c:v>2.7731138634168957E-4</c:v>
                </c:pt>
                <c:pt idx="2385">
                  <c:v>1.3272329146112091E-3</c:v>
                </c:pt>
                <c:pt idx="2386">
                  <c:v>5.2080549958111134E-3</c:v>
                </c:pt>
                <c:pt idx="2387">
                  <c:v>7.4721182313641664E-3</c:v>
                </c:pt>
                <c:pt idx="2388">
                  <c:v>-2.0239476634912454E-3</c:v>
                </c:pt>
                <c:pt idx="2389">
                  <c:v>3.3533824363036076E-3</c:v>
                </c:pt>
                <c:pt idx="2390">
                  <c:v>-8.5978672165738772E-3</c:v>
                </c:pt>
                <c:pt idx="2391">
                  <c:v>1.1214829918570923E-2</c:v>
                </c:pt>
                <c:pt idx="2392">
                  <c:v>3.4452147239393167E-3</c:v>
                </c:pt>
                <c:pt idx="2393">
                  <c:v>-3.5230289676471218E-3</c:v>
                </c:pt>
                <c:pt idx="2394">
                  <c:v>1.1642922750682311E-3</c:v>
                </c:pt>
                <c:pt idx="2395">
                  <c:v>-3.267568936996537E-3</c:v>
                </c:pt>
                <c:pt idx="2396">
                  <c:v>-7.5675003916981084E-3</c:v>
                </c:pt>
                <c:pt idx="2397">
                  <c:v>-1.5996800327963308E-2</c:v>
                </c:pt>
                <c:pt idx="2398">
                  <c:v>1.5048847488145101E-2</c:v>
                </c:pt>
                <c:pt idx="2399">
                  <c:v>8.2080686588838214E-3</c:v>
                </c:pt>
                <c:pt idx="2400">
                  <c:v>2.0146302382427882E-3</c:v>
                </c:pt>
                <c:pt idx="2401">
                  <c:v>1.0094319060166316E-2</c:v>
                </c:pt>
                <c:pt idx="2402">
                  <c:v>2.3794199422129485E-3</c:v>
                </c:pt>
                <c:pt idx="2403">
                  <c:v>-4.7236186726493743E-3</c:v>
                </c:pt>
                <c:pt idx="2404">
                  <c:v>-1.8631917437244311E-4</c:v>
                </c:pt>
                <c:pt idx="2405">
                  <c:v>4.1973850116203163E-3</c:v>
                </c:pt>
                <c:pt idx="2406">
                  <c:v>-5.4206823821932627E-3</c:v>
                </c:pt>
                <c:pt idx="2407">
                  <c:v>-1.8445946098472469E-3</c:v>
                </c:pt>
                <c:pt idx="2408">
                  <c:v>8.170019032652822E-3</c:v>
                </c:pt>
                <c:pt idx="2409">
                  <c:v>-4.6432082296428796E-3</c:v>
                </c:pt>
                <c:pt idx="2410">
                  <c:v>5.9874994315475697E-3</c:v>
                </c:pt>
                <c:pt idx="2411">
                  <c:v>1.6738821949274498E-3</c:v>
                </c:pt>
                <c:pt idx="2412">
                  <c:v>-9.4036789518653135E-4</c:v>
                </c:pt>
                <c:pt idx="2413">
                  <c:v>9.922089864754615E-4</c:v>
                </c:pt>
                <c:pt idx="2414">
                  <c:v>1.2748955456659639E-3</c:v>
                </c:pt>
                <c:pt idx="2415">
                  <c:v>4.1378253942716235E-3</c:v>
                </c:pt>
                <c:pt idx="2416">
                  <c:v>1.6060338344795659E-3</c:v>
                </c:pt>
                <c:pt idx="2417">
                  <c:v>2.6174309818667143E-3</c:v>
                </c:pt>
                <c:pt idx="2418">
                  <c:v>-7.0857697907681849E-3</c:v>
                </c:pt>
                <c:pt idx="2419">
                  <c:v>-1.0806639720144598E-2</c:v>
                </c:pt>
                <c:pt idx="2420">
                  <c:v>1.2559520255743905E-3</c:v>
                </c:pt>
                <c:pt idx="2421">
                  <c:v>8.1085771490773013E-3</c:v>
                </c:pt>
                <c:pt idx="2422">
                  <c:v>8.487698356534068E-3</c:v>
                </c:pt>
                <c:pt idx="2423">
                  <c:v>1.4945751943348515E-3</c:v>
                </c:pt>
                <c:pt idx="2424">
                  <c:v>2.2176660815180892E-3</c:v>
                </c:pt>
                <c:pt idx="2425">
                  <c:v>-5.8419628594696153E-3</c:v>
                </c:pt>
                <c:pt idx="2426">
                  <c:v>8.7690455528976891E-3</c:v>
                </c:pt>
                <c:pt idx="2427">
                  <c:v>4.2973414690568616E-3</c:v>
                </c:pt>
                <c:pt idx="2428">
                  <c:v>-1.3500571571324227E-3</c:v>
                </c:pt>
                <c:pt idx="2429">
                  <c:v>3.1171346489786849E-4</c:v>
                </c:pt>
                <c:pt idx="2430">
                  <c:v>2.8385281677768184E-3</c:v>
                </c:pt>
                <c:pt idx="2431">
                  <c:v>-3.3508296923669389E-4</c:v>
                </c:pt>
                <c:pt idx="2432">
                  <c:v>-3.401266163481994E-3</c:v>
                </c:pt>
                <c:pt idx="2433">
                  <c:v>-1.3194454045593487E-3</c:v>
                </c:pt>
                <c:pt idx="2434">
                  <c:v>-4.6162382762889205E-3</c:v>
                </c:pt>
                <c:pt idx="2435">
                  <c:v>-7.7526176231305427E-3</c:v>
                </c:pt>
                <c:pt idx="2436">
                  <c:v>2.273922239413449E-3</c:v>
                </c:pt>
                <c:pt idx="2437">
                  <c:v>-5.7631743778016721E-3</c:v>
                </c:pt>
                <c:pt idx="2438">
                  <c:v>8.4382066732456781E-3</c:v>
                </c:pt>
                <c:pt idx="2439">
                  <c:v>-1.5523011230354105E-3</c:v>
                </c:pt>
                <c:pt idx="2440">
                  <c:v>-9.1526831464338165E-3</c:v>
                </c:pt>
                <c:pt idx="2441">
                  <c:v>-1.7123020373769459E-2</c:v>
                </c:pt>
                <c:pt idx="2442">
                  <c:v>-8.1267968365917188E-4</c:v>
                </c:pt>
                <c:pt idx="2443">
                  <c:v>9.4745406640912491E-3</c:v>
                </c:pt>
                <c:pt idx="2444">
                  <c:v>1.2061715863250257E-2</c:v>
                </c:pt>
                <c:pt idx="2445">
                  <c:v>1.4599428049598621E-3</c:v>
                </c:pt>
                <c:pt idx="2446">
                  <c:v>-2.7802175328761427E-3</c:v>
                </c:pt>
                <c:pt idx="2447">
                  <c:v>-2.0574321587474437E-2</c:v>
                </c:pt>
                <c:pt idx="2448">
                  <c:v>1.5679363733049781E-3</c:v>
                </c:pt>
                <c:pt idx="2449">
                  <c:v>-1.1981220973814677E-2</c:v>
                </c:pt>
                <c:pt idx="2450">
                  <c:v>1.1425952216359555E-2</c:v>
                </c:pt>
                <c:pt idx="2451">
                  <c:v>-1.3070933999937525E-2</c:v>
                </c:pt>
                <c:pt idx="2452">
                  <c:v>1.0469458977261837E-2</c:v>
                </c:pt>
                <c:pt idx="2453">
                  <c:v>4.0944935476352412E-3</c:v>
                </c:pt>
                <c:pt idx="2454">
                  <c:v>8.2640477350165494E-3</c:v>
                </c:pt>
                <c:pt idx="2455">
                  <c:v>-1.9155742909790841E-3</c:v>
                </c:pt>
                <c:pt idx="2456">
                  <c:v>-6.8894637904681668E-3</c:v>
                </c:pt>
                <c:pt idx="2457">
                  <c:v>-2.4196966754627294E-3</c:v>
                </c:pt>
                <c:pt idx="2458">
                  <c:v>3.0179781813102643E-3</c:v>
                </c:pt>
                <c:pt idx="2459">
                  <c:v>1.6919170336133042E-2</c:v>
                </c:pt>
                <c:pt idx="2460">
                  <c:v>7.4324416209213713E-3</c:v>
                </c:pt>
                <c:pt idx="2461">
                  <c:v>3.3691227169670899E-3</c:v>
                </c:pt>
                <c:pt idx="2462">
                  <c:v>7.366160006043284E-3</c:v>
                </c:pt>
                <c:pt idx="2463">
                  <c:v>3.6573205869523144E-3</c:v>
                </c:pt>
                <c:pt idx="2464">
                  <c:v>2.9914274720985803E-3</c:v>
                </c:pt>
                <c:pt idx="2465">
                  <c:v>-1.0731549583585973E-3</c:v>
                </c:pt>
                <c:pt idx="2466">
                  <c:v>4.7369422309476855E-3</c:v>
                </c:pt>
                <c:pt idx="2467">
                  <c:v>1.818128616510003E-3</c:v>
                </c:pt>
                <c:pt idx="2468">
                  <c:v>-5.0644004514438486E-3</c:v>
                </c:pt>
                <c:pt idx="2469">
                  <c:v>9.7813440400895506E-3</c:v>
                </c:pt>
                <c:pt idx="2470">
                  <c:v>1.9474456805769699E-3</c:v>
                </c:pt>
                <c:pt idx="2471">
                  <c:v>1.7984504334932693E-3</c:v>
                </c:pt>
                <c:pt idx="2472">
                  <c:v>3.673611276116367E-3</c:v>
                </c:pt>
                <c:pt idx="2473">
                  <c:v>6.4405112404735685E-3</c:v>
                </c:pt>
                <c:pt idx="2474">
                  <c:v>4.1731721062601788E-3</c:v>
                </c:pt>
                <c:pt idx="2475">
                  <c:v>3.7259083006282606E-3</c:v>
                </c:pt>
                <c:pt idx="2476">
                  <c:v>8.8730678440489285E-4</c:v>
                </c:pt>
                <c:pt idx="2477">
                  <c:v>-3.504869385575243E-3</c:v>
                </c:pt>
                <c:pt idx="2478">
                  <c:v>-8.259833757375561E-3</c:v>
                </c:pt>
                <c:pt idx="2479">
                  <c:v>5.5077572557522153E-4</c:v>
                </c:pt>
                <c:pt idx="2480">
                  <c:v>7.196680911038463E-3</c:v>
                </c:pt>
                <c:pt idx="2481">
                  <c:v>-1.0677315509449458E-5</c:v>
                </c:pt>
                <c:pt idx="2482">
                  <c:v>3.8577581225869607E-3</c:v>
                </c:pt>
                <c:pt idx="2483">
                  <c:v>-2.6050195943357248E-3</c:v>
                </c:pt>
                <c:pt idx="2484">
                  <c:v>3.379039774514253E-3</c:v>
                </c:pt>
                <c:pt idx="2485">
                  <c:v>-1.3996279870592404E-3</c:v>
                </c:pt>
                <c:pt idx="2486">
                  <c:v>-3.2022541195681504E-3</c:v>
                </c:pt>
                <c:pt idx="2487">
                  <c:v>1.655707232782677E-3</c:v>
                </c:pt>
                <c:pt idx="2488">
                  <c:v>2.2912737234973743E-3</c:v>
                </c:pt>
                <c:pt idx="2489">
                  <c:v>-2.2987044973283768E-2</c:v>
                </c:pt>
                <c:pt idx="2490">
                  <c:v>1.3113857392683798E-2</c:v>
                </c:pt>
                <c:pt idx="2491">
                  <c:v>-1.9143376992336782E-2</c:v>
                </c:pt>
                <c:pt idx="2492">
                  <c:v>-1.1885550113429818E-2</c:v>
                </c:pt>
                <c:pt idx="2493">
                  <c:v>1.4094625715697029E-2</c:v>
                </c:pt>
                <c:pt idx="2494">
                  <c:v>-8.4844725376341974E-3</c:v>
                </c:pt>
                <c:pt idx="2495">
                  <c:v>1.1662655055923081E-2</c:v>
                </c:pt>
                <c:pt idx="2496">
                  <c:v>2.0495586171745628E-2</c:v>
                </c:pt>
                <c:pt idx="2497">
                  <c:v>3.0805438956169962E-3</c:v>
                </c:pt>
                <c:pt idx="2498">
                  <c:v>-7.2070383872084483E-3</c:v>
                </c:pt>
                <c:pt idx="2499">
                  <c:v>9.5038068188789387E-3</c:v>
                </c:pt>
                <c:pt idx="2500">
                  <c:v>-9.1782002130428933E-3</c:v>
                </c:pt>
                <c:pt idx="2501">
                  <c:v>-7.4986431218743987E-3</c:v>
                </c:pt>
                <c:pt idx="2502">
                  <c:v>1.6216212899904034E-2</c:v>
                </c:pt>
                <c:pt idx="2503">
                  <c:v>-8.7818258427533567E-3</c:v>
                </c:pt>
                <c:pt idx="2504">
                  <c:v>-1.0341010906645293E-2</c:v>
                </c:pt>
                <c:pt idx="2505">
                  <c:v>-1.1453373010201799E-2</c:v>
                </c:pt>
                <c:pt idx="2506">
                  <c:v>1.7621763861808751E-2</c:v>
                </c:pt>
                <c:pt idx="2507">
                  <c:v>1.0128711352276767E-2</c:v>
                </c:pt>
                <c:pt idx="2508">
                  <c:v>6.2044168953242747E-3</c:v>
                </c:pt>
                <c:pt idx="2509">
                  <c:v>1.3744072068897223E-2</c:v>
                </c:pt>
                <c:pt idx="2510">
                  <c:v>-1.0106980314378653E-3</c:v>
                </c:pt>
                <c:pt idx="2511">
                  <c:v>1.4009215802245781E-3</c:v>
                </c:pt>
                <c:pt idx="2512">
                  <c:v>-2.9942175300769428E-3</c:v>
                </c:pt>
                <c:pt idx="2513">
                  <c:v>-2.6296753415458013E-3</c:v>
                </c:pt>
                <c:pt idx="2514">
                  <c:v>6.3538488355527438E-3</c:v>
                </c:pt>
                <c:pt idx="2515">
                  <c:v>-6.2981618540545298E-4</c:v>
                </c:pt>
                <c:pt idx="2516">
                  <c:v>-1.9583272775802296E-2</c:v>
                </c:pt>
                <c:pt idx="2517">
                  <c:v>-9.6417552908581125E-4</c:v>
                </c:pt>
                <c:pt idx="2518">
                  <c:v>-4.0584367372055773E-3</c:v>
                </c:pt>
                <c:pt idx="2519">
                  <c:v>-1.4421248375173315E-3</c:v>
                </c:pt>
                <c:pt idx="2520">
                  <c:v>9.118332112991406E-3</c:v>
                </c:pt>
                <c:pt idx="2521">
                  <c:v>2.8137340560308905E-3</c:v>
                </c:pt>
                <c:pt idx="2522">
                  <c:v>-1.4345962458906215E-2</c:v>
                </c:pt>
                <c:pt idx="2523">
                  <c:v>8.1957721271400563E-4</c:v>
                </c:pt>
                <c:pt idx="2524">
                  <c:v>-1.8559054584436702E-2</c:v>
                </c:pt>
                <c:pt idx="2525">
                  <c:v>-9.7367691046557382E-3</c:v>
                </c:pt>
                <c:pt idx="2526">
                  <c:v>-1.1098789654240207E-2</c:v>
                </c:pt>
                <c:pt idx="2527">
                  <c:v>-1.9095986358635349E-2</c:v>
                </c:pt>
                <c:pt idx="2528">
                  <c:v>2.7679180076168289E-3</c:v>
                </c:pt>
                <c:pt idx="2529">
                  <c:v>-1.2246661962160472E-2</c:v>
                </c:pt>
                <c:pt idx="2530">
                  <c:v>-1.4977525030699156E-3</c:v>
                </c:pt>
                <c:pt idx="2531">
                  <c:v>-5.3985406179990411E-3</c:v>
                </c:pt>
                <c:pt idx="2532">
                  <c:v>2.4055891707799003E-2</c:v>
                </c:pt>
                <c:pt idx="2533">
                  <c:v>1.8709891511396817E-2</c:v>
                </c:pt>
                <c:pt idx="2534">
                  <c:v>6.8395085033043351E-3</c:v>
                </c:pt>
                <c:pt idx="2535">
                  <c:v>9.3784345745179347E-3</c:v>
                </c:pt>
                <c:pt idx="2536">
                  <c:v>-2.4693484168175839E-2</c:v>
                </c:pt>
                <c:pt idx="2537">
                  <c:v>5.1437130908578545E-3</c:v>
                </c:pt>
                <c:pt idx="2538">
                  <c:v>-3.7086548006097621E-3</c:v>
                </c:pt>
                <c:pt idx="2539">
                  <c:v>8.3661309627788387E-3</c:v>
                </c:pt>
                <c:pt idx="2540">
                  <c:v>1.4412812398356309E-2</c:v>
                </c:pt>
                <c:pt idx="2541">
                  <c:v>-1.8281803510329601E-2</c:v>
                </c:pt>
                <c:pt idx="2542">
                  <c:v>-1.9151696234065794E-2</c:v>
                </c:pt>
                <c:pt idx="2543">
                  <c:v>-3.8479420653191741E-3</c:v>
                </c:pt>
                <c:pt idx="2544">
                  <c:v>1.5643739212372925E-2</c:v>
                </c:pt>
                <c:pt idx="2545">
                  <c:v>8.8083277921570239E-4</c:v>
                </c:pt>
                <c:pt idx="2546">
                  <c:v>-2.1400503004023481E-2</c:v>
                </c:pt>
                <c:pt idx="2547">
                  <c:v>-7.192042117620436E-3</c:v>
                </c:pt>
                <c:pt idx="2548">
                  <c:v>-1.0194654042815754E-2</c:v>
                </c:pt>
                <c:pt idx="2549">
                  <c:v>-1.858379019433392E-2</c:v>
                </c:pt>
                <c:pt idx="2550">
                  <c:v>1.4846059711535551E-2</c:v>
                </c:pt>
                <c:pt idx="2551">
                  <c:v>2.2126148364756827E-2</c:v>
                </c:pt>
                <c:pt idx="2552">
                  <c:v>-2.445600339325641E-3</c:v>
                </c:pt>
                <c:pt idx="2553">
                  <c:v>-1.5594426756135317E-2</c:v>
                </c:pt>
                <c:pt idx="2554">
                  <c:v>1.8470983448989332E-2</c:v>
                </c:pt>
                <c:pt idx="2555">
                  <c:v>-5.2685655519010824E-3</c:v>
                </c:pt>
                <c:pt idx="2556">
                  <c:v>-7.9656579014163158E-3</c:v>
                </c:pt>
                <c:pt idx="2557">
                  <c:v>-2.9962522550535008E-2</c:v>
                </c:pt>
                <c:pt idx="2558">
                  <c:v>-7.2601279980952522E-3</c:v>
                </c:pt>
                <c:pt idx="2559">
                  <c:v>2.5373672345635229E-2</c:v>
                </c:pt>
                <c:pt idx="2560">
                  <c:v>-4.3010818993905854E-3</c:v>
                </c:pt>
                <c:pt idx="2561">
                  <c:v>-1.3046288284512193E-2</c:v>
                </c:pt>
                <c:pt idx="2562">
                  <c:v>-7.4486283971046856E-3</c:v>
                </c:pt>
                <c:pt idx="2563">
                  <c:v>2.1182551140656723E-2</c:v>
                </c:pt>
                <c:pt idx="2564">
                  <c:v>2.2136998842954763E-2</c:v>
                </c:pt>
                <c:pt idx="2565">
                  <c:v>1.2272191404503483E-2</c:v>
                </c:pt>
                <c:pt idx="2566">
                  <c:v>1.1594770446318643E-2</c:v>
                </c:pt>
                <c:pt idx="2567">
                  <c:v>-4.3476799985616853E-4</c:v>
                </c:pt>
                <c:pt idx="2568">
                  <c:v>1.1240769260246017E-2</c:v>
                </c:pt>
                <c:pt idx="2569">
                  <c:v>-1.2348713151043481E-2</c:v>
                </c:pt>
                <c:pt idx="2570">
                  <c:v>1.4242030309045384E-2</c:v>
                </c:pt>
                <c:pt idx="2571">
                  <c:v>5.0534023741785035E-3</c:v>
                </c:pt>
                <c:pt idx="2572">
                  <c:v>7.1195596488213336E-3</c:v>
                </c:pt>
                <c:pt idx="2573">
                  <c:v>1.2182027285255538E-2</c:v>
                </c:pt>
                <c:pt idx="2574">
                  <c:v>-6.313610350948985E-3</c:v>
                </c:pt>
                <c:pt idx="2575">
                  <c:v>-1.577632727939729E-2</c:v>
                </c:pt>
                <c:pt idx="2576">
                  <c:v>3.4044855260572872E-3</c:v>
                </c:pt>
                <c:pt idx="2577">
                  <c:v>8.0583226226329796E-3</c:v>
                </c:pt>
                <c:pt idx="2578">
                  <c:v>-1.2631155137050305E-2</c:v>
                </c:pt>
                <c:pt idx="2579">
                  <c:v>-9.7643862227005471E-3</c:v>
                </c:pt>
                <c:pt idx="2580">
                  <c:v>4.2443524395117957E-3</c:v>
                </c:pt>
                <c:pt idx="2581">
                  <c:v>-2.6545074879774648E-3</c:v>
                </c:pt>
                <c:pt idx="2582">
                  <c:v>-1.7021333762949849E-2</c:v>
                </c:pt>
                <c:pt idx="2583">
                  <c:v>-3.4233936348681705E-3</c:v>
                </c:pt>
                <c:pt idx="2584">
                  <c:v>1.1112682823133003E-2</c:v>
                </c:pt>
                <c:pt idx="2585">
                  <c:v>-1.2218479951525796E-2</c:v>
                </c:pt>
                <c:pt idx="2586">
                  <c:v>-2.0491150171664794E-4</c:v>
                </c:pt>
                <c:pt idx="2587">
                  <c:v>1.5930040161497565E-2</c:v>
                </c:pt>
                <c:pt idx="2588">
                  <c:v>-6.1871895769334236E-4</c:v>
                </c:pt>
                <c:pt idx="2589">
                  <c:v>-1.4862847316476122E-2</c:v>
                </c:pt>
                <c:pt idx="2590">
                  <c:v>-2.813199052103028E-2</c:v>
                </c:pt>
                <c:pt idx="2591">
                  <c:v>5.6816875728607956E-3</c:v>
                </c:pt>
                <c:pt idx="2592">
                  <c:v>-2.8550028430273121E-2</c:v>
                </c:pt>
                <c:pt idx="2593">
                  <c:v>2.0959051404105173E-3</c:v>
                </c:pt>
                <c:pt idx="2594">
                  <c:v>2.444564600458133E-2</c:v>
                </c:pt>
                <c:pt idx="2595">
                  <c:v>-3.6959202326858717E-2</c:v>
                </c:pt>
                <c:pt idx="2596">
                  <c:v>5.6592700373755203E-3</c:v>
                </c:pt>
                <c:pt idx="2597">
                  <c:v>4.8254415515728731E-3</c:v>
                </c:pt>
                <c:pt idx="2598">
                  <c:v>2.9425235047606604E-2</c:v>
                </c:pt>
                <c:pt idx="2599">
                  <c:v>-3.6300723991250602E-2</c:v>
                </c:pt>
                <c:pt idx="2600">
                  <c:v>-5.6903182606495763E-3</c:v>
                </c:pt>
                <c:pt idx="2601">
                  <c:v>-3.2561554986877753E-2</c:v>
                </c:pt>
                <c:pt idx="2602">
                  <c:v>2.4548671098168664E-3</c:v>
                </c:pt>
                <c:pt idx="2603">
                  <c:v>-1.6600202520523653E-2</c:v>
                </c:pt>
                <c:pt idx="2604">
                  <c:v>-1.2968422441889949E-3</c:v>
                </c:pt>
                <c:pt idx="2605">
                  <c:v>2.3589314531626496E-2</c:v>
                </c:pt>
                <c:pt idx="2606">
                  <c:v>-3.9542376502765091E-3</c:v>
                </c:pt>
                <c:pt idx="2607">
                  <c:v>1.9968898134440815E-2</c:v>
                </c:pt>
                <c:pt idx="2608">
                  <c:v>-4.1233767985439373E-2</c:v>
                </c:pt>
                <c:pt idx="2609">
                  <c:v>-5.8508922136055116E-3</c:v>
                </c:pt>
                <c:pt idx="2610">
                  <c:v>1.4611357151915558E-4</c:v>
                </c:pt>
                <c:pt idx="2611">
                  <c:v>1.8385022946529016E-2</c:v>
                </c:pt>
                <c:pt idx="2612">
                  <c:v>-8.1539459482493481E-3</c:v>
                </c:pt>
                <c:pt idx="2613">
                  <c:v>9.4063856025386056E-3</c:v>
                </c:pt>
                <c:pt idx="2614">
                  <c:v>1.9688139439344957E-2</c:v>
                </c:pt>
                <c:pt idx="2615">
                  <c:v>2.4441095491293145E-2</c:v>
                </c:pt>
                <c:pt idx="2616">
                  <c:v>-6.2940551963996914E-3</c:v>
                </c:pt>
                <c:pt idx="2617">
                  <c:v>-7.5109239121430331E-3</c:v>
                </c:pt>
                <c:pt idx="2618">
                  <c:v>1.8263262738202751E-2</c:v>
                </c:pt>
                <c:pt idx="2619">
                  <c:v>-1.6482457202400495E-2</c:v>
                </c:pt>
                <c:pt idx="2620">
                  <c:v>3.1324562641237242E-3</c:v>
                </c:pt>
                <c:pt idx="2621">
                  <c:v>9.4783319340661174E-3</c:v>
                </c:pt>
                <c:pt idx="2622">
                  <c:v>-1.0852585537420805E-2</c:v>
                </c:pt>
                <c:pt idx="2623">
                  <c:v>-2.4086469933734811E-2</c:v>
                </c:pt>
                <c:pt idx="2624">
                  <c:v>-2.954242533536117E-2</c:v>
                </c:pt>
                <c:pt idx="2625">
                  <c:v>-3.9539873198958186E-2</c:v>
                </c:pt>
                <c:pt idx="2626">
                  <c:v>-3.7808440639954524E-3</c:v>
                </c:pt>
                <c:pt idx="2627">
                  <c:v>1.4487056184644877E-2</c:v>
                </c:pt>
                <c:pt idx="2628">
                  <c:v>-3.3052215017083934E-2</c:v>
                </c:pt>
                <c:pt idx="2629">
                  <c:v>2.1984287507105164E-3</c:v>
                </c:pt>
                <c:pt idx="2630">
                  <c:v>2.4182488501784571E-2</c:v>
                </c:pt>
                <c:pt idx="2631">
                  <c:v>-1.3023811491289687E-3</c:v>
                </c:pt>
                <c:pt idx="2632">
                  <c:v>9.4870490606574001E-3</c:v>
                </c:pt>
                <c:pt idx="2633">
                  <c:v>3.0105537080807647E-2</c:v>
                </c:pt>
                <c:pt idx="2634">
                  <c:v>-2.9775299301252065E-3</c:v>
                </c:pt>
                <c:pt idx="2635">
                  <c:v>-2.0348658383248716E-2</c:v>
                </c:pt>
                <c:pt idx="2636">
                  <c:v>-7.1200650096186937E-4</c:v>
                </c:pt>
                <c:pt idx="2637">
                  <c:v>-8.7978148306084494E-3</c:v>
                </c:pt>
                <c:pt idx="2638">
                  <c:v>1.0498459915641863E-2</c:v>
                </c:pt>
                <c:pt idx="2639">
                  <c:v>1.5829235665797978E-3</c:v>
                </c:pt>
                <c:pt idx="2640">
                  <c:v>3.5667473495814678E-3</c:v>
                </c:pt>
                <c:pt idx="2641">
                  <c:v>1.4853713471199018E-2</c:v>
                </c:pt>
                <c:pt idx="2642">
                  <c:v>-8.3055631536842949E-4</c:v>
                </c:pt>
                <c:pt idx="2643">
                  <c:v>-1.159442997810581E-2</c:v>
                </c:pt>
                <c:pt idx="2644">
                  <c:v>-9.2868990190167582E-3</c:v>
                </c:pt>
                <c:pt idx="2645">
                  <c:v>-4.466859031662644E-3</c:v>
                </c:pt>
                <c:pt idx="2646">
                  <c:v>-3.0031001895847553E-3</c:v>
                </c:pt>
                <c:pt idx="2647">
                  <c:v>1.9019223492515371E-2</c:v>
                </c:pt>
                <c:pt idx="2648">
                  <c:v>-8.398790728860633E-3</c:v>
                </c:pt>
                <c:pt idx="2649">
                  <c:v>2.7253558019802913E-2</c:v>
                </c:pt>
                <c:pt idx="2650">
                  <c:v>5.8785037183350592E-3</c:v>
                </c:pt>
                <c:pt idx="2651">
                  <c:v>9.8130542384489011E-3</c:v>
                </c:pt>
                <c:pt idx="2652">
                  <c:v>-9.3762699234227094E-3</c:v>
                </c:pt>
                <c:pt idx="2653">
                  <c:v>1.3142512363463167E-3</c:v>
                </c:pt>
                <c:pt idx="2654">
                  <c:v>-1.161033289574997E-2</c:v>
                </c:pt>
                <c:pt idx="2655">
                  <c:v>2.5820034533563709E-2</c:v>
                </c:pt>
                <c:pt idx="2656">
                  <c:v>1.2060363275690102E-2</c:v>
                </c:pt>
                <c:pt idx="2657">
                  <c:v>1.4107749538291978E-2</c:v>
                </c:pt>
                <c:pt idx="2658">
                  <c:v>-2.8270386343186992E-3</c:v>
                </c:pt>
                <c:pt idx="2659">
                  <c:v>-6.6847025099674136E-3</c:v>
                </c:pt>
                <c:pt idx="2660">
                  <c:v>1.5517460750035557E-2</c:v>
                </c:pt>
                <c:pt idx="2661">
                  <c:v>-7.7764713908326987E-4</c:v>
                </c:pt>
                <c:pt idx="2662">
                  <c:v>-1.6270689959386672E-3</c:v>
                </c:pt>
                <c:pt idx="2663">
                  <c:v>-1.2383454103545306E-3</c:v>
                </c:pt>
                <c:pt idx="2664">
                  <c:v>-4.2577821983481121E-3</c:v>
                </c:pt>
                <c:pt idx="2665">
                  <c:v>2.1067154907856916E-2</c:v>
                </c:pt>
                <c:pt idx="2666">
                  <c:v>-7.0567189661734585E-4</c:v>
                </c:pt>
                <c:pt idx="2667">
                  <c:v>1.7174074409836079E-2</c:v>
                </c:pt>
                <c:pt idx="2668">
                  <c:v>3.9616294239327712E-3</c:v>
                </c:pt>
                <c:pt idx="2669">
                  <c:v>1.8739092755182558E-3</c:v>
                </c:pt>
                <c:pt idx="2670">
                  <c:v>-7.26407864047862E-3</c:v>
                </c:pt>
                <c:pt idx="2671">
                  <c:v>2.2669440331611829E-3</c:v>
                </c:pt>
                <c:pt idx="2672">
                  <c:v>-1.2983869381359623E-2</c:v>
                </c:pt>
                <c:pt idx="2673">
                  <c:v>-2.1632427725287454E-2</c:v>
                </c:pt>
                <c:pt idx="2674">
                  <c:v>-2.2403090640503252E-3</c:v>
                </c:pt>
                <c:pt idx="2675">
                  <c:v>2.9119072513373811E-3</c:v>
                </c:pt>
                <c:pt idx="2676">
                  <c:v>1.3993218645290096E-2</c:v>
                </c:pt>
                <c:pt idx="2677">
                  <c:v>-3.4268526748985458E-2</c:v>
                </c:pt>
                <c:pt idx="2678">
                  <c:v>-6.6887235092639493E-3</c:v>
                </c:pt>
                <c:pt idx="2679">
                  <c:v>-1.1089367791653617E-2</c:v>
                </c:pt>
                <c:pt idx="2680">
                  <c:v>-7.8477602570987508E-3</c:v>
                </c:pt>
                <c:pt idx="2681">
                  <c:v>2.9917276491103818E-3</c:v>
                </c:pt>
                <c:pt idx="2682">
                  <c:v>-1.0794530441166154E-2</c:v>
                </c:pt>
                <c:pt idx="2683">
                  <c:v>-4.1034472098145404E-3</c:v>
                </c:pt>
                <c:pt idx="2684">
                  <c:v>1.8174804228558855E-2</c:v>
                </c:pt>
                <c:pt idx="2685">
                  <c:v>6.5890133889801002E-3</c:v>
                </c:pt>
                <c:pt idx="2686">
                  <c:v>1.5155971507018435E-2</c:v>
                </c:pt>
                <c:pt idx="2687">
                  <c:v>1.0528639881468727E-2</c:v>
                </c:pt>
                <c:pt idx="2688">
                  <c:v>-4.4199110119582059E-2</c:v>
                </c:pt>
                <c:pt idx="2689">
                  <c:v>3.3812717048818559E-3</c:v>
                </c:pt>
                <c:pt idx="2690">
                  <c:v>-1.1382294724738607E-2</c:v>
                </c:pt>
                <c:pt idx="2691">
                  <c:v>-7.208044914246866E-3</c:v>
                </c:pt>
                <c:pt idx="2692">
                  <c:v>6.8337454395362542E-3</c:v>
                </c:pt>
                <c:pt idx="2693">
                  <c:v>-1.1336124553072551E-2</c:v>
                </c:pt>
                <c:pt idx="2694">
                  <c:v>-1.7264673789774226E-2</c:v>
                </c:pt>
                <c:pt idx="2695">
                  <c:v>-8.4633092689318096E-3</c:v>
                </c:pt>
                <c:pt idx="2696">
                  <c:v>-1.7382826077567966E-2</c:v>
                </c:pt>
                <c:pt idx="2697">
                  <c:v>-1.0394376865970473E-2</c:v>
                </c:pt>
                <c:pt idx="2698">
                  <c:v>-2.1226109775338642E-3</c:v>
                </c:pt>
                <c:pt idx="2699">
                  <c:v>1.9481144387776417E-2</c:v>
                </c:pt>
                <c:pt idx="2700">
                  <c:v>-2.1352776272162088E-2</c:v>
                </c:pt>
                <c:pt idx="2701">
                  <c:v>-1.5181392276394085E-2</c:v>
                </c:pt>
                <c:pt idx="2702">
                  <c:v>2.5554628797407629E-2</c:v>
                </c:pt>
                <c:pt idx="2703">
                  <c:v>3.012534086530393E-2</c:v>
                </c:pt>
                <c:pt idx="2704">
                  <c:v>-2.0200133350643033E-3</c:v>
                </c:pt>
                <c:pt idx="2705">
                  <c:v>-1.0297920383574249E-2</c:v>
                </c:pt>
                <c:pt idx="2706">
                  <c:v>-2.8403167167490584E-2</c:v>
                </c:pt>
                <c:pt idx="2707">
                  <c:v>-7.5206675446196497E-3</c:v>
                </c:pt>
                <c:pt idx="2708">
                  <c:v>-6.5405726393698588E-3</c:v>
                </c:pt>
                <c:pt idx="2709">
                  <c:v>-3.2961833504644216E-3</c:v>
                </c:pt>
                <c:pt idx="2710">
                  <c:v>2.5634291446897169E-2</c:v>
                </c:pt>
                <c:pt idx="2711">
                  <c:v>-2.3947163771951822E-2</c:v>
                </c:pt>
                <c:pt idx="2712">
                  <c:v>2.613555691190645E-2</c:v>
                </c:pt>
                <c:pt idx="2713">
                  <c:v>1.1362760181543908E-2</c:v>
                </c:pt>
                <c:pt idx="2714">
                  <c:v>-6.694436704711702E-3</c:v>
                </c:pt>
                <c:pt idx="2715">
                  <c:v>-7.9827185160930587E-3</c:v>
                </c:pt>
                <c:pt idx="2716">
                  <c:v>2.3447767852436571E-2</c:v>
                </c:pt>
                <c:pt idx="2717">
                  <c:v>1.1811917059798283E-2</c:v>
                </c:pt>
                <c:pt idx="2718">
                  <c:v>1.6135765325269211E-2</c:v>
                </c:pt>
                <c:pt idx="2719">
                  <c:v>-7.4151380567922306E-3</c:v>
                </c:pt>
                <c:pt idx="2720">
                  <c:v>-6.1011723843323405E-3</c:v>
                </c:pt>
                <c:pt idx="2721">
                  <c:v>2.4328034575769396E-2</c:v>
                </c:pt>
                <c:pt idx="2722">
                  <c:v>-7.4823069661265037E-3</c:v>
                </c:pt>
                <c:pt idx="2723">
                  <c:v>-4.1096940897468529E-3</c:v>
                </c:pt>
                <c:pt idx="2724">
                  <c:v>-2.5319802827619801E-2</c:v>
                </c:pt>
                <c:pt idx="2725">
                  <c:v>-1.064240923898342E-2</c:v>
                </c:pt>
                <c:pt idx="2726">
                  <c:v>1.3526781457993704E-2</c:v>
                </c:pt>
                <c:pt idx="2727">
                  <c:v>9.5680618026735623E-3</c:v>
                </c:pt>
                <c:pt idx="2728">
                  <c:v>5.5822675939800961E-3</c:v>
                </c:pt>
                <c:pt idx="2729">
                  <c:v>-2.0996774887089925E-2</c:v>
                </c:pt>
                <c:pt idx="2730">
                  <c:v>5.3952504280963931E-2</c:v>
                </c:pt>
                <c:pt idx="2731">
                  <c:v>9.1983590448269908E-3</c:v>
                </c:pt>
                <c:pt idx="2732">
                  <c:v>-8.9759576650217388E-3</c:v>
                </c:pt>
                <c:pt idx="2733">
                  <c:v>8.6753813075978112E-3</c:v>
                </c:pt>
                <c:pt idx="2734">
                  <c:v>-8.2862978720850793E-3</c:v>
                </c:pt>
                <c:pt idx="2735">
                  <c:v>-3.094109623737159E-3</c:v>
                </c:pt>
                <c:pt idx="2736">
                  <c:v>4.7472883302355929E-3</c:v>
                </c:pt>
                <c:pt idx="2737">
                  <c:v>-3.8912128014762935E-3</c:v>
                </c:pt>
                <c:pt idx="2738">
                  <c:v>1.3488571921957369E-2</c:v>
                </c:pt>
                <c:pt idx="2739">
                  <c:v>5.8972831306427134E-3</c:v>
                </c:pt>
                <c:pt idx="2740">
                  <c:v>-2.8311094412904197E-4</c:v>
                </c:pt>
                <c:pt idx="2741">
                  <c:v>-1.5564652905563017E-2</c:v>
                </c:pt>
                <c:pt idx="2742">
                  <c:v>-1.5931188727940442E-3</c:v>
                </c:pt>
                <c:pt idx="2743">
                  <c:v>3.047858758258928E-2</c:v>
                </c:pt>
                <c:pt idx="2744">
                  <c:v>-8.6800027027179102E-4</c:v>
                </c:pt>
                <c:pt idx="2745">
                  <c:v>-1.1953459028422096E-3</c:v>
                </c:pt>
                <c:pt idx="2746">
                  <c:v>-1.8056283602075441E-2</c:v>
                </c:pt>
                <c:pt idx="2747">
                  <c:v>-1.4503849921748772E-2</c:v>
                </c:pt>
                <c:pt idx="2748">
                  <c:v>-1.8640849162627044E-3</c:v>
                </c:pt>
                <c:pt idx="2749">
                  <c:v>7.493612090724109E-3</c:v>
                </c:pt>
                <c:pt idx="2750">
                  <c:v>-7.3766872148234497E-3</c:v>
                </c:pt>
                <c:pt idx="2751">
                  <c:v>1.4178262831053962E-2</c:v>
                </c:pt>
                <c:pt idx="2752">
                  <c:v>7.2632622332616968E-3</c:v>
                </c:pt>
                <c:pt idx="2753">
                  <c:v>-6.0711580284131088E-3</c:v>
                </c:pt>
                <c:pt idx="2754">
                  <c:v>-2.5237460791963953E-2</c:v>
                </c:pt>
                <c:pt idx="2755">
                  <c:v>-1.1200267830704025E-2</c:v>
                </c:pt>
                <c:pt idx="2756">
                  <c:v>-9.0482780342915972E-3</c:v>
                </c:pt>
                <c:pt idx="2757">
                  <c:v>1.036747011419641E-3</c:v>
                </c:pt>
                <c:pt idx="2758">
                  <c:v>1.4758594440961796E-2</c:v>
                </c:pt>
                <c:pt idx="2759">
                  <c:v>-1.4557129502374849E-2</c:v>
                </c:pt>
                <c:pt idx="2760">
                  <c:v>5.8509063889847814E-3</c:v>
                </c:pt>
                <c:pt idx="2761">
                  <c:v>-4.0578262550561321E-3</c:v>
                </c:pt>
                <c:pt idx="2762">
                  <c:v>-1.209346269904926E-2</c:v>
                </c:pt>
                <c:pt idx="2763">
                  <c:v>1.7310618960093668E-2</c:v>
                </c:pt>
                <c:pt idx="2764">
                  <c:v>-2.5439680351095257E-3</c:v>
                </c:pt>
                <c:pt idx="2765">
                  <c:v>-4.0085443908070935E-3</c:v>
                </c:pt>
                <c:pt idx="2766">
                  <c:v>7.5106740753847724E-3</c:v>
                </c:pt>
                <c:pt idx="2767">
                  <c:v>-1.1713902384519219E-2</c:v>
                </c:pt>
                <c:pt idx="2768">
                  <c:v>2.2583841176026541E-2</c:v>
                </c:pt>
                <c:pt idx="2769">
                  <c:v>-7.6792985049440666E-4</c:v>
                </c:pt>
                <c:pt idx="2770">
                  <c:v>6.9540205524518915E-3</c:v>
                </c:pt>
                <c:pt idx="2771">
                  <c:v>1.2767544131228952E-2</c:v>
                </c:pt>
                <c:pt idx="2772">
                  <c:v>3.4101315868827887E-3</c:v>
                </c:pt>
                <c:pt idx="2773">
                  <c:v>3.988850553225138E-3</c:v>
                </c:pt>
                <c:pt idx="2774">
                  <c:v>-2.0325261125498277E-3</c:v>
                </c:pt>
                <c:pt idx="2775">
                  <c:v>-1.5685001660276407E-2</c:v>
                </c:pt>
                <c:pt idx="2776">
                  <c:v>-7.6676696075208299E-3</c:v>
                </c:pt>
                <c:pt idx="2777">
                  <c:v>1.8741671559172491E-2</c:v>
                </c:pt>
                <c:pt idx="2778">
                  <c:v>1.1811328415709267E-2</c:v>
                </c:pt>
                <c:pt idx="2779">
                  <c:v>-7.1172963252109358E-4</c:v>
                </c:pt>
                <c:pt idx="2780">
                  <c:v>-1.8174643434897735E-4</c:v>
                </c:pt>
                <c:pt idx="2781">
                  <c:v>1.0947717569977039E-2</c:v>
                </c:pt>
                <c:pt idx="2782">
                  <c:v>2.4917027916841637E-3</c:v>
                </c:pt>
                <c:pt idx="2783">
                  <c:v>-1.3053559781991077E-2</c:v>
                </c:pt>
                <c:pt idx="2784">
                  <c:v>1.4536285322318165E-2</c:v>
                </c:pt>
                <c:pt idx="2785">
                  <c:v>1.0398089735210484E-2</c:v>
                </c:pt>
                <c:pt idx="2786">
                  <c:v>1.4592431217642185E-2</c:v>
                </c:pt>
                <c:pt idx="2787">
                  <c:v>-1.0408643989373002E-2</c:v>
                </c:pt>
                <c:pt idx="2788">
                  <c:v>-6.1594169191690872E-3</c:v>
                </c:pt>
                <c:pt idx="2789">
                  <c:v>1.2790383040919152E-2</c:v>
                </c:pt>
                <c:pt idx="2790">
                  <c:v>-1.1142539811002886E-2</c:v>
                </c:pt>
                <c:pt idx="2791">
                  <c:v>-8.869043032445954E-3</c:v>
                </c:pt>
                <c:pt idx="2792">
                  <c:v>2.1928652588764841E-3</c:v>
                </c:pt>
                <c:pt idx="2793">
                  <c:v>1.1383550959928976E-2</c:v>
                </c:pt>
                <c:pt idx="2794">
                  <c:v>-2.8041608128225108E-4</c:v>
                </c:pt>
                <c:pt idx="2795">
                  <c:v>2.7692856551893739E-3</c:v>
                </c:pt>
                <c:pt idx="2796">
                  <c:v>-1.3884644172642286E-2</c:v>
                </c:pt>
                <c:pt idx="2797">
                  <c:v>-2.7712852059047503E-3</c:v>
                </c:pt>
                <c:pt idx="2798">
                  <c:v>-2.0244784414123935E-2</c:v>
                </c:pt>
                <c:pt idx="2799">
                  <c:v>-1.5747857327715093E-3</c:v>
                </c:pt>
                <c:pt idx="2800">
                  <c:v>5.3152734602749932E-3</c:v>
                </c:pt>
                <c:pt idx="2801">
                  <c:v>-1.0593457421727142E-2</c:v>
                </c:pt>
                <c:pt idx="2802">
                  <c:v>3.0683048311681872E-3</c:v>
                </c:pt>
                <c:pt idx="2803">
                  <c:v>-3.0405976856194583E-3</c:v>
                </c:pt>
                <c:pt idx="2804">
                  <c:v>-4.7364616152703798E-3</c:v>
                </c:pt>
                <c:pt idx="2805">
                  <c:v>7.5535420169248321E-3</c:v>
                </c:pt>
                <c:pt idx="2806">
                  <c:v>1.6018800257414187E-2</c:v>
                </c:pt>
                <c:pt idx="2807">
                  <c:v>6.8692352399550452E-4</c:v>
                </c:pt>
                <c:pt idx="2808">
                  <c:v>-1.5445639173959797E-2</c:v>
                </c:pt>
                <c:pt idx="2809">
                  <c:v>1.4138210863556078E-3</c:v>
                </c:pt>
                <c:pt idx="2810">
                  <c:v>-1.8631872945282475E-2</c:v>
                </c:pt>
                <c:pt idx="2811">
                  <c:v>-1.4583974750190179E-2</c:v>
                </c:pt>
                <c:pt idx="2812">
                  <c:v>-1.5108816132590817E-3</c:v>
                </c:pt>
                <c:pt idx="2813">
                  <c:v>1.6342380801371525E-2</c:v>
                </c:pt>
                <c:pt idx="2814">
                  <c:v>-7.0053363982352087E-3</c:v>
                </c:pt>
                <c:pt idx="2815">
                  <c:v>1.7409551286964531E-2</c:v>
                </c:pt>
                <c:pt idx="2816">
                  <c:v>-1.1080586449227313E-2</c:v>
                </c:pt>
                <c:pt idx="2817">
                  <c:v>8.878824909597214E-3</c:v>
                </c:pt>
                <c:pt idx="2818">
                  <c:v>1.289863554198477E-2</c:v>
                </c:pt>
                <c:pt idx="2819">
                  <c:v>-1.6600211922495948E-2</c:v>
                </c:pt>
                <c:pt idx="2820">
                  <c:v>2.9800838470393862E-3</c:v>
                </c:pt>
                <c:pt idx="2821">
                  <c:v>5.623958124210314E-3</c:v>
                </c:pt>
                <c:pt idx="2822">
                  <c:v>1.6455897389303137E-3</c:v>
                </c:pt>
                <c:pt idx="2823">
                  <c:v>-1.5750808409301009E-3</c:v>
                </c:pt>
                <c:pt idx="2824">
                  <c:v>1.4136861145886559E-2</c:v>
                </c:pt>
                <c:pt idx="2825">
                  <c:v>5.698994460609173E-3</c:v>
                </c:pt>
                <c:pt idx="2826">
                  <c:v>1.4333332809426856E-2</c:v>
                </c:pt>
                <c:pt idx="2827">
                  <c:v>3.6920936495169121E-3</c:v>
                </c:pt>
                <c:pt idx="2828">
                  <c:v>-5.8139203852082119E-3</c:v>
                </c:pt>
                <c:pt idx="2829">
                  <c:v>-2.4954291924703361E-3</c:v>
                </c:pt>
                <c:pt idx="2830">
                  <c:v>3.5727397253701647E-3</c:v>
                </c:pt>
                <c:pt idx="2831">
                  <c:v>9.9584504701190541E-4</c:v>
                </c:pt>
                <c:pt idx="2832">
                  <c:v>-4.1372345026909729E-5</c:v>
                </c:pt>
                <c:pt idx="2833">
                  <c:v>-4.1434586507983449E-3</c:v>
                </c:pt>
                <c:pt idx="2834">
                  <c:v>1.3175446748330008E-2</c:v>
                </c:pt>
                <c:pt idx="2835">
                  <c:v>-2.0714988104920951E-3</c:v>
                </c:pt>
                <c:pt idx="2836">
                  <c:v>3.3007789687629755E-3</c:v>
                </c:pt>
                <c:pt idx="2837">
                  <c:v>8.547842551524592E-4</c:v>
                </c:pt>
                <c:pt idx="2838">
                  <c:v>-8.4242044291161936E-5</c:v>
                </c:pt>
                <c:pt idx="2839">
                  <c:v>-5.9703399458197028E-3</c:v>
                </c:pt>
                <c:pt idx="2840">
                  <c:v>9.0278599092536804E-4</c:v>
                </c:pt>
                <c:pt idx="2841">
                  <c:v>8.5121206122392508E-4</c:v>
                </c:pt>
                <c:pt idx="2842">
                  <c:v>-1.5937145594967939E-2</c:v>
                </c:pt>
                <c:pt idx="2843">
                  <c:v>-3.8486098771117832E-3</c:v>
                </c:pt>
                <c:pt idx="2844">
                  <c:v>1.9377167380002121E-2</c:v>
                </c:pt>
                <c:pt idx="2845">
                  <c:v>8.2193596125703667E-3</c:v>
                </c:pt>
                <c:pt idx="2846">
                  <c:v>-3.8621384972729493E-4</c:v>
                </c:pt>
                <c:pt idx="2847">
                  <c:v>-1.1653897528004022E-2</c:v>
                </c:pt>
                <c:pt idx="2848">
                  <c:v>-7.0228890905811598E-3</c:v>
                </c:pt>
                <c:pt idx="2849">
                  <c:v>-7.2449062412514361E-3</c:v>
                </c:pt>
                <c:pt idx="2850">
                  <c:v>1.8306159168068423E-2</c:v>
                </c:pt>
                <c:pt idx="2851">
                  <c:v>4.5199816586328297E-4</c:v>
                </c:pt>
                <c:pt idx="2852">
                  <c:v>-4.5898916638410408E-3</c:v>
                </c:pt>
                <c:pt idx="2853">
                  <c:v>4.4738902330266894E-3</c:v>
                </c:pt>
                <c:pt idx="2854">
                  <c:v>-1.6980602174566785E-3</c:v>
                </c:pt>
                <c:pt idx="2855">
                  <c:v>-1.5845521626198357E-3</c:v>
                </c:pt>
                <c:pt idx="2856">
                  <c:v>2.9538685652344835E-3</c:v>
                </c:pt>
                <c:pt idx="2857">
                  <c:v>-6.398135861993161E-3</c:v>
                </c:pt>
                <c:pt idx="2858">
                  <c:v>1.1820660164447881E-2</c:v>
                </c:pt>
                <c:pt idx="2859">
                  <c:v>9.4007742847056677E-3</c:v>
                </c:pt>
                <c:pt idx="2860">
                  <c:v>-1.4469557460591439E-3</c:v>
                </c:pt>
                <c:pt idx="2861">
                  <c:v>1.550459714410593E-4</c:v>
                </c:pt>
                <c:pt idx="2862">
                  <c:v>-1.1285515564489972E-2</c:v>
                </c:pt>
                <c:pt idx="2863">
                  <c:v>-7.3455507858671458E-3</c:v>
                </c:pt>
                <c:pt idx="2864">
                  <c:v>8.719564785563249E-3</c:v>
                </c:pt>
                <c:pt idx="2865">
                  <c:v>1.296458273531355E-2</c:v>
                </c:pt>
                <c:pt idx="2866">
                  <c:v>1.6644929182328236E-5</c:v>
                </c:pt>
                <c:pt idx="2867">
                  <c:v>-6.1273722329718457E-3</c:v>
                </c:pt>
                <c:pt idx="2868">
                  <c:v>9.806229149665344E-3</c:v>
                </c:pt>
                <c:pt idx="2869">
                  <c:v>1.442978965214366E-2</c:v>
                </c:pt>
                <c:pt idx="2870">
                  <c:v>-2.0055732655681105E-3</c:v>
                </c:pt>
                <c:pt idx="2871">
                  <c:v>2.3511165774900327E-3</c:v>
                </c:pt>
                <c:pt idx="2872">
                  <c:v>-3.8192757067673886E-3</c:v>
                </c:pt>
                <c:pt idx="2873">
                  <c:v>6.16953524709693E-3</c:v>
                </c:pt>
                <c:pt idx="2874">
                  <c:v>1.1474737636884458E-3</c:v>
                </c:pt>
                <c:pt idx="2875">
                  <c:v>9.2779026656844323E-3</c:v>
                </c:pt>
                <c:pt idx="2876">
                  <c:v>6.9086648833658285E-3</c:v>
                </c:pt>
                <c:pt idx="2877">
                  <c:v>8.1907206921961594E-4</c:v>
                </c:pt>
                <c:pt idx="2878">
                  <c:v>1.2104580063652602E-2</c:v>
                </c:pt>
                <c:pt idx="2879">
                  <c:v>-3.6783763376504303E-3</c:v>
                </c:pt>
                <c:pt idx="2880">
                  <c:v>-4.7463803686906532E-3</c:v>
                </c:pt>
                <c:pt idx="2881">
                  <c:v>-5.2590818461865788E-3</c:v>
                </c:pt>
                <c:pt idx="2882">
                  <c:v>3.7038857650539521E-3</c:v>
                </c:pt>
                <c:pt idx="2883">
                  <c:v>-7.688274822307147E-3</c:v>
                </c:pt>
                <c:pt idx="2884">
                  <c:v>-4.4968757892660969E-3</c:v>
                </c:pt>
                <c:pt idx="2885">
                  <c:v>1.1390657230512101E-2</c:v>
                </c:pt>
                <c:pt idx="2886">
                  <c:v>-3.5407246519950932E-4</c:v>
                </c:pt>
                <c:pt idx="2887">
                  <c:v>4.4635502053141703E-3</c:v>
                </c:pt>
                <c:pt idx="2888">
                  <c:v>1.2194363266362706E-2</c:v>
                </c:pt>
                <c:pt idx="2889">
                  <c:v>1.1700018289601843E-3</c:v>
                </c:pt>
                <c:pt idx="2890">
                  <c:v>-1.9702536362673942E-3</c:v>
                </c:pt>
                <c:pt idx="2891">
                  <c:v>-7.9540652874783013E-3</c:v>
                </c:pt>
                <c:pt idx="2892">
                  <c:v>-2.8692926136023467E-3</c:v>
                </c:pt>
                <c:pt idx="2893">
                  <c:v>2.4022317330228151E-3</c:v>
                </c:pt>
                <c:pt idx="2894">
                  <c:v>6.7195880716203853E-3</c:v>
                </c:pt>
                <c:pt idx="2895">
                  <c:v>7.383817501052891E-3</c:v>
                </c:pt>
                <c:pt idx="2896">
                  <c:v>8.434509266769535E-3</c:v>
                </c:pt>
                <c:pt idx="2897">
                  <c:v>-1.0249061954501163E-3</c:v>
                </c:pt>
                <c:pt idx="2898">
                  <c:v>3.8479435973795429E-3</c:v>
                </c:pt>
                <c:pt idx="2899">
                  <c:v>7.0920798661324126E-3</c:v>
                </c:pt>
                <c:pt idx="2900">
                  <c:v>2.3550834835142126E-3</c:v>
                </c:pt>
                <c:pt idx="2901">
                  <c:v>-6.7798061818515913E-3</c:v>
                </c:pt>
                <c:pt idx="2902">
                  <c:v>3.2410230010493271E-4</c:v>
                </c:pt>
                <c:pt idx="2903">
                  <c:v>4.0259740353417468E-3</c:v>
                </c:pt>
                <c:pt idx="2904">
                  <c:v>2.8107581456501534E-3</c:v>
                </c:pt>
                <c:pt idx="2905">
                  <c:v>-1.5545953102232801E-4</c:v>
                </c:pt>
                <c:pt idx="2906">
                  <c:v>-6.4454274911412875E-3</c:v>
                </c:pt>
                <c:pt idx="2907">
                  <c:v>9.8294145087675765E-3</c:v>
                </c:pt>
                <c:pt idx="2908">
                  <c:v>1.4676396864565879E-3</c:v>
                </c:pt>
                <c:pt idx="2909">
                  <c:v>-2.668649552448092E-3</c:v>
                </c:pt>
                <c:pt idx="2910">
                  <c:v>-1.3936235197657028E-2</c:v>
                </c:pt>
                <c:pt idx="2911">
                  <c:v>-2.5512255276715053E-3</c:v>
                </c:pt>
                <c:pt idx="2912">
                  <c:v>-5.3140910274567365E-3</c:v>
                </c:pt>
                <c:pt idx="2913">
                  <c:v>8.9835839552586446E-3</c:v>
                </c:pt>
                <c:pt idx="2914">
                  <c:v>-4.227192022498048E-3</c:v>
                </c:pt>
                <c:pt idx="2915">
                  <c:v>-7.0636364040070568E-3</c:v>
                </c:pt>
                <c:pt idx="2916">
                  <c:v>2.5065629558288107E-4</c:v>
                </c:pt>
                <c:pt idx="2917">
                  <c:v>-1.0702036647139679E-3</c:v>
                </c:pt>
                <c:pt idx="2918">
                  <c:v>5.7339132747375263E-3</c:v>
                </c:pt>
                <c:pt idx="2919">
                  <c:v>-1.1618060736365813E-2</c:v>
                </c:pt>
                <c:pt idx="2920">
                  <c:v>-7.5841303382103969E-3</c:v>
                </c:pt>
                <c:pt idx="2921">
                  <c:v>-7.7427623561250646E-3</c:v>
                </c:pt>
                <c:pt idx="2922">
                  <c:v>-1.4874022775515319E-4</c:v>
                </c:pt>
                <c:pt idx="2923">
                  <c:v>6.8556214812669266E-3</c:v>
                </c:pt>
                <c:pt idx="2924">
                  <c:v>-2.7812820922299762E-3</c:v>
                </c:pt>
                <c:pt idx="2925">
                  <c:v>1.0984339030271489E-2</c:v>
                </c:pt>
                <c:pt idx="2926">
                  <c:v>-1.3549420207499292E-2</c:v>
                </c:pt>
                <c:pt idx="2927">
                  <c:v>6.6955233154781116E-3</c:v>
                </c:pt>
                <c:pt idx="2928">
                  <c:v>6.2450565111568821E-3</c:v>
                </c:pt>
                <c:pt idx="2929">
                  <c:v>1.4404107984150809E-2</c:v>
                </c:pt>
                <c:pt idx="2930">
                  <c:v>3.8258021699069606E-3</c:v>
                </c:pt>
                <c:pt idx="2931">
                  <c:v>-1.5982216816604765E-3</c:v>
                </c:pt>
                <c:pt idx="2932">
                  <c:v>1.7975431036151848E-3</c:v>
                </c:pt>
                <c:pt idx="2933">
                  <c:v>-4.203010869610265E-3</c:v>
                </c:pt>
                <c:pt idx="2934">
                  <c:v>-6.9959927442528732E-3</c:v>
                </c:pt>
                <c:pt idx="2935">
                  <c:v>-3.2164682050081963E-3</c:v>
                </c:pt>
                <c:pt idx="2936">
                  <c:v>1.4255841976643817E-3</c:v>
                </c:pt>
                <c:pt idx="2937">
                  <c:v>6.7010127829867268E-3</c:v>
                </c:pt>
                <c:pt idx="2938">
                  <c:v>-5.7121558411206055E-3</c:v>
                </c:pt>
                <c:pt idx="2939">
                  <c:v>1.2408533465711885E-3</c:v>
                </c:pt>
                <c:pt idx="2940">
                  <c:v>8.394550741111827E-3</c:v>
                </c:pt>
                <c:pt idx="2941">
                  <c:v>-1.2234084667107637E-2</c:v>
                </c:pt>
                <c:pt idx="2942">
                  <c:v>7.2103643683838804E-4</c:v>
                </c:pt>
                <c:pt idx="2943">
                  <c:v>-2.1534195529618974E-3</c:v>
                </c:pt>
                <c:pt idx="2944">
                  <c:v>-9.4392046231101256E-3</c:v>
                </c:pt>
                <c:pt idx="2945">
                  <c:v>-1.653687395146802E-2</c:v>
                </c:pt>
                <c:pt idx="2946">
                  <c:v>-2.2982509659402743E-3</c:v>
                </c:pt>
                <c:pt idx="2947">
                  <c:v>4.0150212758186272E-3</c:v>
                </c:pt>
                <c:pt idx="2948">
                  <c:v>-1.4844128717961364E-2</c:v>
                </c:pt>
                <c:pt idx="2949">
                  <c:v>2.2929233000634007E-4</c:v>
                </c:pt>
                <c:pt idx="2950">
                  <c:v>5.8757768874731896E-3</c:v>
                </c:pt>
                <c:pt idx="2951">
                  <c:v>-2.7131686755154211E-3</c:v>
                </c:pt>
                <c:pt idx="2952">
                  <c:v>7.9286976922361474E-5</c:v>
                </c:pt>
                <c:pt idx="2953">
                  <c:v>-1.3839410161483797E-2</c:v>
                </c:pt>
                <c:pt idx="2954">
                  <c:v>8.0770937870001339E-3</c:v>
                </c:pt>
                <c:pt idx="2955">
                  <c:v>-1.3048673867472557E-3</c:v>
                </c:pt>
                <c:pt idx="2956">
                  <c:v>1.1745628333713317E-2</c:v>
                </c:pt>
                <c:pt idx="2957">
                  <c:v>6.2840320810455159E-3</c:v>
                </c:pt>
                <c:pt idx="2958">
                  <c:v>5.1944583608864153E-3</c:v>
                </c:pt>
                <c:pt idx="2959">
                  <c:v>4.2838286545689866E-3</c:v>
                </c:pt>
                <c:pt idx="2960">
                  <c:v>-6.2659488852716012E-3</c:v>
                </c:pt>
                <c:pt idx="2961">
                  <c:v>-5.0314774496886677E-3</c:v>
                </c:pt>
                <c:pt idx="2962">
                  <c:v>1.0538619453747615E-2</c:v>
                </c:pt>
                <c:pt idx="2963">
                  <c:v>-9.8321334779938874E-5</c:v>
                </c:pt>
                <c:pt idx="2964">
                  <c:v>-1.349038622382619E-2</c:v>
                </c:pt>
                <c:pt idx="2965">
                  <c:v>-8.5190096941524674E-3</c:v>
                </c:pt>
                <c:pt idx="2966">
                  <c:v>-1.2665186185757991E-2</c:v>
                </c:pt>
                <c:pt idx="2967">
                  <c:v>-1.6869643388467898E-3</c:v>
                </c:pt>
                <c:pt idx="2968">
                  <c:v>7.2394913997594025E-3</c:v>
                </c:pt>
                <c:pt idx="2969">
                  <c:v>-1.4443397939346892E-2</c:v>
                </c:pt>
                <c:pt idx="2970">
                  <c:v>-1.1903071819740901E-2</c:v>
                </c:pt>
                <c:pt idx="2971">
                  <c:v>-4.811871761208667E-3</c:v>
                </c:pt>
                <c:pt idx="2972">
                  <c:v>1.1938544947970331E-2</c:v>
                </c:pt>
                <c:pt idx="2973">
                  <c:v>6.4540892074659807E-3</c:v>
                </c:pt>
                <c:pt idx="2974">
                  <c:v>1.0451180679737281E-2</c:v>
                </c:pt>
                <c:pt idx="2975">
                  <c:v>1.8682956430735833E-2</c:v>
                </c:pt>
                <c:pt idx="2976">
                  <c:v>9.3498696374369732E-3</c:v>
                </c:pt>
                <c:pt idx="2977">
                  <c:v>1.7514263468030517E-3</c:v>
                </c:pt>
                <c:pt idx="2978">
                  <c:v>2.8361156932399829E-3</c:v>
                </c:pt>
                <c:pt idx="2979">
                  <c:v>1.0044332873557552E-3</c:v>
                </c:pt>
                <c:pt idx="2980">
                  <c:v>-8.1167621824379983E-3</c:v>
                </c:pt>
                <c:pt idx="2981">
                  <c:v>1.5495728650985885E-2</c:v>
                </c:pt>
                <c:pt idx="2982">
                  <c:v>-8.3609108519786131E-4</c:v>
                </c:pt>
                <c:pt idx="2983">
                  <c:v>1.8895282757298078E-2</c:v>
                </c:pt>
                <c:pt idx="2984">
                  <c:v>1.5958076771483444E-3</c:v>
                </c:pt>
                <c:pt idx="2985">
                  <c:v>1.1896413835666805E-3</c:v>
                </c:pt>
                <c:pt idx="2986">
                  <c:v>1.2812755985166719E-3</c:v>
                </c:pt>
                <c:pt idx="2987">
                  <c:v>7.3631338909269815E-3</c:v>
                </c:pt>
                <c:pt idx="2988">
                  <c:v>-2.0229887908321687E-3</c:v>
                </c:pt>
                <c:pt idx="2989">
                  <c:v>4.0528664649777243E-3</c:v>
                </c:pt>
                <c:pt idx="2990">
                  <c:v>5.9675559803246874E-4</c:v>
                </c:pt>
                <c:pt idx="2991">
                  <c:v>-1.9561422168003027E-3</c:v>
                </c:pt>
                <c:pt idx="2992">
                  <c:v>9.7964714182290037E-4</c:v>
                </c:pt>
                <c:pt idx="2993">
                  <c:v>-9.4668376742538802E-4</c:v>
                </c:pt>
                <c:pt idx="2994">
                  <c:v>3.7769911916856066E-3</c:v>
                </c:pt>
                <c:pt idx="2995">
                  <c:v>5.8565417006152948E-3</c:v>
                </c:pt>
                <c:pt idx="2996">
                  <c:v>-5.4231665551195962E-3</c:v>
                </c:pt>
                <c:pt idx="2997">
                  <c:v>-5.691170958779145E-4</c:v>
                </c:pt>
                <c:pt idx="2998">
                  <c:v>-3.9137791113844191E-3</c:v>
                </c:pt>
                <c:pt idx="2999">
                  <c:v>7.9366104133129379E-3</c:v>
                </c:pt>
                <c:pt idx="3000">
                  <c:v>4.0870746210065929E-3</c:v>
                </c:pt>
                <c:pt idx="3001">
                  <c:v>3.9168516750811289E-3</c:v>
                </c:pt>
                <c:pt idx="3002">
                  <c:v>4.5887580600857377E-3</c:v>
                </c:pt>
                <c:pt idx="3003">
                  <c:v>1.3558420429298217E-2</c:v>
                </c:pt>
                <c:pt idx="3004">
                  <c:v>2.6435733742609306E-3</c:v>
                </c:pt>
                <c:pt idx="3005">
                  <c:v>-7.6281368101049259E-5</c:v>
                </c:pt>
                <c:pt idx="3006">
                  <c:v>4.5180974872495441E-3</c:v>
                </c:pt>
                <c:pt idx="3007">
                  <c:v>5.8492552349014293E-3</c:v>
                </c:pt>
                <c:pt idx="3008">
                  <c:v>-1.4793144174519959E-2</c:v>
                </c:pt>
                <c:pt idx="3009">
                  <c:v>1.024879009249407E-2</c:v>
                </c:pt>
                <c:pt idx="3010">
                  <c:v>1.6587067997896167E-3</c:v>
                </c:pt>
                <c:pt idx="3011">
                  <c:v>4.2227363999498384E-3</c:v>
                </c:pt>
                <c:pt idx="3012">
                  <c:v>1.429419277681746E-3</c:v>
                </c:pt>
                <c:pt idx="3013">
                  <c:v>3.7010203319937546E-4</c:v>
                </c:pt>
                <c:pt idx="3014">
                  <c:v>-2.8304729998547477E-3</c:v>
                </c:pt>
                <c:pt idx="3015">
                  <c:v>-5.6766608929654707E-3</c:v>
                </c:pt>
                <c:pt idx="3016">
                  <c:v>-8.0486143089745707E-3</c:v>
                </c:pt>
                <c:pt idx="3017">
                  <c:v>-3.434296699869414E-3</c:v>
                </c:pt>
                <c:pt idx="3018">
                  <c:v>1.8240092336748459E-3</c:v>
                </c:pt>
                <c:pt idx="3019">
                  <c:v>1.4015987132365047E-2</c:v>
                </c:pt>
                <c:pt idx="3020">
                  <c:v>-1.4789856520085827E-3</c:v>
                </c:pt>
                <c:pt idx="3021">
                  <c:v>5.6499398196109933E-3</c:v>
                </c:pt>
                <c:pt idx="3022">
                  <c:v>-6.7128903604016395E-4</c:v>
                </c:pt>
                <c:pt idx="3023">
                  <c:v>7.5072645194105983E-4</c:v>
                </c:pt>
                <c:pt idx="3024">
                  <c:v>-3.7382986232446964E-3</c:v>
                </c:pt>
                <c:pt idx="3025">
                  <c:v>-5.6327271267556144E-3</c:v>
                </c:pt>
                <c:pt idx="3026">
                  <c:v>8.7667247395320728E-3</c:v>
                </c:pt>
                <c:pt idx="3027">
                  <c:v>1.2238283870230153E-2</c:v>
                </c:pt>
                <c:pt idx="3028">
                  <c:v>2.1918970535104105E-3</c:v>
                </c:pt>
                <c:pt idx="3029">
                  <c:v>2.917131506229948E-3</c:v>
                </c:pt>
                <c:pt idx="3030">
                  <c:v>8.1165916827587409E-4</c:v>
                </c:pt>
                <c:pt idx="3031">
                  <c:v>5.2465060919916033E-3</c:v>
                </c:pt>
                <c:pt idx="3032">
                  <c:v>-6.52009756234213E-4</c:v>
                </c:pt>
                <c:pt idx="3033">
                  <c:v>7.5283737614565433E-3</c:v>
                </c:pt>
                <c:pt idx="3034">
                  <c:v>-6.0083834993726029E-4</c:v>
                </c:pt>
                <c:pt idx="3035">
                  <c:v>-1.6236787963987382E-2</c:v>
                </c:pt>
                <c:pt idx="3036">
                  <c:v>1.2416277903485802E-2</c:v>
                </c:pt>
                <c:pt idx="3037">
                  <c:v>1.0627786351803241E-2</c:v>
                </c:pt>
                <c:pt idx="3038">
                  <c:v>-3.191464135615035E-3</c:v>
                </c:pt>
                <c:pt idx="3039">
                  <c:v>2.3077617284261594E-3</c:v>
                </c:pt>
                <c:pt idx="3040">
                  <c:v>8.2076669213310503E-3</c:v>
                </c:pt>
                <c:pt idx="3041">
                  <c:v>5.7040100736248747E-4</c:v>
                </c:pt>
                <c:pt idx="3042">
                  <c:v>5.7259755908601927E-3</c:v>
                </c:pt>
                <c:pt idx="3043">
                  <c:v>-9.4940022755554091E-4</c:v>
                </c:pt>
                <c:pt idx="3044">
                  <c:v>-1.3768624761212093E-2</c:v>
                </c:pt>
                <c:pt idx="3045">
                  <c:v>9.5341290968955009E-3</c:v>
                </c:pt>
                <c:pt idx="3046">
                  <c:v>5.8043999917945753E-3</c:v>
                </c:pt>
                <c:pt idx="3047">
                  <c:v>-4.8150123419915631E-3</c:v>
                </c:pt>
                <c:pt idx="3048">
                  <c:v>-6.0234144772223523E-3</c:v>
                </c:pt>
                <c:pt idx="3049">
                  <c:v>1.2633935945864823E-3</c:v>
                </c:pt>
                <c:pt idx="3050">
                  <c:v>2.0902891694828028E-2</c:v>
                </c:pt>
                <c:pt idx="3051">
                  <c:v>3.4788317372660206E-4</c:v>
                </c:pt>
                <c:pt idx="3052">
                  <c:v>-3.7939352461026604E-3</c:v>
                </c:pt>
                <c:pt idx="3053">
                  <c:v>1.7048185442892359E-3</c:v>
                </c:pt>
                <c:pt idx="3054">
                  <c:v>-1.659450476103029E-3</c:v>
                </c:pt>
                <c:pt idx="3055">
                  <c:v>5.2154203933401618E-3</c:v>
                </c:pt>
                <c:pt idx="3056">
                  <c:v>7.9759250577916968E-3</c:v>
                </c:pt>
                <c:pt idx="3057">
                  <c:v>-1.1939974324694175E-3</c:v>
                </c:pt>
                <c:pt idx="3058">
                  <c:v>-1.0245348981574391E-2</c:v>
                </c:pt>
                <c:pt idx="3059">
                  <c:v>5.1279595372516517E-3</c:v>
                </c:pt>
                <c:pt idx="3060">
                  <c:v>1.0251382881397443E-2</c:v>
                </c:pt>
                <c:pt idx="3061">
                  <c:v>-6.5499380656454595E-3</c:v>
                </c:pt>
                <c:pt idx="3062">
                  <c:v>-1.1228682551799477E-3</c:v>
                </c:pt>
                <c:pt idx="3063">
                  <c:v>1.1139497364012345E-2</c:v>
                </c:pt>
                <c:pt idx="3064">
                  <c:v>-1.926391571868686E-3</c:v>
                </c:pt>
                <c:pt idx="3065">
                  <c:v>-2.8752059156686048E-3</c:v>
                </c:pt>
                <c:pt idx="3066">
                  <c:v>-6.5039961169264899E-3</c:v>
                </c:pt>
                <c:pt idx="3067">
                  <c:v>6.2981688751588584E-3</c:v>
                </c:pt>
                <c:pt idx="3068">
                  <c:v>5.6332831318901015E-3</c:v>
                </c:pt>
                <c:pt idx="3069">
                  <c:v>8.8646978273410684E-3</c:v>
                </c:pt>
                <c:pt idx="3070">
                  <c:v>3.2313725131378058E-3</c:v>
                </c:pt>
                <c:pt idx="3071">
                  <c:v>-1.4032464064151588E-3</c:v>
                </c:pt>
                <c:pt idx="3072">
                  <c:v>-3.0595955699421543E-3</c:v>
                </c:pt>
                <c:pt idx="3073">
                  <c:v>-2.8037482252575453E-3</c:v>
                </c:pt>
                <c:pt idx="3074">
                  <c:v>8.5935659407079552E-3</c:v>
                </c:pt>
                <c:pt idx="3075">
                  <c:v>1.1158887706710923E-3</c:v>
                </c:pt>
                <c:pt idx="3076">
                  <c:v>-2.0155996658250933E-3</c:v>
                </c:pt>
                <c:pt idx="3077">
                  <c:v>-7.2653957344673645E-3</c:v>
                </c:pt>
                <c:pt idx="3078">
                  <c:v>1.0904938060488179E-3</c:v>
                </c:pt>
                <c:pt idx="3079">
                  <c:v>-1.2410983057457463E-2</c:v>
                </c:pt>
                <c:pt idx="3080">
                  <c:v>1.1038072569656417E-2</c:v>
                </c:pt>
                <c:pt idx="3081">
                  <c:v>-3.747574930495873E-4</c:v>
                </c:pt>
                <c:pt idx="3082">
                  <c:v>1.4444457627020377E-3</c:v>
                </c:pt>
                <c:pt idx="3083">
                  <c:v>-9.5019783338873547E-3</c:v>
                </c:pt>
                <c:pt idx="3084">
                  <c:v>7.4172372058720279E-3</c:v>
                </c:pt>
                <c:pt idx="3085">
                  <c:v>-1.4657607029448559E-2</c:v>
                </c:pt>
                <c:pt idx="3086">
                  <c:v>-1.2094130563305876E-2</c:v>
                </c:pt>
                <c:pt idx="3087">
                  <c:v>-2.0586901863485071E-3</c:v>
                </c:pt>
                <c:pt idx="3088">
                  <c:v>-5.797336366096615E-3</c:v>
                </c:pt>
                <c:pt idx="3089">
                  <c:v>-2.2106328639260849E-3</c:v>
                </c:pt>
                <c:pt idx="3090">
                  <c:v>-8.7971023365461913E-3</c:v>
                </c:pt>
                <c:pt idx="3091">
                  <c:v>8.6933277348877659E-3</c:v>
                </c:pt>
                <c:pt idx="3092">
                  <c:v>1.1893624576650831E-2</c:v>
                </c:pt>
                <c:pt idx="3093">
                  <c:v>2.1297196541228134E-4</c:v>
                </c:pt>
                <c:pt idx="3094">
                  <c:v>-4.5869419014574458E-3</c:v>
                </c:pt>
                <c:pt idx="3095">
                  <c:v>1.0157373516560254E-2</c:v>
                </c:pt>
                <c:pt idx="3096">
                  <c:v>3.1734156874775382E-3</c:v>
                </c:pt>
                <c:pt idx="3097">
                  <c:v>-1.5855554753445709E-2</c:v>
                </c:pt>
                <c:pt idx="3098">
                  <c:v>-3.4413923648739225E-3</c:v>
                </c:pt>
                <c:pt idx="3099">
                  <c:v>9.0870134013374317E-3</c:v>
                </c:pt>
                <c:pt idx="3100">
                  <c:v>1.247858860899914E-2</c:v>
                </c:pt>
                <c:pt idx="3101">
                  <c:v>1.0273136069376812E-2</c:v>
                </c:pt>
                <c:pt idx="3102">
                  <c:v>1.3425358193505205E-3</c:v>
                </c:pt>
                <c:pt idx="3103">
                  <c:v>-5.7829262956225704E-6</c:v>
                </c:pt>
                <c:pt idx="3104">
                  <c:v>5.0780025958913483E-3</c:v>
                </c:pt>
                <c:pt idx="3105">
                  <c:v>1.6480214063461682E-3</c:v>
                </c:pt>
                <c:pt idx="3106">
                  <c:v>-2.4128455417182781E-4</c:v>
                </c:pt>
                <c:pt idx="3107">
                  <c:v>4.8261000617198218E-3</c:v>
                </c:pt>
                <c:pt idx="3108">
                  <c:v>1.1647879688045933E-2</c:v>
                </c:pt>
                <c:pt idx="3109">
                  <c:v>-2.08387430730016E-3</c:v>
                </c:pt>
                <c:pt idx="3110">
                  <c:v>1.1641104408194052E-3</c:v>
                </c:pt>
                <c:pt idx="3111">
                  <c:v>9.159960683443537E-4</c:v>
                </c:pt>
                <c:pt idx="3112">
                  <c:v>2.498698327390512E-3</c:v>
                </c:pt>
                <c:pt idx="3113">
                  <c:v>-2.7097176835470336E-3</c:v>
                </c:pt>
                <c:pt idx="3114">
                  <c:v>-7.4081767856449404E-3</c:v>
                </c:pt>
                <c:pt idx="3115">
                  <c:v>6.9765789150719763E-3</c:v>
                </c:pt>
                <c:pt idx="3116">
                  <c:v>2.4880404548013993E-4</c:v>
                </c:pt>
                <c:pt idx="3117">
                  <c:v>-7.3943469365055463E-3</c:v>
                </c:pt>
                <c:pt idx="3118">
                  <c:v>-5.9929167225422977E-3</c:v>
                </c:pt>
                <c:pt idx="3119">
                  <c:v>7.9958649115222311E-3</c:v>
                </c:pt>
                <c:pt idx="3120">
                  <c:v>1.1154342969859781E-3</c:v>
                </c:pt>
                <c:pt idx="3121">
                  <c:v>1.5016920495655548E-3</c:v>
                </c:pt>
                <c:pt idx="3122">
                  <c:v>1.1778026448059028E-2</c:v>
                </c:pt>
                <c:pt idx="3123">
                  <c:v>-1.9986943175659869E-4</c:v>
                </c:pt>
                <c:pt idx="3124">
                  <c:v>-1.1158931807150971E-3</c:v>
                </c:pt>
                <c:pt idx="3125">
                  <c:v>2.5775665246065955E-3</c:v>
                </c:pt>
                <c:pt idx="3126">
                  <c:v>2.7067548434573357E-3</c:v>
                </c:pt>
                <c:pt idx="3127">
                  <c:v>8.4677271718827819E-3</c:v>
                </c:pt>
                <c:pt idx="3128">
                  <c:v>2.341828672305396E-3</c:v>
                </c:pt>
                <c:pt idx="3129">
                  <c:v>-3.9391312700216223E-4</c:v>
                </c:pt>
                <c:pt idx="3130">
                  <c:v>7.6351859201040807E-3</c:v>
                </c:pt>
                <c:pt idx="3131">
                  <c:v>2.5181897678469146E-3</c:v>
                </c:pt>
                <c:pt idx="3132">
                  <c:v>-2.5291522760688338E-3</c:v>
                </c:pt>
                <c:pt idx="3133">
                  <c:v>-1.5633874377691908E-3</c:v>
                </c:pt>
                <c:pt idx="3134">
                  <c:v>-3.0698792218004059E-3</c:v>
                </c:pt>
                <c:pt idx="3135">
                  <c:v>3.9259309005764296E-3</c:v>
                </c:pt>
                <c:pt idx="3136">
                  <c:v>1.5711783413408377E-3</c:v>
                </c:pt>
                <c:pt idx="3137">
                  <c:v>9.068706560974762E-4</c:v>
                </c:pt>
                <c:pt idx="3138">
                  <c:v>-4.0919885121458088E-3</c:v>
                </c:pt>
                <c:pt idx="3139">
                  <c:v>2.6720159429360979E-3</c:v>
                </c:pt>
                <c:pt idx="3140">
                  <c:v>6.1762197767835335E-3</c:v>
                </c:pt>
                <c:pt idx="3141">
                  <c:v>5.0715161981972666E-3</c:v>
                </c:pt>
                <c:pt idx="3142">
                  <c:v>5.4339884131971751E-3</c:v>
                </c:pt>
                <c:pt idx="3143">
                  <c:v>1.0161544279964853E-3</c:v>
                </c:pt>
                <c:pt idx="3144">
                  <c:v>7.4081850375864739E-4</c:v>
                </c:pt>
                <c:pt idx="3145">
                  <c:v>1.0156283642139425E-2</c:v>
                </c:pt>
                <c:pt idx="3146">
                  <c:v>-8.8016292301766504E-3</c:v>
                </c:pt>
                <c:pt idx="3147">
                  <c:v>5.5018536287759819E-3</c:v>
                </c:pt>
                <c:pt idx="3148">
                  <c:v>2.822195662042845E-3</c:v>
                </c:pt>
                <c:pt idx="3149">
                  <c:v>6.3690536600414091E-3</c:v>
                </c:pt>
                <c:pt idx="3150">
                  <c:v>-1.4025410555021933E-2</c:v>
                </c:pt>
                <c:pt idx="3151">
                  <c:v>-7.8470804696827295E-3</c:v>
                </c:pt>
                <c:pt idx="3152">
                  <c:v>-7.1659074070294041E-3</c:v>
                </c:pt>
                <c:pt idx="3153">
                  <c:v>1.0734189165974961E-2</c:v>
                </c:pt>
                <c:pt idx="3154">
                  <c:v>-1.5593317997995005E-3</c:v>
                </c:pt>
                <c:pt idx="3155">
                  <c:v>-2.3421178443889513E-2</c:v>
                </c:pt>
                <c:pt idx="3156">
                  <c:v>-5.1559504042484414E-3</c:v>
                </c:pt>
                <c:pt idx="3157">
                  <c:v>1.1029442312488889E-2</c:v>
                </c:pt>
                <c:pt idx="3158">
                  <c:v>8.129903108684501E-4</c:v>
                </c:pt>
                <c:pt idx="3159">
                  <c:v>-4.9724964337360253E-3</c:v>
                </c:pt>
                <c:pt idx="3160">
                  <c:v>1.567000529191805E-2</c:v>
                </c:pt>
                <c:pt idx="3161">
                  <c:v>-1.3788191433053192E-2</c:v>
                </c:pt>
                <c:pt idx="3162">
                  <c:v>-1.8552885294602865E-2</c:v>
                </c:pt>
                <c:pt idx="3163">
                  <c:v>-3.0427045496882188E-2</c:v>
                </c:pt>
                <c:pt idx="3164">
                  <c:v>1.0300905557719547E-2</c:v>
                </c:pt>
                <c:pt idx="3165">
                  <c:v>-7.7647563892511828E-3</c:v>
                </c:pt>
                <c:pt idx="3166">
                  <c:v>2.2781128575607587E-2</c:v>
                </c:pt>
                <c:pt idx="3167">
                  <c:v>4.660780212150723E-3</c:v>
                </c:pt>
                <c:pt idx="3168">
                  <c:v>4.3036707511422095E-5</c:v>
                </c:pt>
                <c:pt idx="3169">
                  <c:v>1.6707226654933075E-2</c:v>
                </c:pt>
                <c:pt idx="3170">
                  <c:v>3.816476067632372E-3</c:v>
                </c:pt>
                <c:pt idx="3171">
                  <c:v>1.6004444012785939E-2</c:v>
                </c:pt>
                <c:pt idx="3172">
                  <c:v>1.9878411263283945E-3</c:v>
                </c:pt>
                <c:pt idx="3173">
                  <c:v>9.6753274361777754E-3</c:v>
                </c:pt>
                <c:pt idx="3174">
                  <c:v>-1.9865481747165059E-3</c:v>
                </c:pt>
                <c:pt idx="3175">
                  <c:v>4.2307182841846242E-3</c:v>
                </c:pt>
                <c:pt idx="3176">
                  <c:v>-8.9729494254644684E-3</c:v>
                </c:pt>
                <c:pt idx="3177">
                  <c:v>1.1417986208502448E-2</c:v>
                </c:pt>
                <c:pt idx="3178">
                  <c:v>-3.1587066155747872E-3</c:v>
                </c:pt>
                <c:pt idx="3179">
                  <c:v>1.5939320118754585E-3</c:v>
                </c:pt>
                <c:pt idx="3180">
                  <c:v>-5.9939669454233853E-3</c:v>
                </c:pt>
                <c:pt idx="3181">
                  <c:v>-3.934142455813639E-5</c:v>
                </c:pt>
                <c:pt idx="3182">
                  <c:v>1.0042467382856683E-2</c:v>
                </c:pt>
                <c:pt idx="3183">
                  <c:v>-2.137801245458143E-2</c:v>
                </c:pt>
                <c:pt idx="3184">
                  <c:v>-1.6037653903594354E-3</c:v>
                </c:pt>
                <c:pt idx="3185">
                  <c:v>-3.0226412501879545E-3</c:v>
                </c:pt>
                <c:pt idx="3186">
                  <c:v>-1.7410901670867562E-2</c:v>
                </c:pt>
                <c:pt idx="3187">
                  <c:v>1.1513555690021488E-2</c:v>
                </c:pt>
                <c:pt idx="3188">
                  <c:v>4.4626607244902189E-3</c:v>
                </c:pt>
                <c:pt idx="3189">
                  <c:v>1.0608580303038784E-2</c:v>
                </c:pt>
                <c:pt idx="3190">
                  <c:v>7.46737294203047E-3</c:v>
                </c:pt>
                <c:pt idx="3191">
                  <c:v>5.3930968783714164E-3</c:v>
                </c:pt>
                <c:pt idx="3192">
                  <c:v>1.2558720767880025E-3</c:v>
                </c:pt>
                <c:pt idx="3193">
                  <c:v>2.6447349073670164E-4</c:v>
                </c:pt>
                <c:pt idx="3194">
                  <c:v>-2.9006031263851696E-3</c:v>
                </c:pt>
                <c:pt idx="3195">
                  <c:v>1.6834291247586949E-2</c:v>
                </c:pt>
                <c:pt idx="3196">
                  <c:v>-1.942855451501775E-3</c:v>
                </c:pt>
                <c:pt idx="3197">
                  <c:v>2.8053309143568263E-3</c:v>
                </c:pt>
                <c:pt idx="3198">
                  <c:v>2.5079697029956895E-3</c:v>
                </c:pt>
                <c:pt idx="3199">
                  <c:v>-1.8629115860669923E-3</c:v>
                </c:pt>
                <c:pt idx="3200">
                  <c:v>4.0304808028723289E-3</c:v>
                </c:pt>
                <c:pt idx="3201">
                  <c:v>-1.2539688882457197E-3</c:v>
                </c:pt>
                <c:pt idx="3202">
                  <c:v>4.227593432856073E-3</c:v>
                </c:pt>
                <c:pt idx="3203">
                  <c:v>-9.3678520838370288E-3</c:v>
                </c:pt>
                <c:pt idx="3204">
                  <c:v>1.3837448536698041E-4</c:v>
                </c:pt>
                <c:pt idx="3205">
                  <c:v>-1.6828115331257495E-3</c:v>
                </c:pt>
                <c:pt idx="3206">
                  <c:v>8.9302759844378885E-3</c:v>
                </c:pt>
                <c:pt idx="3207">
                  <c:v>-9.6322841074211688E-3</c:v>
                </c:pt>
                <c:pt idx="3208">
                  <c:v>9.6427168941927138E-3</c:v>
                </c:pt>
                <c:pt idx="3209">
                  <c:v>7.0882038963943272E-3</c:v>
                </c:pt>
                <c:pt idx="3210">
                  <c:v>-2.0722279710146596E-3</c:v>
                </c:pt>
                <c:pt idx="3211">
                  <c:v>6.0336118627852325E-3</c:v>
                </c:pt>
                <c:pt idx="3212">
                  <c:v>7.6780609629941675E-3</c:v>
                </c:pt>
                <c:pt idx="3213">
                  <c:v>-7.6385090687541464E-3</c:v>
                </c:pt>
                <c:pt idx="3214">
                  <c:v>4.6681557065759915E-3</c:v>
                </c:pt>
                <c:pt idx="3215">
                  <c:v>-1.7117513483320916E-4</c:v>
                </c:pt>
                <c:pt idx="3216">
                  <c:v>3.9637370431245362E-3</c:v>
                </c:pt>
                <c:pt idx="3217">
                  <c:v>-1.8244427413090425E-3</c:v>
                </c:pt>
                <c:pt idx="3218">
                  <c:v>-4.7500338350551163E-4</c:v>
                </c:pt>
                <c:pt idx="3219">
                  <c:v>-9.2337774119530536E-3</c:v>
                </c:pt>
                <c:pt idx="3220">
                  <c:v>2.1434831869283494E-3</c:v>
                </c:pt>
                <c:pt idx="3221">
                  <c:v>-2.9953572187414154E-4</c:v>
                </c:pt>
                <c:pt idx="3222">
                  <c:v>2.6479514493707988E-3</c:v>
                </c:pt>
                <c:pt idx="3223">
                  <c:v>1.6128426925638532E-3</c:v>
                </c:pt>
                <c:pt idx="3224">
                  <c:v>-3.3056916281390038E-3</c:v>
                </c:pt>
                <c:pt idx="3225">
                  <c:v>-1.8790182599519829E-2</c:v>
                </c:pt>
                <c:pt idx="3226">
                  <c:v>4.0842263302362366E-3</c:v>
                </c:pt>
                <c:pt idx="3227">
                  <c:v>-2.8160686495115016E-3</c:v>
                </c:pt>
                <c:pt idx="3228">
                  <c:v>1.219106130274809E-2</c:v>
                </c:pt>
                <c:pt idx="3229">
                  <c:v>2.4981233838896531E-2</c:v>
                </c:pt>
                <c:pt idx="3230">
                  <c:v>7.4037444129894632E-3</c:v>
                </c:pt>
                <c:pt idx="3231">
                  <c:v>3.7498038697994338E-3</c:v>
                </c:pt>
                <c:pt idx="3232">
                  <c:v>9.6858443383637458E-4</c:v>
                </c:pt>
                <c:pt idx="3233">
                  <c:v>-2.8968743715661891E-3</c:v>
                </c:pt>
                <c:pt idx="3234">
                  <c:v>2.322595101076364E-4</c:v>
                </c:pt>
                <c:pt idx="3235">
                  <c:v>-6.0681150291174617E-3</c:v>
                </c:pt>
                <c:pt idx="3236">
                  <c:v>-1.3291463960568205E-2</c:v>
                </c:pt>
                <c:pt idx="3237">
                  <c:v>3.9101598241076656E-3</c:v>
                </c:pt>
                <c:pt idx="3238">
                  <c:v>3.9557737052673715E-3</c:v>
                </c:pt>
                <c:pt idx="3239">
                  <c:v>2.1970426117316337E-5</c:v>
                </c:pt>
                <c:pt idx="3240">
                  <c:v>5.3262353051749837E-3</c:v>
                </c:pt>
                <c:pt idx="3241">
                  <c:v>3.4619792004100735E-3</c:v>
                </c:pt>
                <c:pt idx="3242">
                  <c:v>3.015882072251307E-3</c:v>
                </c:pt>
                <c:pt idx="3243">
                  <c:v>5.7057361888066833E-3</c:v>
                </c:pt>
                <c:pt idx="3244">
                  <c:v>-3.8085396153748753E-3</c:v>
                </c:pt>
                <c:pt idx="3245">
                  <c:v>5.5921788939180331E-3</c:v>
                </c:pt>
                <c:pt idx="3246">
                  <c:v>2.4454606033056034E-3</c:v>
                </c:pt>
                <c:pt idx="3247">
                  <c:v>4.5135046310470323E-4</c:v>
                </c:pt>
                <c:pt idx="3248">
                  <c:v>6.0331237505021089E-3</c:v>
                </c:pt>
                <c:pt idx="3249">
                  <c:v>-1.8714648272306858E-3</c:v>
                </c:pt>
                <c:pt idx="3250">
                  <c:v>2.4923196558419955E-3</c:v>
                </c:pt>
                <c:pt idx="3251">
                  <c:v>-6.1631802121963038E-3</c:v>
                </c:pt>
                <c:pt idx="3252">
                  <c:v>-2.9682940713745675E-3</c:v>
                </c:pt>
                <c:pt idx="3253">
                  <c:v>8.1326619328850828E-3</c:v>
                </c:pt>
                <c:pt idx="3254">
                  <c:v>-5.4287410919564485E-3</c:v>
                </c:pt>
                <c:pt idx="3255">
                  <c:v>-2.6441167577320025E-5</c:v>
                </c:pt>
                <c:pt idx="3256">
                  <c:v>3.7921163249597686E-3</c:v>
                </c:pt>
                <c:pt idx="3257">
                  <c:v>-3.8714440227630084E-3</c:v>
                </c:pt>
                <c:pt idx="3258">
                  <c:v>-2.9936554508987644E-2</c:v>
                </c:pt>
                <c:pt idx="3259">
                  <c:v>-8.6547345775283581E-4</c:v>
                </c:pt>
                <c:pt idx="3260">
                  <c:v>1.0810476252410672E-2</c:v>
                </c:pt>
                <c:pt idx="3261">
                  <c:v>7.2608954754625398E-3</c:v>
                </c:pt>
                <c:pt idx="3262">
                  <c:v>1.0982197273831982E-2</c:v>
                </c:pt>
                <c:pt idx="3263">
                  <c:v>-4.0570874146761795E-4</c:v>
                </c:pt>
                <c:pt idx="3264">
                  <c:v>-1.111730467559637E-2</c:v>
                </c:pt>
                <c:pt idx="3265">
                  <c:v>-1.0759690191101295E-2</c:v>
                </c:pt>
                <c:pt idx="3266">
                  <c:v>-4.2939964541344501E-3</c:v>
                </c:pt>
                <c:pt idx="3267">
                  <c:v>-2.2263497925529528E-3</c:v>
                </c:pt>
                <c:pt idx="3268">
                  <c:v>1.2517287272659085E-2</c:v>
                </c:pt>
                <c:pt idx="3269">
                  <c:v>5.5228222624888485E-3</c:v>
                </c:pt>
                <c:pt idx="3270">
                  <c:v>-1.116600476981219E-2</c:v>
                </c:pt>
                <c:pt idx="3271">
                  <c:v>1.559107735282887E-3</c:v>
                </c:pt>
                <c:pt idx="3272">
                  <c:v>-1.5531644353894208E-2</c:v>
                </c:pt>
                <c:pt idx="3273">
                  <c:v>1.5741742695762329E-3</c:v>
                </c:pt>
                <c:pt idx="3274">
                  <c:v>1.1456334044923633E-3</c:v>
                </c:pt>
                <c:pt idx="3275">
                  <c:v>1.8147132985426716E-2</c:v>
                </c:pt>
                <c:pt idx="3276">
                  <c:v>-2.1148717634665781E-3</c:v>
                </c:pt>
                <c:pt idx="3277">
                  <c:v>9.9414259357241096E-3</c:v>
                </c:pt>
                <c:pt idx="3278">
                  <c:v>8.7299967522312897E-3</c:v>
                </c:pt>
                <c:pt idx="3279">
                  <c:v>6.1192005774427091E-3</c:v>
                </c:pt>
                <c:pt idx="3280">
                  <c:v>5.2994450977238887E-3</c:v>
                </c:pt>
                <c:pt idx="3281">
                  <c:v>-2.8592607828964826E-3</c:v>
                </c:pt>
                <c:pt idx="3282">
                  <c:v>-1.4687984883634318E-2</c:v>
                </c:pt>
                <c:pt idx="3283">
                  <c:v>9.1755762546756169E-3</c:v>
                </c:pt>
                <c:pt idx="3284">
                  <c:v>-4.6898535700948913E-3</c:v>
                </c:pt>
                <c:pt idx="3285">
                  <c:v>5.2615707224356184E-3</c:v>
                </c:pt>
                <c:pt idx="3286">
                  <c:v>-5.0595812914254659E-3</c:v>
                </c:pt>
                <c:pt idx="3287">
                  <c:v>-7.637696973119063E-3</c:v>
                </c:pt>
                <c:pt idx="3288">
                  <c:v>7.1988974883324779E-3</c:v>
                </c:pt>
                <c:pt idx="3289">
                  <c:v>3.9010377290886913E-3</c:v>
                </c:pt>
                <c:pt idx="3290">
                  <c:v>3.637700027498819E-3</c:v>
                </c:pt>
                <c:pt idx="3291">
                  <c:v>-9.5099134821077444E-3</c:v>
                </c:pt>
                <c:pt idx="3292">
                  <c:v>6.6901608481496353E-3</c:v>
                </c:pt>
                <c:pt idx="3293">
                  <c:v>3.3951548500248807E-4</c:v>
                </c:pt>
                <c:pt idx="3294">
                  <c:v>-2.7276186894511618E-3</c:v>
                </c:pt>
                <c:pt idx="3295">
                  <c:v>1.0372377459622351E-2</c:v>
                </c:pt>
                <c:pt idx="3296">
                  <c:v>-7.1955976056534599E-5</c:v>
                </c:pt>
                <c:pt idx="3297">
                  <c:v>2.4419717448794743E-3</c:v>
                </c:pt>
                <c:pt idx="3298">
                  <c:v>2.3741775065794562E-3</c:v>
                </c:pt>
                <c:pt idx="3299">
                  <c:v>-4.3436239711486854E-3</c:v>
                </c:pt>
                <c:pt idx="3300">
                  <c:v>-1.7211373991262081E-2</c:v>
                </c:pt>
                <c:pt idx="3301">
                  <c:v>-4.9815130548550111E-3</c:v>
                </c:pt>
                <c:pt idx="3302">
                  <c:v>-4.690715138395557E-3</c:v>
                </c:pt>
                <c:pt idx="3303">
                  <c:v>1.3600519191397061E-4</c:v>
                </c:pt>
                <c:pt idx="3304">
                  <c:v>-1.5991702852089028E-2</c:v>
                </c:pt>
                <c:pt idx="3305">
                  <c:v>1.5729750431897126E-2</c:v>
                </c:pt>
                <c:pt idx="3306">
                  <c:v>-1.7753439375493379E-2</c:v>
                </c:pt>
                <c:pt idx="3307">
                  <c:v>-1.2310234603366469E-2</c:v>
                </c:pt>
                <c:pt idx="3308">
                  <c:v>1.1097475685101249E-2</c:v>
                </c:pt>
                <c:pt idx="3309">
                  <c:v>-1.7979700568310077E-2</c:v>
                </c:pt>
                <c:pt idx="3310">
                  <c:v>5.5054046005090125E-3</c:v>
                </c:pt>
                <c:pt idx="3311">
                  <c:v>-2.7343518375984407E-2</c:v>
                </c:pt>
                <c:pt idx="3312">
                  <c:v>-7.596604935651537E-3</c:v>
                </c:pt>
                <c:pt idx="3313">
                  <c:v>4.8749712752344252E-3</c:v>
                </c:pt>
                <c:pt idx="3314">
                  <c:v>-1.3988405225352909E-2</c:v>
                </c:pt>
                <c:pt idx="3315">
                  <c:v>2.1042919881408308E-2</c:v>
                </c:pt>
                <c:pt idx="3316">
                  <c:v>6.3956039343475201E-3</c:v>
                </c:pt>
                <c:pt idx="3317">
                  <c:v>-1.071067425391002E-2</c:v>
                </c:pt>
                <c:pt idx="3318">
                  <c:v>1.0740629118978858E-2</c:v>
                </c:pt>
                <c:pt idx="3319">
                  <c:v>-2.1873007738032347E-3</c:v>
                </c:pt>
                <c:pt idx="3320">
                  <c:v>8.2432741231720308E-4</c:v>
                </c:pt>
                <c:pt idx="3321">
                  <c:v>1.7492157944606672E-2</c:v>
                </c:pt>
                <c:pt idx="3322">
                  <c:v>1.5730819184730236E-3</c:v>
                </c:pt>
                <c:pt idx="3323">
                  <c:v>-1.1219691455108281E-2</c:v>
                </c:pt>
                <c:pt idx="3324">
                  <c:v>-3.3124371066493626E-3</c:v>
                </c:pt>
                <c:pt idx="3325">
                  <c:v>-1.9934580336265845E-2</c:v>
                </c:pt>
                <c:pt idx="3326">
                  <c:v>5.523212456950013E-3</c:v>
                </c:pt>
                <c:pt idx="3327">
                  <c:v>3.7741531622356647E-3</c:v>
                </c:pt>
                <c:pt idx="3328">
                  <c:v>6.7055923394208307E-3</c:v>
                </c:pt>
                <c:pt idx="3329">
                  <c:v>-4.9605877563395052E-2</c:v>
                </c:pt>
                <c:pt idx="3330">
                  <c:v>-6.160907367588022E-2</c:v>
                </c:pt>
                <c:pt idx="3331">
                  <c:v>-2.3341792090838189E-3</c:v>
                </c:pt>
                <c:pt idx="3332">
                  <c:v>-1.5825087196812301E-2</c:v>
                </c:pt>
                <c:pt idx="3333">
                  <c:v>9.0894901648714818E-2</c:v>
                </c:pt>
                <c:pt idx="3334">
                  <c:v>-3.5220587845117973E-2</c:v>
                </c:pt>
                <c:pt idx="3335">
                  <c:v>1.7930369252113488E-2</c:v>
                </c:pt>
                <c:pt idx="3336">
                  <c:v>7.9132540931510648E-3</c:v>
                </c:pt>
                <c:pt idx="3337">
                  <c:v>-1.7292137684181356E-3</c:v>
                </c:pt>
                <c:pt idx="3338">
                  <c:v>-2.2663312700996363E-2</c:v>
                </c:pt>
                <c:pt idx="3339">
                  <c:v>1.3259586728286152E-3</c:v>
                </c:pt>
                <c:pt idx="3340">
                  <c:v>-2.3849649226388613E-2</c:v>
                </c:pt>
                <c:pt idx="3341">
                  <c:v>2.4807034313980802E-2</c:v>
                </c:pt>
                <c:pt idx="3342">
                  <c:v>1.6523845474794581E-2</c:v>
                </c:pt>
                <c:pt idx="3343">
                  <c:v>2.005659908960853E-2</c:v>
                </c:pt>
                <c:pt idx="3344">
                  <c:v>7.3460954265644985E-3</c:v>
                </c:pt>
                <c:pt idx="3345">
                  <c:v>6.4049446913477337E-4</c:v>
                </c:pt>
                <c:pt idx="3346">
                  <c:v>5.7856274963946795E-3</c:v>
                </c:pt>
                <c:pt idx="3347">
                  <c:v>1.4789007797954687E-3</c:v>
                </c:pt>
                <c:pt idx="3348">
                  <c:v>6.2793318417251861E-3</c:v>
                </c:pt>
                <c:pt idx="3349">
                  <c:v>1.4619229243407843E-2</c:v>
                </c:pt>
                <c:pt idx="3350">
                  <c:v>-6.4020400278313339E-3</c:v>
                </c:pt>
                <c:pt idx="3351">
                  <c:v>-7.7230338855465552E-3</c:v>
                </c:pt>
                <c:pt idx="3352">
                  <c:v>4.3370041259597454E-3</c:v>
                </c:pt>
                <c:pt idx="3353">
                  <c:v>5.7829933406661335E-3</c:v>
                </c:pt>
                <c:pt idx="3354">
                  <c:v>-7.117720863733933E-4</c:v>
                </c:pt>
                <c:pt idx="3355">
                  <c:v>3.204001430944952E-2</c:v>
                </c:pt>
                <c:pt idx="3356">
                  <c:v>7.2220821737149429E-3</c:v>
                </c:pt>
                <c:pt idx="3357">
                  <c:v>1.0238448046247569E-3</c:v>
                </c:pt>
                <c:pt idx="3358">
                  <c:v>4.1238009887726761E-3</c:v>
                </c:pt>
                <c:pt idx="3359">
                  <c:v>6.9808987439629782E-3</c:v>
                </c:pt>
                <c:pt idx="3360">
                  <c:v>8.7569352298437302E-4</c:v>
                </c:pt>
                <c:pt idx="3361">
                  <c:v>-3.8877541185178555E-3</c:v>
                </c:pt>
                <c:pt idx="3362">
                  <c:v>-1.6266702451148567E-2</c:v>
                </c:pt>
                <c:pt idx="3363">
                  <c:v>-4.4495329580252299E-4</c:v>
                </c:pt>
                <c:pt idx="3364">
                  <c:v>-6.7309094179872579E-3</c:v>
                </c:pt>
                <c:pt idx="3365">
                  <c:v>2.025254391312099E-2</c:v>
                </c:pt>
                <c:pt idx="3366">
                  <c:v>-5.586762811582561E-3</c:v>
                </c:pt>
                <c:pt idx="3367">
                  <c:v>4.0031509167171844E-3</c:v>
                </c:pt>
                <c:pt idx="3368">
                  <c:v>-8.119175975762441E-5</c:v>
                </c:pt>
                <c:pt idx="3369">
                  <c:v>4.0936514501346477E-3</c:v>
                </c:pt>
                <c:pt idx="3370">
                  <c:v>5.7835040361739996E-3</c:v>
                </c:pt>
                <c:pt idx="3371">
                  <c:v>7.3694559532491577E-5</c:v>
                </c:pt>
                <c:pt idx="3372">
                  <c:v>-5.2913152805629804E-3</c:v>
                </c:pt>
                <c:pt idx="3373">
                  <c:v>1.0228186115699976E-2</c:v>
                </c:pt>
                <c:pt idx="3374">
                  <c:v>9.1952191342837999E-4</c:v>
                </c:pt>
                <c:pt idx="3375">
                  <c:v>5.4679833266549453E-3</c:v>
                </c:pt>
                <c:pt idx="3376">
                  <c:v>-2.7476895336661002E-3</c:v>
                </c:pt>
                <c:pt idx="3377">
                  <c:v>3.815210759964134E-3</c:v>
                </c:pt>
                <c:pt idx="3378">
                  <c:v>-1.1360743305409217E-2</c:v>
                </c:pt>
                <c:pt idx="3379">
                  <c:v>9.3488817548551834E-3</c:v>
                </c:pt>
                <c:pt idx="3380">
                  <c:v>-8.3873182957623672E-3</c:v>
                </c:pt>
                <c:pt idx="3381">
                  <c:v>-3.0927171772794648E-4</c:v>
                </c:pt>
                <c:pt idx="3382">
                  <c:v>-2.1809894398640384E-3</c:v>
                </c:pt>
                <c:pt idx="3383">
                  <c:v>9.5606418556962881E-3</c:v>
                </c:pt>
                <c:pt idx="3384">
                  <c:v>1.1060286796932295E-2</c:v>
                </c:pt>
                <c:pt idx="3385">
                  <c:v>-3.2829024797798922E-6</c:v>
                </c:pt>
                <c:pt idx="3386">
                  <c:v>7.9881534997771932E-3</c:v>
                </c:pt>
                <c:pt idx="3387">
                  <c:v>5.2054309121066676E-3</c:v>
                </c:pt>
                <c:pt idx="3388">
                  <c:v>5.1510775537443156E-3</c:v>
                </c:pt>
                <c:pt idx="3389">
                  <c:v>-1.1190878184368853E-3</c:v>
                </c:pt>
                <c:pt idx="3390">
                  <c:v>4.7338490372572867E-3</c:v>
                </c:pt>
                <c:pt idx="3391">
                  <c:v>8.3043501133723049E-3</c:v>
                </c:pt>
                <c:pt idx="3392">
                  <c:v>-7.8933494172341197E-3</c:v>
                </c:pt>
                <c:pt idx="3393">
                  <c:v>-7.1614952279967596E-4</c:v>
                </c:pt>
                <c:pt idx="3394">
                  <c:v>6.0438433346768419E-3</c:v>
                </c:pt>
                <c:pt idx="3395">
                  <c:v>2.7424098720043449E-3</c:v>
                </c:pt>
                <c:pt idx="3396">
                  <c:v>-3.3029779929135954E-3</c:v>
                </c:pt>
                <c:pt idx="3397">
                  <c:v>1.4064149836943984E-3</c:v>
                </c:pt>
                <c:pt idx="3398">
                  <c:v>-3.9640981809521275E-3</c:v>
                </c:pt>
                <c:pt idx="3399">
                  <c:v>3.1884998062567844E-3</c:v>
                </c:pt>
                <c:pt idx="3400">
                  <c:v>5.359433132147322E-3</c:v>
                </c:pt>
                <c:pt idx="3401">
                  <c:v>-9.051821685285016E-5</c:v>
                </c:pt>
                <c:pt idx="3402">
                  <c:v>1.3981477220053166E-3</c:v>
                </c:pt>
                <c:pt idx="3403">
                  <c:v>6.3732541106239072E-4</c:v>
                </c:pt>
                <c:pt idx="3404">
                  <c:v>7.7815261467118115E-3</c:v>
                </c:pt>
                <c:pt idx="3405">
                  <c:v>6.9798922208170696E-4</c:v>
                </c:pt>
                <c:pt idx="3406">
                  <c:v>3.9664449480632307E-3</c:v>
                </c:pt>
                <c:pt idx="3407">
                  <c:v>1.7686081491285848E-4</c:v>
                </c:pt>
                <c:pt idx="3408">
                  <c:v>-2.9638056808081927E-3</c:v>
                </c:pt>
                <c:pt idx="3409">
                  <c:v>-1.2502200507663753E-3</c:v>
                </c:pt>
                <c:pt idx="3410">
                  <c:v>-3.701698960678981E-3</c:v>
                </c:pt>
                <c:pt idx="3411">
                  <c:v>-1.6121328046944453E-2</c:v>
                </c:pt>
                <c:pt idx="3412">
                  <c:v>1.4629536175939909E-2</c:v>
                </c:pt>
                <c:pt idx="3413">
                  <c:v>-4.8697037352752534E-3</c:v>
                </c:pt>
                <c:pt idx="3414">
                  <c:v>7.255503683515384E-3</c:v>
                </c:pt>
                <c:pt idx="3415">
                  <c:v>-7.9778893728174702E-4</c:v>
                </c:pt>
                <c:pt idx="3416">
                  <c:v>7.7694242484223387E-3</c:v>
                </c:pt>
                <c:pt idx="3417">
                  <c:v>-2.5072684706233723E-3</c:v>
                </c:pt>
                <c:pt idx="3418">
                  <c:v>1.1281626080988628E-2</c:v>
                </c:pt>
                <c:pt idx="3419">
                  <c:v>3.2248249415864237E-3</c:v>
                </c:pt>
                <c:pt idx="3420">
                  <c:v>3.0305092105848265E-4</c:v>
                </c:pt>
                <c:pt idx="3421">
                  <c:v>-2.9013035955741404E-3</c:v>
                </c:pt>
                <c:pt idx="3422">
                  <c:v>-1.0078339718365875E-4</c:v>
                </c:pt>
                <c:pt idx="3423">
                  <c:v>-5.8753625327812135E-3</c:v>
                </c:pt>
                <c:pt idx="3424">
                  <c:v>-2.4345787627045859E-3</c:v>
                </c:pt>
                <c:pt idx="3425">
                  <c:v>-4.0122410562429415E-3</c:v>
                </c:pt>
                <c:pt idx="3426">
                  <c:v>1.5072248733123567E-2</c:v>
                </c:pt>
                <c:pt idx="3427">
                  <c:v>-4.2754610800767165E-3</c:v>
                </c:pt>
                <c:pt idx="3428">
                  <c:v>4.1254554739158684E-3</c:v>
                </c:pt>
                <c:pt idx="3429">
                  <c:v>2.3881364585491512E-3</c:v>
                </c:pt>
                <c:pt idx="3430">
                  <c:v>3.1517534019497762E-3</c:v>
                </c:pt>
                <c:pt idx="3431">
                  <c:v>-6.4187251509291582E-3</c:v>
                </c:pt>
                <c:pt idx="3432">
                  <c:v>-6.9463924292620972E-3</c:v>
                </c:pt>
                <c:pt idx="3433">
                  <c:v>5.0871547386880968E-3</c:v>
                </c:pt>
                <c:pt idx="3434">
                  <c:v>8.3117987404724356E-3</c:v>
                </c:pt>
                <c:pt idx="3435">
                  <c:v>-3.1701606545509482E-3</c:v>
                </c:pt>
                <c:pt idx="3436">
                  <c:v>2.1037794861457856E-3</c:v>
                </c:pt>
                <c:pt idx="3437">
                  <c:v>2.6845529877440578E-3</c:v>
                </c:pt>
                <c:pt idx="3438">
                  <c:v>2.9790012563325726E-3</c:v>
                </c:pt>
                <c:pt idx="3439">
                  <c:v>8.4500609892315826E-3</c:v>
                </c:pt>
                <c:pt idx="3440">
                  <c:v>-4.8285120011051867E-4</c:v>
                </c:pt>
                <c:pt idx="3441">
                  <c:v>4.6956161361366338E-3</c:v>
                </c:pt>
                <c:pt idx="3442">
                  <c:v>-1.2887574351968891E-3</c:v>
                </c:pt>
                <c:pt idx="3443">
                  <c:v>-9.7068934889039981E-4</c:v>
                </c:pt>
                <c:pt idx="3444">
                  <c:v>4.7777085223636995E-3</c:v>
                </c:pt>
                <c:pt idx="3445">
                  <c:v>4.87353856235327E-3</c:v>
                </c:pt>
                <c:pt idx="3446">
                  <c:v>4.4003301998515008E-3</c:v>
                </c:pt>
                <c:pt idx="3447">
                  <c:v>-5.517340092831724E-3</c:v>
                </c:pt>
                <c:pt idx="3448">
                  <c:v>-2.8507212670841439E-3</c:v>
                </c:pt>
                <c:pt idx="3449">
                  <c:v>-5.0216489054652645E-3</c:v>
                </c:pt>
                <c:pt idx="3450">
                  <c:v>5.8844922610819797E-3</c:v>
                </c:pt>
                <c:pt idx="3451">
                  <c:v>2.6321125222386276E-3</c:v>
                </c:pt>
                <c:pt idx="3452">
                  <c:v>4.08250358961618E-3</c:v>
                </c:pt>
                <c:pt idx="3453">
                  <c:v>3.3941192284702741E-3</c:v>
                </c:pt>
                <c:pt idx="3454">
                  <c:v>6.1817818161168602E-4</c:v>
                </c:pt>
                <c:pt idx="3455">
                  <c:v>6.5519382592537398E-5</c:v>
                </c:pt>
                <c:pt idx="3456">
                  <c:v>3.6399969738822847E-3</c:v>
                </c:pt>
                <c:pt idx="3457">
                  <c:v>-3.818696311234345E-3</c:v>
                </c:pt>
                <c:pt idx="3458">
                  <c:v>5.8106934127934015E-3</c:v>
                </c:pt>
                <c:pt idx="3459">
                  <c:v>-2.7593218696984716E-3</c:v>
                </c:pt>
                <c:pt idx="3460">
                  <c:v>-2.748595997057204E-2</c:v>
                </c:pt>
                <c:pt idx="3461">
                  <c:v>1.5478194983781826E-2</c:v>
                </c:pt>
                <c:pt idx="3462">
                  <c:v>-1.565528031162684E-3</c:v>
                </c:pt>
                <c:pt idx="3463">
                  <c:v>4.0179185387894355E-3</c:v>
                </c:pt>
                <c:pt idx="3464">
                  <c:v>-6.3142449751388335E-3</c:v>
                </c:pt>
                <c:pt idx="3465">
                  <c:v>5.2568825980633324E-3</c:v>
                </c:pt>
                <c:pt idx="3466">
                  <c:v>1.0615706365319902E-2</c:v>
                </c:pt>
                <c:pt idx="3467">
                  <c:v>3.2664017914663565E-5</c:v>
                </c:pt>
                <c:pt idx="3468">
                  <c:v>-5.3518056988170791E-3</c:v>
                </c:pt>
                <c:pt idx="3469">
                  <c:v>5.8104739805954339E-3</c:v>
                </c:pt>
                <c:pt idx="3470">
                  <c:v>7.8713619070685803E-3</c:v>
                </c:pt>
                <c:pt idx="3471">
                  <c:v>1.2215109973364811E-2</c:v>
                </c:pt>
                <c:pt idx="3472">
                  <c:v>2.2853333884670069E-3</c:v>
                </c:pt>
                <c:pt idx="3473">
                  <c:v>-4.3536688374153406E-5</c:v>
                </c:pt>
                <c:pt idx="3474">
                  <c:v>-9.9541911976876295E-3</c:v>
                </c:pt>
                <c:pt idx="3475">
                  <c:v>2.6144494615600103E-3</c:v>
                </c:pt>
                <c:pt idx="3476">
                  <c:v>1.7192311955086541E-3</c:v>
                </c:pt>
                <c:pt idx="3477">
                  <c:v>-1.1806190194192139E-2</c:v>
                </c:pt>
                <c:pt idx="3478">
                  <c:v>3.6468630849652776E-3</c:v>
                </c:pt>
                <c:pt idx="3479">
                  <c:v>-1.1241102610422679E-2</c:v>
                </c:pt>
                <c:pt idx="3480">
                  <c:v>1.2610492171643028E-3</c:v>
                </c:pt>
                <c:pt idx="3481">
                  <c:v>1.5283571949665772E-2</c:v>
                </c:pt>
                <c:pt idx="3482">
                  <c:v>2.0732456487022851E-3</c:v>
                </c:pt>
                <c:pt idx="3483">
                  <c:v>6.2931056069833119E-4</c:v>
                </c:pt>
                <c:pt idx="3484">
                  <c:v>-1.6695497821198804E-2</c:v>
                </c:pt>
                <c:pt idx="3485">
                  <c:v>-5.0179638215562831E-4</c:v>
                </c:pt>
                <c:pt idx="3486">
                  <c:v>-9.2045416140541063E-3</c:v>
                </c:pt>
                <c:pt idx="3487">
                  <c:v>-8.290659863030455E-3</c:v>
                </c:pt>
                <c:pt idx="3488">
                  <c:v>3.7467576494783256E-3</c:v>
                </c:pt>
                <c:pt idx="3489">
                  <c:v>-1.5689666748388537E-2</c:v>
                </c:pt>
                <c:pt idx="3490">
                  <c:v>9.775031702356704E-3</c:v>
                </c:pt>
                <c:pt idx="3491">
                  <c:v>1.5348836917048726E-2</c:v>
                </c:pt>
                <c:pt idx="3492">
                  <c:v>9.0209207985121487E-3</c:v>
                </c:pt>
                <c:pt idx="3493">
                  <c:v>6.8829721842695365E-3</c:v>
                </c:pt>
                <c:pt idx="3494">
                  <c:v>5.3404900859037579E-3</c:v>
                </c:pt>
                <c:pt idx="3495">
                  <c:v>-5.337554357799105E-3</c:v>
                </c:pt>
                <c:pt idx="3496">
                  <c:v>2.4541868350872E-3</c:v>
                </c:pt>
                <c:pt idx="3497">
                  <c:v>2.9753463150951035E-3</c:v>
                </c:pt>
                <c:pt idx="3498">
                  <c:v>1.0797529874062967E-3</c:v>
                </c:pt>
                <c:pt idx="3499">
                  <c:v>1.9348001886360358E-3</c:v>
                </c:pt>
                <c:pt idx="3500">
                  <c:v>-3.4832953129334491E-3</c:v>
                </c:pt>
                <c:pt idx="3501">
                  <c:v>-8.7674313098681116E-4</c:v>
                </c:pt>
                <c:pt idx="3502">
                  <c:v>6.7268208715260186E-3</c:v>
                </c:pt>
                <c:pt idx="3503">
                  <c:v>2.0772175085341247E-3</c:v>
                </c:pt>
                <c:pt idx="3504">
                  <c:v>-1.0720936344245894E-2</c:v>
                </c:pt>
                <c:pt idx="3505">
                  <c:v>-1.5977816227138871E-3</c:v>
                </c:pt>
                <c:pt idx="3506">
                  <c:v>-2.3867639262764775E-3</c:v>
                </c:pt>
                <c:pt idx="3507">
                  <c:v>-1.1659917229324452E-2</c:v>
                </c:pt>
                <c:pt idx="3508">
                  <c:v>7.9030122681597124E-3</c:v>
                </c:pt>
                <c:pt idx="3509">
                  <c:v>8.7793728265068479E-3</c:v>
                </c:pt>
                <c:pt idx="3510">
                  <c:v>6.415836501950419E-3</c:v>
                </c:pt>
                <c:pt idx="3511">
                  <c:v>4.5400954671889586E-3</c:v>
                </c:pt>
                <c:pt idx="3512">
                  <c:v>3.2163381731992791E-3</c:v>
                </c:pt>
                <c:pt idx="3513">
                  <c:v>-3.0442959723623621E-4</c:v>
                </c:pt>
                <c:pt idx="3514">
                  <c:v>-3.4982053182543806E-3</c:v>
                </c:pt>
                <c:pt idx="3515">
                  <c:v>-1.3766142974067502E-3</c:v>
                </c:pt>
                <c:pt idx="3516">
                  <c:v>-7.3848334483381777E-3</c:v>
                </c:pt>
                <c:pt idx="3517">
                  <c:v>1.8928827007984883E-3</c:v>
                </c:pt>
                <c:pt idx="3518">
                  <c:v>6.3340841341208987E-3</c:v>
                </c:pt>
                <c:pt idx="3519">
                  <c:v>6.1775890172726979E-3</c:v>
                </c:pt>
                <c:pt idx="3520">
                  <c:v>-3.4459042806426455E-3</c:v>
                </c:pt>
                <c:pt idx="3521">
                  <c:v>7.657637160338651E-5</c:v>
                </c:pt>
                <c:pt idx="3522">
                  <c:v>6.4546363351698308E-3</c:v>
                </c:pt>
                <c:pt idx="3523">
                  <c:v>1.5763564193844878E-3</c:v>
                </c:pt>
                <c:pt idx="3524">
                  <c:v>-1.9410364454217331E-3</c:v>
                </c:pt>
                <c:pt idx="3525">
                  <c:v>-5.3476140263805623E-3</c:v>
                </c:pt>
                <c:pt idx="3526">
                  <c:v>2.5765870817866542E-3</c:v>
                </c:pt>
                <c:pt idx="3527">
                  <c:v>-6.4244395949999966E-4</c:v>
                </c:pt>
                <c:pt idx="3528">
                  <c:v>-2.0842474609840015E-2</c:v>
                </c:pt>
                <c:pt idx="3529">
                  <c:v>1.1521080474655875E-2</c:v>
                </c:pt>
                <c:pt idx="3530">
                  <c:v>5.472503626070247E-3</c:v>
                </c:pt>
                <c:pt idx="3531">
                  <c:v>3.268503228179835E-4</c:v>
                </c:pt>
                <c:pt idx="3532">
                  <c:v>4.9935773007325299E-3</c:v>
                </c:pt>
                <c:pt idx="3533">
                  <c:v>4.0735710366091391E-3</c:v>
                </c:pt>
                <c:pt idx="3534">
                  <c:v>-8.1681609431132898E-5</c:v>
                </c:pt>
                <c:pt idx="3535">
                  <c:v>-1.2934646000264138E-3</c:v>
                </c:pt>
                <c:pt idx="3536">
                  <c:v>-4.3111820838502074E-3</c:v>
                </c:pt>
                <c:pt idx="3537">
                  <c:v>5.3767627145276543E-3</c:v>
                </c:pt>
                <c:pt idx="3538">
                  <c:v>-8.4395124594527481E-3</c:v>
                </c:pt>
                <c:pt idx="3539">
                  <c:v>-5.0853228999764265E-3</c:v>
                </c:pt>
                <c:pt idx="3540">
                  <c:v>-1.232663227429177E-2</c:v>
                </c:pt>
                <c:pt idx="3541">
                  <c:v>1.9504358091878945E-2</c:v>
                </c:pt>
                <c:pt idx="3542">
                  <c:v>4.6801149243004755E-3</c:v>
                </c:pt>
                <c:pt idx="3543">
                  <c:v>-3.3092159636613234E-3</c:v>
                </c:pt>
                <c:pt idx="3544">
                  <c:v>-4.8979780004177092E-5</c:v>
                </c:pt>
                <c:pt idx="3545">
                  <c:v>-1.578487613370198E-2</c:v>
                </c:pt>
                <c:pt idx="3546">
                  <c:v>4.9894177097124651E-4</c:v>
                </c:pt>
                <c:pt idx="3547">
                  <c:v>1.0307478073486504E-3</c:v>
                </c:pt>
                <c:pt idx="3548">
                  <c:v>5.55065970134696E-3</c:v>
                </c:pt>
                <c:pt idx="3549">
                  <c:v>-2.8261268009801056E-3</c:v>
                </c:pt>
                <c:pt idx="3550">
                  <c:v>6.915809547172946E-3</c:v>
                </c:pt>
                <c:pt idx="3551">
                  <c:v>-1.0439993392096881E-2</c:v>
                </c:pt>
                <c:pt idx="3552">
                  <c:v>7.622514474642573E-3</c:v>
                </c:pt>
                <c:pt idx="3553">
                  <c:v>8.1034253287755442E-3</c:v>
                </c:pt>
                <c:pt idx="3554">
                  <c:v>-5.3800240775697698E-3</c:v>
                </c:pt>
              </c:numCache>
            </c:numRef>
          </c:xVal>
          <c:yVal>
            <c:numRef>
              <c:f>'[1]MSFT Analysis'!$F$6:$F$3560</c:f>
              <c:numCache>
                <c:formatCode>General</c:formatCode>
                <c:ptCount val="3555"/>
                <c:pt idx="0">
                  <c:v>1.50112230927922E-2</c:v>
                </c:pt>
                <c:pt idx="1">
                  <c:v>-1.2779160985664907E-2</c:v>
                </c:pt>
                <c:pt idx="2">
                  <c:v>3.4753771463098995E-3</c:v>
                </c:pt>
                <c:pt idx="3">
                  <c:v>-4.1837915389234146E-3</c:v>
                </c:pt>
                <c:pt idx="4">
                  <c:v>9.9448534500700455E-3</c:v>
                </c:pt>
                <c:pt idx="5">
                  <c:v>9.0263040819872527E-3</c:v>
                </c:pt>
                <c:pt idx="6">
                  <c:v>1.3008888677956467E-4</c:v>
                </c:pt>
                <c:pt idx="7">
                  <c:v>-9.1546742348616041E-4</c:v>
                </c:pt>
                <c:pt idx="8">
                  <c:v>-4.0488617292924172E-3</c:v>
                </c:pt>
                <c:pt idx="9">
                  <c:v>5.5133590583348414E-2</c:v>
                </c:pt>
                <c:pt idx="10">
                  <c:v>5.2885006201212155E-4</c:v>
                </c:pt>
                <c:pt idx="11">
                  <c:v>-1.3072586490252742E-2</c:v>
                </c:pt>
                <c:pt idx="12">
                  <c:v>7.5185250055781602E-3</c:v>
                </c:pt>
                <c:pt idx="13">
                  <c:v>-2.0515468900717962E-3</c:v>
                </c:pt>
                <c:pt idx="14">
                  <c:v>-9.2410411363598975E-3</c:v>
                </c:pt>
                <c:pt idx="15">
                  <c:v>1.2800664230161551E-2</c:v>
                </c:pt>
                <c:pt idx="16">
                  <c:v>-2.4603632658246966E-3</c:v>
                </c:pt>
                <c:pt idx="17">
                  <c:v>1.2072134905225065E-2</c:v>
                </c:pt>
                <c:pt idx="18">
                  <c:v>1.8639176461562382E-3</c:v>
                </c:pt>
                <c:pt idx="19">
                  <c:v>9.5403489663446941E-3</c:v>
                </c:pt>
                <c:pt idx="20">
                  <c:v>-1.3003793905997441E-3</c:v>
                </c:pt>
                <c:pt idx="21">
                  <c:v>5.0201812458344867E-3</c:v>
                </c:pt>
                <c:pt idx="22">
                  <c:v>1.0192785487554621E-2</c:v>
                </c:pt>
                <c:pt idx="23">
                  <c:v>3.5160880579573651E-3</c:v>
                </c:pt>
                <c:pt idx="24">
                  <c:v>-8.7387030234010281E-3</c:v>
                </c:pt>
                <c:pt idx="25">
                  <c:v>2.6271516341934095E-3</c:v>
                </c:pt>
                <c:pt idx="26">
                  <c:v>-4.2533812826018738E-3</c:v>
                </c:pt>
                <c:pt idx="27">
                  <c:v>-6.7787242217625093E-3</c:v>
                </c:pt>
                <c:pt idx="28">
                  <c:v>4.0201052870745289E-2</c:v>
                </c:pt>
                <c:pt idx="29">
                  <c:v>-1.0149954350765981E-3</c:v>
                </c:pt>
                <c:pt idx="30">
                  <c:v>6.1947314064060965E-3</c:v>
                </c:pt>
                <c:pt idx="31">
                  <c:v>-5.5340617695517963E-3</c:v>
                </c:pt>
                <c:pt idx="32">
                  <c:v>3.3008306162113318E-3</c:v>
                </c:pt>
                <c:pt idx="33">
                  <c:v>3.4819855631802645E-3</c:v>
                </c:pt>
                <c:pt idx="34">
                  <c:v>-4.1886766722222758E-3</c:v>
                </c:pt>
                <c:pt idx="35">
                  <c:v>1.6492426561051494E-2</c:v>
                </c:pt>
                <c:pt idx="36">
                  <c:v>-4.2841540191254218E-3</c:v>
                </c:pt>
                <c:pt idx="37">
                  <c:v>1.7444898421682301E-2</c:v>
                </c:pt>
                <c:pt idx="38">
                  <c:v>-6.6509636689137406E-3</c:v>
                </c:pt>
                <c:pt idx="39">
                  <c:v>-8.6654015068486547E-3</c:v>
                </c:pt>
                <c:pt idx="40">
                  <c:v>-7.767013900881789E-3</c:v>
                </c:pt>
                <c:pt idx="41">
                  <c:v>9.0451261095040765E-3</c:v>
                </c:pt>
                <c:pt idx="42">
                  <c:v>5.2732066825192693E-3</c:v>
                </c:pt>
                <c:pt idx="43">
                  <c:v>-6.8863073424019043E-4</c:v>
                </c:pt>
                <c:pt idx="44">
                  <c:v>1.5340141069442609E-3</c:v>
                </c:pt>
                <c:pt idx="45">
                  <c:v>1.9468876835909033E-2</c:v>
                </c:pt>
                <c:pt idx="46">
                  <c:v>3.2671907580653849E-3</c:v>
                </c:pt>
                <c:pt idx="47">
                  <c:v>2.2527156273494933E-3</c:v>
                </c:pt>
                <c:pt idx="48">
                  <c:v>-7.6344473379943026E-3</c:v>
                </c:pt>
                <c:pt idx="49">
                  <c:v>-1.2340005750257434E-2</c:v>
                </c:pt>
                <c:pt idx="50">
                  <c:v>-6.5483442400164297E-3</c:v>
                </c:pt>
                <c:pt idx="51">
                  <c:v>-2.4277596147095327E-3</c:v>
                </c:pt>
                <c:pt idx="52">
                  <c:v>2.8055814761984567E-3</c:v>
                </c:pt>
                <c:pt idx="53">
                  <c:v>3.1080887275128745E-4</c:v>
                </c:pt>
                <c:pt idx="54">
                  <c:v>1.7863604927638128E-2</c:v>
                </c:pt>
                <c:pt idx="55">
                  <c:v>-2.1584578893567036E-3</c:v>
                </c:pt>
                <c:pt idx="56">
                  <c:v>-1.0185721920416444E-2</c:v>
                </c:pt>
                <c:pt idx="57">
                  <c:v>-2.110808392816829E-3</c:v>
                </c:pt>
                <c:pt idx="58">
                  <c:v>4.4318563285681159E-3</c:v>
                </c:pt>
                <c:pt idx="59">
                  <c:v>9.2457323100465219E-4</c:v>
                </c:pt>
                <c:pt idx="60">
                  <c:v>-1.1037358344502781E-2</c:v>
                </c:pt>
                <c:pt idx="61">
                  <c:v>-2.3019776051644434E-2</c:v>
                </c:pt>
                <c:pt idx="62">
                  <c:v>9.6880180396806681E-3</c:v>
                </c:pt>
                <c:pt idx="63">
                  <c:v>-1.3232494373833368E-2</c:v>
                </c:pt>
                <c:pt idx="64">
                  <c:v>-2.0542448001378503E-2</c:v>
                </c:pt>
                <c:pt idx="65">
                  <c:v>-4.203609692786465E-3</c:v>
                </c:pt>
                <c:pt idx="66">
                  <c:v>2.0859800723973271E-2</c:v>
                </c:pt>
                <c:pt idx="67">
                  <c:v>-5.4123139695755424E-3</c:v>
                </c:pt>
                <c:pt idx="68">
                  <c:v>8.6546102760642913E-3</c:v>
                </c:pt>
                <c:pt idx="69">
                  <c:v>1.1732548548209957E-2</c:v>
                </c:pt>
                <c:pt idx="70">
                  <c:v>-9.8342582603013432E-3</c:v>
                </c:pt>
                <c:pt idx="71">
                  <c:v>-4.2346072724472111E-3</c:v>
                </c:pt>
                <c:pt idx="72">
                  <c:v>4.4500844656394409E-2</c:v>
                </c:pt>
                <c:pt idx="73">
                  <c:v>-9.275385837425848E-3</c:v>
                </c:pt>
                <c:pt idx="74">
                  <c:v>-6.3316739110372278E-3</c:v>
                </c:pt>
                <c:pt idx="75">
                  <c:v>8.7827706917653851E-3</c:v>
                </c:pt>
                <c:pt idx="76">
                  <c:v>-2.8314374843165422E-3</c:v>
                </c:pt>
                <c:pt idx="77">
                  <c:v>-4.1421270498393425E-3</c:v>
                </c:pt>
                <c:pt idx="78">
                  <c:v>1.1138510283795386E-3</c:v>
                </c:pt>
                <c:pt idx="79">
                  <c:v>-3.9337555569461936E-5</c:v>
                </c:pt>
                <c:pt idx="80">
                  <c:v>-6.5119813355720823E-3</c:v>
                </c:pt>
                <c:pt idx="81">
                  <c:v>-1.513686868721615E-3</c:v>
                </c:pt>
                <c:pt idx="82">
                  <c:v>-2.4617171197467591E-2</c:v>
                </c:pt>
                <c:pt idx="83">
                  <c:v>-1.0865963234690194E-2</c:v>
                </c:pt>
                <c:pt idx="84">
                  <c:v>-4.7816929143681833E-3</c:v>
                </c:pt>
                <c:pt idx="85">
                  <c:v>8.5955644292318376E-3</c:v>
                </c:pt>
                <c:pt idx="86">
                  <c:v>-7.6570779501404073E-4</c:v>
                </c:pt>
                <c:pt idx="87">
                  <c:v>1.3718071526318269E-2</c:v>
                </c:pt>
                <c:pt idx="88">
                  <c:v>-1.5764198234799447E-2</c:v>
                </c:pt>
                <c:pt idx="89">
                  <c:v>-8.8890207146097629E-3</c:v>
                </c:pt>
                <c:pt idx="90">
                  <c:v>-1.0340268963822442E-2</c:v>
                </c:pt>
                <c:pt idx="91">
                  <c:v>-5.9384466426735732E-3</c:v>
                </c:pt>
                <c:pt idx="92">
                  <c:v>-1.536765772679341E-2</c:v>
                </c:pt>
                <c:pt idx="93">
                  <c:v>1.6234391205827852E-2</c:v>
                </c:pt>
                <c:pt idx="94">
                  <c:v>3.7002620039487373E-4</c:v>
                </c:pt>
                <c:pt idx="95">
                  <c:v>-2.1880162770673801E-2</c:v>
                </c:pt>
                <c:pt idx="96">
                  <c:v>-1.518015432954239E-3</c:v>
                </c:pt>
                <c:pt idx="97">
                  <c:v>-2.9268712815999935E-4</c:v>
                </c:pt>
                <c:pt idx="98">
                  <c:v>1.7013586421917467E-2</c:v>
                </c:pt>
                <c:pt idx="99">
                  <c:v>-7.5149834868466717E-3</c:v>
                </c:pt>
                <c:pt idx="100">
                  <c:v>-5.0444056471219958E-3</c:v>
                </c:pt>
                <c:pt idx="101">
                  <c:v>-2.5654898241336533E-2</c:v>
                </c:pt>
                <c:pt idx="102">
                  <c:v>3.4238641428927644E-3</c:v>
                </c:pt>
                <c:pt idx="103">
                  <c:v>-1.6665720285815675E-3</c:v>
                </c:pt>
                <c:pt idx="104">
                  <c:v>2.9317187109064856E-2</c:v>
                </c:pt>
                <c:pt idx="105">
                  <c:v>-4.1218501154351101E-3</c:v>
                </c:pt>
                <c:pt idx="106">
                  <c:v>1.4439242091902905E-2</c:v>
                </c:pt>
                <c:pt idx="107">
                  <c:v>-2.5798867336878781E-2</c:v>
                </c:pt>
                <c:pt idx="108">
                  <c:v>1.339490990387142E-2</c:v>
                </c:pt>
                <c:pt idx="109">
                  <c:v>-5.3493355249587728E-3</c:v>
                </c:pt>
                <c:pt idx="110">
                  <c:v>7.0607256465809141E-3</c:v>
                </c:pt>
                <c:pt idx="111">
                  <c:v>2.3065397938817001E-2</c:v>
                </c:pt>
                <c:pt idx="112">
                  <c:v>-6.1316422101210678E-3</c:v>
                </c:pt>
                <c:pt idx="113">
                  <c:v>2.8428453046801798E-2</c:v>
                </c:pt>
                <c:pt idx="114">
                  <c:v>7.4862925656069288E-3</c:v>
                </c:pt>
                <c:pt idx="115">
                  <c:v>-2.5844788790732702E-2</c:v>
                </c:pt>
                <c:pt idx="116">
                  <c:v>1.8358496225125573E-2</c:v>
                </c:pt>
                <c:pt idx="117">
                  <c:v>-2.7770438341368636E-2</c:v>
                </c:pt>
                <c:pt idx="118">
                  <c:v>5.4736275046881151E-3</c:v>
                </c:pt>
                <c:pt idx="119">
                  <c:v>4.8676055962722639E-3</c:v>
                </c:pt>
                <c:pt idx="120">
                  <c:v>-8.7545591518714879E-3</c:v>
                </c:pt>
                <c:pt idx="121">
                  <c:v>2.2668980121113413E-2</c:v>
                </c:pt>
                <c:pt idx="122">
                  <c:v>-9.1235096244203365E-4</c:v>
                </c:pt>
                <c:pt idx="123">
                  <c:v>6.4137830128868619E-3</c:v>
                </c:pt>
                <c:pt idx="124">
                  <c:v>-1.9866477792783665E-3</c:v>
                </c:pt>
                <c:pt idx="125">
                  <c:v>-1.707265317795759E-2</c:v>
                </c:pt>
                <c:pt idx="126">
                  <c:v>-5.8368836205843228E-3</c:v>
                </c:pt>
                <c:pt idx="127">
                  <c:v>-8.958528053217554E-3</c:v>
                </c:pt>
                <c:pt idx="128">
                  <c:v>-1.4829716210089076E-2</c:v>
                </c:pt>
                <c:pt idx="129">
                  <c:v>-2.2894592934603969E-2</c:v>
                </c:pt>
                <c:pt idx="130">
                  <c:v>2.5900318862787257E-2</c:v>
                </c:pt>
                <c:pt idx="131">
                  <c:v>1.7863603414834128E-3</c:v>
                </c:pt>
                <c:pt idx="132">
                  <c:v>7.4849317944067828E-3</c:v>
                </c:pt>
                <c:pt idx="133">
                  <c:v>2.6179756249302733E-2</c:v>
                </c:pt>
                <c:pt idx="134">
                  <c:v>7.2421217471525488E-3</c:v>
                </c:pt>
                <c:pt idx="135">
                  <c:v>-1.8377013033674078E-2</c:v>
                </c:pt>
                <c:pt idx="136">
                  <c:v>-2.8065113894041555E-2</c:v>
                </c:pt>
                <c:pt idx="137">
                  <c:v>-4.2993505872157296E-3</c:v>
                </c:pt>
                <c:pt idx="138">
                  <c:v>-1.1138005330059734E-2</c:v>
                </c:pt>
                <c:pt idx="139">
                  <c:v>1.1502711241694281E-2</c:v>
                </c:pt>
                <c:pt idx="140">
                  <c:v>1.9835684025441284E-2</c:v>
                </c:pt>
                <c:pt idx="141">
                  <c:v>-3.5052129535392581E-3</c:v>
                </c:pt>
                <c:pt idx="142">
                  <c:v>-5.7859778831830513E-3</c:v>
                </c:pt>
                <c:pt idx="143">
                  <c:v>-2.1587266801413436E-3</c:v>
                </c:pt>
                <c:pt idx="144">
                  <c:v>-7.4167243265807507E-3</c:v>
                </c:pt>
                <c:pt idx="145">
                  <c:v>1.8866641843444405E-2</c:v>
                </c:pt>
                <c:pt idx="146">
                  <c:v>6.8777186210333824E-3</c:v>
                </c:pt>
                <c:pt idx="147">
                  <c:v>1.0226622847680117E-2</c:v>
                </c:pt>
                <c:pt idx="148">
                  <c:v>2.3372794148776195E-3</c:v>
                </c:pt>
                <c:pt idx="149">
                  <c:v>5.5938449206085761E-3</c:v>
                </c:pt>
                <c:pt idx="150">
                  <c:v>-2.690188600695287E-3</c:v>
                </c:pt>
                <c:pt idx="151">
                  <c:v>-1.0163501563078606E-3</c:v>
                </c:pt>
                <c:pt idx="152">
                  <c:v>-1.8873061636054229E-3</c:v>
                </c:pt>
                <c:pt idx="153">
                  <c:v>2.2989084134719421E-3</c:v>
                </c:pt>
                <c:pt idx="154">
                  <c:v>1.8991124398490721E-2</c:v>
                </c:pt>
                <c:pt idx="155">
                  <c:v>3.9773500935428386E-3</c:v>
                </c:pt>
                <c:pt idx="156">
                  <c:v>-5.2055834506468104E-3</c:v>
                </c:pt>
                <c:pt idx="157">
                  <c:v>1.8095019922306167E-3</c:v>
                </c:pt>
                <c:pt idx="158">
                  <c:v>-8.3476997861292659E-3</c:v>
                </c:pt>
                <c:pt idx="159">
                  <c:v>-9.6251698850469518E-3</c:v>
                </c:pt>
                <c:pt idx="160">
                  <c:v>1.0267903559161594E-2</c:v>
                </c:pt>
                <c:pt idx="161">
                  <c:v>4.2811150820065346E-3</c:v>
                </c:pt>
                <c:pt idx="162">
                  <c:v>-1.9779914439995304E-3</c:v>
                </c:pt>
                <c:pt idx="163">
                  <c:v>6.2867957057206143E-4</c:v>
                </c:pt>
                <c:pt idx="164">
                  <c:v>-1.083594992190772E-2</c:v>
                </c:pt>
                <c:pt idx="165">
                  <c:v>1.6286832807715666E-2</c:v>
                </c:pt>
                <c:pt idx="166">
                  <c:v>-1.3924560899615846E-2</c:v>
                </c:pt>
                <c:pt idx="167">
                  <c:v>0</c:v>
                </c:pt>
                <c:pt idx="168">
                  <c:v>3.0636705072182628E-2</c:v>
                </c:pt>
                <c:pt idx="169">
                  <c:v>-1.2386381878658863E-2</c:v>
                </c:pt>
                <c:pt idx="170">
                  <c:v>-7.5247568548755129E-3</c:v>
                </c:pt>
                <c:pt idx="171">
                  <c:v>2.2468287153551191E-3</c:v>
                </c:pt>
                <c:pt idx="172">
                  <c:v>-3.0682277188619276E-4</c:v>
                </c:pt>
                <c:pt idx="173">
                  <c:v>4.8778128474937076E-3</c:v>
                </c:pt>
                <c:pt idx="174">
                  <c:v>9.020043116316153E-3</c:v>
                </c:pt>
                <c:pt idx="175">
                  <c:v>0</c:v>
                </c:pt>
                <c:pt idx="176">
                  <c:v>-1.3627834765700536E-3</c:v>
                </c:pt>
                <c:pt idx="177">
                  <c:v>-3.7432504483206138E-3</c:v>
                </c:pt>
                <c:pt idx="178">
                  <c:v>1.2773831004570411E-2</c:v>
                </c:pt>
                <c:pt idx="179">
                  <c:v>-8.3210638349054695E-3</c:v>
                </c:pt>
                <c:pt idx="180">
                  <c:v>-1.3244589208584375E-2</c:v>
                </c:pt>
                <c:pt idx="181">
                  <c:v>-1.2665572282116877E-2</c:v>
                </c:pt>
                <c:pt idx="182">
                  <c:v>-7.4455067764583448E-3</c:v>
                </c:pt>
                <c:pt idx="183">
                  <c:v>-2.4721777127241528E-4</c:v>
                </c:pt>
                <c:pt idx="184">
                  <c:v>-1.3295172160356809E-2</c:v>
                </c:pt>
                <c:pt idx="185">
                  <c:v>-9.0989232148669108E-3</c:v>
                </c:pt>
                <c:pt idx="186">
                  <c:v>5.6645709119118636E-3</c:v>
                </c:pt>
                <c:pt idx="187">
                  <c:v>6.8569501874696879E-3</c:v>
                </c:pt>
                <c:pt idx="188">
                  <c:v>5.6356647587320176E-3</c:v>
                </c:pt>
                <c:pt idx="189">
                  <c:v>-6.0019605550046115E-3</c:v>
                </c:pt>
                <c:pt idx="190">
                  <c:v>-2.3216034068722106E-3</c:v>
                </c:pt>
                <c:pt idx="191">
                  <c:v>-1.6942781846703055E-2</c:v>
                </c:pt>
                <c:pt idx="192">
                  <c:v>-1.0285466116492586E-2</c:v>
                </c:pt>
                <c:pt idx="193">
                  <c:v>-1.1283995302175545E-3</c:v>
                </c:pt>
                <c:pt idx="194">
                  <c:v>8.5193846002238408E-3</c:v>
                </c:pt>
                <c:pt idx="195">
                  <c:v>1.0660829014286621E-2</c:v>
                </c:pt>
                <c:pt idx="196">
                  <c:v>-6.5718801733389675E-4</c:v>
                </c:pt>
                <c:pt idx="197">
                  <c:v>3.3698324887623003E-3</c:v>
                </c:pt>
                <c:pt idx="198">
                  <c:v>-2.9948453877162761E-3</c:v>
                </c:pt>
                <c:pt idx="199">
                  <c:v>-2.969264385866386E-2</c:v>
                </c:pt>
                <c:pt idx="200">
                  <c:v>-2.2455497980480389E-2</c:v>
                </c:pt>
                <c:pt idx="201">
                  <c:v>1.7249143482698469E-3</c:v>
                </c:pt>
                <c:pt idx="202">
                  <c:v>-5.3306687823521026E-3</c:v>
                </c:pt>
                <c:pt idx="203">
                  <c:v>-6.5496494714615693E-4</c:v>
                </c:pt>
                <c:pt idx="204">
                  <c:v>1.1693396653096591E-2</c:v>
                </c:pt>
                <c:pt idx="205">
                  <c:v>1.1492919419068442E-2</c:v>
                </c:pt>
                <c:pt idx="206">
                  <c:v>3.3504746064495654E-2</c:v>
                </c:pt>
                <c:pt idx="207">
                  <c:v>-2.8220091628792398E-4</c:v>
                </c:pt>
                <c:pt idx="208">
                  <c:v>4.270816179931229E-3</c:v>
                </c:pt>
                <c:pt idx="209">
                  <c:v>7.8757178184042584E-3</c:v>
                </c:pt>
                <c:pt idx="210">
                  <c:v>-2.6606948392353849E-2</c:v>
                </c:pt>
                <c:pt idx="211">
                  <c:v>-9.2356899974853218E-3</c:v>
                </c:pt>
                <c:pt idx="212">
                  <c:v>6.8131055734551714E-4</c:v>
                </c:pt>
                <c:pt idx="213">
                  <c:v>-2.1440798333407673E-2</c:v>
                </c:pt>
                <c:pt idx="214">
                  <c:v>-3.2673122448866582E-2</c:v>
                </c:pt>
                <c:pt idx="215">
                  <c:v>-9.2387328034243613E-3</c:v>
                </c:pt>
                <c:pt idx="216">
                  <c:v>-6.7970575938722565E-3</c:v>
                </c:pt>
                <c:pt idx="217">
                  <c:v>-5.1643046092373877E-3</c:v>
                </c:pt>
                <c:pt idx="218">
                  <c:v>7.7779970351385362E-3</c:v>
                </c:pt>
                <c:pt idx="219">
                  <c:v>-6.7354981740166411E-4</c:v>
                </c:pt>
                <c:pt idx="220">
                  <c:v>8.9725432023926802E-3</c:v>
                </c:pt>
                <c:pt idx="221">
                  <c:v>2.7446193297771027E-2</c:v>
                </c:pt>
                <c:pt idx="222">
                  <c:v>-1.1353511303128694E-2</c:v>
                </c:pt>
                <c:pt idx="223">
                  <c:v>-1.1374637478722451E-2</c:v>
                </c:pt>
                <c:pt idx="224">
                  <c:v>1.0266858596961638E-2</c:v>
                </c:pt>
                <c:pt idx="225">
                  <c:v>-1.4984903112881476E-2</c:v>
                </c:pt>
                <c:pt idx="226">
                  <c:v>-1.271299128453972E-2</c:v>
                </c:pt>
                <c:pt idx="227">
                  <c:v>-6.6787289617108916E-3</c:v>
                </c:pt>
                <c:pt idx="228">
                  <c:v>-2.4138079600700981E-3</c:v>
                </c:pt>
                <c:pt idx="229">
                  <c:v>1.1304282279002632E-2</c:v>
                </c:pt>
                <c:pt idx="230">
                  <c:v>2.2022525423270973E-3</c:v>
                </c:pt>
                <c:pt idx="231">
                  <c:v>-1.0426105232905335E-2</c:v>
                </c:pt>
                <c:pt idx="232">
                  <c:v>1.8372862716842173E-2</c:v>
                </c:pt>
                <c:pt idx="233">
                  <c:v>1.3975502676014053E-2</c:v>
                </c:pt>
                <c:pt idx="234">
                  <c:v>-3.0455867086875469E-3</c:v>
                </c:pt>
                <c:pt idx="235">
                  <c:v>-4.6949614364239943E-3</c:v>
                </c:pt>
                <c:pt idx="236">
                  <c:v>-1.1257497683934106E-2</c:v>
                </c:pt>
                <c:pt idx="237">
                  <c:v>1.0497883640489963E-2</c:v>
                </c:pt>
                <c:pt idx="238">
                  <c:v>1.7098675169473287E-2</c:v>
                </c:pt>
                <c:pt idx="239">
                  <c:v>-8.995630275630568E-3</c:v>
                </c:pt>
                <c:pt idx="240">
                  <c:v>1.3570152629163727E-2</c:v>
                </c:pt>
                <c:pt idx="241">
                  <c:v>-8.3839654043238124E-3</c:v>
                </c:pt>
                <c:pt idx="242">
                  <c:v>-1.4432013937600146E-2</c:v>
                </c:pt>
                <c:pt idx="243">
                  <c:v>-7.3338782936383864E-3</c:v>
                </c:pt>
                <c:pt idx="244">
                  <c:v>3.7559589776185003E-3</c:v>
                </c:pt>
                <c:pt idx="245">
                  <c:v>-1.5336685249403086E-2</c:v>
                </c:pt>
                <c:pt idx="246">
                  <c:v>5.9617385955435002E-3</c:v>
                </c:pt>
                <c:pt idx="247">
                  <c:v>3.3544447801201999E-2</c:v>
                </c:pt>
                <c:pt idx="248">
                  <c:v>-1.3541770641180329E-2</c:v>
                </c:pt>
                <c:pt idx="249">
                  <c:v>-1.9015573996788417E-2</c:v>
                </c:pt>
                <c:pt idx="250">
                  <c:v>-1.6657249868860526E-3</c:v>
                </c:pt>
                <c:pt idx="251">
                  <c:v>-5.2831167718906348E-3</c:v>
                </c:pt>
                <c:pt idx="252">
                  <c:v>5.6017108972166692E-3</c:v>
                </c:pt>
                <c:pt idx="253">
                  <c:v>-9.0197862929027022E-3</c:v>
                </c:pt>
                <c:pt idx="254">
                  <c:v>1.3786557858042029E-2</c:v>
                </c:pt>
                <c:pt idx="255">
                  <c:v>2.3313457094490046E-3</c:v>
                </c:pt>
                <c:pt idx="256">
                  <c:v>1.1702755713204709E-2</c:v>
                </c:pt>
                <c:pt idx="257">
                  <c:v>-6.2125691491560185E-3</c:v>
                </c:pt>
                <c:pt idx="258">
                  <c:v>7.7744010197115703E-3</c:v>
                </c:pt>
                <c:pt idx="259">
                  <c:v>0</c:v>
                </c:pt>
                <c:pt idx="260">
                  <c:v>-3.5073445416185667E-3</c:v>
                </c:pt>
                <c:pt idx="261">
                  <c:v>1.6700966171507039E-2</c:v>
                </c:pt>
                <c:pt idx="262">
                  <c:v>7.497088535653231E-4</c:v>
                </c:pt>
                <c:pt idx="263">
                  <c:v>8.8954610708211566E-3</c:v>
                </c:pt>
                <c:pt idx="264">
                  <c:v>1.0694006631298814E-3</c:v>
                </c:pt>
                <c:pt idx="265">
                  <c:v>3.5270916926415422E-3</c:v>
                </c:pt>
                <c:pt idx="266">
                  <c:v>-5.6404815506388584E-3</c:v>
                </c:pt>
                <c:pt idx="267">
                  <c:v>-1.4412599611949628E-2</c:v>
                </c:pt>
                <c:pt idx="268">
                  <c:v>1.7227990200776606E-2</c:v>
                </c:pt>
                <c:pt idx="269">
                  <c:v>-1.7623209844744088E-2</c:v>
                </c:pt>
                <c:pt idx="270">
                  <c:v>2.1897065659272335E-3</c:v>
                </c:pt>
                <c:pt idx="271">
                  <c:v>-5.9250508250619531E-3</c:v>
                </c:pt>
                <c:pt idx="272">
                  <c:v>-2.2072523264496653E-3</c:v>
                </c:pt>
                <c:pt idx="273">
                  <c:v>9.7535426349119672E-3</c:v>
                </c:pt>
                <c:pt idx="274">
                  <c:v>1.1350889972980199E-2</c:v>
                </c:pt>
                <c:pt idx="275">
                  <c:v>6.8997242847640254E-4</c:v>
                </c:pt>
                <c:pt idx="276">
                  <c:v>5.3795811971794243E-3</c:v>
                </c:pt>
                <c:pt idx="277">
                  <c:v>3.8691863759727043E-4</c:v>
                </c:pt>
                <c:pt idx="278">
                  <c:v>-1.1700074790051817E-3</c:v>
                </c:pt>
                <c:pt idx="279">
                  <c:v>9.5530201133779014E-3</c:v>
                </c:pt>
                <c:pt idx="280">
                  <c:v>-6.2795653243430576E-3</c:v>
                </c:pt>
                <c:pt idx="281">
                  <c:v>-1.3718811675294929E-2</c:v>
                </c:pt>
                <c:pt idx="282">
                  <c:v>9.7761660538556467E-3</c:v>
                </c:pt>
                <c:pt idx="283">
                  <c:v>-1.4085989256895234E-2</c:v>
                </c:pt>
                <c:pt idx="284">
                  <c:v>0</c:v>
                </c:pt>
                <c:pt idx="285">
                  <c:v>1.5925187568304942E-2</c:v>
                </c:pt>
                <c:pt idx="286">
                  <c:v>-3.8691863759724435E-4</c:v>
                </c:pt>
                <c:pt idx="287">
                  <c:v>5.4732657750212787E-3</c:v>
                </c:pt>
                <c:pt idx="288">
                  <c:v>6.9864978539426904E-3</c:v>
                </c:pt>
                <c:pt idx="289">
                  <c:v>7.1450359255502529E-3</c:v>
                </c:pt>
                <c:pt idx="290">
                  <c:v>-9.392994904506919E-3</c:v>
                </c:pt>
                <c:pt idx="291">
                  <c:v>1.9482332908733726E-3</c:v>
                </c:pt>
                <c:pt idx="292">
                  <c:v>-4.8078690669740463E-3</c:v>
                </c:pt>
                <c:pt idx="293">
                  <c:v>-4.8618029262797787E-3</c:v>
                </c:pt>
                <c:pt idx="294">
                  <c:v>1.4509496181721721E-3</c:v>
                </c:pt>
                <c:pt idx="295">
                  <c:v>3.0657784908620585E-4</c:v>
                </c:pt>
                <c:pt idx="296">
                  <c:v>7.912144525995625E-3</c:v>
                </c:pt>
                <c:pt idx="297">
                  <c:v>-3.8566557620433807E-3</c:v>
                </c:pt>
                <c:pt idx="298">
                  <c:v>2.3392740625203441E-3</c:v>
                </c:pt>
                <c:pt idx="299">
                  <c:v>2.9283488366635396E-3</c:v>
                </c:pt>
                <c:pt idx="300">
                  <c:v>4.9853615286966678E-3</c:v>
                </c:pt>
                <c:pt idx="301">
                  <c:v>-7.4873935620217167E-3</c:v>
                </c:pt>
                <c:pt idx="302">
                  <c:v>4.9502152101928397E-3</c:v>
                </c:pt>
                <c:pt idx="303">
                  <c:v>-3.168613035558382E-3</c:v>
                </c:pt>
                <c:pt idx="304">
                  <c:v>0</c:v>
                </c:pt>
                <c:pt idx="305">
                  <c:v>7.4698063796078068E-3</c:v>
                </c:pt>
                <c:pt idx="306">
                  <c:v>7.9318486466147826E-3</c:v>
                </c:pt>
                <c:pt idx="307">
                  <c:v>4.1033006499879751E-4</c:v>
                </c:pt>
                <c:pt idx="308">
                  <c:v>6.7377606395673103E-3</c:v>
                </c:pt>
                <c:pt idx="309">
                  <c:v>-8.4913891743886843E-3</c:v>
                </c:pt>
                <c:pt idx="310">
                  <c:v>1.0482697023780308E-3</c:v>
                </c:pt>
                <c:pt idx="311">
                  <c:v>3.8754610062201947E-3</c:v>
                </c:pt>
                <c:pt idx="312">
                  <c:v>-3.8754610062202762E-3</c:v>
                </c:pt>
                <c:pt idx="313">
                  <c:v>3.5209135340451614E-2</c:v>
                </c:pt>
                <c:pt idx="314">
                  <c:v>2.2254757575486957E-2</c:v>
                </c:pt>
                <c:pt idx="315">
                  <c:v>-4.5506131329927979E-2</c:v>
                </c:pt>
                <c:pt idx="316">
                  <c:v>-4.9222162047233321E-3</c:v>
                </c:pt>
                <c:pt idx="317">
                  <c:v>-3.4540585458018289E-3</c:v>
                </c:pt>
                <c:pt idx="318">
                  <c:v>9.7697442500092532E-3</c:v>
                </c:pt>
                <c:pt idx="319">
                  <c:v>-4.7881386472721525E-3</c:v>
                </c:pt>
                <c:pt idx="320">
                  <c:v>-1.5275470569350554E-3</c:v>
                </c:pt>
                <c:pt idx="321">
                  <c:v>3.3037454843076269E-2</c:v>
                </c:pt>
                <c:pt idx="322">
                  <c:v>3.5361306360327534E-2</c:v>
                </c:pt>
                <c:pt idx="323">
                  <c:v>-7.4234958125659993E-3</c:v>
                </c:pt>
                <c:pt idx="324">
                  <c:v>3.7194459151278982E-2</c:v>
                </c:pt>
                <c:pt idx="325">
                  <c:v>5.6617576741680555E-3</c:v>
                </c:pt>
                <c:pt idx="326">
                  <c:v>-4.6921874794407896E-3</c:v>
                </c:pt>
                <c:pt idx="327">
                  <c:v>2.5484406292842168E-2</c:v>
                </c:pt>
                <c:pt idx="328">
                  <c:v>1.4965415224368228E-2</c:v>
                </c:pt>
                <c:pt idx="329">
                  <c:v>-1.1645683367856454E-2</c:v>
                </c:pt>
                <c:pt idx="330">
                  <c:v>1.3453708538077714E-2</c:v>
                </c:pt>
                <c:pt idx="331">
                  <c:v>9.9226268670098167E-3</c:v>
                </c:pt>
                <c:pt idx="332">
                  <c:v>7.5309583766957813E-3</c:v>
                </c:pt>
                <c:pt idx="333">
                  <c:v>-1.2995482849717053E-2</c:v>
                </c:pt>
                <c:pt idx="334">
                  <c:v>-9.6214691962693485E-3</c:v>
                </c:pt>
                <c:pt idx="335">
                  <c:v>-1.0149081806186162E-2</c:v>
                </c:pt>
                <c:pt idx="336">
                  <c:v>9.8776895736196334E-4</c:v>
                </c:pt>
                <c:pt idx="337">
                  <c:v>1.0461132501349562E-2</c:v>
                </c:pt>
                <c:pt idx="338">
                  <c:v>2.1845910999665492E-2</c:v>
                </c:pt>
                <c:pt idx="339">
                  <c:v>9.6103826173301338E-3</c:v>
                </c:pt>
                <c:pt idx="340">
                  <c:v>6.7407712947636089E-3</c:v>
                </c:pt>
                <c:pt idx="341">
                  <c:v>2.2840870842732217E-2</c:v>
                </c:pt>
                <c:pt idx="342">
                  <c:v>6.032876198994586E-3</c:v>
                </c:pt>
                <c:pt idx="343">
                  <c:v>-6.5831285279431082E-3</c:v>
                </c:pt>
                <c:pt idx="344">
                  <c:v>-6.9985358766393134E-3</c:v>
                </c:pt>
                <c:pt idx="345">
                  <c:v>-1.3309963755024946E-2</c:v>
                </c:pt>
                <c:pt idx="346">
                  <c:v>3.5664451637831048E-3</c:v>
                </c:pt>
                <c:pt idx="347">
                  <c:v>2.1600262319721193E-2</c:v>
                </c:pt>
                <c:pt idx="348">
                  <c:v>-4.0364235587780732E-3</c:v>
                </c:pt>
                <c:pt idx="349">
                  <c:v>4.3379796946976558E-3</c:v>
                </c:pt>
                <c:pt idx="350">
                  <c:v>-3.5655612560349841E-3</c:v>
                </c:pt>
                <c:pt idx="351">
                  <c:v>1.9456811510233148E-2</c:v>
                </c:pt>
                <c:pt idx="352">
                  <c:v>-1.7080671825855841E-2</c:v>
                </c:pt>
                <c:pt idx="353">
                  <c:v>-6.0137997072115977E-3</c:v>
                </c:pt>
                <c:pt idx="354">
                  <c:v>5.2397427250462933E-3</c:v>
                </c:pt>
                <c:pt idx="355">
                  <c:v>2.004219773711087E-2</c:v>
                </c:pt>
                <c:pt idx="356">
                  <c:v>-5.4982041579727629E-3</c:v>
                </c:pt>
                <c:pt idx="357">
                  <c:v>-1.8046879995206148E-2</c:v>
                </c:pt>
                <c:pt idx="358">
                  <c:v>4.6169225170767051E-3</c:v>
                </c:pt>
                <c:pt idx="359">
                  <c:v>-8.0237240500613174E-3</c:v>
                </c:pt>
                <c:pt idx="360">
                  <c:v>-9.2666437538849542E-3</c:v>
                </c:pt>
                <c:pt idx="361">
                  <c:v>1.7290367803946251E-2</c:v>
                </c:pt>
                <c:pt idx="362">
                  <c:v>-6.0371599425738129E-4</c:v>
                </c:pt>
                <c:pt idx="363">
                  <c:v>-1.11507609323095E-2</c:v>
                </c:pt>
                <c:pt idx="364">
                  <c:v>-3.2324324649677216E-2</c:v>
                </c:pt>
                <c:pt idx="365">
                  <c:v>-6.86367959457176E-3</c:v>
                </c:pt>
                <c:pt idx="366">
                  <c:v>1.3702171437248667E-2</c:v>
                </c:pt>
                <c:pt idx="367">
                  <c:v>-1.542070354476709E-3</c:v>
                </c:pt>
                <c:pt idx="368">
                  <c:v>1.9980424334789783E-2</c:v>
                </c:pt>
                <c:pt idx="369">
                  <c:v>7.8403333548650866E-3</c:v>
                </c:pt>
                <c:pt idx="370">
                  <c:v>-2.1660493530294891E-3</c:v>
                </c:pt>
                <c:pt idx="371">
                  <c:v>-5.3315041956304883E-3</c:v>
                </c:pt>
                <c:pt idx="372">
                  <c:v>-1.2368198418766348E-2</c:v>
                </c:pt>
                <c:pt idx="373">
                  <c:v>2.1011714252624387E-3</c:v>
                </c:pt>
                <c:pt idx="374">
                  <c:v>5.9471976010283508E-3</c:v>
                </c:pt>
                <c:pt idx="375">
                  <c:v>3.3158948749711205E-3</c:v>
                </c:pt>
                <c:pt idx="376">
                  <c:v>6.611547112993217E-4</c:v>
                </c:pt>
                <c:pt idx="377">
                  <c:v>1.0197639552857882E-2</c:v>
                </c:pt>
                <c:pt idx="378">
                  <c:v>2.8039478022597E-2</c:v>
                </c:pt>
                <c:pt idx="379">
                  <c:v>-5.070001860987168E-4</c:v>
                </c:pt>
                <c:pt idx="380">
                  <c:v>1.3968845908670665E-2</c:v>
                </c:pt>
                <c:pt idx="381">
                  <c:v>2.6747752612565068E-3</c:v>
                </c:pt>
                <c:pt idx="382">
                  <c:v>-1.4678302618269115E-2</c:v>
                </c:pt>
                <c:pt idx="383">
                  <c:v>-8.3982510131575035E-3</c:v>
                </c:pt>
                <c:pt idx="384">
                  <c:v>-0.12110916865807582</c:v>
                </c:pt>
                <c:pt idx="385">
                  <c:v>1.9307511502037359E-2</c:v>
                </c:pt>
                <c:pt idx="386">
                  <c:v>-5.9149599883498508E-3</c:v>
                </c:pt>
                <c:pt idx="387">
                  <c:v>4.2410208499684054E-3</c:v>
                </c:pt>
                <c:pt idx="388">
                  <c:v>-1.7977753862850946E-2</c:v>
                </c:pt>
                <c:pt idx="389">
                  <c:v>7.4219135852091334E-3</c:v>
                </c:pt>
                <c:pt idx="390">
                  <c:v>-2.5871743704276753E-3</c:v>
                </c:pt>
                <c:pt idx="391">
                  <c:v>9.763835981798882E-3</c:v>
                </c:pt>
                <c:pt idx="392">
                  <c:v>-3.0117898455862309E-4</c:v>
                </c:pt>
                <c:pt idx="393">
                  <c:v>-5.3716191028653814E-3</c:v>
                </c:pt>
                <c:pt idx="394">
                  <c:v>6.9793977434323305E-3</c:v>
                </c:pt>
                <c:pt idx="395">
                  <c:v>-6.0521200033069236E-3</c:v>
                </c:pt>
                <c:pt idx="396">
                  <c:v>-3.6719958841200193E-3</c:v>
                </c:pt>
                <c:pt idx="397">
                  <c:v>1.5062260900697691E-2</c:v>
                </c:pt>
                <c:pt idx="398">
                  <c:v>2.5592580807437124E-2</c:v>
                </c:pt>
                <c:pt idx="399">
                  <c:v>-5.9340764316511471E-3</c:v>
                </c:pt>
                <c:pt idx="400">
                  <c:v>5.3138137600685165E-3</c:v>
                </c:pt>
                <c:pt idx="401">
                  <c:v>-1.2733580711855748E-2</c:v>
                </c:pt>
                <c:pt idx="402">
                  <c:v>3.8192423256221916E-3</c:v>
                </c:pt>
                <c:pt idx="403">
                  <c:v>-1.7501705950131979E-2</c:v>
                </c:pt>
                <c:pt idx="404">
                  <c:v>2.8815384581437885E-4</c:v>
                </c:pt>
                <c:pt idx="405">
                  <c:v>-1.2884696417828035E-2</c:v>
                </c:pt>
                <c:pt idx="406">
                  <c:v>7.1706015385612585E-3</c:v>
                </c:pt>
                <c:pt idx="407">
                  <c:v>-3.0124674433278076E-4</c:v>
                </c:pt>
                <c:pt idx="408">
                  <c:v>2.4331257217251274E-2</c:v>
                </c:pt>
                <c:pt idx="409">
                  <c:v>7.0387951935288129E-2</c:v>
                </c:pt>
                <c:pt idx="410">
                  <c:v>-1.7392107886947842E-2</c:v>
                </c:pt>
                <c:pt idx="411">
                  <c:v>-2.6415071293915363E-2</c:v>
                </c:pt>
                <c:pt idx="412">
                  <c:v>-7.1440047469470717E-3</c:v>
                </c:pt>
                <c:pt idx="413">
                  <c:v>1.5812409801995584E-2</c:v>
                </c:pt>
                <c:pt idx="414">
                  <c:v>-4.573848487182868E-3</c:v>
                </c:pt>
                <c:pt idx="415">
                  <c:v>-4.6439402154229766E-2</c:v>
                </c:pt>
                <c:pt idx="416">
                  <c:v>-2.2024787425416737E-2</c:v>
                </c:pt>
                <c:pt idx="417">
                  <c:v>1.6955146317031006E-3</c:v>
                </c:pt>
                <c:pt idx="418">
                  <c:v>-2.9061474608456954E-3</c:v>
                </c:pt>
                <c:pt idx="419">
                  <c:v>1.6310644672272279E-2</c:v>
                </c:pt>
                <c:pt idx="420">
                  <c:v>2.2688848414226227E-2</c:v>
                </c:pt>
                <c:pt idx="421">
                  <c:v>1.0843174208757071E-2</c:v>
                </c:pt>
                <c:pt idx="422">
                  <c:v>-1.481263397707044E-3</c:v>
                </c:pt>
                <c:pt idx="423">
                  <c:v>1.0323060461575131E-2</c:v>
                </c:pt>
                <c:pt idx="424">
                  <c:v>-7.0833446370907683E-3</c:v>
                </c:pt>
                <c:pt idx="425">
                  <c:v>3.9397569722985706E-3</c:v>
                </c:pt>
                <c:pt idx="426">
                  <c:v>1.1842770431141042E-2</c:v>
                </c:pt>
                <c:pt idx="427">
                  <c:v>9.6351583432321593E-3</c:v>
                </c:pt>
                <c:pt idx="428">
                  <c:v>-2.5766922850965362E-2</c:v>
                </c:pt>
                <c:pt idx="429">
                  <c:v>-1.4092153224836881E-3</c:v>
                </c:pt>
                <c:pt idx="430">
                  <c:v>-8.70522556405353E-3</c:v>
                </c:pt>
                <c:pt idx="431">
                  <c:v>1.6032484052305753E-3</c:v>
                </c:pt>
                <c:pt idx="432">
                  <c:v>7.8565038947433549E-3</c:v>
                </c:pt>
                <c:pt idx="433">
                  <c:v>1.5233132061074673E-2</c:v>
                </c:pt>
                <c:pt idx="434">
                  <c:v>2.4275230507446086E-4</c:v>
                </c:pt>
                <c:pt idx="435">
                  <c:v>9.0160554492262155E-3</c:v>
                </c:pt>
                <c:pt idx="436">
                  <c:v>1.0094817604224225E-2</c:v>
                </c:pt>
                <c:pt idx="437">
                  <c:v>-1.7074502318056455E-3</c:v>
                </c:pt>
                <c:pt idx="438">
                  <c:v>6.1217155527689576E-4</c:v>
                </c:pt>
                <c:pt idx="439">
                  <c:v>-1.7341993702477486E-2</c:v>
                </c:pt>
                <c:pt idx="440">
                  <c:v>-8.6244103569298302E-3</c:v>
                </c:pt>
                <c:pt idx="441">
                  <c:v>1.8095788547454231E-3</c:v>
                </c:pt>
                <c:pt idx="442">
                  <c:v>2.0542440740478809E-2</c:v>
                </c:pt>
                <c:pt idx="443">
                  <c:v>1.0927828468395642E-2</c:v>
                </c:pt>
                <c:pt idx="444">
                  <c:v>9.3795730710337991E-3</c:v>
                </c:pt>
                <c:pt idx="445">
                  <c:v>1.1855075727465105E-3</c:v>
                </c:pt>
                <c:pt idx="446">
                  <c:v>4.2304743986200637E-3</c:v>
                </c:pt>
                <c:pt idx="447">
                  <c:v>8.1246027624087315E-3</c:v>
                </c:pt>
                <c:pt idx="448">
                  <c:v>1.117850531458197E-3</c:v>
                </c:pt>
                <c:pt idx="449">
                  <c:v>9.0302796217004593E-4</c:v>
                </c:pt>
                <c:pt idx="450">
                  <c:v>-1.1876661206836251E-2</c:v>
                </c:pt>
                <c:pt idx="451">
                  <c:v>-2.3992203559996889E-2</c:v>
                </c:pt>
                <c:pt idx="452">
                  <c:v>-1.2506076008962854E-3</c:v>
                </c:pt>
                <c:pt idx="453">
                  <c:v>5.7970891249642997E-2</c:v>
                </c:pt>
                <c:pt idx="454">
                  <c:v>-4.3958790168323473E-3</c:v>
                </c:pt>
                <c:pt idx="455">
                  <c:v>-1.4888298142053239E-3</c:v>
                </c:pt>
                <c:pt idx="456">
                  <c:v>5.9715471134701593E-4</c:v>
                </c:pt>
                <c:pt idx="457">
                  <c:v>-3.857249350455966E-3</c:v>
                </c:pt>
                <c:pt idx="458">
                  <c:v>3.5553236388489924E-3</c:v>
                </c:pt>
                <c:pt idx="459">
                  <c:v>1.1503491840654044E-2</c:v>
                </c:pt>
                <c:pt idx="460">
                  <c:v>1.9300039352447364E-2</c:v>
                </c:pt>
                <c:pt idx="461">
                  <c:v>4.1148573857264795E-2</c:v>
                </c:pt>
                <c:pt idx="462">
                  <c:v>-1.7990606108351785E-2</c:v>
                </c:pt>
                <c:pt idx="463">
                  <c:v>7.4112846758582797E-3</c:v>
                </c:pt>
                <c:pt idx="464">
                  <c:v>-4.999954434896872E-3</c:v>
                </c:pt>
                <c:pt idx="465">
                  <c:v>-6.1828473909036393E-3</c:v>
                </c:pt>
                <c:pt idx="466">
                  <c:v>2.0953506391213201E-2</c:v>
                </c:pt>
                <c:pt idx="467">
                  <c:v>-3.3678378301729857E-3</c:v>
                </c:pt>
                <c:pt idx="468">
                  <c:v>-4.8118424529547095E-3</c:v>
                </c:pt>
                <c:pt idx="469">
                  <c:v>-1.7013196455719543E-2</c:v>
                </c:pt>
                <c:pt idx="470">
                  <c:v>-4.8857122169475966E-3</c:v>
                </c:pt>
                <c:pt idx="471">
                  <c:v>9.1541237692128758E-3</c:v>
                </c:pt>
                <c:pt idx="472">
                  <c:v>8.6617067427636838E-3</c:v>
                </c:pt>
                <c:pt idx="473">
                  <c:v>4.4907889974314958E-3</c:v>
                </c:pt>
                <c:pt idx="474">
                  <c:v>1.7658882788772873E-3</c:v>
                </c:pt>
                <c:pt idx="475">
                  <c:v>-7.6331620161973141E-3</c:v>
                </c:pt>
                <c:pt idx="476">
                  <c:v>6.5740032962512034E-3</c:v>
                </c:pt>
                <c:pt idx="477">
                  <c:v>1.4046395265762924E-2</c:v>
                </c:pt>
                <c:pt idx="478">
                  <c:v>8.4243390228307229E-3</c:v>
                </c:pt>
                <c:pt idx="479">
                  <c:v>-3.6816034875729207E-3</c:v>
                </c:pt>
                <c:pt idx="480">
                  <c:v>1.6367808940296706E-2</c:v>
                </c:pt>
                <c:pt idx="481">
                  <c:v>-2.4489547286667867E-2</c:v>
                </c:pt>
                <c:pt idx="482">
                  <c:v>9.4606543367051488E-3</c:v>
                </c:pt>
                <c:pt idx="483">
                  <c:v>9.059866615894193E-3</c:v>
                </c:pt>
                <c:pt idx="484">
                  <c:v>-1.5659414614573163E-2</c:v>
                </c:pt>
                <c:pt idx="485">
                  <c:v>-1.3277125385703657E-2</c:v>
                </c:pt>
                <c:pt idx="486">
                  <c:v>-1.0307045322613144E-2</c:v>
                </c:pt>
                <c:pt idx="487">
                  <c:v>-1.4319791050911452E-2</c:v>
                </c:pt>
                <c:pt idx="488">
                  <c:v>5.1746263370337402E-3</c:v>
                </c:pt>
                <c:pt idx="489">
                  <c:v>-9.9337539674224547E-3</c:v>
                </c:pt>
                <c:pt idx="490">
                  <c:v>1.6630387019174705E-3</c:v>
                </c:pt>
                <c:pt idx="491">
                  <c:v>-9.0193861556917363E-3</c:v>
                </c:pt>
                <c:pt idx="492">
                  <c:v>1.5071966699488423E-2</c:v>
                </c:pt>
                <c:pt idx="493">
                  <c:v>-4.9377987833424631E-3</c:v>
                </c:pt>
                <c:pt idx="494">
                  <c:v>1.2497544835443469E-2</c:v>
                </c:pt>
                <c:pt idx="495">
                  <c:v>9.6592736576718852E-3</c:v>
                </c:pt>
                <c:pt idx="496">
                  <c:v>-3.9673760602057144E-3</c:v>
                </c:pt>
                <c:pt idx="497">
                  <c:v>0</c:v>
                </c:pt>
                <c:pt idx="498">
                  <c:v>3.2480769142502006E-3</c:v>
                </c:pt>
                <c:pt idx="499">
                  <c:v>-6.7095502256300631E-3</c:v>
                </c:pt>
                <c:pt idx="500">
                  <c:v>-6.7808039778200803E-3</c:v>
                </c:pt>
                <c:pt idx="501">
                  <c:v>-2.1370847773340501E-2</c:v>
                </c:pt>
                <c:pt idx="502">
                  <c:v>7.7617322229943048E-3</c:v>
                </c:pt>
                <c:pt idx="503">
                  <c:v>-1.8140628400287816E-2</c:v>
                </c:pt>
                <c:pt idx="504">
                  <c:v>-6.4215430573739485E-3</c:v>
                </c:pt>
                <c:pt idx="505">
                  <c:v>1.423405675496796E-2</c:v>
                </c:pt>
                <c:pt idx="506">
                  <c:v>-2.9818858297175985E-2</c:v>
                </c:pt>
                <c:pt idx="507">
                  <c:v>2.2601761911034614E-2</c:v>
                </c:pt>
                <c:pt idx="508">
                  <c:v>2.7064965768991454E-2</c:v>
                </c:pt>
                <c:pt idx="509">
                  <c:v>3.5543752290894581E-3</c:v>
                </c:pt>
                <c:pt idx="510">
                  <c:v>-1.3909093222657992E-2</c:v>
                </c:pt>
                <c:pt idx="511">
                  <c:v>-5.8643456574290704E-3</c:v>
                </c:pt>
                <c:pt idx="512">
                  <c:v>-6.6778876345114655E-3</c:v>
                </c:pt>
                <c:pt idx="513">
                  <c:v>3.6398670001957069E-3</c:v>
                </c:pt>
                <c:pt idx="514">
                  <c:v>2.0587392908144951E-2</c:v>
                </c:pt>
                <c:pt idx="515">
                  <c:v>-2.1407284111033223E-2</c:v>
                </c:pt>
                <c:pt idx="516">
                  <c:v>6.6657425695314382E-3</c:v>
                </c:pt>
                <c:pt idx="517">
                  <c:v>1.0634331549144362E-2</c:v>
                </c:pt>
                <c:pt idx="518">
                  <c:v>5.5071631228174166E-3</c:v>
                </c:pt>
                <c:pt idx="519">
                  <c:v>2.6220728228365062E-2</c:v>
                </c:pt>
                <c:pt idx="520">
                  <c:v>-3.6609381193092982E-2</c:v>
                </c:pt>
                <c:pt idx="521">
                  <c:v>-3.5649021757789404E-3</c:v>
                </c:pt>
                <c:pt idx="522">
                  <c:v>-1.467194088556305E-2</c:v>
                </c:pt>
                <c:pt idx="523">
                  <c:v>9.9738438118932553E-3</c:v>
                </c:pt>
                <c:pt idx="524">
                  <c:v>1.0402401917533357E-2</c:v>
                </c:pt>
                <c:pt idx="525">
                  <c:v>6.5989830531745014E-3</c:v>
                </c:pt>
                <c:pt idx="526">
                  <c:v>1.001551447182342E-2</c:v>
                </c:pt>
                <c:pt idx="527">
                  <c:v>8.0468237460619655E-3</c:v>
                </c:pt>
                <c:pt idx="528">
                  <c:v>3.6080065403137039E-3</c:v>
                </c:pt>
                <c:pt idx="529">
                  <c:v>2.831171535417024E-4</c:v>
                </c:pt>
                <c:pt idx="530">
                  <c:v>2.258882798109985E-3</c:v>
                </c:pt>
                <c:pt idx="531">
                  <c:v>2.4247584349543693E-3</c:v>
                </c:pt>
                <c:pt idx="532">
                  <c:v>6.3147441347944913E-3</c:v>
                </c:pt>
                <c:pt idx="533">
                  <c:v>6.0937838035140263E-3</c:v>
                </c:pt>
                <c:pt idx="534">
                  <c:v>-7.5986323433871288E-3</c:v>
                </c:pt>
                <c:pt idx="535">
                  <c:v>-4.0725409556580175E-3</c:v>
                </c:pt>
                <c:pt idx="536">
                  <c:v>-1.7635935008841503E-3</c:v>
                </c:pt>
                <c:pt idx="537">
                  <c:v>1.0287446233549586E-2</c:v>
                </c:pt>
                <c:pt idx="538">
                  <c:v>1.1755596834027241E-2</c:v>
                </c:pt>
                <c:pt idx="539">
                  <c:v>-1.3969345267259358E-2</c:v>
                </c:pt>
                <c:pt idx="540">
                  <c:v>1.6637928787525937E-2</c:v>
                </c:pt>
                <c:pt idx="541">
                  <c:v>-7.8277678800224935E-3</c:v>
                </c:pt>
                <c:pt idx="542">
                  <c:v>1.0619828309114156E-3</c:v>
                </c:pt>
                <c:pt idx="543">
                  <c:v>-6.5893877971330951E-3</c:v>
                </c:pt>
                <c:pt idx="544">
                  <c:v>-2.205100224931126E-3</c:v>
                </c:pt>
                <c:pt idx="545">
                  <c:v>5.3209522840452442E-3</c:v>
                </c:pt>
                <c:pt idx="546">
                  <c:v>6.5720584172596786E-3</c:v>
                </c:pt>
                <c:pt idx="547">
                  <c:v>-9.9605398947764569E-3</c:v>
                </c:pt>
                <c:pt idx="548">
                  <c:v>-4.9988243299386526E-3</c:v>
                </c:pt>
                <c:pt idx="549">
                  <c:v>9.1491487547931891E-3</c:v>
                </c:pt>
                <c:pt idx="550">
                  <c:v>3.8659594797163688E-2</c:v>
                </c:pt>
                <c:pt idx="551">
                  <c:v>-7.1510563431925155E-3</c:v>
                </c:pt>
                <c:pt idx="552">
                  <c:v>2.6698887642171352E-2</c:v>
                </c:pt>
                <c:pt idx="553">
                  <c:v>-4.1842299872390772E-3</c:v>
                </c:pt>
                <c:pt idx="554">
                  <c:v>8.3774162631360706E-3</c:v>
                </c:pt>
                <c:pt idx="555">
                  <c:v>-3.9929713386048218E-3</c:v>
                </c:pt>
                <c:pt idx="556">
                  <c:v>-1.3694824225336858E-2</c:v>
                </c:pt>
                <c:pt idx="557">
                  <c:v>-1.0811889356233138E-2</c:v>
                </c:pt>
                <c:pt idx="558">
                  <c:v>2.3620163895132218E-2</c:v>
                </c:pt>
                <c:pt idx="559">
                  <c:v>1.6917218884669256E-2</c:v>
                </c:pt>
                <c:pt idx="560">
                  <c:v>1.0473472782844679E-2</c:v>
                </c:pt>
                <c:pt idx="561">
                  <c:v>-1.7877619147426192E-3</c:v>
                </c:pt>
                <c:pt idx="562">
                  <c:v>-8.2309501382667877E-3</c:v>
                </c:pt>
                <c:pt idx="563">
                  <c:v>-2.8114036071916104E-2</c:v>
                </c:pt>
                <c:pt idx="564">
                  <c:v>-1.7677988061626691E-3</c:v>
                </c:pt>
                <c:pt idx="565">
                  <c:v>5.1307293025253304E-4</c:v>
                </c:pt>
                <c:pt idx="566">
                  <c:v>1.6245657776400812E-2</c:v>
                </c:pt>
                <c:pt idx="567">
                  <c:v>-2.7869039338211454E-2</c:v>
                </c:pt>
                <c:pt idx="568">
                  <c:v>-3.8663133682307737E-3</c:v>
                </c:pt>
                <c:pt idx="569">
                  <c:v>-6.5442847402724126E-4</c:v>
                </c:pt>
                <c:pt idx="570">
                  <c:v>1.4347215273264177E-2</c:v>
                </c:pt>
                <c:pt idx="571">
                  <c:v>1.6177636167922008E-2</c:v>
                </c:pt>
                <c:pt idx="572">
                  <c:v>-9.5819445535013752E-3</c:v>
                </c:pt>
                <c:pt idx="573">
                  <c:v>-1.7942446411474162E-3</c:v>
                </c:pt>
                <c:pt idx="574">
                  <c:v>1.3014451441608606E-3</c:v>
                </c:pt>
                <c:pt idx="575">
                  <c:v>-7.5948072025363482E-3</c:v>
                </c:pt>
                <c:pt idx="576">
                  <c:v>4.260553687858987E-3</c:v>
                </c:pt>
                <c:pt idx="577">
                  <c:v>1.1910186700615389E-3</c:v>
                </c:pt>
                <c:pt idx="578">
                  <c:v>2.3800425981786184E-2</c:v>
                </c:pt>
                <c:pt idx="579">
                  <c:v>-8.831793283440921E-3</c:v>
                </c:pt>
                <c:pt idx="580">
                  <c:v>-2.7506538032415566E-3</c:v>
                </c:pt>
                <c:pt idx="581">
                  <c:v>-9.8372200000610959E-3</c:v>
                </c:pt>
                <c:pt idx="582">
                  <c:v>-7.8323312529631883E-3</c:v>
                </c:pt>
                <c:pt idx="583">
                  <c:v>-6.5982269939391849E-3</c:v>
                </c:pt>
                <c:pt idx="584">
                  <c:v>-9.4565999413546847E-3</c:v>
                </c:pt>
                <c:pt idx="585">
                  <c:v>9.2246607023708967E-3</c:v>
                </c:pt>
                <c:pt idx="586">
                  <c:v>5.5128007729432727E-3</c:v>
                </c:pt>
                <c:pt idx="587">
                  <c:v>-2.4026683864347195E-3</c:v>
                </c:pt>
                <c:pt idx="588">
                  <c:v>1.0827740298570155E-2</c:v>
                </c:pt>
                <c:pt idx="589">
                  <c:v>1.8082482833293161E-2</c:v>
                </c:pt>
                <c:pt idx="590">
                  <c:v>-4.3684407728296123E-3</c:v>
                </c:pt>
                <c:pt idx="591">
                  <c:v>-1.6102484685776172E-2</c:v>
                </c:pt>
                <c:pt idx="592">
                  <c:v>5.8553496250884672E-3</c:v>
                </c:pt>
                <c:pt idx="593">
                  <c:v>-2.0181820990747361E-3</c:v>
                </c:pt>
                <c:pt idx="594">
                  <c:v>-1.7161371539355262E-3</c:v>
                </c:pt>
                <c:pt idx="595">
                  <c:v>1.6667936610477253E-2</c:v>
                </c:pt>
                <c:pt idx="596">
                  <c:v>-6.2150239629873288E-3</c:v>
                </c:pt>
                <c:pt idx="597">
                  <c:v>4.3513542806494109E-4</c:v>
                </c:pt>
                <c:pt idx="598">
                  <c:v>1.8912257487122242E-3</c:v>
                </c:pt>
                <c:pt idx="599">
                  <c:v>-4.5667752213620341E-3</c:v>
                </c:pt>
                <c:pt idx="600">
                  <c:v>8.3122240822575896E-3</c:v>
                </c:pt>
                <c:pt idx="601">
                  <c:v>1.4678901781082823E-2</c:v>
                </c:pt>
                <c:pt idx="602">
                  <c:v>-3.6849885080042374E-3</c:v>
                </c:pt>
                <c:pt idx="603">
                  <c:v>-1.2280835688415533E-2</c:v>
                </c:pt>
                <c:pt idx="604">
                  <c:v>7.7820104917873504E-4</c:v>
                </c:pt>
                <c:pt idx="605">
                  <c:v>2.1779135494945877E-2</c:v>
                </c:pt>
                <c:pt idx="606">
                  <c:v>6.5199207630750027E-3</c:v>
                </c:pt>
                <c:pt idx="607">
                  <c:v>-5.0988019005297229E-3</c:v>
                </c:pt>
                <c:pt idx="608">
                  <c:v>-3.8534258962217524E-3</c:v>
                </c:pt>
                <c:pt idx="609">
                  <c:v>-6.1313082026502553E-3</c:v>
                </c:pt>
                <c:pt idx="610">
                  <c:v>-6.9273372881572485E-3</c:v>
                </c:pt>
                <c:pt idx="611">
                  <c:v>1.5940095655638732E-2</c:v>
                </c:pt>
                <c:pt idx="612">
                  <c:v>6.545417788282026E-3</c:v>
                </c:pt>
                <c:pt idx="613">
                  <c:v>4.2899476173328911E-3</c:v>
                </c:pt>
                <c:pt idx="614">
                  <c:v>-7.1890525717682979E-4</c:v>
                </c:pt>
                <c:pt idx="615">
                  <c:v>-3.3267047411754546E-3</c:v>
                </c:pt>
                <c:pt idx="616">
                  <c:v>4.0456099983523031E-3</c:v>
                </c:pt>
                <c:pt idx="617">
                  <c:v>7.4079424116455352E-3</c:v>
                </c:pt>
                <c:pt idx="618">
                  <c:v>-5.9462535193511535E-3</c:v>
                </c:pt>
                <c:pt idx="619">
                  <c:v>6.9034721007232855E-3</c:v>
                </c:pt>
                <c:pt idx="620">
                  <c:v>-7.3951753253514796E-3</c:v>
                </c:pt>
                <c:pt idx="621">
                  <c:v>1.2644957215261649E-2</c:v>
                </c:pt>
                <c:pt idx="622">
                  <c:v>-1.3148214260172472E-2</c:v>
                </c:pt>
                <c:pt idx="623">
                  <c:v>4.1372751908672128E-3</c:v>
                </c:pt>
                <c:pt idx="624">
                  <c:v>7.6856056338035935E-4</c:v>
                </c:pt>
                <c:pt idx="625">
                  <c:v>-2.4484989473390981E-3</c:v>
                </c:pt>
                <c:pt idx="626">
                  <c:v>4.4838769819820013E-3</c:v>
                </c:pt>
                <c:pt idx="627">
                  <c:v>-4.980506402244303E-3</c:v>
                </c:pt>
                <c:pt idx="628">
                  <c:v>-2.7019175734624167E-3</c:v>
                </c:pt>
                <c:pt idx="629">
                  <c:v>4.9231536339217877E-4</c:v>
                </c:pt>
                <c:pt idx="630">
                  <c:v>9.6584838242604384E-3</c:v>
                </c:pt>
                <c:pt idx="631">
                  <c:v>1.1171793366615901E-3</c:v>
                </c:pt>
                <c:pt idx="632">
                  <c:v>7.3550244018916701E-3</c:v>
                </c:pt>
                <c:pt idx="633">
                  <c:v>3.7591443211307841E-2</c:v>
                </c:pt>
                <c:pt idx="634">
                  <c:v>1.0271405811593755E-2</c:v>
                </c:pt>
                <c:pt idx="635">
                  <c:v>3.5605804852252539E-3</c:v>
                </c:pt>
                <c:pt idx="636">
                  <c:v>3.1666271613764148E-3</c:v>
                </c:pt>
                <c:pt idx="637">
                  <c:v>0</c:v>
                </c:pt>
                <c:pt idx="638">
                  <c:v>9.2543669072802498E-4</c:v>
                </c:pt>
                <c:pt idx="639">
                  <c:v>-1.0689270475490143E-2</c:v>
                </c:pt>
                <c:pt idx="640">
                  <c:v>2.3346458627932247E-3</c:v>
                </c:pt>
                <c:pt idx="641">
                  <c:v>-1.1972136370071596E-2</c:v>
                </c:pt>
                <c:pt idx="642">
                  <c:v>-2.075204741582523E-3</c:v>
                </c:pt>
                <c:pt idx="643">
                  <c:v>-6.8223389289348802E-3</c:v>
                </c:pt>
                <c:pt idx="644">
                  <c:v>-9.7175783048833037E-3</c:v>
                </c:pt>
                <c:pt idx="645">
                  <c:v>-6.9915399622132134E-3</c:v>
                </c:pt>
                <c:pt idx="646">
                  <c:v>1.1810471735180388E-2</c:v>
                </c:pt>
                <c:pt idx="647">
                  <c:v>-6.6594071514165876E-3</c:v>
                </c:pt>
                <c:pt idx="648">
                  <c:v>-7.920038981455841E-3</c:v>
                </c:pt>
                <c:pt idx="649">
                  <c:v>1.1409413874926439E-2</c:v>
                </c:pt>
                <c:pt idx="650">
                  <c:v>-7.422142884066184E-4</c:v>
                </c:pt>
                <c:pt idx="651">
                  <c:v>0</c:v>
                </c:pt>
                <c:pt idx="652">
                  <c:v>7.359533663556914E-3</c:v>
                </c:pt>
                <c:pt idx="653">
                  <c:v>1.2751613919074471E-2</c:v>
                </c:pt>
                <c:pt idx="654">
                  <c:v>4.3860363399966474E-3</c:v>
                </c:pt>
                <c:pt idx="655">
                  <c:v>1.1657322686059303E-2</c:v>
                </c:pt>
                <c:pt idx="656">
                  <c:v>7.1252728129054931E-3</c:v>
                </c:pt>
                <c:pt idx="657">
                  <c:v>1.1048744575697957E-2</c:v>
                </c:pt>
                <c:pt idx="658">
                  <c:v>-8.370248465764521E-3</c:v>
                </c:pt>
                <c:pt idx="659">
                  <c:v>5.9396103723231676E-3</c:v>
                </c:pt>
                <c:pt idx="660">
                  <c:v>-1.5666056888802458E-3</c:v>
                </c:pt>
                <c:pt idx="661">
                  <c:v>4.282071809595149E-4</c:v>
                </c:pt>
                <c:pt idx="662">
                  <c:v>-3.39695692424585E-3</c:v>
                </c:pt>
                <c:pt idx="663">
                  <c:v>-3.1603924119248936E-3</c:v>
                </c:pt>
                <c:pt idx="664">
                  <c:v>1.9847021314519294E-4</c:v>
                </c:pt>
                <c:pt idx="665">
                  <c:v>1.2223695108772335E-2</c:v>
                </c:pt>
                <c:pt idx="666">
                  <c:v>-7.5111719132864739E-3</c:v>
                </c:pt>
                <c:pt idx="667">
                  <c:v>-2.8993901405186227E-3</c:v>
                </c:pt>
                <c:pt idx="668">
                  <c:v>6.6477878435244418E-3</c:v>
                </c:pt>
                <c:pt idx="669">
                  <c:v>1.4211584097405493E-2</c:v>
                </c:pt>
                <c:pt idx="670">
                  <c:v>1.2168199114865282E-2</c:v>
                </c:pt>
                <c:pt idx="671">
                  <c:v>6.2395560739758223E-3</c:v>
                </c:pt>
                <c:pt idx="672">
                  <c:v>1.6351431638723843E-3</c:v>
                </c:pt>
                <c:pt idx="673">
                  <c:v>3.4168939539229413E-3</c:v>
                </c:pt>
                <c:pt idx="674">
                  <c:v>-6.5743956374980659E-3</c:v>
                </c:pt>
                <c:pt idx="675">
                  <c:v>-9.7583157567933919E-3</c:v>
                </c:pt>
                <c:pt idx="676">
                  <c:v>1.1280674276496309E-2</c:v>
                </c:pt>
                <c:pt idx="677">
                  <c:v>-5.2061596367057794E-3</c:v>
                </c:pt>
                <c:pt idx="678">
                  <c:v>3.4377992732587256E-3</c:v>
                </c:pt>
                <c:pt idx="679">
                  <c:v>1.7837955078056914E-2</c:v>
                </c:pt>
                <c:pt idx="680">
                  <c:v>-9.6769712758434084E-3</c:v>
                </c:pt>
                <c:pt idx="681">
                  <c:v>-1.0712425619002958E-2</c:v>
                </c:pt>
                <c:pt idx="682">
                  <c:v>1.1100809945108701E-2</c:v>
                </c:pt>
                <c:pt idx="683">
                  <c:v>-2.2326232466180464E-2</c:v>
                </c:pt>
                <c:pt idx="684">
                  <c:v>7.9505539985921594E-3</c:v>
                </c:pt>
                <c:pt idx="685">
                  <c:v>7.4213379483722226E-4</c:v>
                </c:pt>
                <c:pt idx="686">
                  <c:v>-1.7805305632523508E-3</c:v>
                </c:pt>
                <c:pt idx="687">
                  <c:v>-9.9967933566595009E-3</c:v>
                </c:pt>
                <c:pt idx="688">
                  <c:v>-3.0506422203261394E-3</c:v>
                </c:pt>
                <c:pt idx="689">
                  <c:v>7.2291838763206108E-3</c:v>
                </c:pt>
                <c:pt idx="690">
                  <c:v>0</c:v>
                </c:pt>
                <c:pt idx="691">
                  <c:v>-1.2217672966233425E-2</c:v>
                </c:pt>
                <c:pt idx="692">
                  <c:v>2.7032310061492589E-2</c:v>
                </c:pt>
                <c:pt idx="693">
                  <c:v>-1.9994542938068887E-2</c:v>
                </c:pt>
                <c:pt idx="694">
                  <c:v>-4.0630861749214521E-2</c:v>
                </c:pt>
                <c:pt idx="695">
                  <c:v>-8.6964159960913699E-3</c:v>
                </c:pt>
                <c:pt idx="696">
                  <c:v>1.9393808913696984E-3</c:v>
                </c:pt>
                <c:pt idx="697">
                  <c:v>-1.1739201374220682E-2</c:v>
                </c:pt>
                <c:pt idx="698">
                  <c:v>-1.1214856758113026E-2</c:v>
                </c:pt>
                <c:pt idx="699">
                  <c:v>2.0576924703804296E-2</c:v>
                </c:pt>
                <c:pt idx="700">
                  <c:v>1.0384414755172653E-2</c:v>
                </c:pt>
                <c:pt idx="701">
                  <c:v>1.7931580357160967E-2</c:v>
                </c:pt>
                <c:pt idx="702">
                  <c:v>-1.1254661579312637E-2</c:v>
                </c:pt>
                <c:pt idx="703">
                  <c:v>1.4440456993898784E-2</c:v>
                </c:pt>
                <c:pt idx="704">
                  <c:v>2.4284384123825383E-2</c:v>
                </c:pt>
                <c:pt idx="705">
                  <c:v>-4.7976745425144796E-3</c:v>
                </c:pt>
                <c:pt idx="706">
                  <c:v>1.2591768754280834E-2</c:v>
                </c:pt>
                <c:pt idx="707">
                  <c:v>2.7538657085725061E-3</c:v>
                </c:pt>
                <c:pt idx="708">
                  <c:v>-1.2238779429668655E-2</c:v>
                </c:pt>
                <c:pt idx="709">
                  <c:v>1.9305132328745086E-2</c:v>
                </c:pt>
                <c:pt idx="710">
                  <c:v>1.0404267441387177E-2</c:v>
                </c:pt>
                <c:pt idx="711">
                  <c:v>2.6963403608322761E-3</c:v>
                </c:pt>
                <c:pt idx="712">
                  <c:v>6.1890656356836521E-3</c:v>
                </c:pt>
                <c:pt idx="713">
                  <c:v>1.7308831589167961E-2</c:v>
                </c:pt>
                <c:pt idx="714">
                  <c:v>-4.4527938406235552E-4</c:v>
                </c:pt>
                <c:pt idx="715">
                  <c:v>4.3863723071071595E-3</c:v>
                </c:pt>
                <c:pt idx="716">
                  <c:v>-4.21945992379215E-4</c:v>
                </c:pt>
                <c:pt idx="717">
                  <c:v>-1.9009632948619338E-3</c:v>
                </c:pt>
                <c:pt idx="718">
                  <c:v>1.6826418124933417E-2</c:v>
                </c:pt>
                <c:pt idx="719">
                  <c:v>-5.5295489627921635E-4</c:v>
                </c:pt>
                <c:pt idx="720">
                  <c:v>-2.3570293424309344E-3</c:v>
                </c:pt>
                <c:pt idx="721">
                  <c:v>-8.4202558652387207E-3</c:v>
                </c:pt>
                <c:pt idx="722">
                  <c:v>-1.0742537122734749E-2</c:v>
                </c:pt>
                <c:pt idx="723">
                  <c:v>9.9059250181191463E-3</c:v>
                </c:pt>
                <c:pt idx="724">
                  <c:v>-1.4891075556861061E-2</c:v>
                </c:pt>
                <c:pt idx="725">
                  <c:v>-8.0958289023750213E-3</c:v>
                </c:pt>
                <c:pt idx="726">
                  <c:v>-2.5848449459167206E-3</c:v>
                </c:pt>
                <c:pt idx="727">
                  <c:v>5.8827512013568195E-3</c:v>
                </c:pt>
                <c:pt idx="728">
                  <c:v>1.2357431080966602E-3</c:v>
                </c:pt>
                <c:pt idx="729">
                  <c:v>1.6844995187446865E-2</c:v>
                </c:pt>
                <c:pt idx="730">
                  <c:v>-3.306002272186023E-3</c:v>
                </c:pt>
                <c:pt idx="731">
                  <c:v>-7.9158218680011293E-3</c:v>
                </c:pt>
                <c:pt idx="732">
                  <c:v>1.570509707272932E-2</c:v>
                </c:pt>
                <c:pt idx="733">
                  <c:v>-8.6138787265685485E-3</c:v>
                </c:pt>
                <c:pt idx="734">
                  <c:v>-1.5289969163808285E-2</c:v>
                </c:pt>
                <c:pt idx="735">
                  <c:v>-1.9580695931490839E-3</c:v>
                </c:pt>
                <c:pt idx="736">
                  <c:v>-1.4710932501212529E-2</c:v>
                </c:pt>
                <c:pt idx="737">
                  <c:v>5.8037203611028482E-3</c:v>
                </c:pt>
                <c:pt idx="738">
                  <c:v>-4.6893896817421631E-3</c:v>
                </c:pt>
                <c:pt idx="739">
                  <c:v>-5.975796226391869E-3</c:v>
                </c:pt>
                <c:pt idx="740">
                  <c:v>-3.2827003337261483E-2</c:v>
                </c:pt>
                <c:pt idx="741">
                  <c:v>1.2741669616342537E-2</c:v>
                </c:pt>
                <c:pt idx="742">
                  <c:v>3.8127232295038463E-2</c:v>
                </c:pt>
                <c:pt idx="743">
                  <c:v>2.8216426084474058E-3</c:v>
                </c:pt>
                <c:pt idx="744">
                  <c:v>6.8046857680516427E-3</c:v>
                </c:pt>
                <c:pt idx="745">
                  <c:v>9.7629145161205015E-3</c:v>
                </c:pt>
                <c:pt idx="746">
                  <c:v>-6.4504295853522334E-3</c:v>
                </c:pt>
                <c:pt idx="747">
                  <c:v>-5.358275375000097E-3</c:v>
                </c:pt>
                <c:pt idx="748">
                  <c:v>-9.0446616510601024E-3</c:v>
                </c:pt>
                <c:pt idx="749">
                  <c:v>-9.0776806570474766E-3</c:v>
                </c:pt>
                <c:pt idx="750">
                  <c:v>-1.2217320037688537E-2</c:v>
                </c:pt>
                <c:pt idx="751">
                  <c:v>6.664150949374381E-3</c:v>
                </c:pt>
                <c:pt idx="752">
                  <c:v>-9.2824693669997255E-3</c:v>
                </c:pt>
                <c:pt idx="753">
                  <c:v>-1.482431509326642E-2</c:v>
                </c:pt>
                <c:pt idx="754">
                  <c:v>1.2682897744268812E-2</c:v>
                </c:pt>
                <c:pt idx="755">
                  <c:v>2.9049359654276071E-2</c:v>
                </c:pt>
                <c:pt idx="756">
                  <c:v>-8.4999399816519869E-3</c:v>
                </c:pt>
                <c:pt idx="757">
                  <c:v>-1.2560757958998315E-2</c:v>
                </c:pt>
                <c:pt idx="758">
                  <c:v>-5.4878553221256029E-3</c:v>
                </c:pt>
                <c:pt idx="759">
                  <c:v>-8.400155878178231E-3</c:v>
                </c:pt>
                <c:pt idx="760">
                  <c:v>-1.0451241814167804E-2</c:v>
                </c:pt>
                <c:pt idx="761">
                  <c:v>1.6597427765386075E-2</c:v>
                </c:pt>
                <c:pt idx="762">
                  <c:v>3.2158936475009479E-3</c:v>
                </c:pt>
                <c:pt idx="763">
                  <c:v>-1.0198634562266058E-2</c:v>
                </c:pt>
                <c:pt idx="764">
                  <c:v>2.6030888367937804E-2</c:v>
                </c:pt>
                <c:pt idx="765">
                  <c:v>1.0397129254707262E-3</c:v>
                </c:pt>
                <c:pt idx="766">
                  <c:v>-3.5706552150277836E-3</c:v>
                </c:pt>
                <c:pt idx="767">
                  <c:v>-9.7168298373318931E-2</c:v>
                </c:pt>
                <c:pt idx="768">
                  <c:v>-3.5056708442582664E-2</c:v>
                </c:pt>
                <c:pt idx="769">
                  <c:v>1.9714642676965429E-2</c:v>
                </c:pt>
                <c:pt idx="770">
                  <c:v>-3.895495337228113E-2</c:v>
                </c:pt>
                <c:pt idx="771">
                  <c:v>2.1443222252500387E-2</c:v>
                </c:pt>
                <c:pt idx="772">
                  <c:v>7.716989735423967E-3</c:v>
                </c:pt>
                <c:pt idx="773">
                  <c:v>5.7503026613879779E-3</c:v>
                </c:pt>
                <c:pt idx="774">
                  <c:v>1.4465953903249961E-2</c:v>
                </c:pt>
                <c:pt idx="775">
                  <c:v>-9.0848589655552752E-4</c:v>
                </c:pt>
                <c:pt idx="776">
                  <c:v>-1.1814421560943751E-3</c:v>
                </c:pt>
                <c:pt idx="777">
                  <c:v>5.5953595782919233E-3</c:v>
                </c:pt>
                <c:pt idx="778">
                  <c:v>-5.1391025272521876E-3</c:v>
                </c:pt>
                <c:pt idx="779">
                  <c:v>1.6631419866500206E-2</c:v>
                </c:pt>
                <c:pt idx="780">
                  <c:v>1.7897557472683043E-2</c:v>
                </c:pt>
                <c:pt idx="781">
                  <c:v>4.1669266069307368E-4</c:v>
                </c:pt>
                <c:pt idx="782">
                  <c:v>-1.1204215230992997E-3</c:v>
                </c:pt>
                <c:pt idx="783">
                  <c:v>-5.9257843765383349E-4</c:v>
                </c:pt>
                <c:pt idx="784">
                  <c:v>7.9901091981258426E-3</c:v>
                </c:pt>
                <c:pt idx="785">
                  <c:v>6.7016805226336766E-3</c:v>
                </c:pt>
                <c:pt idx="786">
                  <c:v>-1.3078972373814029E-3</c:v>
                </c:pt>
                <c:pt idx="787">
                  <c:v>-2.1556004707812756E-3</c:v>
                </c:pt>
                <c:pt idx="788">
                  <c:v>1.4629542986883879E-3</c:v>
                </c:pt>
                <c:pt idx="789">
                  <c:v>-4.701137113159528E-3</c:v>
                </c:pt>
                <c:pt idx="790">
                  <c:v>6.4057026122125386E-4</c:v>
                </c:pt>
                <c:pt idx="791">
                  <c:v>-1.3757966520205098E-2</c:v>
                </c:pt>
                <c:pt idx="792">
                  <c:v>-5.1537116782495243E-3</c:v>
                </c:pt>
                <c:pt idx="793">
                  <c:v>1.2560522966674026E-3</c:v>
                </c:pt>
                <c:pt idx="794">
                  <c:v>-1.7626202802231122E-2</c:v>
                </c:pt>
                <c:pt idx="795">
                  <c:v>1.1554107492708529E-2</c:v>
                </c:pt>
                <c:pt idx="796">
                  <c:v>-1.9345440006569709E-2</c:v>
                </c:pt>
                <c:pt idx="797">
                  <c:v>-1.0763122894923947E-3</c:v>
                </c:pt>
                <c:pt idx="798">
                  <c:v>-1.8878084700485836E-2</c:v>
                </c:pt>
                <c:pt idx="799">
                  <c:v>4.3576958644134713E-3</c:v>
                </c:pt>
                <c:pt idx="800">
                  <c:v>4.3805236046198315E-3</c:v>
                </c:pt>
                <c:pt idx="801">
                  <c:v>3.1196159535120528E-3</c:v>
                </c:pt>
                <c:pt idx="802">
                  <c:v>1.9316204133586451E-2</c:v>
                </c:pt>
                <c:pt idx="803">
                  <c:v>-5.3246461025421221E-3</c:v>
                </c:pt>
                <c:pt idx="804">
                  <c:v>1.4138330422137853E-2</c:v>
                </c:pt>
                <c:pt idx="805">
                  <c:v>-6.8788687917948851E-4</c:v>
                </c:pt>
                <c:pt idx="806">
                  <c:v>1.1300426654129408E-3</c:v>
                </c:pt>
                <c:pt idx="807">
                  <c:v>-3.4087277917409085E-2</c:v>
                </c:pt>
                <c:pt idx="808">
                  <c:v>-6.0647783626645744E-3</c:v>
                </c:pt>
                <c:pt idx="809">
                  <c:v>-5.8816084182720402E-3</c:v>
                </c:pt>
                <c:pt idx="810">
                  <c:v>-2.2017602880109412E-4</c:v>
                </c:pt>
                <c:pt idx="811">
                  <c:v>-7.5035985491668259E-3</c:v>
                </c:pt>
                <c:pt idx="812">
                  <c:v>1.6653976361636594E-3</c:v>
                </c:pt>
                <c:pt idx="813">
                  <c:v>-1.0676938685274797E-2</c:v>
                </c:pt>
                <c:pt idx="814">
                  <c:v>3.059030465108525E-2</c:v>
                </c:pt>
                <c:pt idx="815">
                  <c:v>-2.1714619870668182E-4</c:v>
                </c:pt>
                <c:pt idx="816">
                  <c:v>-2.6708538906844055E-3</c:v>
                </c:pt>
                <c:pt idx="817">
                  <c:v>1.4980064255817145E-3</c:v>
                </c:pt>
                <c:pt idx="818">
                  <c:v>5.6482092336703534E-3</c:v>
                </c:pt>
                <c:pt idx="819">
                  <c:v>9.7519629396703757E-4</c:v>
                </c:pt>
                <c:pt idx="820">
                  <c:v>-2.6313287303065566E-3</c:v>
                </c:pt>
                <c:pt idx="821">
                  <c:v>1.4593970905872698E-2</c:v>
                </c:pt>
                <c:pt idx="822">
                  <c:v>-2.4052433822512663E-3</c:v>
                </c:pt>
                <c:pt idx="823">
                  <c:v>-1.2888622567939625E-2</c:v>
                </c:pt>
                <c:pt idx="824">
                  <c:v>3.0276487585136368E-2</c:v>
                </c:pt>
                <c:pt idx="825">
                  <c:v>-6.1754961705846132E-3</c:v>
                </c:pt>
                <c:pt idx="826">
                  <c:v>8.3161067790470996E-3</c:v>
                </c:pt>
                <c:pt idx="827">
                  <c:v>8.0767768882380776E-3</c:v>
                </c:pt>
                <c:pt idx="828">
                  <c:v>9.9390789622610373E-2</c:v>
                </c:pt>
                <c:pt idx="829">
                  <c:v>3.3497152474200329E-3</c:v>
                </c:pt>
                <c:pt idx="830">
                  <c:v>2.3148405054277829E-2</c:v>
                </c:pt>
                <c:pt idx="831">
                  <c:v>-1.8790403117549979E-3</c:v>
                </c:pt>
                <c:pt idx="832">
                  <c:v>-8.6517913572533803E-3</c:v>
                </c:pt>
                <c:pt idx="833">
                  <c:v>1.901723680527691E-4</c:v>
                </c:pt>
                <c:pt idx="834">
                  <c:v>-8.3971926903117864E-3</c:v>
                </c:pt>
                <c:pt idx="835">
                  <c:v>-1.3385187757732385E-2</c:v>
                </c:pt>
                <c:pt idx="836">
                  <c:v>-2.8076903269406903E-2</c:v>
                </c:pt>
                <c:pt idx="837">
                  <c:v>9.0086666059173599E-3</c:v>
                </c:pt>
                <c:pt idx="838">
                  <c:v>2.2192253854102065E-2</c:v>
                </c:pt>
                <c:pt idx="839">
                  <c:v>-8.0041663642189138E-3</c:v>
                </c:pt>
                <c:pt idx="840">
                  <c:v>-4.7369642805456181E-4</c:v>
                </c:pt>
                <c:pt idx="841">
                  <c:v>5.8735746742289456E-3</c:v>
                </c:pt>
                <c:pt idx="842">
                  <c:v>2.2740009121937466E-2</c:v>
                </c:pt>
                <c:pt idx="843">
                  <c:v>-8.8491722387555004E-3</c:v>
                </c:pt>
                <c:pt idx="844">
                  <c:v>-5.8091738646225662E-3</c:v>
                </c:pt>
                <c:pt idx="845">
                  <c:v>-2.5465801344819175E-3</c:v>
                </c:pt>
                <c:pt idx="846">
                  <c:v>0</c:v>
                </c:pt>
                <c:pt idx="847">
                  <c:v>-3.3522584137658982E-3</c:v>
                </c:pt>
                <c:pt idx="848">
                  <c:v>-1.0969432187537102E-2</c:v>
                </c:pt>
                <c:pt idx="849">
                  <c:v>-6.674899874693923E-3</c:v>
                </c:pt>
                <c:pt idx="850">
                  <c:v>2.1587994377430166E-2</c:v>
                </c:pt>
                <c:pt idx="851">
                  <c:v>-3.3357455738024372E-3</c:v>
                </c:pt>
                <c:pt idx="852">
                  <c:v>-1.2466890261202707E-2</c:v>
                </c:pt>
                <c:pt idx="853">
                  <c:v>7.8729411847526902E-3</c:v>
                </c:pt>
                <c:pt idx="854">
                  <c:v>-6.5352532251231141E-3</c:v>
                </c:pt>
                <c:pt idx="855">
                  <c:v>-1.5730709238936345E-3</c:v>
                </c:pt>
                <c:pt idx="856">
                  <c:v>-1.0476514020707168E-2</c:v>
                </c:pt>
                <c:pt idx="857">
                  <c:v>-4.7741324249709893E-3</c:v>
                </c:pt>
                <c:pt idx="858">
                  <c:v>-9.0215644793155674E-3</c:v>
                </c:pt>
                <c:pt idx="859">
                  <c:v>-1.6671385285159897E-3</c:v>
                </c:pt>
                <c:pt idx="860">
                  <c:v>2.0823267908470545E-2</c:v>
                </c:pt>
                <c:pt idx="861">
                  <c:v>-3.671849320272228E-3</c:v>
                </c:pt>
                <c:pt idx="862">
                  <c:v>-1.0169537025862435E-2</c:v>
                </c:pt>
                <c:pt idx="863">
                  <c:v>-1.0923138560046801E-2</c:v>
                </c:pt>
                <c:pt idx="864">
                  <c:v>7.8896021665571629E-3</c:v>
                </c:pt>
                <c:pt idx="865">
                  <c:v>3.0335363934897185E-3</c:v>
                </c:pt>
                <c:pt idx="866">
                  <c:v>1.6175264817868459E-2</c:v>
                </c:pt>
                <c:pt idx="867">
                  <c:v>-1.3375170151048573E-2</c:v>
                </c:pt>
                <c:pt idx="868">
                  <c:v>2.7028052441273507E-3</c:v>
                </c:pt>
                <c:pt idx="869">
                  <c:v>-6.8758617849771827E-3</c:v>
                </c:pt>
                <c:pt idx="870">
                  <c:v>-6.0771233805648637E-3</c:v>
                </c:pt>
                <c:pt idx="871">
                  <c:v>4.6820369225890487E-4</c:v>
                </c:pt>
                <c:pt idx="872">
                  <c:v>-8.6872999035825377E-3</c:v>
                </c:pt>
                <c:pt idx="873">
                  <c:v>-1.9735559919257319E-2</c:v>
                </c:pt>
                <c:pt idx="874">
                  <c:v>-4.9420116209465282E-3</c:v>
                </c:pt>
                <c:pt idx="875">
                  <c:v>6.4348600688069937E-3</c:v>
                </c:pt>
                <c:pt idx="876">
                  <c:v>-8.3541005255683884E-4</c:v>
                </c:pt>
                <c:pt idx="877">
                  <c:v>-2.536061251707457E-4</c:v>
                </c:pt>
                <c:pt idx="878">
                  <c:v>-2.0441348370341711E-3</c:v>
                </c:pt>
                <c:pt idx="879">
                  <c:v>-1.4248140614767067E-3</c:v>
                </c:pt>
                <c:pt idx="880">
                  <c:v>6.3970270533178575E-3</c:v>
                </c:pt>
                <c:pt idx="881">
                  <c:v>2.0932374444239624E-3</c:v>
                </c:pt>
                <c:pt idx="882">
                  <c:v>2.0609091530441079E-2</c:v>
                </c:pt>
                <c:pt idx="883">
                  <c:v>1.7517089938673687E-3</c:v>
                </c:pt>
                <c:pt idx="884">
                  <c:v>3.0198399378008238E-3</c:v>
                </c:pt>
                <c:pt idx="885">
                  <c:v>1.9455310306559042E-2</c:v>
                </c:pt>
                <c:pt idx="886">
                  <c:v>-8.2027285444242245E-4</c:v>
                </c:pt>
                <c:pt idx="887">
                  <c:v>6.4944544166535504E-3</c:v>
                </c:pt>
                <c:pt idx="888">
                  <c:v>7.5101669033579704E-3</c:v>
                </c:pt>
                <c:pt idx="889">
                  <c:v>-3.7411207703796363E-2</c:v>
                </c:pt>
                <c:pt idx="890">
                  <c:v>1.2389880690686968E-2</c:v>
                </c:pt>
                <c:pt idx="891">
                  <c:v>-3.701872759985206E-3</c:v>
                </c:pt>
                <c:pt idx="892">
                  <c:v>-1.2909738130608221E-2</c:v>
                </c:pt>
                <c:pt idx="893">
                  <c:v>-2.4829676150961129E-4</c:v>
                </c:pt>
                <c:pt idx="894">
                  <c:v>2.0746700822265641E-2</c:v>
                </c:pt>
                <c:pt idx="895">
                  <c:v>1.2696015284857956E-2</c:v>
                </c:pt>
                <c:pt idx="896">
                  <c:v>-3.8598046814796354E-3</c:v>
                </c:pt>
                <c:pt idx="897">
                  <c:v>2.346631573458418E-3</c:v>
                </c:pt>
                <c:pt idx="898">
                  <c:v>1.5469598834578314E-2</c:v>
                </c:pt>
                <c:pt idx="899">
                  <c:v>8.454699021159947E-4</c:v>
                </c:pt>
                <c:pt idx="900">
                  <c:v>-2.0367998390595901E-2</c:v>
                </c:pt>
                <c:pt idx="901">
                  <c:v>2.5177988110635769E-3</c:v>
                </c:pt>
                <c:pt idx="902">
                  <c:v>1.2577307348403576E-2</c:v>
                </c:pt>
                <c:pt idx="903">
                  <c:v>-1.9607534086370126E-2</c:v>
                </c:pt>
                <c:pt idx="904">
                  <c:v>7.0302267379664385E-3</c:v>
                </c:pt>
                <c:pt idx="905">
                  <c:v>-1.6470596948884461E-4</c:v>
                </c:pt>
                <c:pt idx="906">
                  <c:v>5.7192952990158018E-3</c:v>
                </c:pt>
                <c:pt idx="907">
                  <c:v>6.8333649987370642E-3</c:v>
                </c:pt>
                <c:pt idx="908">
                  <c:v>5.5105362334198875E-3</c:v>
                </c:pt>
                <c:pt idx="909">
                  <c:v>-1.398794232182504E-2</c:v>
                </c:pt>
                <c:pt idx="910">
                  <c:v>-2.066438146249901E-2</c:v>
                </c:pt>
                <c:pt idx="911">
                  <c:v>-5.8385747424549855E-2</c:v>
                </c:pt>
                <c:pt idx="912">
                  <c:v>-3.2863051410032929E-2</c:v>
                </c:pt>
                <c:pt idx="913">
                  <c:v>-2.9445847843852787E-2</c:v>
                </c:pt>
                <c:pt idx="914">
                  <c:v>5.3886558737078247E-2</c:v>
                </c:pt>
                <c:pt idx="915">
                  <c:v>2.7548179899084653E-2</c:v>
                </c:pt>
                <c:pt idx="916">
                  <c:v>6.3412861421179934E-4</c:v>
                </c:pt>
                <c:pt idx="917">
                  <c:v>-9.4049121778381085E-3</c:v>
                </c:pt>
                <c:pt idx="918">
                  <c:v>-3.9820002576214222E-2</c:v>
                </c:pt>
                <c:pt idx="919">
                  <c:v>3.6199494693489334E-2</c:v>
                </c:pt>
                <c:pt idx="920">
                  <c:v>3.1535736385178499E-3</c:v>
                </c:pt>
                <c:pt idx="921">
                  <c:v>-2.0549703236930422E-2</c:v>
                </c:pt>
                <c:pt idx="922">
                  <c:v>2.9532616813634758E-2</c:v>
                </c:pt>
                <c:pt idx="923">
                  <c:v>-1.8871035151148227E-2</c:v>
                </c:pt>
                <c:pt idx="924">
                  <c:v>5.0353838054438653E-3</c:v>
                </c:pt>
                <c:pt idx="925">
                  <c:v>4.398710632423415E-3</c:v>
                </c:pt>
                <c:pt idx="926">
                  <c:v>-1.0184300912368867E-2</c:v>
                </c:pt>
                <c:pt idx="927">
                  <c:v>2.1572218446991455E-2</c:v>
                </c:pt>
                <c:pt idx="928">
                  <c:v>7.3513676858879126E-3</c:v>
                </c:pt>
                <c:pt idx="929">
                  <c:v>-1.1058426474185102E-3</c:v>
                </c:pt>
                <c:pt idx="930">
                  <c:v>-1.7633442573092142E-2</c:v>
                </c:pt>
                <c:pt idx="931">
                  <c:v>1.4430174570107155E-2</c:v>
                </c:pt>
                <c:pt idx="932">
                  <c:v>-4.7384296256973973E-3</c:v>
                </c:pt>
                <c:pt idx="933">
                  <c:v>-7.0997333430624699E-4</c:v>
                </c:pt>
                <c:pt idx="934">
                  <c:v>9.4132093510675781E-4</c:v>
                </c:pt>
                <c:pt idx="935">
                  <c:v>6.3138450684479576E-4</c:v>
                </c:pt>
                <c:pt idx="936">
                  <c:v>-1.4953187684478449E-2</c:v>
                </c:pt>
                <c:pt idx="937">
                  <c:v>3.5241933010335675E-3</c:v>
                </c:pt>
                <c:pt idx="938">
                  <c:v>1.8734899139897104E-2</c:v>
                </c:pt>
                <c:pt idx="939">
                  <c:v>7.8261749209990756E-3</c:v>
                </c:pt>
                <c:pt idx="940">
                  <c:v>2.1265898773012396E-2</c:v>
                </c:pt>
                <c:pt idx="941">
                  <c:v>2.3091975001689573E-2</c:v>
                </c:pt>
                <c:pt idx="942">
                  <c:v>2.4346970857060083E-3</c:v>
                </c:pt>
                <c:pt idx="943">
                  <c:v>1.0980726270437889E-3</c:v>
                </c:pt>
                <c:pt idx="944">
                  <c:v>1.3815171067396523E-2</c:v>
                </c:pt>
                <c:pt idx="945">
                  <c:v>-7.1647170489440469E-3</c:v>
                </c:pt>
                <c:pt idx="946">
                  <c:v>-2.3527425141457222E-3</c:v>
                </c:pt>
                <c:pt idx="947">
                  <c:v>-2.2974403988567523E-3</c:v>
                </c:pt>
                <c:pt idx="948">
                  <c:v>-4.5594285667353539E-3</c:v>
                </c:pt>
                <c:pt idx="949">
                  <c:v>7.0753977819141053E-3</c:v>
                </c:pt>
                <c:pt idx="950">
                  <c:v>1.0565753271396026E-2</c:v>
                </c:pt>
                <c:pt idx="951">
                  <c:v>2.3419158256289267E-3</c:v>
                </c:pt>
                <c:pt idx="952">
                  <c:v>3.1060830447367199E-3</c:v>
                </c:pt>
                <c:pt idx="953">
                  <c:v>-1.2020666882375526E-2</c:v>
                </c:pt>
                <c:pt idx="954">
                  <c:v>1.7427263980232376E-2</c:v>
                </c:pt>
                <c:pt idx="955">
                  <c:v>9.6064288240768958E-2</c:v>
                </c:pt>
                <c:pt idx="956">
                  <c:v>2.5745196683383518E-2</c:v>
                </c:pt>
                <c:pt idx="957">
                  <c:v>-1.0392131794154508E-2</c:v>
                </c:pt>
                <c:pt idx="958">
                  <c:v>5.4485071928553289E-3</c:v>
                </c:pt>
                <c:pt idx="959">
                  <c:v>-1.1568320735923144E-2</c:v>
                </c:pt>
                <c:pt idx="960">
                  <c:v>-1.3674948221391755E-2</c:v>
                </c:pt>
                <c:pt idx="961">
                  <c:v>1.1349425537000961E-2</c:v>
                </c:pt>
                <c:pt idx="962">
                  <c:v>1.7007548867598594E-2</c:v>
                </c:pt>
                <c:pt idx="963">
                  <c:v>4.6010544974620727E-3</c:v>
                </c:pt>
                <c:pt idx="964">
                  <c:v>-3.5253088157884279E-4</c:v>
                </c:pt>
                <c:pt idx="965">
                  <c:v>9.878222064873066E-3</c:v>
                </c:pt>
                <c:pt idx="966">
                  <c:v>-1.3981324702575496E-2</c:v>
                </c:pt>
                <c:pt idx="967">
                  <c:v>-1.207636090517107E-2</c:v>
                </c:pt>
                <c:pt idx="968">
                  <c:v>2.6435571537711984E-3</c:v>
                </c:pt>
                <c:pt idx="969">
                  <c:v>-6.188481895924771E-3</c:v>
                </c:pt>
                <c:pt idx="970">
                  <c:v>-9.0548366961187704E-3</c:v>
                </c:pt>
                <c:pt idx="971">
                  <c:v>1.7275018905402364E-2</c:v>
                </c:pt>
                <c:pt idx="972">
                  <c:v>-8.0767739074094694E-3</c:v>
                </c:pt>
                <c:pt idx="973">
                  <c:v>1.6463653186568842E-2</c:v>
                </c:pt>
                <c:pt idx="974">
                  <c:v>1.7080609041690272E-3</c:v>
                </c:pt>
                <c:pt idx="975">
                  <c:v>4.606868112369991E-3</c:v>
                </c:pt>
                <c:pt idx="976">
                  <c:v>0</c:v>
                </c:pt>
                <c:pt idx="977">
                  <c:v>1.1228097766327629E-3</c:v>
                </c:pt>
                <c:pt idx="978">
                  <c:v>-1.0425437063390566E-2</c:v>
                </c:pt>
                <c:pt idx="979">
                  <c:v>4.5065857774884196E-3</c:v>
                </c:pt>
                <c:pt idx="980">
                  <c:v>7.7310851925313983E-3</c:v>
                </c:pt>
                <c:pt idx="981">
                  <c:v>1.5866335786450345E-2</c:v>
                </c:pt>
                <c:pt idx="982">
                  <c:v>-1.827427223690551E-4</c:v>
                </c:pt>
                <c:pt idx="983">
                  <c:v>-1.841363512543915E-2</c:v>
                </c:pt>
                <c:pt idx="984">
                  <c:v>3.1034410047852724E-2</c:v>
                </c:pt>
                <c:pt idx="985">
                  <c:v>-1.7819275099165194E-3</c:v>
                </c:pt>
                <c:pt idx="986">
                  <c:v>-3.6164381729264652E-4</c:v>
                </c:pt>
                <c:pt idx="987">
                  <c:v>-1.4617357212693595E-2</c:v>
                </c:pt>
                <c:pt idx="988">
                  <c:v>5.2668773005001227E-3</c:v>
                </c:pt>
                <c:pt idx="989">
                  <c:v>-2.2181399920422885E-2</c:v>
                </c:pt>
                <c:pt idx="990">
                  <c:v>1.9793046060531935E-2</c:v>
                </c:pt>
                <c:pt idx="991">
                  <c:v>1.0644769861590726E-3</c:v>
                </c:pt>
                <c:pt idx="992">
                  <c:v>1.6774289904445582E-2</c:v>
                </c:pt>
                <c:pt idx="993">
                  <c:v>-7.7085970645843476E-3</c:v>
                </c:pt>
                <c:pt idx="994">
                  <c:v>-2.8611248292163292E-2</c:v>
                </c:pt>
                <c:pt idx="995">
                  <c:v>1.2864603597609228E-2</c:v>
                </c:pt>
                <c:pt idx="996">
                  <c:v>9.4437103386543781E-3</c:v>
                </c:pt>
                <c:pt idx="997">
                  <c:v>8.4722935787782672E-3</c:v>
                </c:pt>
                <c:pt idx="998">
                  <c:v>-2.7638568797028196E-3</c:v>
                </c:pt>
                <c:pt idx="999">
                  <c:v>5.0582105531269579E-3</c:v>
                </c:pt>
                <c:pt idx="1000">
                  <c:v>1.0670003398640691E-2</c:v>
                </c:pt>
                <c:pt idx="1001">
                  <c:v>-4.2591812436443225E-3</c:v>
                </c:pt>
                <c:pt idx="1002">
                  <c:v>-1.4879965268967956E-2</c:v>
                </c:pt>
                <c:pt idx="1003">
                  <c:v>-1.2289291721925281E-2</c:v>
                </c:pt>
                <c:pt idx="1004">
                  <c:v>4.5162831940424187E-3</c:v>
                </c:pt>
                <c:pt idx="1005">
                  <c:v>-1.8308369804024515E-2</c:v>
                </c:pt>
                <c:pt idx="1006">
                  <c:v>-3.5389360945999648E-2</c:v>
                </c:pt>
                <c:pt idx="1007">
                  <c:v>3.0095179390807417E-3</c:v>
                </c:pt>
                <c:pt idx="1008">
                  <c:v>-5.6345965711081735E-4</c:v>
                </c:pt>
                <c:pt idx="1009">
                  <c:v>9.1385926954300877E-3</c:v>
                </c:pt>
                <c:pt idx="1010">
                  <c:v>-2.1782547121961687E-2</c:v>
                </c:pt>
                <c:pt idx="1011">
                  <c:v>2.8080070881504139E-2</c:v>
                </c:pt>
                <c:pt idx="1012">
                  <c:v>-4.0716961980748811E-2</c:v>
                </c:pt>
                <c:pt idx="1013">
                  <c:v>-8.5493220133359849E-3</c:v>
                </c:pt>
                <c:pt idx="1014">
                  <c:v>4.5617383702661364E-3</c:v>
                </c:pt>
                <c:pt idx="1015">
                  <c:v>-6.1191438774560302E-3</c:v>
                </c:pt>
                <c:pt idx="1016">
                  <c:v>3.517077322756483E-2</c:v>
                </c:pt>
                <c:pt idx="1017">
                  <c:v>-9.614484566152999E-3</c:v>
                </c:pt>
                <c:pt idx="1018">
                  <c:v>7.3852261029203597E-3</c:v>
                </c:pt>
                <c:pt idx="1019">
                  <c:v>-1.8353847002291965E-2</c:v>
                </c:pt>
                <c:pt idx="1020">
                  <c:v>1.6215432290113116E-2</c:v>
                </c:pt>
                <c:pt idx="1021">
                  <c:v>5.5673434826232389E-2</c:v>
                </c:pt>
                <c:pt idx="1022">
                  <c:v>-6.067993574233611E-3</c:v>
                </c:pt>
                <c:pt idx="1023">
                  <c:v>-3.1666075817657395E-2</c:v>
                </c:pt>
                <c:pt idx="1024">
                  <c:v>-1.6011760940501611E-2</c:v>
                </c:pt>
                <c:pt idx="1025">
                  <c:v>-3.078104369072748E-3</c:v>
                </c:pt>
                <c:pt idx="1026">
                  <c:v>-3.6017334344129404E-2</c:v>
                </c:pt>
                <c:pt idx="1027">
                  <c:v>-1.5077808156196453E-2</c:v>
                </c:pt>
                <c:pt idx="1028">
                  <c:v>-2.6237869705659838E-3</c:v>
                </c:pt>
                <c:pt idx="1029">
                  <c:v>8.6995511751264687E-3</c:v>
                </c:pt>
                <c:pt idx="1030">
                  <c:v>-3.9918930885244057E-4</c:v>
                </c:pt>
                <c:pt idx="1031">
                  <c:v>1.6156668741516597E-2</c:v>
                </c:pt>
                <c:pt idx="1032">
                  <c:v>1.8809945489827604E-2</c:v>
                </c:pt>
                <c:pt idx="1033">
                  <c:v>2.5664852173017984E-2</c:v>
                </c:pt>
                <c:pt idx="1034">
                  <c:v>-4.3879871172168719E-3</c:v>
                </c:pt>
                <c:pt idx="1035">
                  <c:v>-7.0862722995528081E-3</c:v>
                </c:pt>
                <c:pt idx="1036">
                  <c:v>1.5890110064584684E-2</c:v>
                </c:pt>
                <c:pt idx="1037">
                  <c:v>-2.8275759428645866E-2</c:v>
                </c:pt>
                <c:pt idx="1038">
                  <c:v>3.4357844602108572E-3</c:v>
                </c:pt>
                <c:pt idx="1039">
                  <c:v>1.4283314862483324E-2</c:v>
                </c:pt>
                <c:pt idx="1040">
                  <c:v>-1.5438967326143744E-2</c:v>
                </c:pt>
                <c:pt idx="1041">
                  <c:v>-8.2223028168153921E-3</c:v>
                </c:pt>
                <c:pt idx="1042">
                  <c:v>3.2838063459856563E-2</c:v>
                </c:pt>
                <c:pt idx="1043">
                  <c:v>7.0206865520214207E-3</c:v>
                </c:pt>
                <c:pt idx="1044">
                  <c:v>-1.1421145498414463E-2</c:v>
                </c:pt>
                <c:pt idx="1045">
                  <c:v>-6.1102775806179122E-3</c:v>
                </c:pt>
                <c:pt idx="1046">
                  <c:v>-1.9395942809705788E-2</c:v>
                </c:pt>
                <c:pt idx="1047">
                  <c:v>1.2080672062703343E-2</c:v>
                </c:pt>
                <c:pt idx="1048">
                  <c:v>2.2788902596583741E-2</c:v>
                </c:pt>
                <c:pt idx="1049">
                  <c:v>-1.5114567748456044E-2</c:v>
                </c:pt>
                <c:pt idx="1050">
                  <c:v>1.9433806524301808E-2</c:v>
                </c:pt>
                <c:pt idx="1051">
                  <c:v>1.9028694987169351E-3</c:v>
                </c:pt>
                <c:pt idx="1052">
                  <c:v>7.8674729744519674E-3</c:v>
                </c:pt>
                <c:pt idx="1053">
                  <c:v>1.4018097586904945E-2</c:v>
                </c:pt>
                <c:pt idx="1054">
                  <c:v>5.7083768872044022E-3</c:v>
                </c:pt>
                <c:pt idx="1055">
                  <c:v>-2.1633357383411173E-2</c:v>
                </c:pt>
                <c:pt idx="1056">
                  <c:v>6.9456374248145041E-3</c:v>
                </c:pt>
                <c:pt idx="1057">
                  <c:v>3.8670889251022195E-3</c:v>
                </c:pt>
                <c:pt idx="1058">
                  <c:v>-1.8711886253799709E-3</c:v>
                </c:pt>
                <c:pt idx="1059">
                  <c:v>4.5115612250312253E-3</c:v>
                </c:pt>
                <c:pt idx="1060">
                  <c:v>-1.2489742186991721E-2</c:v>
                </c:pt>
                <c:pt idx="1061">
                  <c:v>2.1614807700391751E-2</c:v>
                </c:pt>
                <c:pt idx="1062">
                  <c:v>6.153322816324718E-3</c:v>
                </c:pt>
                <c:pt idx="1063">
                  <c:v>3.2704318678579872E-3</c:v>
                </c:pt>
                <c:pt idx="1064">
                  <c:v>6.1707331748246863E-3</c:v>
                </c:pt>
                <c:pt idx="1065">
                  <c:v>-2.5006832612269915E-3</c:v>
                </c:pt>
                <c:pt idx="1066">
                  <c:v>-1.5827749534783494E-2</c:v>
                </c:pt>
                <c:pt idx="1067">
                  <c:v>1.0221637992771157E-2</c:v>
                </c:pt>
                <c:pt idx="1068">
                  <c:v>-1.2038784087452846E-2</c:v>
                </c:pt>
                <c:pt idx="1069">
                  <c:v>-7.2571569397311176E-4</c:v>
                </c:pt>
                <c:pt idx="1070">
                  <c:v>-2.1264202690613326E-3</c:v>
                </c:pt>
                <c:pt idx="1071">
                  <c:v>6.295715981384383E-3</c:v>
                </c:pt>
                <c:pt idx="1072">
                  <c:v>1.2754434382948474E-2</c:v>
                </c:pt>
                <c:pt idx="1073">
                  <c:v>1.6064208064010992E-4</c:v>
                </c:pt>
                <c:pt idx="1074">
                  <c:v>5.1694479541764694E-3</c:v>
                </c:pt>
                <c:pt idx="1075">
                  <c:v>1.4514923121143527E-2</c:v>
                </c:pt>
                <c:pt idx="1076">
                  <c:v>-1.2687648203431731E-3</c:v>
                </c:pt>
                <c:pt idx="1077">
                  <c:v>-1.4274267459970584E-2</c:v>
                </c:pt>
                <c:pt idx="1078">
                  <c:v>3.4182193267700534E-3</c:v>
                </c:pt>
                <c:pt idx="1079">
                  <c:v>-7.4407297122267235E-2</c:v>
                </c:pt>
                <c:pt idx="1080">
                  <c:v>6.3254113890131953E-3</c:v>
                </c:pt>
                <c:pt idx="1081">
                  <c:v>-1.2951462087842786E-2</c:v>
                </c:pt>
                <c:pt idx="1082">
                  <c:v>-9.7281994392057168E-3</c:v>
                </c:pt>
                <c:pt idx="1083">
                  <c:v>-2.061081675713318E-2</c:v>
                </c:pt>
                <c:pt idx="1084">
                  <c:v>-3.9031346276012594E-4</c:v>
                </c:pt>
                <c:pt idx="1085">
                  <c:v>1.4525702935770692E-2</c:v>
                </c:pt>
                <c:pt idx="1086">
                  <c:v>-1.6558696857075506E-2</c:v>
                </c:pt>
                <c:pt idx="1087">
                  <c:v>1.8073097022184906E-3</c:v>
                </c:pt>
                <c:pt idx="1088">
                  <c:v>1.4570226092962258E-3</c:v>
                </c:pt>
                <c:pt idx="1089">
                  <c:v>8.919004422342957E-3</c:v>
                </c:pt>
                <c:pt idx="1090">
                  <c:v>-6.3686917917862374E-3</c:v>
                </c:pt>
                <c:pt idx="1091">
                  <c:v>1.8769480282242717E-2</c:v>
                </c:pt>
                <c:pt idx="1092">
                  <c:v>6.0653984124275418E-4</c:v>
                </c:pt>
                <c:pt idx="1093">
                  <c:v>8.9580783847208641E-3</c:v>
                </c:pt>
                <c:pt idx="1094">
                  <c:v>-8.3607206279234358E-3</c:v>
                </c:pt>
                <c:pt idx="1095">
                  <c:v>1.4619366272970691E-2</c:v>
                </c:pt>
                <c:pt idx="1096">
                  <c:v>-1.8843790041690154E-2</c:v>
                </c:pt>
                <c:pt idx="1097">
                  <c:v>5.9285680690075301E-3</c:v>
                </c:pt>
                <c:pt idx="1098">
                  <c:v>-9.6976646454054356E-3</c:v>
                </c:pt>
                <c:pt idx="1099">
                  <c:v>5.8647687208918066E-3</c:v>
                </c:pt>
                <c:pt idx="1100">
                  <c:v>-1.1672528034507046E-2</c:v>
                </c:pt>
                <c:pt idx="1101">
                  <c:v>3.066143021071922E-2</c:v>
                </c:pt>
                <c:pt idx="1102">
                  <c:v>1.0612671754404078E-2</c:v>
                </c:pt>
                <c:pt idx="1103">
                  <c:v>-4.6975784090464321E-3</c:v>
                </c:pt>
                <c:pt idx="1104">
                  <c:v>8.0236590795571064E-3</c:v>
                </c:pt>
                <c:pt idx="1105">
                  <c:v>1.3101996033349895E-2</c:v>
                </c:pt>
                <c:pt idx="1106">
                  <c:v>-2.6608341148380865E-3</c:v>
                </c:pt>
                <c:pt idx="1107">
                  <c:v>-7.2325984528151385E-3</c:v>
                </c:pt>
                <c:pt idx="1108">
                  <c:v>-1.323528710496529E-2</c:v>
                </c:pt>
                <c:pt idx="1109">
                  <c:v>6.4948075334612049E-3</c:v>
                </c:pt>
                <c:pt idx="1110">
                  <c:v>-5.4910171772792448E-4</c:v>
                </c:pt>
                <c:pt idx="1111">
                  <c:v>-1.1764353651944072E-3</c:v>
                </c:pt>
                <c:pt idx="1112">
                  <c:v>-8.0856143596883031E-3</c:v>
                </c:pt>
                <c:pt idx="1113">
                  <c:v>-2.6692674066704993E-3</c:v>
                </c:pt>
                <c:pt idx="1114">
                  <c:v>-2.6385083180767932E-2</c:v>
                </c:pt>
                <c:pt idx="1115">
                  <c:v>-6.2706365390257663E-3</c:v>
                </c:pt>
                <c:pt idx="1116">
                  <c:v>-2.7451314773160275E-3</c:v>
                </c:pt>
                <c:pt idx="1117">
                  <c:v>1.3990366070274155E-2</c:v>
                </c:pt>
                <c:pt idx="1118">
                  <c:v>-5.1975550442230969E-3</c:v>
                </c:pt>
                <c:pt idx="1119">
                  <c:v>-1.1958975006211799E-3</c:v>
                </c:pt>
                <c:pt idx="1120">
                  <c:v>2.2125172432591073E-2</c:v>
                </c:pt>
                <c:pt idx="1121">
                  <c:v>-3.6927857710301604E-3</c:v>
                </c:pt>
                <c:pt idx="1122">
                  <c:v>1.7732798311147852E-2</c:v>
                </c:pt>
                <c:pt idx="1123">
                  <c:v>-4.1016967020822637E-2</c:v>
                </c:pt>
                <c:pt idx="1124">
                  <c:v>-2.8421714345293735E-2</c:v>
                </c:pt>
                <c:pt idx="1125">
                  <c:v>2.0613634895379089E-2</c:v>
                </c:pt>
                <c:pt idx="1126">
                  <c:v>2.2012525189827985E-2</c:v>
                </c:pt>
                <c:pt idx="1127">
                  <c:v>1.2372823678559474E-2</c:v>
                </c:pt>
                <c:pt idx="1128">
                  <c:v>-1.966250410508745E-4</c:v>
                </c:pt>
                <c:pt idx="1129">
                  <c:v>1.9662504105083542E-4</c:v>
                </c:pt>
                <c:pt idx="1130">
                  <c:v>4.1463261356263232E-3</c:v>
                </c:pt>
                <c:pt idx="1131">
                  <c:v>0</c:v>
                </c:pt>
                <c:pt idx="1132">
                  <c:v>1.7777776426548819E-2</c:v>
                </c:pt>
                <c:pt idx="1133">
                  <c:v>5.4689084919819853E-3</c:v>
                </c:pt>
                <c:pt idx="1134">
                  <c:v>1.1706370530383597E-2</c:v>
                </c:pt>
                <c:pt idx="1135">
                  <c:v>5.6455369644181205E-3</c:v>
                </c:pt>
                <c:pt idx="1136">
                  <c:v>4.2585764693963638E-3</c:v>
                </c:pt>
                <c:pt idx="1137">
                  <c:v>-7.1162680467670074E-4</c:v>
                </c:pt>
                <c:pt idx="1138">
                  <c:v>4.7636442391181966E-3</c:v>
                </c:pt>
                <c:pt idx="1139">
                  <c:v>-1.6214878161280033E-2</c:v>
                </c:pt>
                <c:pt idx="1140">
                  <c:v>5.1776704143875203E-2</c:v>
                </c:pt>
                <c:pt idx="1141">
                  <c:v>-2.0172796389531706E-3</c:v>
                </c:pt>
                <c:pt idx="1142">
                  <c:v>1.3761625749758919E-2</c:v>
                </c:pt>
                <c:pt idx="1143">
                  <c:v>2.8314181818182393E-3</c:v>
                </c:pt>
                <c:pt idx="1144">
                  <c:v>5.0427551845815466E-4</c:v>
                </c:pt>
                <c:pt idx="1145">
                  <c:v>-1.0116240946034402E-2</c:v>
                </c:pt>
                <c:pt idx="1146">
                  <c:v>3.7392844081894519E-4</c:v>
                </c:pt>
                <c:pt idx="1147">
                  <c:v>8.3352216398659262E-3</c:v>
                </c:pt>
                <c:pt idx="1148">
                  <c:v>-1.7507867713453527E-3</c:v>
                </c:pt>
                <c:pt idx="1149">
                  <c:v>0</c:v>
                </c:pt>
                <c:pt idx="1150">
                  <c:v>6.8239491924582509E-3</c:v>
                </c:pt>
                <c:pt idx="1151">
                  <c:v>7.3680315107631927E-3</c:v>
                </c:pt>
                <c:pt idx="1152">
                  <c:v>9.8824283526087915E-3</c:v>
                </c:pt>
                <c:pt idx="1153">
                  <c:v>1.7496063995979837E-3</c:v>
                </c:pt>
                <c:pt idx="1154">
                  <c:v>2.3882376282440471E-3</c:v>
                </c:pt>
                <c:pt idx="1155">
                  <c:v>-3.0622828687173749E-3</c:v>
                </c:pt>
                <c:pt idx="1156">
                  <c:v>4.7663250070559748E-3</c:v>
                </c:pt>
                <c:pt idx="1157">
                  <c:v>-6.1987345238838053E-3</c:v>
                </c:pt>
                <c:pt idx="1158">
                  <c:v>3.0858990154601358E-3</c:v>
                </c:pt>
                <c:pt idx="1159">
                  <c:v>-5.5216526615042578E-3</c:v>
                </c:pt>
                <c:pt idx="1160">
                  <c:v>2.1115863960605003E-3</c:v>
                </c:pt>
                <c:pt idx="1161">
                  <c:v>6.6172976253215364E-4</c:v>
                </c:pt>
                <c:pt idx="1162">
                  <c:v>3.5672794088330002E-4</c:v>
                </c:pt>
                <c:pt idx="1163">
                  <c:v>8.8644800331819985E-4</c:v>
                </c:pt>
                <c:pt idx="1164">
                  <c:v>3.7740138020429942E-3</c:v>
                </c:pt>
                <c:pt idx="1165">
                  <c:v>1.0471988390601437E-3</c:v>
                </c:pt>
                <c:pt idx="1166">
                  <c:v>3.794090713277961E-3</c:v>
                </c:pt>
                <c:pt idx="1167">
                  <c:v>-2.259797235875841E-3</c:v>
                </c:pt>
                <c:pt idx="1168">
                  <c:v>1.0655322403809973E-3</c:v>
                </c:pt>
                <c:pt idx="1169">
                  <c:v>-3.6470245568433978E-3</c:v>
                </c:pt>
                <c:pt idx="1170">
                  <c:v>-7.4540536169782736E-3</c:v>
                </c:pt>
                <c:pt idx="1171">
                  <c:v>2.0800086296138484E-3</c:v>
                </c:pt>
                <c:pt idx="1172">
                  <c:v>1.6000311853211406E-3</c:v>
                </c:pt>
                <c:pt idx="1173">
                  <c:v>-1.054190697987129E-3</c:v>
                </c:pt>
                <c:pt idx="1174">
                  <c:v>8.8659664506455756E-4</c:v>
                </c:pt>
                <c:pt idx="1175">
                  <c:v>-4.0384440104990742E-3</c:v>
                </c:pt>
                <c:pt idx="1176">
                  <c:v>-2.1426186206418299E-2</c:v>
                </c:pt>
                <c:pt idx="1177">
                  <c:v>1.4810232413983849E-2</c:v>
                </c:pt>
                <c:pt idx="1178">
                  <c:v>-9.189881936213248E-3</c:v>
                </c:pt>
                <c:pt idx="1179">
                  <c:v>-4.7926576882376479E-3</c:v>
                </c:pt>
                <c:pt idx="1180">
                  <c:v>1.6415481795091887E-2</c:v>
                </c:pt>
                <c:pt idx="1181">
                  <c:v>1.0425434342360982E-3</c:v>
                </c:pt>
                <c:pt idx="1182">
                  <c:v>-5.5864925668811473E-3</c:v>
                </c:pt>
                <c:pt idx="1183">
                  <c:v>-2.160448244375183E-3</c:v>
                </c:pt>
                <c:pt idx="1184">
                  <c:v>1.6598607620945342E-2</c:v>
                </c:pt>
                <c:pt idx="1185">
                  <c:v>1.051497519560105E-3</c:v>
                </c:pt>
                <c:pt idx="1186">
                  <c:v>-6.7626961416917142E-3</c:v>
                </c:pt>
                <c:pt idx="1187">
                  <c:v>-9.2617545690415384E-3</c:v>
                </c:pt>
                <c:pt idx="1188">
                  <c:v>1.8289005273566316E-2</c:v>
                </c:pt>
                <c:pt idx="1189">
                  <c:v>1.3869043228714887E-3</c:v>
                </c:pt>
                <c:pt idx="1190">
                  <c:v>-1.0961719106556939E-2</c:v>
                </c:pt>
                <c:pt idx="1191">
                  <c:v>3.5104261983806896E-3</c:v>
                </c:pt>
                <c:pt idx="1192">
                  <c:v>-3.1524440143300414E-3</c:v>
                </c:pt>
                <c:pt idx="1193">
                  <c:v>-3.1041904336089228E-3</c:v>
                </c:pt>
                <c:pt idx="1194">
                  <c:v>6.9526179189533304E-3</c:v>
                </c:pt>
                <c:pt idx="1195">
                  <c:v>1.6926293804205295E-3</c:v>
                </c:pt>
                <c:pt idx="1196">
                  <c:v>1.0710952443015187E-3</c:v>
                </c:pt>
                <c:pt idx="1197">
                  <c:v>4.1389739669705841E-3</c:v>
                </c:pt>
                <c:pt idx="1198">
                  <c:v>-1.4744555803720406E-2</c:v>
                </c:pt>
                <c:pt idx="1199">
                  <c:v>-1.3664643069826287E-3</c:v>
                </c:pt>
                <c:pt idx="1200">
                  <c:v>-3.3706802492880429E-3</c:v>
                </c:pt>
                <c:pt idx="1201">
                  <c:v>8.7305742829540869E-3</c:v>
                </c:pt>
                <c:pt idx="1202">
                  <c:v>-3.4399892059550326E-3</c:v>
                </c:pt>
                <c:pt idx="1203">
                  <c:v>7.6680151115639953E-3</c:v>
                </c:pt>
                <c:pt idx="1204">
                  <c:v>-2.2604458766920322E-3</c:v>
                </c:pt>
                <c:pt idx="1205">
                  <c:v>-4.9184663213644253E-3</c:v>
                </c:pt>
                <c:pt idx="1206">
                  <c:v>4.1231492409171372E-2</c:v>
                </c:pt>
                <c:pt idx="1207">
                  <c:v>2.2214951999767155E-2</c:v>
                </c:pt>
                <c:pt idx="1208">
                  <c:v>-1.8030734254881488E-4</c:v>
                </c:pt>
                <c:pt idx="1209">
                  <c:v>-5.8860020646300092E-3</c:v>
                </c:pt>
                <c:pt idx="1210">
                  <c:v>-8.8260819220745065E-3</c:v>
                </c:pt>
                <c:pt idx="1211">
                  <c:v>-3.7631137468920523E-3</c:v>
                </c:pt>
                <c:pt idx="1212">
                  <c:v>8.5127301978132528E-4</c:v>
                </c:pt>
                <c:pt idx="1213">
                  <c:v>-2.0858857728094224E-3</c:v>
                </c:pt>
                <c:pt idx="1214">
                  <c:v>-6.117526273531025E-3</c:v>
                </c:pt>
                <c:pt idx="1215">
                  <c:v>-3.7658550580279126E-3</c:v>
                </c:pt>
                <c:pt idx="1216">
                  <c:v>-8.4823392298091736E-3</c:v>
                </c:pt>
                <c:pt idx="1217">
                  <c:v>2.87629416155071E-2</c:v>
                </c:pt>
                <c:pt idx="1218">
                  <c:v>8.0860952978338205E-4</c:v>
                </c:pt>
                <c:pt idx="1219">
                  <c:v>-5.0368755273184785E-3</c:v>
                </c:pt>
                <c:pt idx="1220">
                  <c:v>-2.4684165884825419E-2</c:v>
                </c:pt>
                <c:pt idx="1221">
                  <c:v>5.4222053939224869E-3</c:v>
                </c:pt>
                <c:pt idx="1222">
                  <c:v>-1.5397554396131623E-2</c:v>
                </c:pt>
                <c:pt idx="1223">
                  <c:v>1.9580431010936088E-2</c:v>
                </c:pt>
                <c:pt idx="1224">
                  <c:v>1.314970516937735E-2</c:v>
                </c:pt>
                <c:pt idx="1225">
                  <c:v>1.6449694674335463E-2</c:v>
                </c:pt>
                <c:pt idx="1226">
                  <c:v>-4.7935564951294904E-3</c:v>
                </c:pt>
                <c:pt idx="1227">
                  <c:v>8.4099670434269504E-3</c:v>
                </c:pt>
                <c:pt idx="1228">
                  <c:v>4.1379831085477225E-3</c:v>
                </c:pt>
                <c:pt idx="1229">
                  <c:v>-1.1690792882422078E-2</c:v>
                </c:pt>
                <c:pt idx="1230">
                  <c:v>2.1405957494777601E-3</c:v>
                </c:pt>
                <c:pt idx="1231">
                  <c:v>1.3353216365188424E-3</c:v>
                </c:pt>
                <c:pt idx="1232">
                  <c:v>7.8627192582213373E-3</c:v>
                </c:pt>
                <c:pt idx="1233">
                  <c:v>-1.3679735688414617E-2</c:v>
                </c:pt>
                <c:pt idx="1234">
                  <c:v>-1.7772432417730702E-2</c:v>
                </c:pt>
                <c:pt idx="1235">
                  <c:v>8.7009100454928123E-4</c:v>
                </c:pt>
                <c:pt idx="1236">
                  <c:v>1.6261241777165251E-2</c:v>
                </c:pt>
                <c:pt idx="1237">
                  <c:v>-4.4863588614714282E-3</c:v>
                </c:pt>
                <c:pt idx="1238">
                  <c:v>2.3422327770729563E-2</c:v>
                </c:pt>
                <c:pt idx="1239">
                  <c:v>-5.9056265912051809E-3</c:v>
                </c:pt>
                <c:pt idx="1240">
                  <c:v>1.5621041794167529E-2</c:v>
                </c:pt>
                <c:pt idx="1241">
                  <c:v>3.226483046830814E-3</c:v>
                </c:pt>
                <c:pt idx="1242">
                  <c:v>1.290269946171063E-2</c:v>
                </c:pt>
                <c:pt idx="1243">
                  <c:v>-4.5657609207880555E-3</c:v>
                </c:pt>
                <c:pt idx="1244">
                  <c:v>-1.805708112221635E-3</c:v>
                </c:pt>
                <c:pt idx="1245">
                  <c:v>-4.4727938826087613E-3</c:v>
                </c:pt>
                <c:pt idx="1246">
                  <c:v>2.1026029605951162E-2</c:v>
                </c:pt>
                <c:pt idx="1247">
                  <c:v>-1.3102624915540418E-3</c:v>
                </c:pt>
                <c:pt idx="1248">
                  <c:v>1.701707963237567E-4</c:v>
                </c:pt>
                <c:pt idx="1249">
                  <c:v>0</c:v>
                </c:pt>
                <c:pt idx="1250">
                  <c:v>-4.8944026273321003E-3</c:v>
                </c:pt>
                <c:pt idx="1251">
                  <c:v>6.819872779807877E-4</c:v>
                </c:pt>
                <c:pt idx="1252">
                  <c:v>-4.6610761150772517E-3</c:v>
                </c:pt>
                <c:pt idx="1253">
                  <c:v>-1.4041486917954812E-3</c:v>
                </c:pt>
                <c:pt idx="1254">
                  <c:v>-1.2135394438261771E-2</c:v>
                </c:pt>
                <c:pt idx="1255">
                  <c:v>6.9998905663737464E-3</c:v>
                </c:pt>
                <c:pt idx="1256">
                  <c:v>-4.4727938826087613E-3</c:v>
                </c:pt>
                <c:pt idx="1257">
                  <c:v>0</c:v>
                </c:pt>
                <c:pt idx="1258">
                  <c:v>8.6324721743188775E-3</c:v>
                </c:pt>
                <c:pt idx="1259">
                  <c:v>-3.1621719745846791E-3</c:v>
                </c:pt>
                <c:pt idx="1260">
                  <c:v>-3.4355149778392784E-4</c:v>
                </c:pt>
                <c:pt idx="1261">
                  <c:v>9.0828069812795859E-3</c:v>
                </c:pt>
                <c:pt idx="1262">
                  <c:v>-9.237884264706793E-3</c:v>
                </c:pt>
                <c:pt idx="1263">
                  <c:v>1.4617053480448651E-3</c:v>
                </c:pt>
                <c:pt idx="1264">
                  <c:v>-2.750834606133604E-3</c:v>
                </c:pt>
                <c:pt idx="1265">
                  <c:v>-4.8363155279383647E-4</c:v>
                </c:pt>
                <c:pt idx="1266">
                  <c:v>-3.198910607640233E-3</c:v>
                </c:pt>
                <c:pt idx="1267">
                  <c:v>7.0192199620767465E-3</c:v>
                </c:pt>
                <c:pt idx="1268">
                  <c:v>3.5341588390200513E-3</c:v>
                </c:pt>
                <c:pt idx="1269">
                  <c:v>8.7594195396636307E-3</c:v>
                </c:pt>
                <c:pt idx="1270">
                  <c:v>2.5921403650843132E-3</c:v>
                </c:pt>
                <c:pt idx="1271">
                  <c:v>9.2311372834628386E-3</c:v>
                </c:pt>
                <c:pt idx="1272">
                  <c:v>2.3255401841301464E-2</c:v>
                </c:pt>
                <c:pt idx="1273">
                  <c:v>-9.9459528507716138E-3</c:v>
                </c:pt>
                <c:pt idx="1274">
                  <c:v>-7.4259261201798819E-3</c:v>
                </c:pt>
                <c:pt idx="1275">
                  <c:v>-1.6640676421096776E-2</c:v>
                </c:pt>
                <c:pt idx="1276">
                  <c:v>-6.4994478901746608E-3</c:v>
                </c:pt>
                <c:pt idx="1277">
                  <c:v>8.0254641574585388E-3</c:v>
                </c:pt>
                <c:pt idx="1278">
                  <c:v>-5.6158062150874247E-4</c:v>
                </c:pt>
                <c:pt idx="1279">
                  <c:v>-3.376122718659827E-3</c:v>
                </c:pt>
                <c:pt idx="1280">
                  <c:v>-1.3944102259995333E-3</c:v>
                </c:pt>
                <c:pt idx="1281">
                  <c:v>1.1288985450304365E-2</c:v>
                </c:pt>
                <c:pt idx="1282">
                  <c:v>-9.4437338026610331E-4</c:v>
                </c:pt>
                <c:pt idx="1283">
                  <c:v>1.1188798428721421E-2</c:v>
                </c:pt>
                <c:pt idx="1284">
                  <c:v>3.7387547071594564E-3</c:v>
                </c:pt>
                <c:pt idx="1285">
                  <c:v>-6.320704595166902E-4</c:v>
                </c:pt>
                <c:pt idx="1286">
                  <c:v>-1.3258158461204299E-4</c:v>
                </c:pt>
                <c:pt idx="1287">
                  <c:v>1.4913789864027256E-3</c:v>
                </c:pt>
                <c:pt idx="1288">
                  <c:v>-1.9368458583457595E-3</c:v>
                </c:pt>
                <c:pt idx="1289">
                  <c:v>-2.0479583334456698E-3</c:v>
                </c:pt>
                <c:pt idx="1290">
                  <c:v>3.9848041917913664E-3</c:v>
                </c:pt>
                <c:pt idx="1291">
                  <c:v>0</c:v>
                </c:pt>
                <c:pt idx="1292">
                  <c:v>-6.0011058666671778E-3</c:v>
                </c:pt>
                <c:pt idx="1293">
                  <c:v>-3.8768359141300906E-3</c:v>
                </c:pt>
                <c:pt idx="1294">
                  <c:v>1.4394541201828912E-2</c:v>
                </c:pt>
                <c:pt idx="1295">
                  <c:v>-1.395751758274448E-2</c:v>
                </c:pt>
                <c:pt idx="1296">
                  <c:v>3.7385906353267998E-3</c:v>
                </c:pt>
                <c:pt idx="1297">
                  <c:v>3.1916736844359169E-4</c:v>
                </c:pt>
                <c:pt idx="1298">
                  <c:v>2.032087901725447E-3</c:v>
                </c:pt>
                <c:pt idx="1299">
                  <c:v>9.1054512960797862E-3</c:v>
                </c:pt>
                <c:pt idx="1300">
                  <c:v>-4.0144194034430905E-3</c:v>
                </c:pt>
                <c:pt idx="1301">
                  <c:v>3.109454189593941E-3</c:v>
                </c:pt>
                <c:pt idx="1302">
                  <c:v>-3.4212710336190407E-3</c:v>
                </c:pt>
                <c:pt idx="1303">
                  <c:v>-4.614033736202337E-3</c:v>
                </c:pt>
                <c:pt idx="1304">
                  <c:v>5.2578963920471376E-3</c:v>
                </c:pt>
                <c:pt idx="1305">
                  <c:v>-1.7376847059536978E-3</c:v>
                </c:pt>
                <c:pt idx="1306">
                  <c:v>3.590710702167503E-3</c:v>
                </c:pt>
                <c:pt idx="1307">
                  <c:v>9.2438238156059276E-4</c:v>
                </c:pt>
                <c:pt idx="1308">
                  <c:v>-1.1151095399887468E-2</c:v>
                </c:pt>
                <c:pt idx="1309">
                  <c:v>1.2633054760263294E-2</c:v>
                </c:pt>
                <c:pt idx="1310">
                  <c:v>-2.4063417419364175E-3</c:v>
                </c:pt>
                <c:pt idx="1311">
                  <c:v>1.6656365871665539E-3</c:v>
                </c:pt>
                <c:pt idx="1312">
                  <c:v>1.8600013288050203E-3</c:v>
                </c:pt>
                <c:pt idx="1313">
                  <c:v>2.8918893377899105E-3</c:v>
                </c:pt>
                <c:pt idx="1314">
                  <c:v>2.7528886210576847E-3</c:v>
                </c:pt>
                <c:pt idx="1315">
                  <c:v>3.7255325381367515E-3</c:v>
                </c:pt>
                <c:pt idx="1316">
                  <c:v>2.2306738446321831E-3</c:v>
                </c:pt>
                <c:pt idx="1317">
                  <c:v>-4.7440525520136868E-3</c:v>
                </c:pt>
                <c:pt idx="1318">
                  <c:v>2.7870623574929349E-3</c:v>
                </c:pt>
                <c:pt idx="1319">
                  <c:v>-2.624772090119258E-3</c:v>
                </c:pt>
                <c:pt idx="1320">
                  <c:v>2.6247720901191201E-3</c:v>
                </c:pt>
                <c:pt idx="1321">
                  <c:v>-7.4947069013422756E-4</c:v>
                </c:pt>
                <c:pt idx="1322">
                  <c:v>-2.3321237483825081E-3</c:v>
                </c:pt>
                <c:pt idx="1323">
                  <c:v>-7.5178468677807888E-4</c:v>
                </c:pt>
                <c:pt idx="1324">
                  <c:v>-3.8195463992662664E-3</c:v>
                </c:pt>
                <c:pt idx="1325">
                  <c:v>-4.2967697157778794E-3</c:v>
                </c:pt>
                <c:pt idx="1326">
                  <c:v>8.1163161150440352E-3</c:v>
                </c:pt>
                <c:pt idx="1327">
                  <c:v>-1.3442394166580495E-3</c:v>
                </c:pt>
                <c:pt idx="1328">
                  <c:v>-5.4220819777099517E-3</c:v>
                </c:pt>
                <c:pt idx="1329">
                  <c:v>7.0744707755671446E-3</c:v>
                </c:pt>
                <c:pt idx="1330">
                  <c:v>1.3680163056441512E-2</c:v>
                </c:pt>
                <c:pt idx="1331">
                  <c:v>1.6874451000398829E-2</c:v>
                </c:pt>
                <c:pt idx="1332">
                  <c:v>5.7569937055445214E-3</c:v>
                </c:pt>
                <c:pt idx="1333">
                  <c:v>-1.3589318723163622E-3</c:v>
                </c:pt>
                <c:pt idx="1334">
                  <c:v>6.4871399796194475E-3</c:v>
                </c:pt>
                <c:pt idx="1335">
                  <c:v>2.7785861534914942E-3</c:v>
                </c:pt>
                <c:pt idx="1336">
                  <c:v>1.3762487915899629E-2</c:v>
                </c:pt>
                <c:pt idx="1337">
                  <c:v>-1.5734773530600285E-3</c:v>
                </c:pt>
                <c:pt idx="1338">
                  <c:v>-3.1718658078809464E-3</c:v>
                </c:pt>
                <c:pt idx="1339">
                  <c:v>-3.9340036181079573E-3</c:v>
                </c:pt>
                <c:pt idx="1340">
                  <c:v>2.7536782164751567E-3</c:v>
                </c:pt>
                <c:pt idx="1341">
                  <c:v>-8.6667037842199095E-4</c:v>
                </c:pt>
                <c:pt idx="1342">
                  <c:v>1.4546243315522696E-3</c:v>
                </c:pt>
                <c:pt idx="1343">
                  <c:v>3.9050813240348206E-3</c:v>
                </c:pt>
                <c:pt idx="1344">
                  <c:v>-1.2329854630490912E-2</c:v>
                </c:pt>
                <c:pt idx="1345">
                  <c:v>-1.2102706151259548E-3</c:v>
                </c:pt>
                <c:pt idx="1346">
                  <c:v>7.6801040188174507E-4</c:v>
                </c:pt>
                <c:pt idx="1347">
                  <c:v>1.9963548948657983E-2</c:v>
                </c:pt>
                <c:pt idx="1348">
                  <c:v>-2.8230938426016757E-2</c:v>
                </c:pt>
                <c:pt idx="1349">
                  <c:v>3.3557511582458172E-3</c:v>
                </c:pt>
                <c:pt idx="1350">
                  <c:v>-2.8351246356043546E-4</c:v>
                </c:pt>
                <c:pt idx="1351">
                  <c:v>1.1189053399439007E-2</c:v>
                </c:pt>
                <c:pt idx="1352">
                  <c:v>3.3718262056817026E-3</c:v>
                </c:pt>
                <c:pt idx="1353">
                  <c:v>1.3011537672973136E-3</c:v>
                </c:pt>
                <c:pt idx="1354">
                  <c:v>1.2253751590506122E-2</c:v>
                </c:pt>
                <c:pt idx="1355">
                  <c:v>4.8815876749756289E-3</c:v>
                </c:pt>
                <c:pt idx="1356">
                  <c:v>6.4063689020832943E-3</c:v>
                </c:pt>
                <c:pt idx="1357">
                  <c:v>-8.1131521400068674E-3</c:v>
                </c:pt>
                <c:pt idx="1358">
                  <c:v>3.7171722189645994E-3</c:v>
                </c:pt>
                <c:pt idx="1359">
                  <c:v>2.329342867282732E-2</c:v>
                </c:pt>
                <c:pt idx="1360">
                  <c:v>7.3336836957922941E-3</c:v>
                </c:pt>
                <c:pt idx="1361">
                  <c:v>3.3107376064902471E-3</c:v>
                </c:pt>
                <c:pt idx="1362">
                  <c:v>-1.80614136998E-3</c:v>
                </c:pt>
                <c:pt idx="1363">
                  <c:v>-6.0971882760921759E-3</c:v>
                </c:pt>
                <c:pt idx="1364">
                  <c:v>-2.2909401292707129E-2</c:v>
                </c:pt>
                <c:pt idx="1365">
                  <c:v>-7.6795859053798545E-3</c:v>
                </c:pt>
                <c:pt idx="1366">
                  <c:v>1.2407683210317972E-2</c:v>
                </c:pt>
                <c:pt idx="1367">
                  <c:v>-5.4262079357291684E-3</c:v>
                </c:pt>
                <c:pt idx="1368">
                  <c:v>-5.2763837905699263E-3</c:v>
                </c:pt>
                <c:pt idx="1369">
                  <c:v>1.4171341500840453E-3</c:v>
                </c:pt>
                <c:pt idx="1370">
                  <c:v>1.2370781015751342E-2</c:v>
                </c:pt>
                <c:pt idx="1371">
                  <c:v>-1.3647515244228884E-2</c:v>
                </c:pt>
                <c:pt idx="1372">
                  <c:v>5.1359838689632835E-3</c:v>
                </c:pt>
                <c:pt idx="1373">
                  <c:v>-1.3812851405788535E-4</c:v>
                </c:pt>
                <c:pt idx="1374">
                  <c:v>1.3437527309464134E-2</c:v>
                </c:pt>
                <c:pt idx="1375">
                  <c:v>-9.5925841969880157E-3</c:v>
                </c:pt>
                <c:pt idx="1376">
                  <c:v>-1.8903045183857773E-2</c:v>
                </c:pt>
                <c:pt idx="1377">
                  <c:v>8.5053884869543007E-3</c:v>
                </c:pt>
                <c:pt idx="1378">
                  <c:v>-1.894646927805255E-2</c:v>
                </c:pt>
                <c:pt idx="1379">
                  <c:v>6.3992295544954402E-3</c:v>
                </c:pt>
                <c:pt idx="1380">
                  <c:v>-1.1091286576881186E-2</c:v>
                </c:pt>
                <c:pt idx="1381">
                  <c:v>1.3237396668844159E-2</c:v>
                </c:pt>
                <c:pt idx="1382">
                  <c:v>-7.4139260944076973E-3</c:v>
                </c:pt>
                <c:pt idx="1383">
                  <c:v>1.2934988031680908E-2</c:v>
                </c:pt>
                <c:pt idx="1384">
                  <c:v>7.4093820011456347E-3</c:v>
                </c:pt>
                <c:pt idx="1385">
                  <c:v>1.5115049709763079E-4</c:v>
                </c:pt>
                <c:pt idx="1386">
                  <c:v>1.6468686116535264E-2</c:v>
                </c:pt>
                <c:pt idx="1387">
                  <c:v>8.6877250333183276E-3</c:v>
                </c:pt>
                <c:pt idx="1388">
                  <c:v>1.3958343224410029E-2</c:v>
                </c:pt>
                <c:pt idx="1389">
                  <c:v>7.7984713287716431E-3</c:v>
                </c:pt>
                <c:pt idx="1390">
                  <c:v>-6.8115233377670189E-4</c:v>
                </c:pt>
                <c:pt idx="1391">
                  <c:v>7.6134581542932969E-3</c:v>
                </c:pt>
                <c:pt idx="1392">
                  <c:v>4.8487157255772623E-3</c:v>
                </c:pt>
                <c:pt idx="1393">
                  <c:v>-5.7985272010712095E-3</c:v>
                </c:pt>
                <c:pt idx="1394">
                  <c:v>-2.5910833040103456E-3</c:v>
                </c:pt>
                <c:pt idx="1395">
                  <c:v>7.9707684869003322E-3</c:v>
                </c:pt>
                <c:pt idx="1396">
                  <c:v>-1.8494097681444057E-3</c:v>
                </c:pt>
                <c:pt idx="1397">
                  <c:v>-1.2117930341404197E-2</c:v>
                </c:pt>
                <c:pt idx="1398">
                  <c:v>-1.6469823226243866E-3</c:v>
                </c:pt>
                <c:pt idx="1399">
                  <c:v>-4.643733741022834E-3</c:v>
                </c:pt>
                <c:pt idx="1400">
                  <c:v>-1.6724093943905549E-3</c:v>
                </c:pt>
                <c:pt idx="1401">
                  <c:v>-4.397014709709459E-3</c:v>
                </c:pt>
                <c:pt idx="1402">
                  <c:v>-1.5178394321715492E-3</c:v>
                </c:pt>
                <c:pt idx="1403">
                  <c:v>7.3217264259001482E-3</c:v>
                </c:pt>
                <c:pt idx="1404">
                  <c:v>-3.9056794679413406E-3</c:v>
                </c:pt>
                <c:pt idx="1405">
                  <c:v>5.4139527662788135E-3</c:v>
                </c:pt>
                <c:pt idx="1406">
                  <c:v>-4.4142823935600555E-3</c:v>
                </c:pt>
                <c:pt idx="1407">
                  <c:v>-1.47497087998262E-2</c:v>
                </c:pt>
                <c:pt idx="1408">
                  <c:v>1.5148394796259207E-2</c:v>
                </c:pt>
                <c:pt idx="1409">
                  <c:v>1.4931232363845956E-2</c:v>
                </c:pt>
                <c:pt idx="1410">
                  <c:v>2.6225893997675141E-4</c:v>
                </c:pt>
                <c:pt idx="1411">
                  <c:v>5.8716691967710972E-3</c:v>
                </c:pt>
                <c:pt idx="1412">
                  <c:v>-1.7106495330559787E-2</c:v>
                </c:pt>
                <c:pt idx="1413">
                  <c:v>1.2412643322803126E-3</c:v>
                </c:pt>
                <c:pt idx="1414">
                  <c:v>-4.7292333370157645E-3</c:v>
                </c:pt>
                <c:pt idx="1415">
                  <c:v>1.3895779240250343E-2</c:v>
                </c:pt>
                <c:pt idx="1416">
                  <c:v>-5.9843372768496042E-3</c:v>
                </c:pt>
                <c:pt idx="1417">
                  <c:v>-4.207253546099164E-4</c:v>
                </c:pt>
                <c:pt idx="1418">
                  <c:v>1.7458971761488836E-3</c:v>
                </c:pt>
                <c:pt idx="1419">
                  <c:v>1.4299567015602365E-4</c:v>
                </c:pt>
                <c:pt idx="1420">
                  <c:v>3.0264093847463982E-3</c:v>
                </c:pt>
                <c:pt idx="1421">
                  <c:v>1.3067761758979597E-2</c:v>
                </c:pt>
                <c:pt idx="1422">
                  <c:v>1.059602521788445E-2</c:v>
                </c:pt>
                <c:pt idx="1423">
                  <c:v>-1.1543285200119326E-2</c:v>
                </c:pt>
                <c:pt idx="1424">
                  <c:v>-4.4653597701273806E-3</c:v>
                </c:pt>
                <c:pt idx="1425">
                  <c:v>-2.865847341566934E-3</c:v>
                </c:pt>
                <c:pt idx="1426">
                  <c:v>1.2719776308606557E-2</c:v>
                </c:pt>
                <c:pt idx="1427">
                  <c:v>-4.8591074242224962E-3</c:v>
                </c:pt>
                <c:pt idx="1428">
                  <c:v>1.0443730652239963E-2</c:v>
                </c:pt>
                <c:pt idx="1429">
                  <c:v>-1.0205956489258185E-3</c:v>
                </c:pt>
                <c:pt idx="1430">
                  <c:v>7.0704711732446478E-3</c:v>
                </c:pt>
                <c:pt idx="1431">
                  <c:v>-5.9062337405632369E-3</c:v>
                </c:pt>
                <c:pt idx="1432">
                  <c:v>7.2408932834616309E-3</c:v>
                </c:pt>
                <c:pt idx="1433">
                  <c:v>-2.0243067824990348E-3</c:v>
                </c:pt>
                <c:pt idx="1434">
                  <c:v>3.7699336257466004E-3</c:v>
                </c:pt>
                <c:pt idx="1435">
                  <c:v>-6.6693410331014613E-3</c:v>
                </c:pt>
                <c:pt idx="1436">
                  <c:v>-9.8286643484332744E-3</c:v>
                </c:pt>
                <c:pt idx="1437">
                  <c:v>2.7370541732623967E-3</c:v>
                </c:pt>
                <c:pt idx="1438">
                  <c:v>-1.5614413411300094E-2</c:v>
                </c:pt>
                <c:pt idx="1439">
                  <c:v>0</c:v>
                </c:pt>
                <c:pt idx="1440">
                  <c:v>8.0374666919298433E-3</c:v>
                </c:pt>
                <c:pt idx="1441">
                  <c:v>2.8932231956330399E-4</c:v>
                </c:pt>
                <c:pt idx="1442">
                  <c:v>8.3395781875405684E-3</c:v>
                </c:pt>
                <c:pt idx="1443">
                  <c:v>1.6238375889608323E-3</c:v>
                </c:pt>
                <c:pt idx="1444">
                  <c:v>-4.7114459367813381E-3</c:v>
                </c:pt>
                <c:pt idx="1445">
                  <c:v>5.7867320446696735E-3</c:v>
                </c:pt>
                <c:pt idx="1446">
                  <c:v>1.6979202051153396E-2</c:v>
                </c:pt>
                <c:pt idx="1447">
                  <c:v>3.6261005398193196E-4</c:v>
                </c:pt>
                <c:pt idx="1448">
                  <c:v>3.8819565065440357E-3</c:v>
                </c:pt>
                <c:pt idx="1449">
                  <c:v>0</c:v>
                </c:pt>
                <c:pt idx="1450">
                  <c:v>1.6351653618617214E-3</c:v>
                </c:pt>
                <c:pt idx="1451">
                  <c:v>9.1393486936315483E-3</c:v>
                </c:pt>
                <c:pt idx="1452">
                  <c:v>4.8227420002440761E-3</c:v>
                </c:pt>
                <c:pt idx="1453">
                  <c:v>2.0346456004454658E-3</c:v>
                </c:pt>
                <c:pt idx="1454">
                  <c:v>-7.7980777079346853E-4</c:v>
                </c:pt>
                <c:pt idx="1455">
                  <c:v>2.6279886532671888E-4</c:v>
                </c:pt>
                <c:pt idx="1456">
                  <c:v>3.8404363886195441E-3</c:v>
                </c:pt>
                <c:pt idx="1457">
                  <c:v>1.149416460982031E-2</c:v>
                </c:pt>
                <c:pt idx="1458">
                  <c:v>2.5598009550464721E-4</c:v>
                </c:pt>
                <c:pt idx="1459">
                  <c:v>3.8797391430902748E-4</c:v>
                </c:pt>
                <c:pt idx="1460">
                  <c:v>-2.89002811542708E-3</c:v>
                </c:pt>
                <c:pt idx="1461">
                  <c:v>1.585177409998393E-3</c:v>
                </c:pt>
                <c:pt idx="1462">
                  <c:v>6.2158431126096592E-2</c:v>
                </c:pt>
                <c:pt idx="1463">
                  <c:v>1.0000071985214684E-3</c:v>
                </c:pt>
                <c:pt idx="1464">
                  <c:v>-8.5118942805029255E-3</c:v>
                </c:pt>
                <c:pt idx="1465">
                  <c:v>0</c:v>
                </c:pt>
                <c:pt idx="1466">
                  <c:v>1.0404382187305728E-2</c:v>
                </c:pt>
                <c:pt idx="1467">
                  <c:v>1.0706072913235231E-3</c:v>
                </c:pt>
                <c:pt idx="1468">
                  <c:v>3.9320486479765245E-3</c:v>
                </c:pt>
                <c:pt idx="1469">
                  <c:v>-2.5123606120135366E-3</c:v>
                </c:pt>
                <c:pt idx="1470">
                  <c:v>3.5776282424991386E-3</c:v>
                </c:pt>
                <c:pt idx="1471">
                  <c:v>-5.5918132657777186E-3</c:v>
                </c:pt>
                <c:pt idx="1472">
                  <c:v>-2.6104228890982102E-3</c:v>
                </c:pt>
                <c:pt idx="1473">
                  <c:v>7.2012905962533496E-4</c:v>
                </c:pt>
                <c:pt idx="1474">
                  <c:v>1.4141835254649663E-3</c:v>
                </c:pt>
                <c:pt idx="1475">
                  <c:v>-7.8204350749760711E-3</c:v>
                </c:pt>
                <c:pt idx="1476">
                  <c:v>2.6732878246218967E-3</c:v>
                </c:pt>
                <c:pt idx="1477">
                  <c:v>-9.6616590207089532E-3</c:v>
                </c:pt>
                <c:pt idx="1478">
                  <c:v>1.5470255569865281E-3</c:v>
                </c:pt>
                <c:pt idx="1479">
                  <c:v>1.4332388005400288E-2</c:v>
                </c:pt>
                <c:pt idx="1480">
                  <c:v>-7.3327041307574108E-3</c:v>
                </c:pt>
                <c:pt idx="1481">
                  <c:v>1.8385470670534397E-3</c:v>
                </c:pt>
                <c:pt idx="1482">
                  <c:v>7.2793911058997409E-3</c:v>
                </c:pt>
                <c:pt idx="1483">
                  <c:v>1.1970859595445959E-2</c:v>
                </c:pt>
                <c:pt idx="1484">
                  <c:v>-1.8340661469740963E-2</c:v>
                </c:pt>
                <c:pt idx="1485">
                  <c:v>9.9589478657360064E-3</c:v>
                </c:pt>
                <c:pt idx="1486">
                  <c:v>1.0393952194398966E-3</c:v>
                </c:pt>
                <c:pt idx="1487">
                  <c:v>-3.8454124379022014E-2</c:v>
                </c:pt>
                <c:pt idx="1488">
                  <c:v>6.2595126853038415E-3</c:v>
                </c:pt>
                <c:pt idx="1489">
                  <c:v>1.4497527880372554E-2</c:v>
                </c:pt>
                <c:pt idx="1490">
                  <c:v>-3.5226181880098316E-3</c:v>
                </c:pt>
                <c:pt idx="1491">
                  <c:v>2.0066176636237065E-2</c:v>
                </c:pt>
                <c:pt idx="1492">
                  <c:v>1.2609848696861914E-2</c:v>
                </c:pt>
                <c:pt idx="1493">
                  <c:v>4.0857984863395744E-3</c:v>
                </c:pt>
                <c:pt idx="1494">
                  <c:v>-2.6520357277324317E-3</c:v>
                </c:pt>
                <c:pt idx="1495">
                  <c:v>-7.8010100805650613E-3</c:v>
                </c:pt>
                <c:pt idx="1496">
                  <c:v>2.5213138006483365E-2</c:v>
                </c:pt>
                <c:pt idx="1497">
                  <c:v>-5.4417478054811846E-3</c:v>
                </c:pt>
                <c:pt idx="1498">
                  <c:v>-6.3551329920521231E-3</c:v>
                </c:pt>
                <c:pt idx="1499">
                  <c:v>-3.6533264451087096E-3</c:v>
                </c:pt>
                <c:pt idx="1500">
                  <c:v>-2.4865904114175844E-4</c:v>
                </c:pt>
                <c:pt idx="1501">
                  <c:v>1.2623059063624728E-4</c:v>
                </c:pt>
                <c:pt idx="1502">
                  <c:v>-1.2579682443213073E-3</c:v>
                </c:pt>
                <c:pt idx="1503">
                  <c:v>3.6079944776716559E-3</c:v>
                </c:pt>
                <c:pt idx="1504">
                  <c:v>1.2465931192879326E-4</c:v>
                </c:pt>
                <c:pt idx="1505">
                  <c:v>-2.1188010802966071E-3</c:v>
                </c:pt>
                <c:pt idx="1506">
                  <c:v>4.7845505646655836E-3</c:v>
                </c:pt>
                <c:pt idx="1507">
                  <c:v>4.6355309371143606E-3</c:v>
                </c:pt>
                <c:pt idx="1508">
                  <c:v>8.7772423858470169E-3</c:v>
                </c:pt>
                <c:pt idx="1509">
                  <c:v>1.2316554904846858E-2</c:v>
                </c:pt>
                <c:pt idx="1510">
                  <c:v>1.0140630236323846E-3</c:v>
                </c:pt>
                <c:pt idx="1511">
                  <c:v>-6.6777149042589158E-4</c:v>
                </c:pt>
                <c:pt idx="1512">
                  <c:v>-4.5394371905812291E-3</c:v>
                </c:pt>
                <c:pt idx="1513">
                  <c:v>2.9477079675732268E-3</c:v>
                </c:pt>
                <c:pt idx="1514">
                  <c:v>1.7136344701780267E-2</c:v>
                </c:pt>
                <c:pt idx="1515">
                  <c:v>-1.4087345498837124E-2</c:v>
                </c:pt>
                <c:pt idx="1516">
                  <c:v>2.0069342938937619E-2</c:v>
                </c:pt>
                <c:pt idx="1517">
                  <c:v>-4.4312810839923549E-4</c:v>
                </c:pt>
                <c:pt idx="1518">
                  <c:v>-1.1146763259481018E-3</c:v>
                </c:pt>
                <c:pt idx="1519">
                  <c:v>1.7707445798500771E-2</c:v>
                </c:pt>
                <c:pt idx="1520">
                  <c:v>3.1936976667004719E-3</c:v>
                </c:pt>
                <c:pt idx="1521">
                  <c:v>-8.4830502708504996E-4</c:v>
                </c:pt>
                <c:pt idx="1522">
                  <c:v>5.5070078467837321E-3</c:v>
                </c:pt>
                <c:pt idx="1523">
                  <c:v>1.8584862441150461E-2</c:v>
                </c:pt>
                <c:pt idx="1524">
                  <c:v>-1.515790344116613E-3</c:v>
                </c:pt>
                <c:pt idx="1525">
                  <c:v>-1.2639109583490708E-2</c:v>
                </c:pt>
                <c:pt idx="1526">
                  <c:v>2.4201873728946281E-2</c:v>
                </c:pt>
                <c:pt idx="1527">
                  <c:v>-7.9653614971989979E-3</c:v>
                </c:pt>
                <c:pt idx="1528">
                  <c:v>-2.6635535750515207E-2</c:v>
                </c:pt>
                <c:pt idx="1529">
                  <c:v>-4.2059743593223974E-2</c:v>
                </c:pt>
                <c:pt idx="1530">
                  <c:v>3.714384606331194E-2</c:v>
                </c:pt>
                <c:pt idx="1531">
                  <c:v>-1.8991880448025435E-2</c:v>
                </c:pt>
                <c:pt idx="1532">
                  <c:v>-5.2693572223260321E-2</c:v>
                </c:pt>
                <c:pt idx="1533">
                  <c:v>3.6586535708272284E-2</c:v>
                </c:pt>
                <c:pt idx="1534">
                  <c:v>1.091693699042943E-2</c:v>
                </c:pt>
                <c:pt idx="1535">
                  <c:v>7.6188983915013208E-3</c:v>
                </c:pt>
                <c:pt idx="1536">
                  <c:v>1.5534408714730637E-2</c:v>
                </c:pt>
                <c:pt idx="1537">
                  <c:v>2.0154795036025078E-2</c:v>
                </c:pt>
                <c:pt idx="1538">
                  <c:v>-7.159272813990235E-3</c:v>
                </c:pt>
                <c:pt idx="1539">
                  <c:v>7.816429089577746E-3</c:v>
                </c:pt>
                <c:pt idx="1540">
                  <c:v>-1.3373826949389205E-2</c:v>
                </c:pt>
                <c:pt idx="1541">
                  <c:v>2.6596009860771117E-3</c:v>
                </c:pt>
                <c:pt idx="1542">
                  <c:v>2.5088596361753718E-2</c:v>
                </c:pt>
                <c:pt idx="1543">
                  <c:v>1.4329428608950139E-2</c:v>
                </c:pt>
                <c:pt idx="1544">
                  <c:v>-1.2895991859264285E-2</c:v>
                </c:pt>
                <c:pt idx="1545">
                  <c:v>-4.5745430654034122E-3</c:v>
                </c:pt>
                <c:pt idx="1546">
                  <c:v>-9.817268657966163E-3</c:v>
                </c:pt>
                <c:pt idx="1547">
                  <c:v>2.1312087878369366E-3</c:v>
                </c:pt>
                <c:pt idx="1548">
                  <c:v>6.3286506619903461E-3</c:v>
                </c:pt>
                <c:pt idx="1549">
                  <c:v>-3.4223270498116884E-3</c:v>
                </c:pt>
                <c:pt idx="1550">
                  <c:v>5.7725501765998975E-3</c:v>
                </c:pt>
                <c:pt idx="1551">
                  <c:v>6.0523188397236709E-3</c:v>
                </c:pt>
                <c:pt idx="1552">
                  <c:v>2.2100626748069938E-2</c:v>
                </c:pt>
                <c:pt idx="1553">
                  <c:v>2.3773928909076275E-3</c:v>
                </c:pt>
                <c:pt idx="1554">
                  <c:v>-2.467598852437683E-2</c:v>
                </c:pt>
                <c:pt idx="1555">
                  <c:v>-5.9642323916734392E-3</c:v>
                </c:pt>
                <c:pt idx="1556">
                  <c:v>3.5034190135043975E-3</c:v>
                </c:pt>
                <c:pt idx="1557">
                  <c:v>4.4694019888609987E-3</c:v>
                </c:pt>
                <c:pt idx="1558">
                  <c:v>-1.8257749552097201E-2</c:v>
                </c:pt>
                <c:pt idx="1559">
                  <c:v>2.5849149232585562E-3</c:v>
                </c:pt>
                <c:pt idx="1560">
                  <c:v>-6.9997744967152439E-3</c:v>
                </c:pt>
                <c:pt idx="1561">
                  <c:v>-2.95292045428029E-2</c:v>
                </c:pt>
                <c:pt idx="1562">
                  <c:v>-2.9487138318275073E-2</c:v>
                </c:pt>
                <c:pt idx="1563">
                  <c:v>7.2942033439098594E-2</c:v>
                </c:pt>
                <c:pt idx="1564">
                  <c:v>-4.7018239274165145E-2</c:v>
                </c:pt>
                <c:pt idx="1565">
                  <c:v>-8.9132132867380739E-4</c:v>
                </c:pt>
                <c:pt idx="1566">
                  <c:v>2.0828301010362978E-2</c:v>
                </c:pt>
                <c:pt idx="1567">
                  <c:v>-3.0628589220784541E-2</c:v>
                </c:pt>
                <c:pt idx="1568">
                  <c:v>1.3359619186908388E-2</c:v>
                </c:pt>
                <c:pt idx="1569">
                  <c:v>2.8813233053863612E-2</c:v>
                </c:pt>
                <c:pt idx="1570">
                  <c:v>5.33901910825671E-4</c:v>
                </c:pt>
                <c:pt idx="1571">
                  <c:v>-2.354888207180492E-2</c:v>
                </c:pt>
                <c:pt idx="1572">
                  <c:v>5.9482897678533354E-3</c:v>
                </c:pt>
                <c:pt idx="1573">
                  <c:v>2.297951202569707E-2</c:v>
                </c:pt>
                <c:pt idx="1574">
                  <c:v>-1.1027808933114161E-2</c:v>
                </c:pt>
                <c:pt idx="1575">
                  <c:v>1.8570631516007838E-2</c:v>
                </c:pt>
                <c:pt idx="1576">
                  <c:v>-5.3857108193028011E-3</c:v>
                </c:pt>
                <c:pt idx="1577">
                  <c:v>1.1644195880744598E-2</c:v>
                </c:pt>
                <c:pt idx="1578">
                  <c:v>1.9977286031873723E-2</c:v>
                </c:pt>
                <c:pt idx="1579">
                  <c:v>3.8604592432222289E-3</c:v>
                </c:pt>
                <c:pt idx="1580">
                  <c:v>-3.4568635467146433E-3</c:v>
                </c:pt>
                <c:pt idx="1581">
                  <c:v>-1.1615984475557161E-2</c:v>
                </c:pt>
                <c:pt idx="1582">
                  <c:v>3.6808465619676506E-3</c:v>
                </c:pt>
                <c:pt idx="1583">
                  <c:v>-2.3659536615837147E-2</c:v>
                </c:pt>
                <c:pt idx="1584">
                  <c:v>-8.727243851499103E-3</c:v>
                </c:pt>
                <c:pt idx="1585">
                  <c:v>2.0866923580331678E-2</c:v>
                </c:pt>
                <c:pt idx="1586">
                  <c:v>1.6426852050369548E-2</c:v>
                </c:pt>
                <c:pt idx="1587">
                  <c:v>-2.4273807669086014E-2</c:v>
                </c:pt>
                <c:pt idx="1588">
                  <c:v>1.568596594375345E-2</c:v>
                </c:pt>
                <c:pt idx="1589">
                  <c:v>-1.579624777137302E-2</c:v>
                </c:pt>
                <c:pt idx="1590">
                  <c:v>5.9835631029698079E-3</c:v>
                </c:pt>
                <c:pt idx="1591">
                  <c:v>1.1502973594959321E-2</c:v>
                </c:pt>
                <c:pt idx="1592">
                  <c:v>1.1071868451647062E-2</c:v>
                </c:pt>
                <c:pt idx="1593">
                  <c:v>-4.2516785426038404E-3</c:v>
                </c:pt>
                <c:pt idx="1594">
                  <c:v>1.1715387565465455E-2</c:v>
                </c:pt>
                <c:pt idx="1595">
                  <c:v>9.941816441187197E-3</c:v>
                </c:pt>
                <c:pt idx="1596">
                  <c:v>-2.1341794670542819E-3</c:v>
                </c:pt>
                <c:pt idx="1597">
                  <c:v>3.3666979299255E-3</c:v>
                </c:pt>
                <c:pt idx="1598">
                  <c:v>-7.2303332157814468E-3</c:v>
                </c:pt>
                <c:pt idx="1599">
                  <c:v>2.5531928763389547E-3</c:v>
                </c:pt>
                <c:pt idx="1600">
                  <c:v>-1.0041905943294698E-2</c:v>
                </c:pt>
                <c:pt idx="1601">
                  <c:v>1.8799399778436636E-3</c:v>
                </c:pt>
                <c:pt idx="1602">
                  <c:v>1.2763488333424791E-2</c:v>
                </c:pt>
                <c:pt idx="1603">
                  <c:v>-1.0175629151788421E-3</c:v>
                </c:pt>
                <c:pt idx="1604">
                  <c:v>1.1857857227501005E-2</c:v>
                </c:pt>
                <c:pt idx="1605">
                  <c:v>-3.587333827697897E-3</c:v>
                </c:pt>
                <c:pt idx="1606">
                  <c:v>5.0907027247961453E-4</c:v>
                </c:pt>
                <c:pt idx="1607">
                  <c:v>-3.5525757560111271E-3</c:v>
                </c:pt>
                <c:pt idx="1608">
                  <c:v>9.5472495845567284E-3</c:v>
                </c:pt>
                <c:pt idx="1609">
                  <c:v>-1.1410853012267549E-3</c:v>
                </c:pt>
                <c:pt idx="1610">
                  <c:v>1.9510153121876535E-2</c:v>
                </c:pt>
                <c:pt idx="1611">
                  <c:v>8.7208150207973741E-3</c:v>
                </c:pt>
                <c:pt idx="1612">
                  <c:v>5.2089845590555404E-3</c:v>
                </c:pt>
                <c:pt idx="1613">
                  <c:v>2.970090199137753E-3</c:v>
                </c:pt>
                <c:pt idx="1614">
                  <c:v>-1.600773016858896E-2</c:v>
                </c:pt>
                <c:pt idx="1615">
                  <c:v>7.418256096631928E-3</c:v>
                </c:pt>
                <c:pt idx="1616">
                  <c:v>-5.7305295335617944E-3</c:v>
                </c:pt>
                <c:pt idx="1617">
                  <c:v>2.6017550347372472E-3</c:v>
                </c:pt>
                <c:pt idx="1618">
                  <c:v>-4.579001458187482E-3</c:v>
                </c:pt>
                <c:pt idx="1619">
                  <c:v>5.6817252975374108E-3</c:v>
                </c:pt>
                <c:pt idx="1620">
                  <c:v>-1.278151040789092E-2</c:v>
                </c:pt>
                <c:pt idx="1621">
                  <c:v>7.1952404802677651E-3</c:v>
                </c:pt>
                <c:pt idx="1622">
                  <c:v>0</c:v>
                </c:pt>
                <c:pt idx="1623">
                  <c:v>1.0006045694920087E-2</c:v>
                </c:pt>
                <c:pt idx="1624">
                  <c:v>-7.2142979602483224E-3</c:v>
                </c:pt>
                <c:pt idx="1625">
                  <c:v>-7.1644568810722044E-3</c:v>
                </c:pt>
                <c:pt idx="1626">
                  <c:v>-2.0379243794066353E-2</c:v>
                </c:pt>
                <c:pt idx="1627">
                  <c:v>6.9822056675708701E-3</c:v>
                </c:pt>
                <c:pt idx="1628">
                  <c:v>-1.5653786891749226E-2</c:v>
                </c:pt>
                <c:pt idx="1629">
                  <c:v>1.1119004671763705E-2</c:v>
                </c:pt>
                <c:pt idx="1630">
                  <c:v>-2.0932766308960293E-4</c:v>
                </c:pt>
                <c:pt idx="1631">
                  <c:v>1.413860238715986E-2</c:v>
                </c:pt>
                <c:pt idx="1632">
                  <c:v>-9.6795419847737554E-3</c:v>
                </c:pt>
                <c:pt idx="1633">
                  <c:v>7.1266352763546606E-3</c:v>
                </c:pt>
                <c:pt idx="1634">
                  <c:v>1.3914490133856684E-2</c:v>
                </c:pt>
                <c:pt idx="1635">
                  <c:v>6.8149450092273144E-3</c:v>
                </c:pt>
                <c:pt idx="1636">
                  <c:v>2.7341835384932524E-3</c:v>
                </c:pt>
                <c:pt idx="1637">
                  <c:v>-1.4432459497354406E-3</c:v>
                </c:pt>
                <c:pt idx="1638">
                  <c:v>2.1466860828860429E-2</c:v>
                </c:pt>
                <c:pt idx="1639">
                  <c:v>1.1963884115894092E-2</c:v>
                </c:pt>
                <c:pt idx="1640">
                  <c:v>-4.9655296882549511E-3</c:v>
                </c:pt>
                <c:pt idx="1641">
                  <c:v>9.5087493786034372E-3</c:v>
                </c:pt>
                <c:pt idx="1642">
                  <c:v>-7.429236306430183E-3</c:v>
                </c:pt>
                <c:pt idx="1643">
                  <c:v>-6.9735211265425099E-3</c:v>
                </c:pt>
                <c:pt idx="1644">
                  <c:v>1.735805953776217E-2</c:v>
                </c:pt>
                <c:pt idx="1645">
                  <c:v>1.6304429508177704E-2</c:v>
                </c:pt>
                <c:pt idx="1646">
                  <c:v>-2.9163794105649451E-3</c:v>
                </c:pt>
                <c:pt idx="1647">
                  <c:v>2.8971358291225133E-2</c:v>
                </c:pt>
                <c:pt idx="1648">
                  <c:v>-1.1013701226902912E-2</c:v>
                </c:pt>
                <c:pt idx="1649">
                  <c:v>-1.7778858589592914E-2</c:v>
                </c:pt>
                <c:pt idx="1650">
                  <c:v>-2.1555436394152291E-2</c:v>
                </c:pt>
                <c:pt idx="1651">
                  <c:v>6.2099998335946342E-3</c:v>
                </c:pt>
                <c:pt idx="1652">
                  <c:v>1.8782565149405184E-3</c:v>
                </c:pt>
                <c:pt idx="1653">
                  <c:v>1.2413795204403631E-2</c:v>
                </c:pt>
                <c:pt idx="1654">
                  <c:v>4.4543945397292903E-3</c:v>
                </c:pt>
                <c:pt idx="1655">
                  <c:v>8.5092072772648337E-4</c:v>
                </c:pt>
                <c:pt idx="1656">
                  <c:v>6.5652868331407847E-3</c:v>
                </c:pt>
                <c:pt idx="1657">
                  <c:v>5.7509992492230299E-3</c:v>
                </c:pt>
                <c:pt idx="1658">
                  <c:v>1.6983898665267367E-3</c:v>
                </c:pt>
                <c:pt idx="1659">
                  <c:v>-6.3789827992982032E-3</c:v>
                </c:pt>
                <c:pt idx="1660">
                  <c:v>-6.8546709595092604E-3</c:v>
                </c:pt>
                <c:pt idx="1661">
                  <c:v>1.2199345872212074E-2</c:v>
                </c:pt>
                <c:pt idx="1662">
                  <c:v>-1.3544269483528631E-2</c:v>
                </c:pt>
                <c:pt idx="1663">
                  <c:v>-1.8803782584705039E-4</c:v>
                </c:pt>
                <c:pt idx="1664">
                  <c:v>-5.6432572001229183E-4</c:v>
                </c:pt>
                <c:pt idx="1665">
                  <c:v>-6.8267790360976759E-3</c:v>
                </c:pt>
                <c:pt idx="1666">
                  <c:v>-8.5065137526194705E-3</c:v>
                </c:pt>
                <c:pt idx="1667">
                  <c:v>1.0379322715695891E-2</c:v>
                </c:pt>
                <c:pt idx="1668">
                  <c:v>4.7558855497077538E-3</c:v>
                </c:pt>
                <c:pt idx="1669">
                  <c:v>7.5095949309700082E-3</c:v>
                </c:pt>
                <c:pt idx="1670">
                  <c:v>1.1252055544722042E-2</c:v>
                </c:pt>
                <c:pt idx="1671">
                  <c:v>5.9800037671176457E-3</c:v>
                </c:pt>
                <c:pt idx="1672">
                  <c:v>1.591352267546382E-2</c:v>
                </c:pt>
                <c:pt idx="1673">
                  <c:v>-6.4692901259225805E-4</c:v>
                </c:pt>
                <c:pt idx="1674">
                  <c:v>3.1450899375543512E-3</c:v>
                </c:pt>
                <c:pt idx="1675">
                  <c:v>-5.3744903521789717E-3</c:v>
                </c:pt>
                <c:pt idx="1676">
                  <c:v>-2.9414312280126417E-2</c:v>
                </c:pt>
                <c:pt idx="1677">
                  <c:v>2.2958743233574574E-3</c:v>
                </c:pt>
                <c:pt idx="1678">
                  <c:v>-4.7053363107112164E-3</c:v>
                </c:pt>
                <c:pt idx="1679">
                  <c:v>1.0733835967516989E-2</c:v>
                </c:pt>
                <c:pt idx="1680">
                  <c:v>1.6788609728639478E-2</c:v>
                </c:pt>
                <c:pt idx="1681">
                  <c:v>4.3013285713236291E-3</c:v>
                </c:pt>
                <c:pt idx="1682">
                  <c:v>1.0559820328321314E-2</c:v>
                </c:pt>
                <c:pt idx="1683">
                  <c:v>4.1346307836310457E-3</c:v>
                </c:pt>
                <c:pt idx="1684">
                  <c:v>-1.080100649669267E-2</c:v>
                </c:pt>
                <c:pt idx="1685">
                  <c:v>9.4184202763120672E-3</c:v>
                </c:pt>
                <c:pt idx="1686">
                  <c:v>-1.3407249242887108E-2</c:v>
                </c:pt>
                <c:pt idx="1687">
                  <c:v>1.6527112695358843E-2</c:v>
                </c:pt>
                <c:pt idx="1688">
                  <c:v>6.1360788921301862E-3</c:v>
                </c:pt>
                <c:pt idx="1689">
                  <c:v>3.4536560661490448E-3</c:v>
                </c:pt>
                <c:pt idx="1690">
                  <c:v>-1.93481233151613E-3</c:v>
                </c:pt>
                <c:pt idx="1691">
                  <c:v>-3.9089334737518544E-3</c:v>
                </c:pt>
                <c:pt idx="1692">
                  <c:v>3.5643676000576946E-3</c:v>
                </c:pt>
                <c:pt idx="1693">
                  <c:v>-2.6083149501853891E-4</c:v>
                </c:pt>
                <c:pt idx="1694">
                  <c:v>1.0841470161984664E-2</c:v>
                </c:pt>
                <c:pt idx="1695">
                  <c:v>-4.0541032850609903E-3</c:v>
                </c:pt>
                <c:pt idx="1696">
                  <c:v>1.8505496185167338E-4</c:v>
                </c:pt>
                <c:pt idx="1697">
                  <c:v>-2.1008135006495465E-2</c:v>
                </c:pt>
                <c:pt idx="1698">
                  <c:v>-5.6471095011559501E-3</c:v>
                </c:pt>
                <c:pt idx="1699">
                  <c:v>-1.1650320288156827E-2</c:v>
                </c:pt>
                <c:pt idx="1700">
                  <c:v>1.2666498501179266E-2</c:v>
                </c:pt>
                <c:pt idx="1701">
                  <c:v>-5.5952295963720519E-2</c:v>
                </c:pt>
                <c:pt idx="1702">
                  <c:v>-2.4463405556351555E-3</c:v>
                </c:pt>
                <c:pt idx="1703">
                  <c:v>3.4294602462432849E-2</c:v>
                </c:pt>
                <c:pt idx="1704">
                  <c:v>-1.8113095527921182E-2</c:v>
                </c:pt>
                <c:pt idx="1705">
                  <c:v>3.0933969761073293E-2</c:v>
                </c:pt>
                <c:pt idx="1706">
                  <c:v>-2.6242066745839079E-3</c:v>
                </c:pt>
                <c:pt idx="1707">
                  <c:v>-2.0223332749365129E-2</c:v>
                </c:pt>
                <c:pt idx="1708">
                  <c:v>1.4329462250926692E-3</c:v>
                </c:pt>
                <c:pt idx="1709">
                  <c:v>9.1575373922277957E-3</c:v>
                </c:pt>
                <c:pt idx="1710">
                  <c:v>-1.3955171377069798E-2</c:v>
                </c:pt>
                <c:pt idx="1711">
                  <c:v>-5.5085251334621006E-2</c:v>
                </c:pt>
                <c:pt idx="1712">
                  <c:v>5.6621425578870753E-2</c:v>
                </c:pt>
                <c:pt idx="1713">
                  <c:v>-1.2385867746389079E-2</c:v>
                </c:pt>
                <c:pt idx="1714">
                  <c:v>-2.941483683347761E-2</c:v>
                </c:pt>
                <c:pt idx="1715">
                  <c:v>-1.2031645084813912E-3</c:v>
                </c:pt>
                <c:pt idx="1716">
                  <c:v>2.9172417348551954E-2</c:v>
                </c:pt>
                <c:pt idx="1717">
                  <c:v>-8.5073470344937431E-3</c:v>
                </c:pt>
                <c:pt idx="1718">
                  <c:v>2.3457155737886841E-3</c:v>
                </c:pt>
                <c:pt idx="1719">
                  <c:v>1.2863456286134098E-2</c:v>
                </c:pt>
                <c:pt idx="1720">
                  <c:v>2.0097325306963768E-3</c:v>
                </c:pt>
                <c:pt idx="1721">
                  <c:v>3.8589061286600605E-2</c:v>
                </c:pt>
                <c:pt idx="1722">
                  <c:v>-1.9526512245607737E-3</c:v>
                </c:pt>
                <c:pt idx="1723">
                  <c:v>-1.9661336972072396E-2</c:v>
                </c:pt>
                <c:pt idx="1724">
                  <c:v>-2.5118117093158115E-2</c:v>
                </c:pt>
                <c:pt idx="1725">
                  <c:v>6.877682193271651E-4</c:v>
                </c:pt>
                <c:pt idx="1726">
                  <c:v>-1.4495894751029484E-2</c:v>
                </c:pt>
                <c:pt idx="1727">
                  <c:v>2.2148955345664443E-2</c:v>
                </c:pt>
                <c:pt idx="1728">
                  <c:v>9.1442595157978125E-3</c:v>
                </c:pt>
                <c:pt idx="1729">
                  <c:v>-3.4261786852993421E-2</c:v>
                </c:pt>
                <c:pt idx="1730">
                  <c:v>-2.8208568676012381E-2</c:v>
                </c:pt>
                <c:pt idx="1731">
                  <c:v>1.353874356052079E-2</c:v>
                </c:pt>
                <c:pt idx="1732">
                  <c:v>-3.6431897455062377E-4</c:v>
                </c:pt>
                <c:pt idx="1733">
                  <c:v>3.240892875550587E-2</c:v>
                </c:pt>
                <c:pt idx="1734">
                  <c:v>6.4069354230067745E-3</c:v>
                </c:pt>
                <c:pt idx="1735">
                  <c:v>3.6352791840172587E-2</c:v>
                </c:pt>
                <c:pt idx="1736">
                  <c:v>-8.3318235188785186E-3</c:v>
                </c:pt>
                <c:pt idx="1737">
                  <c:v>6.2099183613520213E-3</c:v>
                </c:pt>
                <c:pt idx="1738">
                  <c:v>1.0773053809377523E-2</c:v>
                </c:pt>
                <c:pt idx="1739">
                  <c:v>-3.2321693169027943E-2</c:v>
                </c:pt>
                <c:pt idx="1740">
                  <c:v>6.286172162401623E-3</c:v>
                </c:pt>
                <c:pt idx="1741">
                  <c:v>-4.0977251125627383E-2</c:v>
                </c:pt>
                <c:pt idx="1742">
                  <c:v>2.6247570516686834E-2</c:v>
                </c:pt>
                <c:pt idx="1743">
                  <c:v>9.1276433846268264E-3</c:v>
                </c:pt>
                <c:pt idx="1744">
                  <c:v>4.5522193879193153E-3</c:v>
                </c:pt>
                <c:pt idx="1745">
                  <c:v>3.2430991255522337E-3</c:v>
                </c:pt>
                <c:pt idx="1746">
                  <c:v>-3.1762770566211046E-2</c:v>
                </c:pt>
                <c:pt idx="1747">
                  <c:v>-2.9934235461704831E-2</c:v>
                </c:pt>
                <c:pt idx="1748">
                  <c:v>1.0491975528018336E-2</c:v>
                </c:pt>
                <c:pt idx="1749">
                  <c:v>-2.697349958112486E-3</c:v>
                </c:pt>
                <c:pt idx="1750">
                  <c:v>-2.1226981658124911E-2</c:v>
                </c:pt>
                <c:pt idx="1751">
                  <c:v>-3.2956766428769629E-2</c:v>
                </c:pt>
                <c:pt idx="1752">
                  <c:v>-4.2651095630224942E-2</c:v>
                </c:pt>
                <c:pt idx="1753">
                  <c:v>6.6067149565398373E-2</c:v>
                </c:pt>
                <c:pt idx="1754">
                  <c:v>6.2066694857066049E-3</c:v>
                </c:pt>
                <c:pt idx="1755">
                  <c:v>-7.918402877539206E-3</c:v>
                </c:pt>
                <c:pt idx="1756">
                  <c:v>1.1823926113087826E-2</c:v>
                </c:pt>
                <c:pt idx="1757">
                  <c:v>-4.5096660371974706E-3</c:v>
                </c:pt>
                <c:pt idx="1758">
                  <c:v>-3.7503847481369708E-2</c:v>
                </c:pt>
                <c:pt idx="1759">
                  <c:v>4.5555248290102671E-2</c:v>
                </c:pt>
                <c:pt idx="1760">
                  <c:v>1.2803586336743032E-3</c:v>
                </c:pt>
                <c:pt idx="1761">
                  <c:v>7.1340911517680386E-3</c:v>
                </c:pt>
                <c:pt idx="1762">
                  <c:v>1.4374701585092348E-2</c:v>
                </c:pt>
                <c:pt idx="1763">
                  <c:v>-6.4737233908326369E-3</c:v>
                </c:pt>
                <c:pt idx="1764">
                  <c:v>-7.9009781942597813E-3</c:v>
                </c:pt>
                <c:pt idx="1765">
                  <c:v>-7.234921023274765E-3</c:v>
                </c:pt>
                <c:pt idx="1766">
                  <c:v>2.8261023742281965E-2</c:v>
                </c:pt>
                <c:pt idx="1767">
                  <c:v>3.5428334097862761E-3</c:v>
                </c:pt>
                <c:pt idx="1768">
                  <c:v>7.1502195528302297E-3</c:v>
                </c:pt>
                <c:pt idx="1769">
                  <c:v>1.5102639729213121E-2</c:v>
                </c:pt>
                <c:pt idx="1770">
                  <c:v>-1.9306709314755439E-2</c:v>
                </c:pt>
                <c:pt idx="1771">
                  <c:v>9.8570409760422289E-3</c:v>
                </c:pt>
                <c:pt idx="1772">
                  <c:v>-4.9733247805617475E-3</c:v>
                </c:pt>
                <c:pt idx="1773">
                  <c:v>9.3282959756077512E-3</c:v>
                </c:pt>
                <c:pt idx="1774">
                  <c:v>-2.0021114102183254E-2</c:v>
                </c:pt>
                <c:pt idx="1775">
                  <c:v>-2.0377597021254107E-2</c:v>
                </c:pt>
                <c:pt idx="1776">
                  <c:v>3.2817384600897392E-2</c:v>
                </c:pt>
                <c:pt idx="1777">
                  <c:v>-1.8274706085012471E-2</c:v>
                </c:pt>
                <c:pt idx="1778">
                  <c:v>-1.6075430817514502E-2</c:v>
                </c:pt>
                <c:pt idx="1779">
                  <c:v>2.8312658298117074E-2</c:v>
                </c:pt>
                <c:pt idx="1780">
                  <c:v>1.4083932921772405E-2</c:v>
                </c:pt>
                <c:pt idx="1781">
                  <c:v>-1.1353299296705822E-2</c:v>
                </c:pt>
                <c:pt idx="1782">
                  <c:v>-7.3591446952158916E-3</c:v>
                </c:pt>
                <c:pt idx="1783">
                  <c:v>3.9358998984485288E-3</c:v>
                </c:pt>
                <c:pt idx="1784">
                  <c:v>-4.1345137358318419E-3</c:v>
                </c:pt>
                <c:pt idx="1785">
                  <c:v>1.5829269143310658E-2</c:v>
                </c:pt>
                <c:pt idx="1786">
                  <c:v>-7.8434880734404094E-4</c:v>
                </c:pt>
                <c:pt idx="1787">
                  <c:v>8.8358961524562273E-4</c:v>
                </c:pt>
                <c:pt idx="1788">
                  <c:v>1.2024272039215874E-2</c:v>
                </c:pt>
                <c:pt idx="1789">
                  <c:v>-4.707497757703501E-4</c:v>
                </c:pt>
                <c:pt idx="1790">
                  <c:v>-4.8872924676124623E-3</c:v>
                </c:pt>
                <c:pt idx="1791">
                  <c:v>2.0769756009910434E-2</c:v>
                </c:pt>
                <c:pt idx="1792">
                  <c:v>1.4140710458649388E-2</c:v>
                </c:pt>
                <c:pt idx="1793">
                  <c:v>5.4682296201959005E-3</c:v>
                </c:pt>
                <c:pt idx="1794">
                  <c:v>6.9157417076037642E-3</c:v>
                </c:pt>
                <c:pt idx="1795">
                  <c:v>-1.6655927289782777E-3</c:v>
                </c:pt>
                <c:pt idx="1796">
                  <c:v>-1.2816648316578121E-3</c:v>
                </c:pt>
                <c:pt idx="1797">
                  <c:v>4.4223295851693722E-3</c:v>
                </c:pt>
                <c:pt idx="1798">
                  <c:v>-2.3028165621204358E-3</c:v>
                </c:pt>
                <c:pt idx="1799">
                  <c:v>-5.1700667073986762E-3</c:v>
                </c:pt>
                <c:pt idx="1800">
                  <c:v>4.5392217905511968E-4</c:v>
                </c:pt>
                <c:pt idx="1801">
                  <c:v>-1.2242663054064034E-2</c:v>
                </c:pt>
                <c:pt idx="1802">
                  <c:v>1.1096232246241644E-3</c:v>
                </c:pt>
                <c:pt idx="1803">
                  <c:v>2.089903646026911E-2</c:v>
                </c:pt>
                <c:pt idx="1804">
                  <c:v>6.82080602811291E-3</c:v>
                </c:pt>
                <c:pt idx="1805">
                  <c:v>7.8638821370470065E-3</c:v>
                </c:pt>
                <c:pt idx="1806">
                  <c:v>8.2079474134946957E-4</c:v>
                </c:pt>
                <c:pt idx="1807">
                  <c:v>1.1284225281454395E-2</c:v>
                </c:pt>
                <c:pt idx="1808">
                  <c:v>1.4308260119903205E-2</c:v>
                </c:pt>
                <c:pt idx="1809">
                  <c:v>7.0961804868603293E-4</c:v>
                </c:pt>
                <c:pt idx="1810">
                  <c:v>-1.1410244401914046E-3</c:v>
                </c:pt>
                <c:pt idx="1811">
                  <c:v>2.2822788625395465E-2</c:v>
                </c:pt>
                <c:pt idx="1812">
                  <c:v>-2.6786043677976001E-2</c:v>
                </c:pt>
                <c:pt idx="1813">
                  <c:v>5.1940686678493145E-3</c:v>
                </c:pt>
                <c:pt idx="1814">
                  <c:v>2.0091674995089161E-3</c:v>
                </c:pt>
                <c:pt idx="1815">
                  <c:v>-9.5797039407220317E-3</c:v>
                </c:pt>
                <c:pt idx="1816">
                  <c:v>1.3289879499328468E-3</c:v>
                </c:pt>
                <c:pt idx="1817">
                  <c:v>8.5105365368884373E-3</c:v>
                </c:pt>
                <c:pt idx="1818">
                  <c:v>9.1579732907711223E-3</c:v>
                </c:pt>
                <c:pt idx="1819">
                  <c:v>1.4635511905965305E-3</c:v>
                </c:pt>
                <c:pt idx="1820">
                  <c:v>6.6608608532643188E-3</c:v>
                </c:pt>
                <c:pt idx="1821">
                  <c:v>-5.1817475200204698E-3</c:v>
                </c:pt>
                <c:pt idx="1822">
                  <c:v>4.4859360128194029E-3</c:v>
                </c:pt>
                <c:pt idx="1823">
                  <c:v>3.4356239298800499E-4</c:v>
                </c:pt>
                <c:pt idx="1824">
                  <c:v>-5.5200694823878699E-3</c:v>
                </c:pt>
                <c:pt idx="1825">
                  <c:v>7.6580726283651023E-3</c:v>
                </c:pt>
                <c:pt idx="1826">
                  <c:v>1.1331346436375032E-3</c:v>
                </c:pt>
                <c:pt idx="1827">
                  <c:v>5.0352353188981144E-3</c:v>
                </c:pt>
                <c:pt idx="1828">
                  <c:v>7.7710597436313374E-4</c:v>
                </c:pt>
                <c:pt idx="1829">
                  <c:v>-2.2194076129330997E-3</c:v>
                </c:pt>
                <c:pt idx="1830">
                  <c:v>8.3365393757668434E-3</c:v>
                </c:pt>
                <c:pt idx="1831">
                  <c:v>1.2868482161267887E-2</c:v>
                </c:pt>
                <c:pt idx="1832">
                  <c:v>3.1807404075989702E-3</c:v>
                </c:pt>
                <c:pt idx="1833">
                  <c:v>1.3734849233922821E-2</c:v>
                </c:pt>
                <c:pt idx="1834">
                  <c:v>-3.5428126470111059E-3</c:v>
                </c:pt>
                <c:pt idx="1835">
                  <c:v>3.2506291106433348E-2</c:v>
                </c:pt>
                <c:pt idx="1836">
                  <c:v>5.7177736617001762E-3</c:v>
                </c:pt>
                <c:pt idx="1837">
                  <c:v>-9.5205166171579054E-4</c:v>
                </c:pt>
                <c:pt idx="1838">
                  <c:v>6.5887937159761793E-3</c:v>
                </c:pt>
                <c:pt idx="1839">
                  <c:v>-2.1252005429458997E-2</c:v>
                </c:pt>
                <c:pt idx="1840">
                  <c:v>-1.3046754413626235E-2</c:v>
                </c:pt>
                <c:pt idx="1841">
                  <c:v>2.0938143272151915E-2</c:v>
                </c:pt>
                <c:pt idx="1842">
                  <c:v>-5.7869675609028507E-3</c:v>
                </c:pt>
                <c:pt idx="1843">
                  <c:v>-2.0589575055901241E-2</c:v>
                </c:pt>
                <c:pt idx="1844">
                  <c:v>-8.4158082591853403E-5</c:v>
                </c:pt>
                <c:pt idx="1845">
                  <c:v>0</c:v>
                </c:pt>
                <c:pt idx="1846">
                  <c:v>1.2586777529175853E-2</c:v>
                </c:pt>
                <c:pt idx="1847">
                  <c:v>-3.0161773127956978E-2</c:v>
                </c:pt>
                <c:pt idx="1848">
                  <c:v>1.1242868129359091E-2</c:v>
                </c:pt>
                <c:pt idx="1849">
                  <c:v>1.402847156786859E-2</c:v>
                </c:pt>
                <c:pt idx="1850">
                  <c:v>2.2756214595863987E-2</c:v>
                </c:pt>
                <c:pt idx="1851">
                  <c:v>-6.798958020971249E-3</c:v>
                </c:pt>
                <c:pt idx="1852">
                  <c:v>-1.4546824991110084E-2</c:v>
                </c:pt>
                <c:pt idx="1853">
                  <c:v>5.3399113804156635E-3</c:v>
                </c:pt>
                <c:pt idx="1854">
                  <c:v>6.1446031263222281E-3</c:v>
                </c:pt>
                <c:pt idx="1855">
                  <c:v>-1.1726399879273994E-2</c:v>
                </c:pt>
                <c:pt idx="1856">
                  <c:v>3.919916981317711E-4</c:v>
                </c:pt>
                <c:pt idx="1857">
                  <c:v>-4.7541401531823839E-4</c:v>
                </c:pt>
                <c:pt idx="1858">
                  <c:v>-9.5981691547617608E-3</c:v>
                </c:pt>
                <c:pt idx="1859">
                  <c:v>6.2555569689866919E-3</c:v>
                </c:pt>
                <c:pt idx="1860">
                  <c:v>-1.6508236383654212E-2</c:v>
                </c:pt>
                <c:pt idx="1861">
                  <c:v>-3.1579888286259822E-2</c:v>
                </c:pt>
                <c:pt idx="1862">
                  <c:v>2.7256064310116193E-2</c:v>
                </c:pt>
                <c:pt idx="1863">
                  <c:v>2.1560029900901521E-2</c:v>
                </c:pt>
                <c:pt idx="1864">
                  <c:v>1.5627457636421441E-2</c:v>
                </c:pt>
                <c:pt idx="1865">
                  <c:v>2.761327656959375E-2</c:v>
                </c:pt>
                <c:pt idx="1866">
                  <c:v>9.0190200876480494E-3</c:v>
                </c:pt>
                <c:pt idx="1867">
                  <c:v>-3.801832319894755E-3</c:v>
                </c:pt>
                <c:pt idx="1868">
                  <c:v>-4.5045121211045409E-3</c:v>
                </c:pt>
                <c:pt idx="1869">
                  <c:v>6.136775556539251E-3</c:v>
                </c:pt>
                <c:pt idx="1870">
                  <c:v>1.0257675269951397E-3</c:v>
                </c:pt>
                <c:pt idx="1871">
                  <c:v>3.0076165307298024E-3</c:v>
                </c:pt>
                <c:pt idx="1872">
                  <c:v>1.7274245843162058E-2</c:v>
                </c:pt>
                <c:pt idx="1873">
                  <c:v>4.0183327102437895E-3</c:v>
                </c:pt>
                <c:pt idx="1874">
                  <c:v>9.1959463466021862E-3</c:v>
                </c:pt>
                <c:pt idx="1875">
                  <c:v>1.5370427328120946E-4</c:v>
                </c:pt>
                <c:pt idx="1876">
                  <c:v>5.8538845602384886E-3</c:v>
                </c:pt>
                <c:pt idx="1877">
                  <c:v>-3.2013414398269026E-2</c:v>
                </c:pt>
                <c:pt idx="1878">
                  <c:v>3.8499588944870024E-3</c:v>
                </c:pt>
                <c:pt idx="1879">
                  <c:v>1.5311353413142348E-3</c:v>
                </c:pt>
                <c:pt idx="1880">
                  <c:v>-1.3032795808813409E-3</c:v>
                </c:pt>
                <c:pt idx="1881">
                  <c:v>1.2654493469280416E-2</c:v>
                </c:pt>
                <c:pt idx="1882">
                  <c:v>6.5721547274296601E-3</c:v>
                </c:pt>
                <c:pt idx="1883">
                  <c:v>6.3761028465540706E-3</c:v>
                </c:pt>
                <c:pt idx="1884">
                  <c:v>-2.8450175819157309E-3</c:v>
                </c:pt>
                <c:pt idx="1885">
                  <c:v>-7.5286746175296112E-4</c:v>
                </c:pt>
                <c:pt idx="1886">
                  <c:v>-3.6648691333165417E-3</c:v>
                </c:pt>
                <c:pt idx="1887">
                  <c:v>1.0092064642526781E-2</c:v>
                </c:pt>
                <c:pt idx="1888">
                  <c:v>4.0312955866382639E-3</c:v>
                </c:pt>
                <c:pt idx="1889">
                  <c:v>3.636298630162467E-3</c:v>
                </c:pt>
                <c:pt idx="1890">
                  <c:v>0</c:v>
                </c:pt>
                <c:pt idx="1891">
                  <c:v>-1.3188345460196448E-2</c:v>
                </c:pt>
                <c:pt idx="1892">
                  <c:v>-5.7907786835837173E-3</c:v>
                </c:pt>
                <c:pt idx="1893">
                  <c:v>9.8803558790395399E-4</c:v>
                </c:pt>
                <c:pt idx="1894">
                  <c:v>1.4262973047803843E-3</c:v>
                </c:pt>
                <c:pt idx="1895">
                  <c:v>1.3141417139995868E-2</c:v>
                </c:pt>
                <c:pt idx="1896">
                  <c:v>6.2987440257627047E-3</c:v>
                </c:pt>
                <c:pt idx="1897">
                  <c:v>1.0066505337499506E-2</c:v>
                </c:pt>
                <c:pt idx="1898">
                  <c:v>-3.747119106068994E-3</c:v>
                </c:pt>
                <c:pt idx="1899">
                  <c:v>8.254993115828729E-3</c:v>
                </c:pt>
                <c:pt idx="1900">
                  <c:v>-2.243933563942954E-3</c:v>
                </c:pt>
                <c:pt idx="1901">
                  <c:v>-4.8254517890979759E-3</c:v>
                </c:pt>
                <c:pt idx="1902">
                  <c:v>-2.9359488052661399E-2</c:v>
                </c:pt>
                <c:pt idx="1903">
                  <c:v>1.2814687221244632E-2</c:v>
                </c:pt>
                <c:pt idx="1904">
                  <c:v>-8.36850595654017E-3</c:v>
                </c:pt>
                <c:pt idx="1905">
                  <c:v>-3.4932618111648037E-2</c:v>
                </c:pt>
                <c:pt idx="1906">
                  <c:v>1.871734541001879E-2</c:v>
                </c:pt>
                <c:pt idx="1907">
                  <c:v>4.2730775767958491E-3</c:v>
                </c:pt>
                <c:pt idx="1908">
                  <c:v>2.6406936810361617E-2</c:v>
                </c:pt>
                <c:pt idx="1909">
                  <c:v>-8.630781707524661E-3</c:v>
                </c:pt>
                <c:pt idx="1910">
                  <c:v>-1.3916480751875083E-2</c:v>
                </c:pt>
                <c:pt idx="1911">
                  <c:v>2.040033769123864E-2</c:v>
                </c:pt>
                <c:pt idx="1912">
                  <c:v>-3.0433762466010154E-2</c:v>
                </c:pt>
                <c:pt idx="1913">
                  <c:v>-2.3044193892784609E-3</c:v>
                </c:pt>
                <c:pt idx="1914">
                  <c:v>1.8080300288100828E-2</c:v>
                </c:pt>
                <c:pt idx="1915">
                  <c:v>1.6653231472233708E-2</c:v>
                </c:pt>
                <c:pt idx="1916">
                  <c:v>-8.4027711917266396E-3</c:v>
                </c:pt>
                <c:pt idx="1917">
                  <c:v>1.1195635691359895E-2</c:v>
                </c:pt>
                <c:pt idx="1918">
                  <c:v>-7.3965114801071369E-3</c:v>
                </c:pt>
                <c:pt idx="1919">
                  <c:v>-3.2274468174135137E-2</c:v>
                </c:pt>
                <c:pt idx="1920">
                  <c:v>1.5326927319912467E-2</c:v>
                </c:pt>
                <c:pt idx="1921">
                  <c:v>2.1738214036649884E-3</c:v>
                </c:pt>
                <c:pt idx="1922">
                  <c:v>-1.337772151922697E-3</c:v>
                </c:pt>
                <c:pt idx="1923">
                  <c:v>1.8643841233503159E-2</c:v>
                </c:pt>
                <c:pt idx="1924">
                  <c:v>-1.938611269501298E-3</c:v>
                </c:pt>
                <c:pt idx="1925">
                  <c:v>-1.3314021445672375E-2</c:v>
                </c:pt>
                <c:pt idx="1926">
                  <c:v>1.1600355495732623E-2</c:v>
                </c:pt>
                <c:pt idx="1927">
                  <c:v>1.75753307439959E-2</c:v>
                </c:pt>
                <c:pt idx="1928">
                  <c:v>-6.8995854382081587E-3</c:v>
                </c:pt>
                <c:pt idx="1929">
                  <c:v>-1.1491720154979859E-2</c:v>
                </c:pt>
                <c:pt idx="1930">
                  <c:v>-1.0491376503833069E-2</c:v>
                </c:pt>
                <c:pt idx="1931">
                  <c:v>3.0833269341620296E-4</c:v>
                </c:pt>
                <c:pt idx="1932">
                  <c:v>1.0183043810416863E-2</c:v>
                </c:pt>
                <c:pt idx="1933">
                  <c:v>-1.4047305075105356E-3</c:v>
                </c:pt>
                <c:pt idx="1934">
                  <c:v>-7.2765513386910761E-3</c:v>
                </c:pt>
                <c:pt idx="1935">
                  <c:v>7.7730131041478037E-3</c:v>
                </c:pt>
                <c:pt idx="1936">
                  <c:v>8.2660496137530806E-3</c:v>
                </c:pt>
                <c:pt idx="1937">
                  <c:v>1.8324629002643616E-2</c:v>
                </c:pt>
                <c:pt idx="1938">
                  <c:v>-1.1704962532164421E-2</c:v>
                </c:pt>
                <c:pt idx="1939">
                  <c:v>-2.1991769484566116E-3</c:v>
                </c:pt>
                <c:pt idx="1940">
                  <c:v>-1.2755265296415611E-2</c:v>
                </c:pt>
                <c:pt idx="1941">
                  <c:v>1.4367464111767109E-2</c:v>
                </c:pt>
                <c:pt idx="1942">
                  <c:v>1.263832740499318E-3</c:v>
                </c:pt>
                <c:pt idx="1943">
                  <c:v>-1.3083952262247641E-2</c:v>
                </c:pt>
                <c:pt idx="1944">
                  <c:v>9.4008455555753181E-3</c:v>
                </c:pt>
                <c:pt idx="1945">
                  <c:v>-1.4188192305423595E-2</c:v>
                </c:pt>
                <c:pt idx="1946">
                  <c:v>-1.7869201335653052E-2</c:v>
                </c:pt>
                <c:pt idx="1947">
                  <c:v>1.2097046624586686E-2</c:v>
                </c:pt>
                <c:pt idx="1948">
                  <c:v>1.3457403842223154E-2</c:v>
                </c:pt>
                <c:pt idx="1949">
                  <c:v>-7.3026409631616919E-3</c:v>
                </c:pt>
                <c:pt idx="1950">
                  <c:v>-1.0513580943439607E-2</c:v>
                </c:pt>
                <c:pt idx="1951">
                  <c:v>1.8628560385129625E-2</c:v>
                </c:pt>
                <c:pt idx="1952">
                  <c:v>6.2111296078181475E-3</c:v>
                </c:pt>
                <c:pt idx="1953">
                  <c:v>4.1845158936446979E-3</c:v>
                </c:pt>
                <c:pt idx="1954">
                  <c:v>-9.4675630353041487E-4</c:v>
                </c:pt>
                <c:pt idx="1955">
                  <c:v>1.4352652815580834E-2</c:v>
                </c:pt>
                <c:pt idx="1956">
                  <c:v>-8.2146986343897138E-3</c:v>
                </c:pt>
                <c:pt idx="1957">
                  <c:v>-5.1160968667656815E-3</c:v>
                </c:pt>
                <c:pt idx="1958">
                  <c:v>-1.6506897908568987E-2</c:v>
                </c:pt>
                <c:pt idx="1959">
                  <c:v>7.4466851302489711E-3</c:v>
                </c:pt>
                <c:pt idx="1960">
                  <c:v>-1.5064630954733123E-2</c:v>
                </c:pt>
                <c:pt idx="1961">
                  <c:v>6.3650521641776484E-3</c:v>
                </c:pt>
                <c:pt idx="1962">
                  <c:v>1.9583014525826212E-2</c:v>
                </c:pt>
                <c:pt idx="1963">
                  <c:v>5.6287220149467175E-3</c:v>
                </c:pt>
                <c:pt idx="1964">
                  <c:v>2.423526480851489E-2</c:v>
                </c:pt>
                <c:pt idx="1965">
                  <c:v>-9.4298255060913348E-3</c:v>
                </c:pt>
                <c:pt idx="1966">
                  <c:v>1.2335832811032371E-2</c:v>
                </c:pt>
                <c:pt idx="1967">
                  <c:v>-8.597127031722121E-3</c:v>
                </c:pt>
                <c:pt idx="1968">
                  <c:v>2.3533377813467356E-3</c:v>
                </c:pt>
                <c:pt idx="1969">
                  <c:v>5.8156837557423388E-3</c:v>
                </c:pt>
                <c:pt idx="1970">
                  <c:v>-6.3887096253993875E-4</c:v>
                </c:pt>
                <c:pt idx="1971">
                  <c:v>-2.763457241552855E-3</c:v>
                </c:pt>
                <c:pt idx="1972">
                  <c:v>1.4263157631744547E-3</c:v>
                </c:pt>
                <c:pt idx="1973">
                  <c:v>1.1783552813578048E-2</c:v>
                </c:pt>
                <c:pt idx="1974">
                  <c:v>9.8410004099103274E-4</c:v>
                </c:pt>
                <c:pt idx="1975">
                  <c:v>6.49085725829434E-3</c:v>
                </c:pt>
                <c:pt idx="1976">
                  <c:v>1.6820262398967098E-3</c:v>
                </c:pt>
                <c:pt idx="1977">
                  <c:v>5.0645967264530802E-3</c:v>
                </c:pt>
                <c:pt idx="1978">
                  <c:v>1.2798755460274772E-2</c:v>
                </c:pt>
                <c:pt idx="1979">
                  <c:v>2.515091869065773E-3</c:v>
                </c:pt>
                <c:pt idx="1980">
                  <c:v>2.7208891196247198E-4</c:v>
                </c:pt>
                <c:pt idx="1981">
                  <c:v>-1.6965308973382318E-3</c:v>
                </c:pt>
                <c:pt idx="1982">
                  <c:v>-9.5775068753455191E-4</c:v>
                </c:pt>
                <c:pt idx="1983">
                  <c:v>7.5509166065259139E-4</c:v>
                </c:pt>
                <c:pt idx="1984">
                  <c:v>1.0995843166571317E-2</c:v>
                </c:pt>
                <c:pt idx="1985">
                  <c:v>5.1778756821939343E-3</c:v>
                </c:pt>
                <c:pt idx="1986">
                  <c:v>1.8824763551068139E-3</c:v>
                </c:pt>
                <c:pt idx="1987">
                  <c:v>-6.0585383253932224E-3</c:v>
                </c:pt>
                <c:pt idx="1988">
                  <c:v>-1.2270263100481679E-2</c:v>
                </c:pt>
                <c:pt idx="1989">
                  <c:v>-1.6582069281241838E-3</c:v>
                </c:pt>
                <c:pt idx="1990">
                  <c:v>3.6207104825410033E-3</c:v>
                </c:pt>
                <c:pt idx="1991">
                  <c:v>5.5104298483261494E-4</c:v>
                </c:pt>
                <c:pt idx="1992">
                  <c:v>1.2046751774586332E-2</c:v>
                </c:pt>
                <c:pt idx="1993">
                  <c:v>-2.407437312223943E-3</c:v>
                </c:pt>
                <c:pt idx="1994">
                  <c:v>-1.5689855616549575E-3</c:v>
                </c:pt>
                <c:pt idx="1995">
                  <c:v>3.7145760252256469E-3</c:v>
                </c:pt>
                <c:pt idx="1996">
                  <c:v>9.9773510532256051E-3</c:v>
                </c:pt>
                <c:pt idx="1997">
                  <c:v>8.4928220005365453E-3</c:v>
                </c:pt>
                <c:pt idx="1998">
                  <c:v>6.5881321921446362E-3</c:v>
                </c:pt>
                <c:pt idx="1999">
                  <c:v>-5.5265143086497808E-3</c:v>
                </c:pt>
                <c:pt idx="2000">
                  <c:v>-2.1243639973759464E-3</c:v>
                </c:pt>
                <c:pt idx="2001">
                  <c:v>8.7726662982796858E-3</c:v>
                </c:pt>
                <c:pt idx="2002">
                  <c:v>1.0624580321037084E-2</c:v>
                </c:pt>
                <c:pt idx="2003">
                  <c:v>0</c:v>
                </c:pt>
                <c:pt idx="2004">
                  <c:v>-1.9929714606025734E-4</c:v>
                </c:pt>
                <c:pt idx="2005">
                  <c:v>8.3496465768216951E-3</c:v>
                </c:pt>
                <c:pt idx="2006">
                  <c:v>1.790510773788072E-3</c:v>
                </c:pt>
                <c:pt idx="2007">
                  <c:v>-8.7724496409065152E-3</c:v>
                </c:pt>
                <c:pt idx="2008">
                  <c:v>7.2293394935662449E-4</c:v>
                </c:pt>
                <c:pt idx="2009">
                  <c:v>1.8289707771454108E-2</c:v>
                </c:pt>
                <c:pt idx="2010">
                  <c:v>-1.2360189977021751E-2</c:v>
                </c:pt>
                <c:pt idx="2011">
                  <c:v>2.5802728866679767E-3</c:v>
                </c:pt>
                <c:pt idx="2012">
                  <c:v>-9.2990750269248551E-3</c:v>
                </c:pt>
                <c:pt idx="2013">
                  <c:v>1.6008135113260248E-2</c:v>
                </c:pt>
                <c:pt idx="2014">
                  <c:v>1.2240150221319178E-2</c:v>
                </c:pt>
                <c:pt idx="2015">
                  <c:v>-4.6810632074585912E-3</c:v>
                </c:pt>
                <c:pt idx="2016">
                  <c:v>1.2148532310925202E-2</c:v>
                </c:pt>
                <c:pt idx="2017">
                  <c:v>-7.2094844779191794E-3</c:v>
                </c:pt>
                <c:pt idx="2018">
                  <c:v>6.5882530748674634E-3</c:v>
                </c:pt>
                <c:pt idx="2019">
                  <c:v>1.8037038238526034E-2</c:v>
                </c:pt>
                <c:pt idx="2020">
                  <c:v>5.6404984423680483E-3</c:v>
                </c:pt>
                <c:pt idx="2021">
                  <c:v>-3.6102706172831366E-3</c:v>
                </c:pt>
                <c:pt idx="2022">
                  <c:v>-4.9160872363131951E-3</c:v>
                </c:pt>
                <c:pt idx="2023">
                  <c:v>6.2589252182747223E-3</c:v>
                </c:pt>
                <c:pt idx="2024">
                  <c:v>-1.0280225797791732E-2</c:v>
                </c:pt>
                <c:pt idx="2025">
                  <c:v>-1.6783494586558388E-2</c:v>
                </c:pt>
                <c:pt idx="2026">
                  <c:v>1.9384012991842416E-2</c:v>
                </c:pt>
                <c:pt idx="2027">
                  <c:v>1.5493784311600272E-2</c:v>
                </c:pt>
                <c:pt idx="2028">
                  <c:v>2.7874081739308044E-2</c:v>
                </c:pt>
                <c:pt idx="2029">
                  <c:v>-1.4886524939580552E-2</c:v>
                </c:pt>
                <c:pt idx="2030">
                  <c:v>2.4107787590782817E-2</c:v>
                </c:pt>
                <c:pt idx="2031">
                  <c:v>3.2384377783480786E-2</c:v>
                </c:pt>
                <c:pt idx="2032">
                  <c:v>-1.2487042687489769E-3</c:v>
                </c:pt>
                <c:pt idx="2033">
                  <c:v>2.0455245587038446E-2</c:v>
                </c:pt>
                <c:pt idx="2034">
                  <c:v>1.4395163890848317E-3</c:v>
                </c:pt>
                <c:pt idx="2035">
                  <c:v>2.5878970721355768E-2</c:v>
                </c:pt>
                <c:pt idx="2036">
                  <c:v>-2.2824735850757567E-2</c:v>
                </c:pt>
                <c:pt idx="2037">
                  <c:v>1.4896674792931916E-3</c:v>
                </c:pt>
                <c:pt idx="2038">
                  <c:v>-5.5393942761801877E-3</c:v>
                </c:pt>
                <c:pt idx="2039">
                  <c:v>9.0141998076491096E-3</c:v>
                </c:pt>
                <c:pt idx="2040">
                  <c:v>9.9338007718822903E-3</c:v>
                </c:pt>
                <c:pt idx="2041">
                  <c:v>3.0500833562157855E-3</c:v>
                </c:pt>
                <c:pt idx="2042">
                  <c:v>-1.5293425702932963E-2</c:v>
                </c:pt>
                <c:pt idx="2043">
                  <c:v>-3.2211466337707377E-2</c:v>
                </c:pt>
                <c:pt idx="2044">
                  <c:v>-4.4000450474761851E-2</c:v>
                </c:pt>
                <c:pt idx="2045">
                  <c:v>-1.6659567227324496E-2</c:v>
                </c:pt>
                <c:pt idx="2046">
                  <c:v>1.2361325454226985E-2</c:v>
                </c:pt>
                <c:pt idx="2047">
                  <c:v>-7.2990599915806947E-2</c:v>
                </c:pt>
                <c:pt idx="2048">
                  <c:v>2.3850505652217437E-2</c:v>
                </c:pt>
                <c:pt idx="2049">
                  <c:v>6.4450827915758638E-2</c:v>
                </c:pt>
                <c:pt idx="2050">
                  <c:v>-4.9224117426983474E-2</c:v>
                </c:pt>
                <c:pt idx="2051">
                  <c:v>3.618403249704872E-2</c:v>
                </c:pt>
                <c:pt idx="2052">
                  <c:v>-2.5409513243650653E-2</c:v>
                </c:pt>
                <c:pt idx="2053">
                  <c:v>-2.8707975053232269E-2</c:v>
                </c:pt>
                <c:pt idx="2054">
                  <c:v>-7.0103004690099474E-2</c:v>
                </c:pt>
                <c:pt idx="2055">
                  <c:v>6.6003180658621236E-2</c:v>
                </c:pt>
                <c:pt idx="2056">
                  <c:v>-4.6311447172773496E-2</c:v>
                </c:pt>
                <c:pt idx="2057">
                  <c:v>-9.9593127059145456E-2</c:v>
                </c:pt>
                <c:pt idx="2058">
                  <c:v>0.13297171499172128</c:v>
                </c:pt>
                <c:pt idx="2059">
                  <c:v>-0.15954897976785201</c:v>
                </c:pt>
                <c:pt idx="2060">
                  <c:v>7.9225612262855002E-2</c:v>
                </c:pt>
                <c:pt idx="2061">
                  <c:v>-4.3022700482659472E-2</c:v>
                </c:pt>
                <c:pt idx="2062">
                  <c:v>1.616853074436405E-2</c:v>
                </c:pt>
                <c:pt idx="2063">
                  <c:v>-3.817433624706023E-2</c:v>
                </c:pt>
                <c:pt idx="2064">
                  <c:v>-1.0063217921846394E-2</c:v>
                </c:pt>
                <c:pt idx="2065">
                  <c:v>8.695706088843877E-2</c:v>
                </c:pt>
                <c:pt idx="2066">
                  <c:v>-9.5136234457379436E-3</c:v>
                </c:pt>
                <c:pt idx="2067">
                  <c:v>6.0583711588914117E-2</c:v>
                </c:pt>
                <c:pt idx="2068">
                  <c:v>-4.184808044089941E-2</c:v>
                </c:pt>
                <c:pt idx="2069">
                  <c:v>6.7798390487634724E-2</c:v>
                </c:pt>
                <c:pt idx="2070">
                  <c:v>-1.5696808779222787E-2</c:v>
                </c:pt>
                <c:pt idx="2071">
                  <c:v>-3.6230042306715671E-2</c:v>
                </c:pt>
                <c:pt idx="2072">
                  <c:v>2.0672448078470171E-2</c:v>
                </c:pt>
                <c:pt idx="2073">
                  <c:v>-9.3504020653878625E-3</c:v>
                </c:pt>
                <c:pt idx="2074">
                  <c:v>7.1644055297894443E-2</c:v>
                </c:pt>
                <c:pt idx="2075">
                  <c:v>-1.0592513095626185E-2</c:v>
                </c:pt>
                <c:pt idx="2076">
                  <c:v>9.727758723488909E-3</c:v>
                </c:pt>
                <c:pt idx="2077">
                  <c:v>5.683163629269371E-5</c:v>
                </c:pt>
                <c:pt idx="2078">
                  <c:v>2.2832212154163447E-3</c:v>
                </c:pt>
                <c:pt idx="2079">
                  <c:v>4.8355366485283789E-2</c:v>
                </c:pt>
                <c:pt idx="2080">
                  <c:v>-1.0499544328989523E-2</c:v>
                </c:pt>
                <c:pt idx="2081">
                  <c:v>2.9602441227702763E-2</c:v>
                </c:pt>
                <c:pt idx="2082">
                  <c:v>8.695579498424047E-3</c:v>
                </c:pt>
                <c:pt idx="2083">
                  <c:v>-2.0025316709070796E-2</c:v>
                </c:pt>
                <c:pt idx="2084">
                  <c:v>-4.2189623164648166E-2</c:v>
                </c:pt>
                <c:pt idx="2085">
                  <c:v>3.335342904407005E-2</c:v>
                </c:pt>
                <c:pt idx="2086">
                  <c:v>-1.2163864384446039E-2</c:v>
                </c:pt>
                <c:pt idx="2087">
                  <c:v>1.8202703728292993E-2</c:v>
                </c:pt>
                <c:pt idx="2088">
                  <c:v>-2.9190115235404944E-3</c:v>
                </c:pt>
                <c:pt idx="2089">
                  <c:v>-2.4713429167796064E-2</c:v>
                </c:pt>
                <c:pt idx="2090">
                  <c:v>4.4006632102474824E-2</c:v>
                </c:pt>
                <c:pt idx="2091">
                  <c:v>9.8812144481989182E-3</c:v>
                </c:pt>
                <c:pt idx="2092">
                  <c:v>-2.6135955807234587E-2</c:v>
                </c:pt>
                <c:pt idx="2093">
                  <c:v>2.4074231499304787E-2</c:v>
                </c:pt>
                <c:pt idx="2094">
                  <c:v>1.0710608485742876E-2</c:v>
                </c:pt>
                <c:pt idx="2095">
                  <c:v>9.7577989376669196E-3</c:v>
                </c:pt>
                <c:pt idx="2096">
                  <c:v>5.7922641503613693E-3</c:v>
                </c:pt>
                <c:pt idx="2097">
                  <c:v>5.9621555380424008E-3</c:v>
                </c:pt>
                <c:pt idx="2098">
                  <c:v>1.0920111772612883E-2</c:v>
                </c:pt>
                <c:pt idx="2099">
                  <c:v>-2.2845905193270385E-2</c:v>
                </c:pt>
                <c:pt idx="2100">
                  <c:v>-1.5179672380605391E-2</c:v>
                </c:pt>
                <c:pt idx="2101">
                  <c:v>4.2888339184030495E-3</c:v>
                </c:pt>
                <c:pt idx="2102">
                  <c:v>1.4403836161147843E-2</c:v>
                </c:pt>
                <c:pt idx="2103">
                  <c:v>9.6257821580511566E-3</c:v>
                </c:pt>
                <c:pt idx="2104">
                  <c:v>-7.0161432119653462E-3</c:v>
                </c:pt>
                <c:pt idx="2105">
                  <c:v>1.3832212306333691E-2</c:v>
                </c:pt>
                <c:pt idx="2106">
                  <c:v>-1.2118901965345052E-2</c:v>
                </c:pt>
                <c:pt idx="2107">
                  <c:v>4.4203404381829703E-4</c:v>
                </c:pt>
                <c:pt idx="2108">
                  <c:v>-1.0674575468195183E-2</c:v>
                </c:pt>
                <c:pt idx="2109">
                  <c:v>1.3277022403865343E-3</c:v>
                </c:pt>
                <c:pt idx="2110">
                  <c:v>-2.169875096001968E-3</c:v>
                </c:pt>
                <c:pt idx="2111">
                  <c:v>1.0076585688080283E-2</c:v>
                </c:pt>
                <c:pt idx="2112">
                  <c:v>-2.334744139412977E-3</c:v>
                </c:pt>
                <c:pt idx="2113">
                  <c:v>1.1383455078869587E-2</c:v>
                </c:pt>
                <c:pt idx="2114">
                  <c:v>2.4598047929572826E-3</c:v>
                </c:pt>
                <c:pt idx="2115">
                  <c:v>-1.334858894583087E-2</c:v>
                </c:pt>
                <c:pt idx="2116">
                  <c:v>2.3172179627676783E-2</c:v>
                </c:pt>
                <c:pt idx="2117">
                  <c:v>6.218061213267536E-3</c:v>
                </c:pt>
                <c:pt idx="2118">
                  <c:v>7.6268457253000788E-3</c:v>
                </c:pt>
                <c:pt idx="2119">
                  <c:v>3.6403641093924292E-2</c:v>
                </c:pt>
                <c:pt idx="2120">
                  <c:v>-5.5310158337811041E-2</c:v>
                </c:pt>
                <c:pt idx="2121">
                  <c:v>7.9290474684969893E-3</c:v>
                </c:pt>
                <c:pt idx="2122">
                  <c:v>6.4204526051138758E-3</c:v>
                </c:pt>
                <c:pt idx="2123">
                  <c:v>2.4209044822862409E-2</c:v>
                </c:pt>
                <c:pt idx="2124">
                  <c:v>3.4210249242937057E-3</c:v>
                </c:pt>
                <c:pt idx="2125">
                  <c:v>1.0691359818490731E-2</c:v>
                </c:pt>
                <c:pt idx="2126">
                  <c:v>-6.0664196667672698E-3</c:v>
                </c:pt>
                <c:pt idx="2127">
                  <c:v>2.7469966954298285E-2</c:v>
                </c:pt>
                <c:pt idx="2128">
                  <c:v>6.6597852458139279E-3</c:v>
                </c:pt>
                <c:pt idx="2129">
                  <c:v>-2.0387159182017708E-2</c:v>
                </c:pt>
                <c:pt idx="2130">
                  <c:v>1.2560322009983816E-2</c:v>
                </c:pt>
                <c:pt idx="2131">
                  <c:v>-2.0183536552660013E-2</c:v>
                </c:pt>
                <c:pt idx="2132">
                  <c:v>1.065106307071529E-2</c:v>
                </c:pt>
                <c:pt idx="2133">
                  <c:v>2.5176458849136725E-2</c:v>
                </c:pt>
                <c:pt idx="2134">
                  <c:v>5.8687348451808563E-3</c:v>
                </c:pt>
                <c:pt idx="2135">
                  <c:v>7.6104869333954387E-3</c:v>
                </c:pt>
                <c:pt idx="2136">
                  <c:v>2.1291566091426514E-2</c:v>
                </c:pt>
                <c:pt idx="2137">
                  <c:v>-1.1689421397819599E-2</c:v>
                </c:pt>
                <c:pt idx="2138">
                  <c:v>2.1793939475034798E-2</c:v>
                </c:pt>
                <c:pt idx="2139">
                  <c:v>6.8644473492652305E-3</c:v>
                </c:pt>
                <c:pt idx="2140">
                  <c:v>-3.0418052695890215E-3</c:v>
                </c:pt>
                <c:pt idx="2141">
                  <c:v>-3.1239257243272017E-2</c:v>
                </c:pt>
                <c:pt idx="2142">
                  <c:v>6.1068586393063775E-3</c:v>
                </c:pt>
                <c:pt idx="2143">
                  <c:v>-1.4982323663950638E-3</c:v>
                </c:pt>
                <c:pt idx="2144">
                  <c:v>-2.0081746241850544E-2</c:v>
                </c:pt>
                <c:pt idx="2145">
                  <c:v>-4.9892752510942639E-3</c:v>
                </c:pt>
                <c:pt idx="2146">
                  <c:v>4.2107681415082795E-2</c:v>
                </c:pt>
                <c:pt idx="2147">
                  <c:v>-1.3683731453411488E-2</c:v>
                </c:pt>
                <c:pt idx="2148">
                  <c:v>1.439592447307989E-2</c:v>
                </c:pt>
                <c:pt idx="2149">
                  <c:v>-4.4517602400852577E-2</c:v>
                </c:pt>
                <c:pt idx="2150">
                  <c:v>-6.1533585677044662E-3</c:v>
                </c:pt>
                <c:pt idx="2151">
                  <c:v>1.2493553943566809E-2</c:v>
                </c:pt>
                <c:pt idx="2152">
                  <c:v>-8.8999237359751373E-3</c:v>
                </c:pt>
                <c:pt idx="2153">
                  <c:v>9.9552736161008706E-3</c:v>
                </c:pt>
                <c:pt idx="2154">
                  <c:v>-8.0543212216831596E-4</c:v>
                </c:pt>
                <c:pt idx="2155">
                  <c:v>5.5128781595656018E-3</c:v>
                </c:pt>
                <c:pt idx="2156">
                  <c:v>5.4700981441156975E-2</c:v>
                </c:pt>
                <c:pt idx="2157">
                  <c:v>-1.5114198416320942E-2</c:v>
                </c:pt>
                <c:pt idx="2158">
                  <c:v>-1.580696323233861E-3</c:v>
                </c:pt>
                <c:pt idx="2159">
                  <c:v>1.5897492499162266E-2</c:v>
                </c:pt>
                <c:pt idx="2160">
                  <c:v>-1.8087270828274868E-2</c:v>
                </c:pt>
                <c:pt idx="2161">
                  <c:v>-2.0136500791179502E-2</c:v>
                </c:pt>
                <c:pt idx="2162">
                  <c:v>-2.3684453478093965E-2</c:v>
                </c:pt>
                <c:pt idx="2163">
                  <c:v>2.8167894700740787E-2</c:v>
                </c:pt>
                <c:pt idx="2164">
                  <c:v>-2.2890251287709272E-3</c:v>
                </c:pt>
                <c:pt idx="2165">
                  <c:v>8.7641988111372855E-4</c:v>
                </c:pt>
                <c:pt idx="2166">
                  <c:v>6.5883385025299014E-3</c:v>
                </c:pt>
                <c:pt idx="2167">
                  <c:v>5.827729190318702E-3</c:v>
                </c:pt>
                <c:pt idx="2168">
                  <c:v>-6.1590851066935758E-3</c:v>
                </c:pt>
                <c:pt idx="2169">
                  <c:v>2.3006268495640466E-2</c:v>
                </c:pt>
                <c:pt idx="2170">
                  <c:v>-7.2919188131017644E-3</c:v>
                </c:pt>
                <c:pt idx="2171">
                  <c:v>3.0920942929290218E-3</c:v>
                </c:pt>
                <c:pt idx="2172">
                  <c:v>1.2944727551134811E-2</c:v>
                </c:pt>
                <c:pt idx="2173">
                  <c:v>2.1399759482801563E-2</c:v>
                </c:pt>
                <c:pt idx="2174">
                  <c:v>2.4294193491924493E-2</c:v>
                </c:pt>
                <c:pt idx="2175">
                  <c:v>1.028363968047466E-2</c:v>
                </c:pt>
                <c:pt idx="2176">
                  <c:v>-1.4982340124970855E-2</c:v>
                </c:pt>
                <c:pt idx="2177">
                  <c:v>7.788522495634837E-3</c:v>
                </c:pt>
                <c:pt idx="2178">
                  <c:v>1.908014028032708E-2</c:v>
                </c:pt>
                <c:pt idx="2179">
                  <c:v>-6.3970943078115211E-2</c:v>
                </c:pt>
                <c:pt idx="2180">
                  <c:v>-1.4185930582200334E-2</c:v>
                </c:pt>
                <c:pt idx="2181">
                  <c:v>-5.5524204528849173E-2</c:v>
                </c:pt>
                <c:pt idx="2182">
                  <c:v>4.1703716285831367E-2</c:v>
                </c:pt>
                <c:pt idx="2183">
                  <c:v>-2.8485089180353602E-2</c:v>
                </c:pt>
                <c:pt idx="2184">
                  <c:v>-6.58238819853855E-3</c:v>
                </c:pt>
                <c:pt idx="2185">
                  <c:v>6.7793434726526958E-3</c:v>
                </c:pt>
                <c:pt idx="2186">
                  <c:v>1.6193651656253021E-2</c:v>
                </c:pt>
                <c:pt idx="2187">
                  <c:v>-1.7977764432543786E-2</c:v>
                </c:pt>
                <c:pt idx="2188">
                  <c:v>-1.0475506547231589E-2</c:v>
                </c:pt>
                <c:pt idx="2189">
                  <c:v>-1.2463544043062106E-2</c:v>
                </c:pt>
                <c:pt idx="2190">
                  <c:v>1.0713735461521155E-2</c:v>
                </c:pt>
                <c:pt idx="2191">
                  <c:v>2.3723047714556057E-2</c:v>
                </c:pt>
                <c:pt idx="2192">
                  <c:v>-3.3417623403128496E-2</c:v>
                </c:pt>
                <c:pt idx="2193">
                  <c:v>1.2787917760420714E-2</c:v>
                </c:pt>
                <c:pt idx="2194">
                  <c:v>2.2578128037474793E-2</c:v>
                </c:pt>
                <c:pt idx="2195">
                  <c:v>7.7212782334765391E-3</c:v>
                </c:pt>
                <c:pt idx="2196">
                  <c:v>-1.0450133808248396E-2</c:v>
                </c:pt>
                <c:pt idx="2197">
                  <c:v>1.4754659211045846E-2</c:v>
                </c:pt>
                <c:pt idx="2198">
                  <c:v>1.0107489476365085E-2</c:v>
                </c:pt>
                <c:pt idx="2199">
                  <c:v>-2.9964955760948833E-2</c:v>
                </c:pt>
                <c:pt idx="2200">
                  <c:v>2.0089216567296116E-2</c:v>
                </c:pt>
                <c:pt idx="2201">
                  <c:v>-2.1458404027618071E-2</c:v>
                </c:pt>
                <c:pt idx="2202">
                  <c:v>1.8817216278735008E-2</c:v>
                </c:pt>
                <c:pt idx="2203">
                  <c:v>3.6021316174724171E-3</c:v>
                </c:pt>
                <c:pt idx="2204">
                  <c:v>2.4579318515776664E-2</c:v>
                </c:pt>
                <c:pt idx="2205">
                  <c:v>2.5494651652065617E-2</c:v>
                </c:pt>
                <c:pt idx="2206">
                  <c:v>6.6539126384151694E-3</c:v>
                </c:pt>
                <c:pt idx="2207">
                  <c:v>-9.1447375163306623E-3</c:v>
                </c:pt>
                <c:pt idx="2208">
                  <c:v>-5.3733061071619915E-3</c:v>
                </c:pt>
                <c:pt idx="2209">
                  <c:v>0</c:v>
                </c:pt>
                <c:pt idx="2210">
                  <c:v>-2.5122168042512865E-2</c:v>
                </c:pt>
                <c:pt idx="2211">
                  <c:v>2.0219519201705163E-3</c:v>
                </c:pt>
                <c:pt idx="2212">
                  <c:v>7.1009864659517805E-4</c:v>
                </c:pt>
                <c:pt idx="2213">
                  <c:v>4.2967873727217616E-4</c:v>
                </c:pt>
                <c:pt idx="2214">
                  <c:v>6.207284836536018E-3</c:v>
                </c:pt>
                <c:pt idx="2215">
                  <c:v>-2.8858309873432776E-2</c:v>
                </c:pt>
                <c:pt idx="2216">
                  <c:v>1.49370610173498E-2</c:v>
                </c:pt>
                <c:pt idx="2217">
                  <c:v>-5.0729207269764001E-2</c:v>
                </c:pt>
                <c:pt idx="2218">
                  <c:v>9.95463749465526E-3</c:v>
                </c:pt>
                <c:pt idx="2219">
                  <c:v>-1.0999114915747777E-2</c:v>
                </c:pt>
                <c:pt idx="2220">
                  <c:v>-6.9692484744355296E-4</c:v>
                </c:pt>
                <c:pt idx="2221">
                  <c:v>2.0081515814187403E-2</c:v>
                </c:pt>
                <c:pt idx="2222">
                  <c:v>4.7000864239182601E-2</c:v>
                </c:pt>
                <c:pt idx="2223">
                  <c:v>3.1482316545983137E-2</c:v>
                </c:pt>
                <c:pt idx="2224">
                  <c:v>1.944392850799869E-3</c:v>
                </c:pt>
                <c:pt idx="2225">
                  <c:v>-2.4198532045193129E-2</c:v>
                </c:pt>
                <c:pt idx="2226">
                  <c:v>-3.4298959324996985E-2</c:v>
                </c:pt>
                <c:pt idx="2227">
                  <c:v>2.5823099458102784E-2</c:v>
                </c:pt>
                <c:pt idx="2228">
                  <c:v>-5.0566640195037517E-3</c:v>
                </c:pt>
                <c:pt idx="2229">
                  <c:v>4.8650444986368313E-3</c:v>
                </c:pt>
                <c:pt idx="2230">
                  <c:v>3.3767011231301391E-3</c:v>
                </c:pt>
                <c:pt idx="2231">
                  <c:v>-1.2859688496900534E-2</c:v>
                </c:pt>
                <c:pt idx="2232">
                  <c:v>-1.3257544022716179E-2</c:v>
                </c:pt>
                <c:pt idx="2233">
                  <c:v>6.3317943438702248E-3</c:v>
                </c:pt>
                <c:pt idx="2234">
                  <c:v>-9.5619584150942773E-3</c:v>
                </c:pt>
                <c:pt idx="2235">
                  <c:v>-1.348166648629467E-3</c:v>
                </c:pt>
                <c:pt idx="2236">
                  <c:v>1.7642392201346935E-2</c:v>
                </c:pt>
                <c:pt idx="2237">
                  <c:v>4.8374144996383662E-5</c:v>
                </c:pt>
                <c:pt idx="2238">
                  <c:v>6.4033855745939932E-3</c:v>
                </c:pt>
                <c:pt idx="2239">
                  <c:v>-5.4653899153667808E-3</c:v>
                </c:pt>
                <c:pt idx="2240">
                  <c:v>9.9636806716932261E-3</c:v>
                </c:pt>
                <c:pt idx="2241">
                  <c:v>-3.8880614689685766E-3</c:v>
                </c:pt>
                <c:pt idx="2242">
                  <c:v>-5.2737022885790998E-3</c:v>
                </c:pt>
                <c:pt idx="2243">
                  <c:v>5.6964654490511434E-4</c:v>
                </c:pt>
                <c:pt idx="2244">
                  <c:v>-3.3305900520514949E-4</c:v>
                </c:pt>
                <c:pt idx="2245">
                  <c:v>7.9869057260738719E-3</c:v>
                </c:pt>
                <c:pt idx="2246">
                  <c:v>-1.966068130840103E-2</c:v>
                </c:pt>
                <c:pt idx="2247">
                  <c:v>-6.0161460716439798E-3</c:v>
                </c:pt>
                <c:pt idx="2248">
                  <c:v>1.2826228297625426E-2</c:v>
                </c:pt>
                <c:pt idx="2249">
                  <c:v>4.43876143563316E-3</c:v>
                </c:pt>
                <c:pt idx="2250">
                  <c:v>-3.2848020236040456E-4</c:v>
                </c:pt>
                <c:pt idx="2251">
                  <c:v>2.3784843082611012E-2</c:v>
                </c:pt>
                <c:pt idx="2252">
                  <c:v>6.3670387639783545E-4</c:v>
                </c:pt>
                <c:pt idx="2253">
                  <c:v>-3.8310512794195333E-3</c:v>
                </c:pt>
                <c:pt idx="2254">
                  <c:v>1.8187862128755422E-2</c:v>
                </c:pt>
                <c:pt idx="2255">
                  <c:v>6.0191040961449045E-3</c:v>
                </c:pt>
                <c:pt idx="2256">
                  <c:v>-1.3122595912510584E-2</c:v>
                </c:pt>
                <c:pt idx="2257">
                  <c:v>7.8375459184488565E-3</c:v>
                </c:pt>
                <c:pt idx="2258">
                  <c:v>9.792967211634555E-3</c:v>
                </c:pt>
                <c:pt idx="2259">
                  <c:v>-3.6444011761707232E-3</c:v>
                </c:pt>
                <c:pt idx="2260">
                  <c:v>-1.0971576818485896E-2</c:v>
                </c:pt>
                <c:pt idx="2261">
                  <c:v>3.3264567602301742E-3</c:v>
                </c:pt>
                <c:pt idx="2262">
                  <c:v>-2.1489724062542057E-2</c:v>
                </c:pt>
                <c:pt idx="2263">
                  <c:v>9.2150144746101054E-4</c:v>
                </c:pt>
                <c:pt idx="2264">
                  <c:v>-2.6274768758900918E-2</c:v>
                </c:pt>
                <c:pt idx="2265">
                  <c:v>2.8044139196721544E-2</c:v>
                </c:pt>
                <c:pt idx="2266">
                  <c:v>6.1329304658865654E-3</c:v>
                </c:pt>
                <c:pt idx="2267">
                  <c:v>-9.7604235944098294E-3</c:v>
                </c:pt>
                <c:pt idx="2268">
                  <c:v>-1.1818489021614011E-2</c:v>
                </c:pt>
                <c:pt idx="2269">
                  <c:v>6.510274120831514E-3</c:v>
                </c:pt>
                <c:pt idx="2270">
                  <c:v>-1.5532280982322807E-2</c:v>
                </c:pt>
                <c:pt idx="2271">
                  <c:v>-1.7061988724998052E-3</c:v>
                </c:pt>
                <c:pt idx="2272">
                  <c:v>1.7702223035471448E-2</c:v>
                </c:pt>
                <c:pt idx="2273">
                  <c:v>3.5769484548245425E-2</c:v>
                </c:pt>
                <c:pt idx="2274">
                  <c:v>2.8368421414175834E-3</c:v>
                </c:pt>
                <c:pt idx="2275">
                  <c:v>4.3867568477616086E-3</c:v>
                </c:pt>
                <c:pt idx="2276">
                  <c:v>1.5663720682509638E-2</c:v>
                </c:pt>
                <c:pt idx="2277">
                  <c:v>1.2207975822713001E-2</c:v>
                </c:pt>
                <c:pt idx="2278">
                  <c:v>2.3838337624778028E-3</c:v>
                </c:pt>
                <c:pt idx="2279">
                  <c:v>2.5624380684365827E-2</c:v>
                </c:pt>
                <c:pt idx="2280">
                  <c:v>-2.9567894805796979E-2</c:v>
                </c:pt>
                <c:pt idx="2281">
                  <c:v>3.2568251565343695E-2</c:v>
                </c:pt>
                <c:pt idx="2282">
                  <c:v>-5.9157674194691473E-4</c:v>
                </c:pt>
                <c:pt idx="2283">
                  <c:v>1.4455561825546472E-2</c:v>
                </c:pt>
                <c:pt idx="2284">
                  <c:v>-4.1253708729689217E-3</c:v>
                </c:pt>
                <c:pt idx="2285">
                  <c:v>7.8628450455425671E-4</c:v>
                </c:pt>
                <c:pt idx="2286">
                  <c:v>1.131335331021825E-3</c:v>
                </c:pt>
                <c:pt idx="2287">
                  <c:v>5.3914450657377181E-3</c:v>
                </c:pt>
                <c:pt idx="2288">
                  <c:v>-3.9375319292769091E-3</c:v>
                </c:pt>
                <c:pt idx="2289">
                  <c:v>6.8868865657103198E-3</c:v>
                </c:pt>
                <c:pt idx="2290">
                  <c:v>2.0669854110678073E-3</c:v>
                </c:pt>
                <c:pt idx="2291">
                  <c:v>-5.3007173374345516E-3</c:v>
                </c:pt>
                <c:pt idx="2292">
                  <c:v>4.3417277938123892E-3</c:v>
                </c:pt>
                <c:pt idx="2293">
                  <c:v>-1.6539871832408398E-3</c:v>
                </c:pt>
                <c:pt idx="2294">
                  <c:v>-1.1680848558848423E-2</c:v>
                </c:pt>
                <c:pt idx="2295">
                  <c:v>-2.7193273690049567E-2</c:v>
                </c:pt>
                <c:pt idx="2296">
                  <c:v>-5.247085658595772E-3</c:v>
                </c:pt>
                <c:pt idx="2297">
                  <c:v>5.4187281233628835E-3</c:v>
                </c:pt>
                <c:pt idx="2298">
                  <c:v>-2.4010185179027605E-2</c:v>
                </c:pt>
                <c:pt idx="2299">
                  <c:v>1.4725724225692757E-2</c:v>
                </c:pt>
                <c:pt idx="2300">
                  <c:v>1.9420562989221419E-2</c:v>
                </c:pt>
                <c:pt idx="2301">
                  <c:v>-1.3049211094276075E-2</c:v>
                </c:pt>
                <c:pt idx="2302">
                  <c:v>-2.7278099274256101E-2</c:v>
                </c:pt>
                <c:pt idx="2303">
                  <c:v>-3.6897057381628153E-3</c:v>
                </c:pt>
                <c:pt idx="2304">
                  <c:v>2.1259572182065187E-2</c:v>
                </c:pt>
                <c:pt idx="2305">
                  <c:v>-1.8323059610025335E-2</c:v>
                </c:pt>
                <c:pt idx="2306">
                  <c:v>2.7638409357770576E-2</c:v>
                </c:pt>
                <c:pt idx="2307">
                  <c:v>-5.8008142079507951E-3</c:v>
                </c:pt>
                <c:pt idx="2308">
                  <c:v>2.0057210535912726E-2</c:v>
                </c:pt>
                <c:pt idx="2309">
                  <c:v>-5.7972695256563499E-3</c:v>
                </c:pt>
                <c:pt idx="2310">
                  <c:v>-4.0271867229996084E-3</c:v>
                </c:pt>
                <c:pt idx="2311">
                  <c:v>1.2289444465404691E-2</c:v>
                </c:pt>
                <c:pt idx="2312">
                  <c:v>-2.8524610930534054E-3</c:v>
                </c:pt>
                <c:pt idx="2313">
                  <c:v>-2.6984054964127955E-2</c:v>
                </c:pt>
                <c:pt idx="2314">
                  <c:v>-1.6162650789980429E-3</c:v>
                </c:pt>
                <c:pt idx="2315">
                  <c:v>2.4205725252318254E-2</c:v>
                </c:pt>
                <c:pt idx="2316">
                  <c:v>6.6867721658591074E-3</c:v>
                </c:pt>
                <c:pt idx="2317">
                  <c:v>-8.9461257961535763E-3</c:v>
                </c:pt>
                <c:pt idx="2318">
                  <c:v>-1.3371130014044991E-2</c:v>
                </c:pt>
                <c:pt idx="2319">
                  <c:v>1.7683989086831633E-2</c:v>
                </c:pt>
                <c:pt idx="2320">
                  <c:v>-5.2557650910668502E-3</c:v>
                </c:pt>
                <c:pt idx="2321">
                  <c:v>-1.4500597693433079E-2</c:v>
                </c:pt>
                <c:pt idx="2322">
                  <c:v>1.6775213490699593E-2</c:v>
                </c:pt>
                <c:pt idx="2323">
                  <c:v>2.7491493373192767E-2</c:v>
                </c:pt>
                <c:pt idx="2324">
                  <c:v>2.7410830247951039E-2</c:v>
                </c:pt>
                <c:pt idx="2325">
                  <c:v>-4.9142189325488668E-3</c:v>
                </c:pt>
                <c:pt idx="2326">
                  <c:v>8.1907672597757285E-3</c:v>
                </c:pt>
                <c:pt idx="2327">
                  <c:v>1.3342283754566652E-2</c:v>
                </c:pt>
                <c:pt idx="2328">
                  <c:v>1.0177647752584174E-2</c:v>
                </c:pt>
                <c:pt idx="2329">
                  <c:v>2.379939141265079E-4</c:v>
                </c:pt>
                <c:pt idx="2330">
                  <c:v>1.0036783822656794E-2</c:v>
                </c:pt>
                <c:pt idx="2331">
                  <c:v>-1.1259625689679425E-2</c:v>
                </c:pt>
                <c:pt idx="2332">
                  <c:v>1.5193006470054947E-2</c:v>
                </c:pt>
                <c:pt idx="2333">
                  <c:v>4.7535622123007146E-3</c:v>
                </c:pt>
                <c:pt idx="2334">
                  <c:v>-7.7171056537548447E-3</c:v>
                </c:pt>
                <c:pt idx="2335">
                  <c:v>-1.828708834641865E-3</c:v>
                </c:pt>
                <c:pt idx="2336">
                  <c:v>8.9399806465203478E-3</c:v>
                </c:pt>
                <c:pt idx="2337">
                  <c:v>-1.3209315252845301E-2</c:v>
                </c:pt>
                <c:pt idx="2338">
                  <c:v>1.5365678048610058E-2</c:v>
                </c:pt>
                <c:pt idx="2339">
                  <c:v>1.5086652361531675E-3</c:v>
                </c:pt>
                <c:pt idx="2340">
                  <c:v>1.6167195950481268E-3</c:v>
                </c:pt>
                <c:pt idx="2341">
                  <c:v>-2.8693236564314283E-2</c:v>
                </c:pt>
                <c:pt idx="2342">
                  <c:v>-8.0730140510327439E-3</c:v>
                </c:pt>
                <c:pt idx="2343">
                  <c:v>-1.3129776000923934E-3</c:v>
                </c:pt>
                <c:pt idx="2344">
                  <c:v>-1.2901140161257888E-3</c:v>
                </c:pt>
                <c:pt idx="2345">
                  <c:v>-1.6262200481011835E-2</c:v>
                </c:pt>
                <c:pt idx="2346">
                  <c:v>-5.3753353265797001E-3</c:v>
                </c:pt>
                <c:pt idx="2347">
                  <c:v>1.3163449435773616E-2</c:v>
                </c:pt>
                <c:pt idx="2348">
                  <c:v>1.0872777657013648E-2</c:v>
                </c:pt>
                <c:pt idx="2349">
                  <c:v>-2.1142401630011184E-2</c:v>
                </c:pt>
                <c:pt idx="2350">
                  <c:v>-3.8868471583093471E-3</c:v>
                </c:pt>
                <c:pt idx="2351">
                  <c:v>-2.9744610982166589E-2</c:v>
                </c:pt>
                <c:pt idx="2352">
                  <c:v>1.673629060820668E-2</c:v>
                </c:pt>
                <c:pt idx="2353">
                  <c:v>2.0841836432271648E-2</c:v>
                </c:pt>
                <c:pt idx="2354">
                  <c:v>-1.2051212243245683E-2</c:v>
                </c:pt>
                <c:pt idx="2355">
                  <c:v>-8.591038223078518E-3</c:v>
                </c:pt>
                <c:pt idx="2356">
                  <c:v>2.4808804790638042E-3</c:v>
                </c:pt>
                <c:pt idx="2357">
                  <c:v>1.3688413864307625E-2</c:v>
                </c:pt>
                <c:pt idx="2358">
                  <c:v>-5.3285647667100913E-3</c:v>
                </c:pt>
                <c:pt idx="2359">
                  <c:v>2.2600723601513151E-2</c:v>
                </c:pt>
                <c:pt idx="2360">
                  <c:v>3.7585323276632791E-3</c:v>
                </c:pt>
                <c:pt idx="2361">
                  <c:v>-9.1271691035480092E-4</c:v>
                </c:pt>
                <c:pt idx="2362">
                  <c:v>-8.6733737369960387E-3</c:v>
                </c:pt>
                <c:pt idx="2363">
                  <c:v>1.4446097939072385E-3</c:v>
                </c:pt>
                <c:pt idx="2364">
                  <c:v>-9.1444029935996273E-3</c:v>
                </c:pt>
                <c:pt idx="2365">
                  <c:v>-4.1215911590401327E-4</c:v>
                </c:pt>
                <c:pt idx="2366">
                  <c:v>-6.4878189740926635E-3</c:v>
                </c:pt>
                <c:pt idx="2367">
                  <c:v>2.0464286876513995E-2</c:v>
                </c:pt>
                <c:pt idx="2368">
                  <c:v>1.2048879464034112E-2</c:v>
                </c:pt>
                <c:pt idx="2369">
                  <c:v>-4.9334211568515442E-3</c:v>
                </c:pt>
                <c:pt idx="2370">
                  <c:v>4.0526409803765956E-3</c:v>
                </c:pt>
                <c:pt idx="2371">
                  <c:v>1.4260469658008786E-2</c:v>
                </c:pt>
                <c:pt idx="2372">
                  <c:v>2.5387979740566797E-3</c:v>
                </c:pt>
                <c:pt idx="2373">
                  <c:v>7.7324893646812907E-3</c:v>
                </c:pt>
                <c:pt idx="2374">
                  <c:v>-5.9053490482542676E-3</c:v>
                </c:pt>
                <c:pt idx="2375">
                  <c:v>-3.8256540878572323E-3</c:v>
                </c:pt>
                <c:pt idx="2376">
                  <c:v>1.3551258273655848E-2</c:v>
                </c:pt>
                <c:pt idx="2377">
                  <c:v>-5.6009028673666434E-3</c:v>
                </c:pt>
                <c:pt idx="2378">
                  <c:v>1.22416291087185E-2</c:v>
                </c:pt>
                <c:pt idx="2379">
                  <c:v>1.0899704877426966E-2</c:v>
                </c:pt>
                <c:pt idx="2380">
                  <c:v>-8.7305242113588151E-4</c:v>
                </c:pt>
                <c:pt idx="2381">
                  <c:v>5.2887028149302042E-3</c:v>
                </c:pt>
                <c:pt idx="2382">
                  <c:v>-6.2363419441108948E-3</c:v>
                </c:pt>
                <c:pt idx="2383">
                  <c:v>1.3872095733852344E-2</c:v>
                </c:pt>
                <c:pt idx="2384">
                  <c:v>9.9065076110778586E-3</c:v>
                </c:pt>
                <c:pt idx="2385">
                  <c:v>-1.8571376941690541E-3</c:v>
                </c:pt>
                <c:pt idx="2386">
                  <c:v>2.5626291778804897E-3</c:v>
                </c:pt>
                <c:pt idx="2387">
                  <c:v>2.2053582503505444E-2</c:v>
                </c:pt>
                <c:pt idx="2388">
                  <c:v>3.7088548914691486E-5</c:v>
                </c:pt>
                <c:pt idx="2389">
                  <c:v>8.1446157701780993E-3</c:v>
                </c:pt>
                <c:pt idx="2390">
                  <c:v>-9.0276966665670862E-3</c:v>
                </c:pt>
                <c:pt idx="2391">
                  <c:v>1.8913622329682219E-3</c:v>
                </c:pt>
                <c:pt idx="2392">
                  <c:v>-2.2552105642080875E-3</c:v>
                </c:pt>
                <c:pt idx="2393">
                  <c:v>1.312580405598994E-2</c:v>
                </c:pt>
                <c:pt idx="2394">
                  <c:v>5.4569148035081977E-3</c:v>
                </c:pt>
                <c:pt idx="2395">
                  <c:v>-5.2773463902088856E-3</c:v>
                </c:pt>
                <c:pt idx="2396">
                  <c:v>-1.0081994962451567E-3</c:v>
                </c:pt>
                <c:pt idx="2397">
                  <c:v>-1.3378360601240121E-2</c:v>
                </c:pt>
                <c:pt idx="2398">
                  <c:v>8.3146862559208001E-3</c:v>
                </c:pt>
                <c:pt idx="2399">
                  <c:v>7.3901642101242377E-3</c:v>
                </c:pt>
                <c:pt idx="2400">
                  <c:v>1.66936062269014E-2</c:v>
                </c:pt>
                <c:pt idx="2401">
                  <c:v>1.2268732022905137E-2</c:v>
                </c:pt>
                <c:pt idx="2402">
                  <c:v>-2.1246126660691275E-3</c:v>
                </c:pt>
                <c:pt idx="2403">
                  <c:v>-8.7379300951958925E-3</c:v>
                </c:pt>
                <c:pt idx="2404">
                  <c:v>-1.1183169598045386E-3</c:v>
                </c:pt>
                <c:pt idx="2405">
                  <c:v>9.7814641875036234E-4</c:v>
                </c:pt>
                <c:pt idx="2406">
                  <c:v>-5.5687759815111785E-3</c:v>
                </c:pt>
                <c:pt idx="2407">
                  <c:v>-3.108901968104942E-4</c:v>
                </c:pt>
                <c:pt idx="2408">
                  <c:v>8.0518980214167157E-3</c:v>
                </c:pt>
                <c:pt idx="2409">
                  <c:v>-2.1362888056171226E-3</c:v>
                </c:pt>
                <c:pt idx="2410">
                  <c:v>1.0440486279818679E-2</c:v>
                </c:pt>
                <c:pt idx="2411">
                  <c:v>-2.1343730182423279E-4</c:v>
                </c:pt>
                <c:pt idx="2412">
                  <c:v>-3.8925395894993139E-3</c:v>
                </c:pt>
                <c:pt idx="2413">
                  <c:v>-6.5825426477914275E-3</c:v>
                </c:pt>
                <c:pt idx="2414">
                  <c:v>1.7887743048318238E-3</c:v>
                </c:pt>
                <c:pt idx="2415">
                  <c:v>9.9093974522321791E-3</c:v>
                </c:pt>
                <c:pt idx="2416">
                  <c:v>1.0455865017324772E-2</c:v>
                </c:pt>
                <c:pt idx="2417">
                  <c:v>5.9285558623792438E-3</c:v>
                </c:pt>
                <c:pt idx="2418">
                  <c:v>-5.1306605763124158E-3</c:v>
                </c:pt>
                <c:pt idx="2419">
                  <c:v>-6.1641677185918613E-3</c:v>
                </c:pt>
                <c:pt idx="2420">
                  <c:v>2.057433762832234E-2</c:v>
                </c:pt>
                <c:pt idx="2421">
                  <c:v>2.5214250328472423E-2</c:v>
                </c:pt>
                <c:pt idx="2422">
                  <c:v>9.5862397555078786E-4</c:v>
                </c:pt>
                <c:pt idx="2423">
                  <c:v>-6.6414388098554548E-3</c:v>
                </c:pt>
                <c:pt idx="2424">
                  <c:v>-2.0296498938225664E-3</c:v>
                </c:pt>
                <c:pt idx="2425">
                  <c:v>-9.7567755104363742E-3</c:v>
                </c:pt>
                <c:pt idx="2426">
                  <c:v>2.1146882537276318E-3</c:v>
                </c:pt>
                <c:pt idx="2427">
                  <c:v>1.2852403566668632E-2</c:v>
                </c:pt>
                <c:pt idx="2428">
                  <c:v>-5.6426162715901866E-3</c:v>
                </c:pt>
                <c:pt idx="2429">
                  <c:v>-1.6343763868998108E-4</c:v>
                </c:pt>
                <c:pt idx="2430">
                  <c:v>-2.2636321855961615E-3</c:v>
                </c:pt>
                <c:pt idx="2431">
                  <c:v>-3.0716985642308516E-5</c:v>
                </c:pt>
                <c:pt idx="2432">
                  <c:v>-3.2134252994733682E-3</c:v>
                </c:pt>
                <c:pt idx="2433">
                  <c:v>9.9292115773954386E-5</c:v>
                </c:pt>
                <c:pt idx="2434">
                  <c:v>-9.8746015632952579E-3</c:v>
                </c:pt>
                <c:pt idx="2435">
                  <c:v>-5.2139062856630851E-3</c:v>
                </c:pt>
                <c:pt idx="2436">
                  <c:v>4.3352719174302775E-3</c:v>
                </c:pt>
                <c:pt idx="2437">
                  <c:v>9.3553913991038171E-3</c:v>
                </c:pt>
                <c:pt idx="2438">
                  <c:v>1.6629678464382402E-2</c:v>
                </c:pt>
                <c:pt idx="2439">
                  <c:v>1.3242959664096397E-3</c:v>
                </c:pt>
                <c:pt idx="2440">
                  <c:v>-1.7693443494697703E-2</c:v>
                </c:pt>
                <c:pt idx="2441">
                  <c:v>-1.8745294438777215E-2</c:v>
                </c:pt>
                <c:pt idx="2442">
                  <c:v>1.7028645731781155E-3</c:v>
                </c:pt>
                <c:pt idx="2443">
                  <c:v>1.2752177325766613E-2</c:v>
                </c:pt>
                <c:pt idx="2444">
                  <c:v>3.2545836006591532E-3</c:v>
                </c:pt>
                <c:pt idx="2445">
                  <c:v>-7.0363197117483025E-4</c:v>
                </c:pt>
                <c:pt idx="2446">
                  <c:v>-1.745662100861077E-2</c:v>
                </c:pt>
                <c:pt idx="2447">
                  <c:v>-3.6844109529266408E-2</c:v>
                </c:pt>
                <c:pt idx="2448">
                  <c:v>1.6987556809077017E-3</c:v>
                </c:pt>
                <c:pt idx="2449">
                  <c:v>-7.3481801359410338E-3</c:v>
                </c:pt>
                <c:pt idx="2450">
                  <c:v>2.5110802134473247E-2</c:v>
                </c:pt>
                <c:pt idx="2451">
                  <c:v>-2.0908863062799897E-2</c:v>
                </c:pt>
                <c:pt idx="2452">
                  <c:v>1.9770522568990721E-2</c:v>
                </c:pt>
                <c:pt idx="2453">
                  <c:v>1.4933269810786146E-2</c:v>
                </c:pt>
                <c:pt idx="2454">
                  <c:v>5.9121188485507861E-3</c:v>
                </c:pt>
                <c:pt idx="2455">
                  <c:v>0</c:v>
                </c:pt>
                <c:pt idx="2456">
                  <c:v>-2.114696879019697E-3</c:v>
                </c:pt>
                <c:pt idx="2457">
                  <c:v>-4.5551306387498752E-3</c:v>
                </c:pt>
                <c:pt idx="2458">
                  <c:v>1.1618017341009295E-2</c:v>
                </c:pt>
                <c:pt idx="2459">
                  <c:v>2.1522441582236221E-2</c:v>
                </c:pt>
                <c:pt idx="2460">
                  <c:v>4.7618008674305068E-3</c:v>
                </c:pt>
                <c:pt idx="2461">
                  <c:v>1.0121928384792244E-2</c:v>
                </c:pt>
                <c:pt idx="2462">
                  <c:v>3.0590561493787911E-3</c:v>
                </c:pt>
                <c:pt idx="2463">
                  <c:v>-2.6778336914280126E-3</c:v>
                </c:pt>
                <c:pt idx="2464">
                  <c:v>1.0824038040165216E-2</c:v>
                </c:pt>
                <c:pt idx="2465">
                  <c:v>-5.1563171221153791E-3</c:v>
                </c:pt>
                <c:pt idx="2466">
                  <c:v>-3.3167194912104101E-3</c:v>
                </c:pt>
                <c:pt idx="2467">
                  <c:v>6.3672986947972809E-3</c:v>
                </c:pt>
                <c:pt idx="2468">
                  <c:v>4.1256483860960591E-2</c:v>
                </c:pt>
                <c:pt idx="2469">
                  <c:v>3.6571701534278377E-3</c:v>
                </c:pt>
                <c:pt idx="2470">
                  <c:v>2.2156345391999576E-2</c:v>
                </c:pt>
                <c:pt idx="2471">
                  <c:v>-6.7983256753441764E-3</c:v>
                </c:pt>
                <c:pt idx="2472">
                  <c:v>1.1331741814251952E-2</c:v>
                </c:pt>
                <c:pt idx="2473">
                  <c:v>2.6222107831723237E-3</c:v>
                </c:pt>
                <c:pt idx="2474">
                  <c:v>7.3033756893747994E-3</c:v>
                </c:pt>
                <c:pt idx="2475">
                  <c:v>-1.1340104987910367E-3</c:v>
                </c:pt>
                <c:pt idx="2476">
                  <c:v>2.7456980216203864E-3</c:v>
                </c:pt>
                <c:pt idx="2477">
                  <c:v>-3.0729967243711062E-3</c:v>
                </c:pt>
                <c:pt idx="2478">
                  <c:v>-1.5449215045839331E-2</c:v>
                </c:pt>
                <c:pt idx="2479">
                  <c:v>4.9125069930387394E-3</c:v>
                </c:pt>
                <c:pt idx="2480">
                  <c:v>1.2834709620241119E-2</c:v>
                </c:pt>
                <c:pt idx="2481">
                  <c:v>-1.9401196738208337E-3</c:v>
                </c:pt>
                <c:pt idx="2482">
                  <c:v>1.0162812783693411E-2</c:v>
                </c:pt>
                <c:pt idx="2483">
                  <c:v>6.8394694511748476E-4</c:v>
                </c:pt>
                <c:pt idx="2484">
                  <c:v>6.3269782256411382E-3</c:v>
                </c:pt>
                <c:pt idx="2485">
                  <c:v>5.3576990870401308E-3</c:v>
                </c:pt>
                <c:pt idx="2486">
                  <c:v>-9.5933723866070651E-3</c:v>
                </c:pt>
                <c:pt idx="2487">
                  <c:v>-6.356957782059993E-3</c:v>
                </c:pt>
                <c:pt idx="2488">
                  <c:v>6.8336406068869159E-4</c:v>
                </c:pt>
                <c:pt idx="2489">
                  <c:v>-2.4648058285782655E-2</c:v>
                </c:pt>
                <c:pt idx="2490">
                  <c:v>2.087004956385129E-2</c:v>
                </c:pt>
                <c:pt idx="2491">
                  <c:v>-1.8110492697682366E-2</c:v>
                </c:pt>
                <c:pt idx="2492">
                  <c:v>-1.5497595384667438E-3</c:v>
                </c:pt>
                <c:pt idx="2493">
                  <c:v>-1.7887784616207199E-3</c:v>
                </c:pt>
                <c:pt idx="2494">
                  <c:v>-1.9874805538730573E-2</c:v>
                </c:pt>
                <c:pt idx="2495">
                  <c:v>9.8200979107200652E-3</c:v>
                </c:pt>
                <c:pt idx="2496">
                  <c:v>2.6401203186124156E-2</c:v>
                </c:pt>
                <c:pt idx="2497">
                  <c:v>1.5008645314142004E-4</c:v>
                </c:pt>
                <c:pt idx="2498">
                  <c:v>-5.6052150729764922E-3</c:v>
                </c:pt>
                <c:pt idx="2499">
                  <c:v>2.794173482577824E-2</c:v>
                </c:pt>
                <c:pt idx="2500">
                  <c:v>-9.1982131871263667E-3</c:v>
                </c:pt>
                <c:pt idx="2501">
                  <c:v>-3.3137704857807974E-2</c:v>
                </c:pt>
                <c:pt idx="2502">
                  <c:v>1.9043360627425426E-2</c:v>
                </c:pt>
                <c:pt idx="2503">
                  <c:v>-2.9566037292595333E-2</c:v>
                </c:pt>
                <c:pt idx="2504">
                  <c:v>-3.4002825735062045E-3</c:v>
                </c:pt>
                <c:pt idx="2505">
                  <c:v>-1.2084267320266982E-2</c:v>
                </c:pt>
                <c:pt idx="2506">
                  <c:v>2.2793072764342493E-2</c:v>
                </c:pt>
                <c:pt idx="2507">
                  <c:v>1.7903970873377344E-2</c:v>
                </c:pt>
                <c:pt idx="2508">
                  <c:v>4.4761635708126402E-3</c:v>
                </c:pt>
                <c:pt idx="2509">
                  <c:v>2.2906333327126806E-2</c:v>
                </c:pt>
                <c:pt idx="2510">
                  <c:v>-3.4933170383556699E-3</c:v>
                </c:pt>
                <c:pt idx="2511">
                  <c:v>2.0302502138408174E-3</c:v>
                </c:pt>
                <c:pt idx="2512">
                  <c:v>-7.7073471458106108E-3</c:v>
                </c:pt>
                <c:pt idx="2513">
                  <c:v>-8.870860598300943E-3</c:v>
                </c:pt>
                <c:pt idx="2514">
                  <c:v>-4.6903512016477104E-3</c:v>
                </c:pt>
                <c:pt idx="2515">
                  <c:v>-1.7299265993892348E-2</c:v>
                </c:pt>
                <c:pt idx="2516">
                  <c:v>-3.9128915887478168E-2</c:v>
                </c:pt>
                <c:pt idx="2517">
                  <c:v>-7.956703565346928E-3</c:v>
                </c:pt>
                <c:pt idx="2518">
                  <c:v>5.16304448093066E-4</c:v>
                </c:pt>
                <c:pt idx="2519">
                  <c:v>7.3151937216333045E-4</c:v>
                </c:pt>
                <c:pt idx="2520">
                  <c:v>2.2630124667068967E-3</c:v>
                </c:pt>
                <c:pt idx="2521">
                  <c:v>1.0378568919965143E-2</c:v>
                </c:pt>
                <c:pt idx="2522">
                  <c:v>-4.3239725609749112E-2</c:v>
                </c:pt>
                <c:pt idx="2523">
                  <c:v>1.7573139323522696E-2</c:v>
                </c:pt>
                <c:pt idx="2524">
                  <c:v>-2.4629444854048957E-2</c:v>
                </c:pt>
                <c:pt idx="2525">
                  <c:v>2.2110830613056038E-3</c:v>
                </c:pt>
                <c:pt idx="2526">
                  <c:v>-5.6916624151215891E-3</c:v>
                </c:pt>
                <c:pt idx="2527">
                  <c:v>-1.8650351924827259E-2</c:v>
                </c:pt>
                <c:pt idx="2528">
                  <c:v>1.1533926779183712E-3</c:v>
                </c:pt>
                <c:pt idx="2529">
                  <c:v>-2.6970110656903232E-2</c:v>
                </c:pt>
                <c:pt idx="2530">
                  <c:v>2.8118716887401141E-2</c:v>
                </c:pt>
                <c:pt idx="2531">
                  <c:v>1.0483833846805927E-2</c:v>
                </c:pt>
                <c:pt idx="2532">
                  <c:v>2.7684129419344318E-2</c:v>
                </c:pt>
                <c:pt idx="2533">
                  <c:v>8.8008202444947638E-3</c:v>
                </c:pt>
                <c:pt idx="2534">
                  <c:v>-7.1779831164511991E-3</c:v>
                </c:pt>
                <c:pt idx="2535">
                  <c:v>1.5103735849755572E-2</c:v>
                </c:pt>
                <c:pt idx="2536">
                  <c:v>-3.9713614416177698E-2</c:v>
                </c:pt>
                <c:pt idx="2537">
                  <c:v>1.5446971206055508E-2</c:v>
                </c:pt>
                <c:pt idx="2538">
                  <c:v>-1.6448712411298055E-2</c:v>
                </c:pt>
                <c:pt idx="2539">
                  <c:v>1.1924851959970726E-2</c:v>
                </c:pt>
                <c:pt idx="2540">
                  <c:v>2.1610052430492955E-2</c:v>
                </c:pt>
                <c:pt idx="2541">
                  <c:v>-2.8780456427576328E-2</c:v>
                </c:pt>
                <c:pt idx="2542">
                  <c:v>-2.4592529385522088E-2</c:v>
                </c:pt>
                <c:pt idx="2543">
                  <c:v>-1.3910140514835487E-4</c:v>
                </c:pt>
                <c:pt idx="2544">
                  <c:v>1.8377086958297106E-2</c:v>
                </c:pt>
                <c:pt idx="2545">
                  <c:v>-1.1650055553615074E-3</c:v>
                </c:pt>
                <c:pt idx="2546">
                  <c:v>-2.9716028170690564E-2</c:v>
                </c:pt>
                <c:pt idx="2547">
                  <c:v>-9.6780827561490663E-3</c:v>
                </c:pt>
                <c:pt idx="2548">
                  <c:v>-7.4343495256111729E-4</c:v>
                </c:pt>
                <c:pt idx="2549">
                  <c:v>-2.6217582425906546E-2</c:v>
                </c:pt>
                <c:pt idx="2550">
                  <c:v>4.982445898138723E-2</c:v>
                </c:pt>
                <c:pt idx="2551">
                  <c:v>9.1952285067093721E-3</c:v>
                </c:pt>
                <c:pt idx="2552">
                  <c:v>4.967085305794974E-3</c:v>
                </c:pt>
                <c:pt idx="2553">
                  <c:v>-1.2939717867056586E-2</c:v>
                </c:pt>
                <c:pt idx="2554">
                  <c:v>1.7606034054184917E-2</c:v>
                </c:pt>
                <c:pt idx="2555">
                  <c:v>-1.4324235027119561E-2</c:v>
                </c:pt>
                <c:pt idx="2556">
                  <c:v>-2.06910803933988E-2</c:v>
                </c:pt>
                <c:pt idx="2557">
                  <c:v>-3.8500702286704776E-2</c:v>
                </c:pt>
                <c:pt idx="2558">
                  <c:v>-1.1039965964103924E-2</c:v>
                </c:pt>
                <c:pt idx="2559">
                  <c:v>4.4842524524498058E-2</c:v>
                </c:pt>
                <c:pt idx="2560">
                  <c:v>-1.0140349224903191E-2</c:v>
                </c:pt>
                <c:pt idx="2561">
                  <c:v>-1.9522827335195309E-2</c:v>
                </c:pt>
                <c:pt idx="2562">
                  <c:v>-1.3036392016609713E-2</c:v>
                </c:pt>
                <c:pt idx="2563">
                  <c:v>3.8007772021776555E-2</c:v>
                </c:pt>
                <c:pt idx="2564">
                  <c:v>2.4895213623112363E-2</c:v>
                </c:pt>
                <c:pt idx="2565">
                  <c:v>2.8199750581801701E-3</c:v>
                </c:pt>
                <c:pt idx="2566">
                  <c:v>1.749464086135688E-2</c:v>
                </c:pt>
                <c:pt idx="2567">
                  <c:v>-4.2380975973844437E-3</c:v>
                </c:pt>
                <c:pt idx="2568">
                  <c:v>1.6246500327929753E-2</c:v>
                </c:pt>
                <c:pt idx="2569">
                  <c:v>-1.5145122125810683E-2</c:v>
                </c:pt>
                <c:pt idx="2570">
                  <c:v>1.5276432825632841E-2</c:v>
                </c:pt>
                <c:pt idx="2571">
                  <c:v>-1.3880515268549932E-3</c:v>
                </c:pt>
                <c:pt idx="2572">
                  <c:v>2.2861090424470369E-2</c:v>
                </c:pt>
                <c:pt idx="2573">
                  <c:v>1.5047418635480125E-2</c:v>
                </c:pt>
                <c:pt idx="2574">
                  <c:v>-4.9265351044465522E-3</c:v>
                </c:pt>
                <c:pt idx="2575">
                  <c:v>-1.7848242824791801E-2</c:v>
                </c:pt>
                <c:pt idx="2576">
                  <c:v>3.5998567112273008E-3</c:v>
                </c:pt>
                <c:pt idx="2577">
                  <c:v>1.7774922613473212E-2</c:v>
                </c:pt>
                <c:pt idx="2578">
                  <c:v>-1.3070926773947621E-2</c:v>
                </c:pt>
                <c:pt idx="2579">
                  <c:v>-3.7291780101579013E-2</c:v>
                </c:pt>
                <c:pt idx="2580">
                  <c:v>6.2260484545387726E-3</c:v>
                </c:pt>
                <c:pt idx="2581">
                  <c:v>-1.4708865163186733E-2</c:v>
                </c:pt>
                <c:pt idx="2582">
                  <c:v>-4.0231632115238482E-2</c:v>
                </c:pt>
                <c:pt idx="2583">
                  <c:v>-1.1275614751179552E-2</c:v>
                </c:pt>
                <c:pt idx="2584">
                  <c:v>1.9525088757275245E-2</c:v>
                </c:pt>
                <c:pt idx="2585">
                  <c:v>-2.7462158958647731E-2</c:v>
                </c:pt>
                <c:pt idx="2586">
                  <c:v>2.4556299955293013E-3</c:v>
                </c:pt>
                <c:pt idx="2587">
                  <c:v>1.6897019248412672E-2</c:v>
                </c:pt>
                <c:pt idx="2588">
                  <c:v>3.7144470774307103E-3</c:v>
                </c:pt>
                <c:pt idx="2589">
                  <c:v>-1.9579126269654235E-2</c:v>
                </c:pt>
                <c:pt idx="2590">
                  <c:v>-2.44397970542303E-2</c:v>
                </c:pt>
                <c:pt idx="2591">
                  <c:v>2.4129842213991805E-2</c:v>
                </c:pt>
                <c:pt idx="2592">
                  <c:v>-3.8129660774488996E-2</c:v>
                </c:pt>
                <c:pt idx="2593">
                  <c:v>4.6989205091610073E-2</c:v>
                </c:pt>
                <c:pt idx="2594">
                  <c:v>2.2384246126147377E-2</c:v>
                </c:pt>
                <c:pt idx="2595">
                  <c:v>-4.2710089757455209E-2</c:v>
                </c:pt>
                <c:pt idx="2596">
                  <c:v>2.4729953310273257E-2</c:v>
                </c:pt>
                <c:pt idx="2597">
                  <c:v>-9.4996528720434764E-3</c:v>
                </c:pt>
                <c:pt idx="2598">
                  <c:v>2.8684466154068246E-2</c:v>
                </c:pt>
                <c:pt idx="2599">
                  <c:v>-4.4527353425339283E-2</c:v>
                </c:pt>
                <c:pt idx="2600">
                  <c:v>-9.4986777816213393E-3</c:v>
                </c:pt>
                <c:pt idx="2601">
                  <c:v>-3.7641863449026133E-2</c:v>
                </c:pt>
                <c:pt idx="2602">
                  <c:v>1.8422658264104008E-2</c:v>
                </c:pt>
                <c:pt idx="2603">
                  <c:v>-3.377056166610206E-2</c:v>
                </c:pt>
                <c:pt idx="2604">
                  <c:v>-2.0159484379492432E-2</c:v>
                </c:pt>
                <c:pt idx="2605">
                  <c:v>2.2334029720338031E-2</c:v>
                </c:pt>
                <c:pt idx="2606">
                  <c:v>1.4614300713165977E-3</c:v>
                </c:pt>
                <c:pt idx="2607">
                  <c:v>2.0135285619163303E-2</c:v>
                </c:pt>
                <c:pt idx="2608">
                  <c:v>-4.6596578576474715E-2</c:v>
                </c:pt>
                <c:pt idx="2609">
                  <c:v>-3.7054084911637931E-3</c:v>
                </c:pt>
                <c:pt idx="2610">
                  <c:v>-2.2945611217913618E-3</c:v>
                </c:pt>
                <c:pt idx="2611">
                  <c:v>3.1532933789058651E-2</c:v>
                </c:pt>
                <c:pt idx="2612">
                  <c:v>-3.9579908350554065E-3</c:v>
                </c:pt>
                <c:pt idx="2613">
                  <c:v>1.1111616687230421E-2</c:v>
                </c:pt>
                <c:pt idx="2614">
                  <c:v>1.2792757935047895E-2</c:v>
                </c:pt>
                <c:pt idx="2615">
                  <c:v>2.7230352520329022E-2</c:v>
                </c:pt>
                <c:pt idx="2616">
                  <c:v>-5.0330929286674314E-3</c:v>
                </c:pt>
                <c:pt idx="2617">
                  <c:v>2.0230271600786957E-3</c:v>
                </c:pt>
                <c:pt idx="2618">
                  <c:v>7.8914804409938172E-3</c:v>
                </c:pt>
                <c:pt idx="2619">
                  <c:v>-1.6741862283366927E-2</c:v>
                </c:pt>
                <c:pt idx="2620">
                  <c:v>-4.7093526943075151E-3</c:v>
                </c:pt>
                <c:pt idx="2621">
                  <c:v>1.3855901427012568E-2</c:v>
                </c:pt>
                <c:pt idx="2622">
                  <c:v>-7.6949941050274738E-3</c:v>
                </c:pt>
                <c:pt idx="2623">
                  <c:v>-2.1005831818681098E-2</c:v>
                </c:pt>
                <c:pt idx="2624">
                  <c:v>-4.5585643328179173E-2</c:v>
                </c:pt>
                <c:pt idx="2625">
                  <c:v>-4.3339146294876188E-2</c:v>
                </c:pt>
                <c:pt idx="2626">
                  <c:v>9.1620354038627755E-3</c:v>
                </c:pt>
                <c:pt idx="2627">
                  <c:v>2.9304165871511068E-2</c:v>
                </c:pt>
                <c:pt idx="2628">
                  <c:v>-2.7342513448176311E-2</c:v>
                </c:pt>
                <c:pt idx="2629">
                  <c:v>1.0877583247634486E-2</c:v>
                </c:pt>
                <c:pt idx="2630">
                  <c:v>2.4292956538785097E-2</c:v>
                </c:pt>
                <c:pt idx="2631">
                  <c:v>-2.4101738688862614E-3</c:v>
                </c:pt>
                <c:pt idx="2632">
                  <c:v>2.2389277807782867E-2</c:v>
                </c:pt>
                <c:pt idx="2633">
                  <c:v>3.357398754615485E-2</c:v>
                </c:pt>
                <c:pt idx="2634">
                  <c:v>-1.0548418707466232E-2</c:v>
                </c:pt>
                <c:pt idx="2635">
                  <c:v>-3.2262063296372295E-2</c:v>
                </c:pt>
                <c:pt idx="2636">
                  <c:v>1.4627831027483475E-2</c:v>
                </c:pt>
                <c:pt idx="2637">
                  <c:v>-1.3262757199037361E-2</c:v>
                </c:pt>
                <c:pt idx="2638">
                  <c:v>1.0645489608415762E-2</c:v>
                </c:pt>
                <c:pt idx="2639">
                  <c:v>1.2521083921312173E-2</c:v>
                </c:pt>
                <c:pt idx="2640">
                  <c:v>1.2696278694425632E-2</c:v>
                </c:pt>
                <c:pt idx="2641">
                  <c:v>8.1928519012641147E-3</c:v>
                </c:pt>
                <c:pt idx="2642">
                  <c:v>-2.7553003576502371E-3</c:v>
                </c:pt>
                <c:pt idx="2643">
                  <c:v>-1.1842771506936477E-2</c:v>
                </c:pt>
                <c:pt idx="2644">
                  <c:v>-4.1843116276440828E-2</c:v>
                </c:pt>
                <c:pt idx="2645">
                  <c:v>-3.7477780115090635E-3</c:v>
                </c:pt>
                <c:pt idx="2646">
                  <c:v>5.3611650452077162E-3</c:v>
                </c:pt>
                <c:pt idx="2647">
                  <c:v>1.0342478778585689E-2</c:v>
                </c:pt>
                <c:pt idx="2648">
                  <c:v>-9.6713364652003427E-3</c:v>
                </c:pt>
                <c:pt idx="2649">
                  <c:v>2.054967599850133E-2</c:v>
                </c:pt>
                <c:pt idx="2650">
                  <c:v>1.0508155872914975E-2</c:v>
                </c:pt>
                <c:pt idx="2651">
                  <c:v>9.7588595770827131E-3</c:v>
                </c:pt>
                <c:pt idx="2652">
                  <c:v>-1.7064510438746475E-2</c:v>
                </c:pt>
                <c:pt idx="2653">
                  <c:v>-5.8942436344738749E-3</c:v>
                </c:pt>
                <c:pt idx="2654">
                  <c:v>-2.7141068904783596E-2</c:v>
                </c:pt>
                <c:pt idx="2655">
                  <c:v>6.4713881754965563E-2</c:v>
                </c:pt>
                <c:pt idx="2656">
                  <c:v>2.8144481922628289E-2</c:v>
                </c:pt>
                <c:pt idx="2657">
                  <c:v>1.5539547614939007E-2</c:v>
                </c:pt>
                <c:pt idx="2658">
                  <c:v>-9.7803240570344483E-3</c:v>
                </c:pt>
                <c:pt idx="2659">
                  <c:v>-1.1533224056445055E-2</c:v>
                </c:pt>
                <c:pt idx="2660">
                  <c:v>2.745803869078724E-2</c:v>
                </c:pt>
                <c:pt idx="2661">
                  <c:v>4.1642820147636218E-3</c:v>
                </c:pt>
                <c:pt idx="2662">
                  <c:v>-2.6033512098213763E-3</c:v>
                </c:pt>
                <c:pt idx="2663">
                  <c:v>-9.2055563844125193E-3</c:v>
                </c:pt>
                <c:pt idx="2664">
                  <c:v>7.0405565959586382E-3</c:v>
                </c:pt>
                <c:pt idx="2665">
                  <c:v>2.4009761548290074E-2</c:v>
                </c:pt>
                <c:pt idx="2666">
                  <c:v>-7.4315251447686715E-3</c:v>
                </c:pt>
                <c:pt idx="2667">
                  <c:v>1.6899405142478466E-2</c:v>
                </c:pt>
                <c:pt idx="2668">
                  <c:v>5.3254914780271317E-3</c:v>
                </c:pt>
                <c:pt idx="2669">
                  <c:v>-2.5963856885812529E-3</c:v>
                </c:pt>
                <c:pt idx="2670">
                  <c:v>-2.6346333044869655E-3</c:v>
                </c:pt>
                <c:pt idx="2671">
                  <c:v>-3.9509600120832154E-3</c:v>
                </c:pt>
                <c:pt idx="2672">
                  <c:v>-1.3954381111325834E-2</c:v>
                </c:pt>
                <c:pt idx="2673">
                  <c:v>-2.9794137458336749E-2</c:v>
                </c:pt>
                <c:pt idx="2674">
                  <c:v>-4.7341589111602545E-3</c:v>
                </c:pt>
                <c:pt idx="2675">
                  <c:v>-2.347791534453152E-3</c:v>
                </c:pt>
                <c:pt idx="2676">
                  <c:v>1.1030138421377044E-2</c:v>
                </c:pt>
                <c:pt idx="2677">
                  <c:v>-3.934558570375199E-2</c:v>
                </c:pt>
                <c:pt idx="2678">
                  <c:v>-1.072566451890513E-2</c:v>
                </c:pt>
                <c:pt idx="2679">
                  <c:v>-8.5602554328940914E-3</c:v>
                </c:pt>
                <c:pt idx="2680">
                  <c:v>-5.7140347180946538E-3</c:v>
                </c:pt>
                <c:pt idx="2681">
                  <c:v>-4.1054504610029555E-3</c:v>
                </c:pt>
                <c:pt idx="2682">
                  <c:v>-1.6815344934772714E-2</c:v>
                </c:pt>
                <c:pt idx="2683">
                  <c:v>-1.1027235263011132E-2</c:v>
                </c:pt>
                <c:pt idx="2684">
                  <c:v>1.8933292390754523E-2</c:v>
                </c:pt>
                <c:pt idx="2685">
                  <c:v>1.6573281356473751E-3</c:v>
                </c:pt>
                <c:pt idx="2686">
                  <c:v>2.2718327699326385E-2</c:v>
                </c:pt>
                <c:pt idx="2687">
                  <c:v>8.2523603593257517E-3</c:v>
                </c:pt>
                <c:pt idx="2688">
                  <c:v>-5.6552391905706649E-2</c:v>
                </c:pt>
                <c:pt idx="2689">
                  <c:v>9.1777436067589366E-4</c:v>
                </c:pt>
                <c:pt idx="2690">
                  <c:v>-2.7499223526151386E-2</c:v>
                </c:pt>
                <c:pt idx="2691">
                  <c:v>-2.6162074113411445E-3</c:v>
                </c:pt>
                <c:pt idx="2692">
                  <c:v>-8.9165558004865298E-4</c:v>
                </c:pt>
                <c:pt idx="2693">
                  <c:v>-8.4980061894572578E-3</c:v>
                </c:pt>
                <c:pt idx="2694">
                  <c:v>-1.4537657126662485E-2</c:v>
                </c:pt>
                <c:pt idx="2695">
                  <c:v>8.4569704449707732E-3</c:v>
                </c:pt>
                <c:pt idx="2696">
                  <c:v>-1.2787397237280191E-2</c:v>
                </c:pt>
                <c:pt idx="2697">
                  <c:v>-1.9726409758863729E-3</c:v>
                </c:pt>
                <c:pt idx="2698">
                  <c:v>-4.3880474797639742E-3</c:v>
                </c:pt>
                <c:pt idx="2699">
                  <c:v>1.951600094970523E-2</c:v>
                </c:pt>
                <c:pt idx="2700">
                  <c:v>-1.4913347378596821E-2</c:v>
                </c:pt>
                <c:pt idx="2701">
                  <c:v>-1.9562666389088237E-2</c:v>
                </c:pt>
                <c:pt idx="2702">
                  <c:v>3.3100925492485535E-2</c:v>
                </c:pt>
                <c:pt idx="2703">
                  <c:v>3.3261455698727238E-2</c:v>
                </c:pt>
                <c:pt idx="2704">
                  <c:v>1.2769616600351768E-3</c:v>
                </c:pt>
                <c:pt idx="2705">
                  <c:v>-9.7121860649605641E-3</c:v>
                </c:pt>
                <c:pt idx="2706">
                  <c:v>-5.218862951677853E-2</c:v>
                </c:pt>
                <c:pt idx="2707">
                  <c:v>-2.1530232815237874E-2</c:v>
                </c:pt>
                <c:pt idx="2708">
                  <c:v>-1.6894838526947929E-2</c:v>
                </c:pt>
                <c:pt idx="2709">
                  <c:v>1.5091614368313597E-3</c:v>
                </c:pt>
                <c:pt idx="2710">
                  <c:v>3.6915909905354517E-2</c:v>
                </c:pt>
                <c:pt idx="2711">
                  <c:v>-2.4549244178668592E-2</c:v>
                </c:pt>
                <c:pt idx="2712">
                  <c:v>3.8493542595289323E-2</c:v>
                </c:pt>
                <c:pt idx="2713">
                  <c:v>4.0811226828693413E-3</c:v>
                </c:pt>
                <c:pt idx="2714">
                  <c:v>-8.5064890622507713E-3</c:v>
                </c:pt>
                <c:pt idx="2715">
                  <c:v>-1.3974735611379987E-3</c:v>
                </c:pt>
                <c:pt idx="2716">
                  <c:v>2.4965759489049878E-2</c:v>
                </c:pt>
                <c:pt idx="2717">
                  <c:v>2.0966490966125916E-2</c:v>
                </c:pt>
                <c:pt idx="2718">
                  <c:v>1.3699405233699927E-2</c:v>
                </c:pt>
                <c:pt idx="2719">
                  <c:v>-8.0298242425450098E-2</c:v>
                </c:pt>
                <c:pt idx="2720">
                  <c:v>-1.9955803215849811E-2</c:v>
                </c:pt>
                <c:pt idx="2721">
                  <c:v>3.9430407190052308E-2</c:v>
                </c:pt>
                <c:pt idx="2722">
                  <c:v>-1.5982080311356277E-2</c:v>
                </c:pt>
                <c:pt idx="2723">
                  <c:v>-1.719717224404824E-2</c:v>
                </c:pt>
                <c:pt idx="2724">
                  <c:v>-3.6025387654962299E-2</c:v>
                </c:pt>
                <c:pt idx="2725">
                  <c:v>-2.6936881264234182E-2</c:v>
                </c:pt>
                <c:pt idx="2726">
                  <c:v>3.2791817877251377E-2</c:v>
                </c:pt>
                <c:pt idx="2727">
                  <c:v>2.8847303367133481E-2</c:v>
                </c:pt>
                <c:pt idx="2728">
                  <c:v>4.3740111065962237E-3</c:v>
                </c:pt>
                <c:pt idx="2729">
                  <c:v>-1.9231491642351609E-2</c:v>
                </c:pt>
                <c:pt idx="2730">
                  <c:v>7.9060186820751305E-2</c:v>
                </c:pt>
                <c:pt idx="2731">
                  <c:v>1.6854869062251056E-2</c:v>
                </c:pt>
                <c:pt idx="2732">
                  <c:v>-2.2761913665774319E-2</c:v>
                </c:pt>
                <c:pt idx="2733">
                  <c:v>1.7454513091206365E-3</c:v>
                </c:pt>
                <c:pt idx="2734">
                  <c:v>1.8180981478016422E-3</c:v>
                </c:pt>
                <c:pt idx="2735">
                  <c:v>-2.0605334331374819E-4</c:v>
                </c:pt>
                <c:pt idx="2736">
                  <c:v>-1.906955490818136E-3</c:v>
                </c:pt>
                <c:pt idx="2737">
                  <c:v>3.432425456898629E-3</c:v>
                </c:pt>
                <c:pt idx="2738">
                  <c:v>1.2245153171687305E-2</c:v>
                </c:pt>
                <c:pt idx="2739">
                  <c:v>1.034144768146401E-2</c:v>
                </c:pt>
                <c:pt idx="2740">
                  <c:v>-3.5723451593782372E-4</c:v>
                </c:pt>
                <c:pt idx="2741">
                  <c:v>-2.3422648803524338E-2</c:v>
                </c:pt>
                <c:pt idx="2742">
                  <c:v>-5.9328836685651736E-3</c:v>
                </c:pt>
                <c:pt idx="2743">
                  <c:v>5.9803815603305097E-2</c:v>
                </c:pt>
                <c:pt idx="2744">
                  <c:v>-1.7743261718901919E-3</c:v>
                </c:pt>
                <c:pt idx="2745">
                  <c:v>1.3001517345552073E-3</c:v>
                </c:pt>
                <c:pt idx="2746">
                  <c:v>-1.9084679242068549E-2</c:v>
                </c:pt>
                <c:pt idx="2747">
                  <c:v>-2.0508677596013498E-2</c:v>
                </c:pt>
                <c:pt idx="2748">
                  <c:v>-3.0690221291146485E-3</c:v>
                </c:pt>
                <c:pt idx="2749">
                  <c:v>1.2322691370951412E-2</c:v>
                </c:pt>
                <c:pt idx="2750">
                  <c:v>-8.0311777350875642E-3</c:v>
                </c:pt>
                <c:pt idx="2751">
                  <c:v>2.847764655253553E-2</c:v>
                </c:pt>
                <c:pt idx="2752">
                  <c:v>1.7310749025480437E-2</c:v>
                </c:pt>
                <c:pt idx="2753">
                  <c:v>1.1663837696507971E-3</c:v>
                </c:pt>
                <c:pt idx="2754">
                  <c:v>-3.2437012694589352E-2</c:v>
                </c:pt>
                <c:pt idx="2755">
                  <c:v>-1.7499952493573296E-2</c:v>
                </c:pt>
                <c:pt idx="2756">
                  <c:v>-1.7481893176115794E-2</c:v>
                </c:pt>
                <c:pt idx="2757">
                  <c:v>5.606340981011179E-3</c:v>
                </c:pt>
                <c:pt idx="2758">
                  <c:v>1.081575237727604E-2</c:v>
                </c:pt>
                <c:pt idx="2759">
                  <c:v>-2.5859170734221733E-2</c:v>
                </c:pt>
                <c:pt idx="2760">
                  <c:v>2.2675843330417621E-3</c:v>
                </c:pt>
                <c:pt idx="2761">
                  <c:v>-7.4528667018431667E-3</c:v>
                </c:pt>
                <c:pt idx="2762">
                  <c:v>-1.0304569101676578E-2</c:v>
                </c:pt>
                <c:pt idx="2763">
                  <c:v>2.7257587763376976E-2</c:v>
                </c:pt>
                <c:pt idx="2764">
                  <c:v>-4.946444847516128E-3</c:v>
                </c:pt>
                <c:pt idx="2765">
                  <c:v>-1.0092016291397103E-3</c:v>
                </c:pt>
                <c:pt idx="2766">
                  <c:v>-4.4721003667446219E-2</c:v>
                </c:pt>
                <c:pt idx="2767">
                  <c:v>-3.0088529659989427E-2</c:v>
                </c:pt>
                <c:pt idx="2768">
                  <c:v>1.1708745685860618E-2</c:v>
                </c:pt>
                <c:pt idx="2769">
                  <c:v>9.6909351809812173E-3</c:v>
                </c:pt>
                <c:pt idx="2770">
                  <c:v>7.5879866359646357E-3</c:v>
                </c:pt>
                <c:pt idx="2771">
                  <c:v>2.9797574688442109E-2</c:v>
                </c:pt>
                <c:pt idx="2772">
                  <c:v>1.1546947777722248E-2</c:v>
                </c:pt>
                <c:pt idx="2773">
                  <c:v>3.0168630934299585E-3</c:v>
                </c:pt>
                <c:pt idx="2774">
                  <c:v>4.6753519083833194E-3</c:v>
                </c:pt>
                <c:pt idx="2775">
                  <c:v>-1.9066737094578179E-2</c:v>
                </c:pt>
                <c:pt idx="2776">
                  <c:v>-1.659790944364252E-2</c:v>
                </c:pt>
                <c:pt idx="2777">
                  <c:v>3.5118973940921186E-2</c:v>
                </c:pt>
                <c:pt idx="2778">
                  <c:v>9.7768376517621096E-3</c:v>
                </c:pt>
                <c:pt idx="2779">
                  <c:v>-2.2315726321065106E-3</c:v>
                </c:pt>
                <c:pt idx="2780">
                  <c:v>-5.9260368641917728E-3</c:v>
                </c:pt>
                <c:pt idx="2781">
                  <c:v>3.024872927719241E-2</c:v>
                </c:pt>
                <c:pt idx="2782">
                  <c:v>6.514431334127866E-4</c:v>
                </c:pt>
                <c:pt idx="2783">
                  <c:v>-2.2198010104362106E-2</c:v>
                </c:pt>
                <c:pt idx="2784">
                  <c:v>2.0792165577248112E-2</c:v>
                </c:pt>
                <c:pt idx="2785">
                  <c:v>1.9741504224050653E-2</c:v>
                </c:pt>
                <c:pt idx="2786">
                  <c:v>4.5815478049263059E-2</c:v>
                </c:pt>
                <c:pt idx="2787">
                  <c:v>-2.3907472480195736E-2</c:v>
                </c:pt>
                <c:pt idx="2788">
                  <c:v>-6.1404844067298485E-3</c:v>
                </c:pt>
                <c:pt idx="2789">
                  <c:v>4.1167904768307118E-2</c:v>
                </c:pt>
                <c:pt idx="2790">
                  <c:v>-3.1046472858734095E-3</c:v>
                </c:pt>
                <c:pt idx="2791">
                  <c:v>-1.1729035854950649E-2</c:v>
                </c:pt>
                <c:pt idx="2792">
                  <c:v>-1.9682842535421814E-3</c:v>
                </c:pt>
                <c:pt idx="2793">
                  <c:v>3.0759717852453242E-2</c:v>
                </c:pt>
                <c:pt idx="2794">
                  <c:v>3.1231616046878182E-3</c:v>
                </c:pt>
                <c:pt idx="2795">
                  <c:v>-8.0238896218212397E-3</c:v>
                </c:pt>
                <c:pt idx="2796">
                  <c:v>-2.6987675577542714E-2</c:v>
                </c:pt>
                <c:pt idx="2797">
                  <c:v>-1.5716803215305736E-2</c:v>
                </c:pt>
                <c:pt idx="2798">
                  <c:v>-2.1110754749183377E-2</c:v>
                </c:pt>
                <c:pt idx="2799">
                  <c:v>-4.6010192130286022E-3</c:v>
                </c:pt>
                <c:pt idx="2800">
                  <c:v>1.2876840327175246E-2</c:v>
                </c:pt>
                <c:pt idx="2801">
                  <c:v>-2.2024893814096811E-2</c:v>
                </c:pt>
                <c:pt idx="2802">
                  <c:v>3.7600593284103992E-3</c:v>
                </c:pt>
                <c:pt idx="2803">
                  <c:v>-2.9508184863123554E-3</c:v>
                </c:pt>
                <c:pt idx="2804">
                  <c:v>-1.271828462086144E-2</c:v>
                </c:pt>
                <c:pt idx="2805">
                  <c:v>1.946756685096707E-2</c:v>
                </c:pt>
                <c:pt idx="2806">
                  <c:v>1.650580446254481E-2</c:v>
                </c:pt>
                <c:pt idx="2807">
                  <c:v>6.1684599492507373E-3</c:v>
                </c:pt>
                <c:pt idx="2808">
                  <c:v>-1.0646355619758395E-2</c:v>
                </c:pt>
                <c:pt idx="2809">
                  <c:v>-1.7688130608688726E-3</c:v>
                </c:pt>
                <c:pt idx="2810">
                  <c:v>-5.4538631710244279E-3</c:v>
                </c:pt>
                <c:pt idx="2811">
                  <c:v>-1.4893293701165065E-2</c:v>
                </c:pt>
                <c:pt idx="2812">
                  <c:v>2.1217979575000715E-2</c:v>
                </c:pt>
                <c:pt idx="2813">
                  <c:v>2.668831625988206E-2</c:v>
                </c:pt>
                <c:pt idx="2814">
                  <c:v>1.7675773133584032E-2</c:v>
                </c:pt>
                <c:pt idx="2815">
                  <c:v>3.9740923910581316E-2</c:v>
                </c:pt>
                <c:pt idx="2816">
                  <c:v>1.1616346612937587E-2</c:v>
                </c:pt>
                <c:pt idx="2817">
                  <c:v>-2.6095421142100582E-2</c:v>
                </c:pt>
                <c:pt idx="2818">
                  <c:v>5.6746169283387856E-3</c:v>
                </c:pt>
                <c:pt idx="2819">
                  <c:v>-5.4549066843026942E-3</c:v>
                </c:pt>
                <c:pt idx="2820">
                  <c:v>1.952770808619347E-2</c:v>
                </c:pt>
                <c:pt idx="2821">
                  <c:v>1.0425236813889861E-2</c:v>
                </c:pt>
                <c:pt idx="2822">
                  <c:v>-1.5047732733712764E-2</c:v>
                </c:pt>
                <c:pt idx="2823">
                  <c:v>-4.1649648582575806E-3</c:v>
                </c:pt>
                <c:pt idx="2824">
                  <c:v>1.8995857030371086E-2</c:v>
                </c:pt>
                <c:pt idx="2825">
                  <c:v>1.2542501996493351E-2</c:v>
                </c:pt>
                <c:pt idx="2826">
                  <c:v>1.4851880914666502E-2</c:v>
                </c:pt>
                <c:pt idx="2827">
                  <c:v>-3.7205805584355897E-3</c:v>
                </c:pt>
                <c:pt idx="2828">
                  <c:v>-1.6944665118645536E-4</c:v>
                </c:pt>
                <c:pt idx="2829">
                  <c:v>-9.9344087060417377E-3</c:v>
                </c:pt>
                <c:pt idx="2830">
                  <c:v>2.5206374111040639E-2</c:v>
                </c:pt>
                <c:pt idx="2831">
                  <c:v>-7.6050771315181133E-3</c:v>
                </c:pt>
                <c:pt idx="2832">
                  <c:v>-2.29283315211938E-2</c:v>
                </c:pt>
                <c:pt idx="2833">
                  <c:v>2.3273643985035463E-3</c:v>
                </c:pt>
                <c:pt idx="2834">
                  <c:v>2.2151802801663848E-2</c:v>
                </c:pt>
                <c:pt idx="2835">
                  <c:v>-1.2846529156859621E-2</c:v>
                </c:pt>
                <c:pt idx="2836">
                  <c:v>9.2545901530071053E-3</c:v>
                </c:pt>
                <c:pt idx="2837">
                  <c:v>-1.4931327463608209E-3</c:v>
                </c:pt>
                <c:pt idx="2838">
                  <c:v>2.8123066724538795E-4</c:v>
                </c:pt>
                <c:pt idx="2839">
                  <c:v>-8.1489918902990198E-3</c:v>
                </c:pt>
                <c:pt idx="2840">
                  <c:v>-1.2162108557605962E-3</c:v>
                </c:pt>
                <c:pt idx="2841">
                  <c:v>-1.4066798933200363E-2</c:v>
                </c:pt>
                <c:pt idx="2842">
                  <c:v>-2.2797157344050027E-2</c:v>
                </c:pt>
                <c:pt idx="2843">
                  <c:v>6.9935058536735678E-2</c:v>
                </c:pt>
                <c:pt idx="2844">
                  <c:v>3.152351944313081E-2</c:v>
                </c:pt>
                <c:pt idx="2845">
                  <c:v>7.9375750106988364E-3</c:v>
                </c:pt>
                <c:pt idx="2846">
                  <c:v>-5.5423801987496734E-3</c:v>
                </c:pt>
                <c:pt idx="2847">
                  <c:v>-4.9119500765226884E-4</c:v>
                </c:pt>
                <c:pt idx="2848">
                  <c:v>-3.3152306382506617E-3</c:v>
                </c:pt>
                <c:pt idx="2849">
                  <c:v>3.3152306382505125E-3</c:v>
                </c:pt>
                <c:pt idx="2850">
                  <c:v>1.700744217118233E-2</c:v>
                </c:pt>
                <c:pt idx="2851">
                  <c:v>-6.4568530193808565E-3</c:v>
                </c:pt>
                <c:pt idx="2852">
                  <c:v>-5.3587995708640097E-3</c:v>
                </c:pt>
                <c:pt idx="2853">
                  <c:v>1.7147384065395486E-2</c:v>
                </c:pt>
                <c:pt idx="2854">
                  <c:v>-7.0662692932317497E-3</c:v>
                </c:pt>
                <c:pt idx="2855">
                  <c:v>-3.6848378851348442E-3</c:v>
                </c:pt>
                <c:pt idx="2856">
                  <c:v>1.5836873708324022E-3</c:v>
                </c:pt>
                <c:pt idx="2857">
                  <c:v>7.3412973073190904E-3</c:v>
                </c:pt>
                <c:pt idx="2858">
                  <c:v>9.4067919668925394E-3</c:v>
                </c:pt>
                <c:pt idx="2859">
                  <c:v>1.4289407587988233E-2</c:v>
                </c:pt>
                <c:pt idx="2860">
                  <c:v>-5.6233411434526909E-4</c:v>
                </c:pt>
                <c:pt idx="2861">
                  <c:v>8.8840258439923554E-3</c:v>
                </c:pt>
                <c:pt idx="2862">
                  <c:v>-1.8607923589270499E-2</c:v>
                </c:pt>
                <c:pt idx="2863">
                  <c:v>-4.4801227608374716E-3</c:v>
                </c:pt>
                <c:pt idx="2864">
                  <c:v>3.7734000579981442E-2</c:v>
                </c:pt>
                <c:pt idx="2865">
                  <c:v>2.1161203373139127E-2</c:v>
                </c:pt>
                <c:pt idx="2866">
                  <c:v>-5.0575478817690665E-3</c:v>
                </c:pt>
                <c:pt idx="2867">
                  <c:v>-8.5553062707773089E-3</c:v>
                </c:pt>
                <c:pt idx="2868">
                  <c:v>1.2682480111583511E-2</c:v>
                </c:pt>
                <c:pt idx="2869">
                  <c:v>8.4388942076530186E-3</c:v>
                </c:pt>
                <c:pt idx="2870">
                  <c:v>1.6094036023597876E-3</c:v>
                </c:pt>
                <c:pt idx="2871">
                  <c:v>-6.744226366220997E-3</c:v>
                </c:pt>
                <c:pt idx="2872">
                  <c:v>-3.1356496985015268E-2</c:v>
                </c:pt>
                <c:pt idx="2873">
                  <c:v>5.7957252775127843E-3</c:v>
                </c:pt>
                <c:pt idx="2874">
                  <c:v>4.691770406527458E-3</c:v>
                </c:pt>
                <c:pt idx="2875">
                  <c:v>1.5366296873910931E-2</c:v>
                </c:pt>
                <c:pt idx="2876">
                  <c:v>7.3292221481958937E-3</c:v>
                </c:pt>
                <c:pt idx="2877">
                  <c:v>9.0798798210875373E-3</c:v>
                </c:pt>
                <c:pt idx="2878">
                  <c:v>3.139851165101392E-2</c:v>
                </c:pt>
                <c:pt idx="2879">
                  <c:v>-1.6713138103579987E-2</c:v>
                </c:pt>
                <c:pt idx="2880">
                  <c:v>-1.2579343323549753E-2</c:v>
                </c:pt>
                <c:pt idx="2881">
                  <c:v>-1.3373279319027232E-2</c:v>
                </c:pt>
                <c:pt idx="2882">
                  <c:v>1.8269176851300056E-2</c:v>
                </c:pt>
                <c:pt idx="2883">
                  <c:v>-1.3905251841588051E-2</c:v>
                </c:pt>
                <c:pt idx="2884">
                  <c:v>-1.9345970758531113E-2</c:v>
                </c:pt>
                <c:pt idx="2885">
                  <c:v>1.8004321416661782E-2</c:v>
                </c:pt>
                <c:pt idx="2886">
                  <c:v>3.8147481268590313E-3</c:v>
                </c:pt>
                <c:pt idx="2887">
                  <c:v>-2.3825116899654141E-3</c:v>
                </c:pt>
                <c:pt idx="2888">
                  <c:v>1.6256624821518167E-2</c:v>
                </c:pt>
                <c:pt idx="2889">
                  <c:v>-7.5174311206165738E-3</c:v>
                </c:pt>
                <c:pt idx="2890">
                  <c:v>4.728075880927905E-4</c:v>
                </c:pt>
                <c:pt idx="2891">
                  <c:v>9.184239425794721E-3</c:v>
                </c:pt>
                <c:pt idx="2892">
                  <c:v>-1.194044037191775E-2</c:v>
                </c:pt>
                <c:pt idx="2893">
                  <c:v>-1.6113138143131832E-2</c:v>
                </c:pt>
                <c:pt idx="2894">
                  <c:v>1.9279888648144887E-3</c:v>
                </c:pt>
                <c:pt idx="2895">
                  <c:v>1.4128147596752377E-2</c:v>
                </c:pt>
                <c:pt idx="2896">
                  <c:v>1.605929540900497E-2</c:v>
                </c:pt>
                <c:pt idx="2897">
                  <c:v>7.5032963709185611E-3</c:v>
                </c:pt>
                <c:pt idx="2898">
                  <c:v>1.417264507237305E-3</c:v>
                </c:pt>
                <c:pt idx="2899">
                  <c:v>3.9027117782757491E-2</c:v>
                </c:pt>
                <c:pt idx="2900">
                  <c:v>-1.2342776958939865E-2</c:v>
                </c:pt>
                <c:pt idx="2901">
                  <c:v>-2.339198606774559E-2</c:v>
                </c:pt>
                <c:pt idx="2902">
                  <c:v>-8.9764474537602917E-3</c:v>
                </c:pt>
                <c:pt idx="2903">
                  <c:v>3.8887469336480202E-3</c:v>
                </c:pt>
                <c:pt idx="2904">
                  <c:v>1.6867943360488958E-2</c:v>
                </c:pt>
                <c:pt idx="2905">
                  <c:v>-3.8367775957023634E-2</c:v>
                </c:pt>
                <c:pt idx="2906">
                  <c:v>-2.1087821852209872E-2</c:v>
                </c:pt>
                <c:pt idx="2907">
                  <c:v>2.2865344741251223E-2</c:v>
                </c:pt>
                <c:pt idx="2908">
                  <c:v>-7.2676526682854421E-3</c:v>
                </c:pt>
                <c:pt idx="2909">
                  <c:v>1.2520467782196839E-3</c:v>
                </c:pt>
                <c:pt idx="2910">
                  <c:v>-2.6637193602620419E-2</c:v>
                </c:pt>
                <c:pt idx="2911">
                  <c:v>-2.564100003544084E-3</c:v>
                </c:pt>
                <c:pt idx="2912">
                  <c:v>3.4132258409697493E-3</c:v>
                </c:pt>
                <c:pt idx="2913">
                  <c:v>7.092075624404076E-3</c:v>
                </c:pt>
                <c:pt idx="2914">
                  <c:v>-1.2377624498189629E-2</c:v>
                </c:pt>
                <c:pt idx="2915">
                  <c:v>-1.1785257689278185E-2</c:v>
                </c:pt>
                <c:pt idx="2916">
                  <c:v>2.1702186889667346E-3</c:v>
                </c:pt>
                <c:pt idx="2917">
                  <c:v>-5.9637139101610366E-3</c:v>
                </c:pt>
                <c:pt idx="2918">
                  <c:v>9.3944528504834486E-3</c:v>
                </c:pt>
                <c:pt idx="2919">
                  <c:v>-6.7538403561532108E-3</c:v>
                </c:pt>
                <c:pt idx="2920">
                  <c:v>-2.4263339818636387E-3</c:v>
                </c:pt>
                <c:pt idx="2921">
                  <c:v>-1.1047700635116059E-2</c:v>
                </c:pt>
                <c:pt idx="2922">
                  <c:v>-1.2655707515753969E-3</c:v>
                </c:pt>
                <c:pt idx="2923">
                  <c:v>1.6921733824537676E-2</c:v>
                </c:pt>
                <c:pt idx="2924">
                  <c:v>1.8017655905315118E-3</c:v>
                </c:pt>
                <c:pt idx="2925">
                  <c:v>1.3983589586041057E-2</c:v>
                </c:pt>
                <c:pt idx="2926">
                  <c:v>-2.1733812234242363E-2</c:v>
                </c:pt>
                <c:pt idx="2927">
                  <c:v>9.3612266206020475E-3</c:v>
                </c:pt>
                <c:pt idx="2928">
                  <c:v>2.2229863349016066E-3</c:v>
                </c:pt>
                <c:pt idx="2929">
                  <c:v>1.444701096821977E-2</c:v>
                </c:pt>
                <c:pt idx="2930">
                  <c:v>1.1551460577879644E-3</c:v>
                </c:pt>
                <c:pt idx="2931">
                  <c:v>-3.1367461400519875E-3</c:v>
                </c:pt>
                <c:pt idx="2932">
                  <c:v>2.7436547166674215E-3</c:v>
                </c:pt>
                <c:pt idx="2933">
                  <c:v>1.4769371652229092E-2</c:v>
                </c:pt>
                <c:pt idx="2934">
                  <c:v>-2.0116829780372292E-3</c:v>
                </c:pt>
                <c:pt idx="2935">
                  <c:v>-8.9622221169521014E-3</c:v>
                </c:pt>
                <c:pt idx="2936">
                  <c:v>1.3126524138818372E-2</c:v>
                </c:pt>
                <c:pt idx="2937">
                  <c:v>1.091820471587914E-2</c:v>
                </c:pt>
                <c:pt idx="2938">
                  <c:v>-1.8424045130584616E-2</c:v>
                </c:pt>
                <c:pt idx="2939">
                  <c:v>1.284917833883863E-2</c:v>
                </c:pt>
                <c:pt idx="2940">
                  <c:v>7.8247543513112281E-3</c:v>
                </c:pt>
                <c:pt idx="2941">
                  <c:v>-2.5355639157524947E-2</c:v>
                </c:pt>
                <c:pt idx="2942">
                  <c:v>-3.5188173404428246E-3</c:v>
                </c:pt>
                <c:pt idx="2943">
                  <c:v>-1.2463432495042255E-3</c:v>
                </c:pt>
                <c:pt idx="2944">
                  <c:v>-2.4270032561062149E-2</c:v>
                </c:pt>
                <c:pt idx="2945">
                  <c:v>-3.8753932956792601E-3</c:v>
                </c:pt>
                <c:pt idx="2946">
                  <c:v>-7.9171401943653932E-3</c:v>
                </c:pt>
                <c:pt idx="2947">
                  <c:v>1.67047733348642E-3</c:v>
                </c:pt>
                <c:pt idx="2948">
                  <c:v>-1.7148590946270442E-2</c:v>
                </c:pt>
                <c:pt idx="2949">
                  <c:v>2.0774277100644107E-3</c:v>
                </c:pt>
                <c:pt idx="2950">
                  <c:v>2.7138545631982323E-3</c:v>
                </c:pt>
                <c:pt idx="2951">
                  <c:v>6.7046310835404159E-3</c:v>
                </c:pt>
                <c:pt idx="2952">
                  <c:v>1.8979723700956099E-2</c:v>
                </c:pt>
                <c:pt idx="2953">
                  <c:v>-2.6479698683840217E-2</c:v>
                </c:pt>
                <c:pt idx="2954">
                  <c:v>1.7599994515374393E-2</c:v>
                </c:pt>
                <c:pt idx="2955">
                  <c:v>1.2715605530496058E-3</c:v>
                </c:pt>
                <c:pt idx="2956">
                  <c:v>2.4434450447382468E-2</c:v>
                </c:pt>
                <c:pt idx="2957">
                  <c:v>7.7894816957242239E-3</c:v>
                </c:pt>
                <c:pt idx="2958">
                  <c:v>-4.340490954869802E-3</c:v>
                </c:pt>
                <c:pt idx="2959">
                  <c:v>1.2197322526125674E-2</c:v>
                </c:pt>
                <c:pt idx="2960">
                  <c:v>-3.8002787167410192E-3</c:v>
                </c:pt>
                <c:pt idx="2961">
                  <c:v>-1.0412643070698297E-2</c:v>
                </c:pt>
                <c:pt idx="2962">
                  <c:v>1.4868673451075646E-2</c:v>
                </c:pt>
                <c:pt idx="2963">
                  <c:v>-1.7435471924377457E-3</c:v>
                </c:pt>
                <c:pt idx="2964">
                  <c:v>-5.8909613864099285E-3</c:v>
                </c:pt>
                <c:pt idx="2965">
                  <c:v>3.6630636664273094E-3</c:v>
                </c:pt>
                <c:pt idx="2966">
                  <c:v>-1.4136842248444E-2</c:v>
                </c:pt>
                <c:pt idx="2967">
                  <c:v>8.0794405653637543E-3</c:v>
                </c:pt>
                <c:pt idx="2968">
                  <c:v>3.6687744344801806E-3</c:v>
                </c:pt>
                <c:pt idx="2969">
                  <c:v>3.0218778109862243E-2</c:v>
                </c:pt>
                <c:pt idx="2970">
                  <c:v>-3.8237722996499253E-2</c:v>
                </c:pt>
                <c:pt idx="2971">
                  <c:v>5.8358249723176273E-3</c:v>
                </c:pt>
                <c:pt idx="2972">
                  <c:v>2.2490949190969382E-2</c:v>
                </c:pt>
                <c:pt idx="2973">
                  <c:v>2.3675371644729069E-3</c:v>
                </c:pt>
                <c:pt idx="2974">
                  <c:v>2.3270006368178872E-2</c:v>
                </c:pt>
                <c:pt idx="2975">
                  <c:v>6.4753751432920911E-3</c:v>
                </c:pt>
                <c:pt idx="2976">
                  <c:v>1.2780517920755361E-2</c:v>
                </c:pt>
                <c:pt idx="2977">
                  <c:v>1.0520450329582525E-2</c:v>
                </c:pt>
                <c:pt idx="2978">
                  <c:v>1.1156028167006211E-2</c:v>
                </c:pt>
                <c:pt idx="2979">
                  <c:v>7.378995489160523E-3</c:v>
                </c:pt>
                <c:pt idx="2980">
                  <c:v>-6.933877294534015E-3</c:v>
                </c:pt>
                <c:pt idx="2981">
                  <c:v>2.4591029200151441E-2</c:v>
                </c:pt>
                <c:pt idx="2982">
                  <c:v>-8.1217440040952538E-3</c:v>
                </c:pt>
                <c:pt idx="2983">
                  <c:v>9.7452959548749926E-3</c:v>
                </c:pt>
                <c:pt idx="2984">
                  <c:v>4.0615779379539447E-4</c:v>
                </c:pt>
                <c:pt idx="2985">
                  <c:v>1.7431071381353535E-2</c:v>
                </c:pt>
                <c:pt idx="2986">
                  <c:v>-1.6948802911955031E-2</c:v>
                </c:pt>
                <c:pt idx="2987">
                  <c:v>2.0315039745792404E-2</c:v>
                </c:pt>
                <c:pt idx="2988">
                  <c:v>-1.1644037973765273E-2</c:v>
                </c:pt>
                <c:pt idx="2989">
                  <c:v>1.2732496685119029E-2</c:v>
                </c:pt>
                <c:pt idx="2990">
                  <c:v>-1.1151515013657907E-3</c:v>
                </c:pt>
                <c:pt idx="2991">
                  <c:v>3.1235533665937201E-3</c:v>
                </c:pt>
                <c:pt idx="2992">
                  <c:v>1.0745676804725143E-2</c:v>
                </c:pt>
                <c:pt idx="2993">
                  <c:v>-1.0112561671013253E-2</c:v>
                </c:pt>
                <c:pt idx="2994">
                  <c:v>1.5954561442959014E-4</c:v>
                </c:pt>
                <c:pt idx="2995">
                  <c:v>-1.1679273310060845E-2</c:v>
                </c:pt>
                <c:pt idx="2996">
                  <c:v>-1.4442112363552894E-2</c:v>
                </c:pt>
                <c:pt idx="2997">
                  <c:v>9.1122620960257649E-3</c:v>
                </c:pt>
                <c:pt idx="2998">
                  <c:v>-1.0037906187822998E-2</c:v>
                </c:pt>
                <c:pt idx="2999">
                  <c:v>5.8126871168183592E-3</c:v>
                </c:pt>
                <c:pt idx="3000">
                  <c:v>8.8015526676535564E-3</c:v>
                </c:pt>
                <c:pt idx="3001">
                  <c:v>-7.8568502600704308E-3</c:v>
                </c:pt>
                <c:pt idx="3002">
                  <c:v>8.2605905152276626E-3</c:v>
                </c:pt>
                <c:pt idx="3003">
                  <c:v>-2.6910946298167384E-5</c:v>
                </c:pt>
                <c:pt idx="3004">
                  <c:v>-2.2801594815669457E-2</c:v>
                </c:pt>
                <c:pt idx="3005">
                  <c:v>1.3030961533426833E-2</c:v>
                </c:pt>
                <c:pt idx="3006">
                  <c:v>5.1662891959369777E-3</c:v>
                </c:pt>
                <c:pt idx="3007">
                  <c:v>1.6343117176386239E-3</c:v>
                </c:pt>
                <c:pt idx="3008">
                  <c:v>-7.0941397987134436E-3</c:v>
                </c:pt>
                <c:pt idx="3009">
                  <c:v>7.8469151874790317E-3</c:v>
                </c:pt>
                <c:pt idx="3010">
                  <c:v>2.7822348262759042E-3</c:v>
                </c:pt>
                <c:pt idx="3011">
                  <c:v>2.097676427657572E-4</c:v>
                </c:pt>
                <c:pt idx="3012">
                  <c:v>-1.574330931903596E-3</c:v>
                </c:pt>
                <c:pt idx="3013">
                  <c:v>3.2267286946756281E-3</c:v>
                </c:pt>
                <c:pt idx="3014">
                  <c:v>2.0248269389148235E-3</c:v>
                </c:pt>
                <c:pt idx="3015">
                  <c:v>-1.3847651356582306E-2</c:v>
                </c:pt>
                <c:pt idx="3016">
                  <c:v>-7.2285951139760727E-4</c:v>
                </c:pt>
                <c:pt idx="3017">
                  <c:v>-7.205453930451044E-3</c:v>
                </c:pt>
                <c:pt idx="3018">
                  <c:v>-5.1764584594787507E-4</c:v>
                </c:pt>
                <c:pt idx="3019">
                  <c:v>1.8697054090111232E-2</c:v>
                </c:pt>
                <c:pt idx="3020">
                  <c:v>2.9292189518298865E-3</c:v>
                </c:pt>
                <c:pt idx="3021">
                  <c:v>1.840597351419198E-2</c:v>
                </c:pt>
                <c:pt idx="3022">
                  <c:v>4.8496560216616481E-3</c:v>
                </c:pt>
                <c:pt idx="3023">
                  <c:v>9.9327992954560337E-3</c:v>
                </c:pt>
                <c:pt idx="3024">
                  <c:v>4.6237861515591788E-3</c:v>
                </c:pt>
                <c:pt idx="3025">
                  <c:v>-2.0543890381174777E-3</c:v>
                </c:pt>
                <c:pt idx="3026">
                  <c:v>1.1233197442211884E-2</c:v>
                </c:pt>
                <c:pt idx="3027">
                  <c:v>1.2114703811722725E-2</c:v>
                </c:pt>
                <c:pt idx="3028">
                  <c:v>-5.4353675093737801E-3</c:v>
                </c:pt>
                <c:pt idx="3029">
                  <c:v>6.0113796518711932E-3</c:v>
                </c:pt>
                <c:pt idx="3030">
                  <c:v>9.1338152643076122E-3</c:v>
                </c:pt>
                <c:pt idx="3031">
                  <c:v>5.7222370737280972E-3</c:v>
                </c:pt>
                <c:pt idx="3032">
                  <c:v>-2.3268686476125384E-3</c:v>
                </c:pt>
                <c:pt idx="3033">
                  <c:v>1.4237292731538424E-2</c:v>
                </c:pt>
                <c:pt idx="3034">
                  <c:v>-2.7627387875469177E-3</c:v>
                </c:pt>
                <c:pt idx="3035">
                  <c:v>-2.7320347616210251E-2</c:v>
                </c:pt>
                <c:pt idx="3036">
                  <c:v>1.5476584698242596E-2</c:v>
                </c:pt>
                <c:pt idx="3037">
                  <c:v>1.8258720656776275E-2</c:v>
                </c:pt>
                <c:pt idx="3038">
                  <c:v>-1.3638475501387538E-2</c:v>
                </c:pt>
                <c:pt idx="3039">
                  <c:v>-3.9497267377134828E-4</c:v>
                </c:pt>
                <c:pt idx="3040">
                  <c:v>2.0891845676732589E-2</c:v>
                </c:pt>
                <c:pt idx="3041">
                  <c:v>1.4598291539199472E-4</c:v>
                </c:pt>
                <c:pt idx="3042">
                  <c:v>1.5428839553813066E-2</c:v>
                </c:pt>
                <c:pt idx="3043">
                  <c:v>-1.2656779446428129E-2</c:v>
                </c:pt>
                <c:pt idx="3044">
                  <c:v>-2.1762195361281624E-2</c:v>
                </c:pt>
                <c:pt idx="3045">
                  <c:v>9.6187330749161505E-3</c:v>
                </c:pt>
                <c:pt idx="3046">
                  <c:v>-7.1818638387822729E-3</c:v>
                </c:pt>
                <c:pt idx="3047">
                  <c:v>-6.1680500032697851E-3</c:v>
                </c:pt>
                <c:pt idx="3048">
                  <c:v>-3.1482820768776658E-3</c:v>
                </c:pt>
                <c:pt idx="3049">
                  <c:v>-1.5166035989872542E-3</c:v>
                </c:pt>
                <c:pt idx="3050">
                  <c:v>2.3275945638459188E-2</c:v>
                </c:pt>
                <c:pt idx="3051">
                  <c:v>-3.1906148687150934E-3</c:v>
                </c:pt>
                <c:pt idx="3052">
                  <c:v>-6.8461247831651702E-3</c:v>
                </c:pt>
                <c:pt idx="3053">
                  <c:v>-1.4806296651459158E-4</c:v>
                </c:pt>
                <c:pt idx="3054">
                  <c:v>5.8965393464430009E-4</c:v>
                </c:pt>
                <c:pt idx="3055">
                  <c:v>1.4415550862703345E-2</c:v>
                </c:pt>
                <c:pt idx="3056">
                  <c:v>4.4875322121770127E-3</c:v>
                </c:pt>
                <c:pt idx="3057">
                  <c:v>-1.3974651727330836E-3</c:v>
                </c:pt>
                <c:pt idx="3058">
                  <c:v>-3.0016902994701989E-2</c:v>
                </c:pt>
                <c:pt idx="3059">
                  <c:v>-1.3920739022410665E-3</c:v>
                </c:pt>
                <c:pt idx="3060">
                  <c:v>1.7379927689412964E-2</c:v>
                </c:pt>
                <c:pt idx="3061">
                  <c:v>-7.1632908018985624E-3</c:v>
                </c:pt>
                <c:pt idx="3062">
                  <c:v>-4.1899762493746414E-3</c:v>
                </c:pt>
                <c:pt idx="3063">
                  <c:v>2.6247182748990846E-2</c:v>
                </c:pt>
                <c:pt idx="3064">
                  <c:v>-4.287058598541398E-4</c:v>
                </c:pt>
                <c:pt idx="3065">
                  <c:v>2.4083708133205043E-2</c:v>
                </c:pt>
                <c:pt idx="3066">
                  <c:v>-2.0912730419477017E-2</c:v>
                </c:pt>
                <c:pt idx="3067">
                  <c:v>2.1614275761031427E-3</c:v>
                </c:pt>
                <c:pt idx="3068">
                  <c:v>9.7501623688091513E-3</c:v>
                </c:pt>
                <c:pt idx="3069">
                  <c:v>9.0247895786194458E-3</c:v>
                </c:pt>
                <c:pt idx="3070">
                  <c:v>9.6891294286433737E-3</c:v>
                </c:pt>
                <c:pt idx="3071">
                  <c:v>-1.4672175660612593E-3</c:v>
                </c:pt>
                <c:pt idx="3072">
                  <c:v>-1.3809154506198433E-2</c:v>
                </c:pt>
                <c:pt idx="3073">
                  <c:v>-2.8649936898040278E-3</c:v>
                </c:pt>
                <c:pt idx="3074">
                  <c:v>-5.2482795197784373E-4</c:v>
                </c:pt>
                <c:pt idx="3075">
                  <c:v>-1.683693058160903E-3</c:v>
                </c:pt>
                <c:pt idx="3076">
                  <c:v>9.1105584065217168E-3</c:v>
                </c:pt>
                <c:pt idx="3077">
                  <c:v>-7.4030035558618349E-3</c:v>
                </c:pt>
                <c:pt idx="3078">
                  <c:v>-2.3507331778781599E-3</c:v>
                </c:pt>
                <c:pt idx="3079">
                  <c:v>-6.1297119763916285E-3</c:v>
                </c:pt>
                <c:pt idx="3080">
                  <c:v>1.8116865226526117E-2</c:v>
                </c:pt>
                <c:pt idx="3081">
                  <c:v>-2.0250057190136753E-3</c:v>
                </c:pt>
                <c:pt idx="3082">
                  <c:v>3.8076825904879573E-3</c:v>
                </c:pt>
                <c:pt idx="3083">
                  <c:v>-7.1070879672030674E-3</c:v>
                </c:pt>
                <c:pt idx="3084">
                  <c:v>1.097082840109162E-2</c:v>
                </c:pt>
                <c:pt idx="3085">
                  <c:v>-1.4192960602279101E-2</c:v>
                </c:pt>
                <c:pt idx="3086">
                  <c:v>-1.9770259189478202E-2</c:v>
                </c:pt>
                <c:pt idx="3087">
                  <c:v>2.2705399431219141E-3</c:v>
                </c:pt>
                <c:pt idx="3088">
                  <c:v>-6.6342257581951461E-3</c:v>
                </c:pt>
                <c:pt idx="3089">
                  <c:v>-1.8550243651893526E-2</c:v>
                </c:pt>
                <c:pt idx="3090">
                  <c:v>-1.2820287220412455E-2</c:v>
                </c:pt>
                <c:pt idx="3091">
                  <c:v>4.6002519507105594E-3</c:v>
                </c:pt>
                <c:pt idx="3092">
                  <c:v>1.6350846168913503E-2</c:v>
                </c:pt>
                <c:pt idx="3093">
                  <c:v>3.649944697435497E-3</c:v>
                </c:pt>
                <c:pt idx="3094">
                  <c:v>-2.4800110224712638E-2</c:v>
                </c:pt>
                <c:pt idx="3095">
                  <c:v>1.807606093450391E-2</c:v>
                </c:pt>
                <c:pt idx="3096">
                  <c:v>-1.0064110655316693E-2</c:v>
                </c:pt>
                <c:pt idx="3097">
                  <c:v>-3.2646917439651896E-2</c:v>
                </c:pt>
                <c:pt idx="3098">
                  <c:v>1.4307408282499486E-2</c:v>
                </c:pt>
                <c:pt idx="3099">
                  <c:v>7.3165612962969358E-3</c:v>
                </c:pt>
                <c:pt idx="3100">
                  <c:v>2.1928186766070838E-2</c:v>
                </c:pt>
                <c:pt idx="3101">
                  <c:v>1.677295096092029E-2</c:v>
                </c:pt>
                <c:pt idx="3102">
                  <c:v>-1.0206838851211894E-2</c:v>
                </c:pt>
                <c:pt idx="3103">
                  <c:v>2.9289852903370654E-3</c:v>
                </c:pt>
                <c:pt idx="3104">
                  <c:v>4.3262388682863157E-3</c:v>
                </c:pt>
                <c:pt idx="3105">
                  <c:v>5.848474732300944E-3</c:v>
                </c:pt>
                <c:pt idx="3106">
                  <c:v>-2.459243486932927E-3</c:v>
                </c:pt>
                <c:pt idx="3107">
                  <c:v>6.840763945298688E-3</c:v>
                </c:pt>
                <c:pt idx="3108">
                  <c:v>1.7331846257794294E-2</c:v>
                </c:pt>
                <c:pt idx="3109">
                  <c:v>-4.9496514880245212E-3</c:v>
                </c:pt>
                <c:pt idx="3110">
                  <c:v>-1.8567802854895787E-3</c:v>
                </c:pt>
                <c:pt idx="3111">
                  <c:v>1.2135348007108094E-2</c:v>
                </c:pt>
                <c:pt idx="3112">
                  <c:v>8.6590392985415338E-3</c:v>
                </c:pt>
                <c:pt idx="3113">
                  <c:v>3.4450617338805641E-3</c:v>
                </c:pt>
                <c:pt idx="3114">
                  <c:v>-8.2082430449958825E-3</c:v>
                </c:pt>
                <c:pt idx="3115">
                  <c:v>7.370842204145734E-3</c:v>
                </c:pt>
                <c:pt idx="3116">
                  <c:v>3.7330148260884762E-4</c:v>
                </c:pt>
                <c:pt idx="3117">
                  <c:v>-2.6768524445742788E-3</c:v>
                </c:pt>
                <c:pt idx="3118">
                  <c:v>-3.4370096952841434E-2</c:v>
                </c:pt>
                <c:pt idx="3119">
                  <c:v>1.1080842890672168E-3</c:v>
                </c:pt>
                <c:pt idx="3120">
                  <c:v>-3.8861062635757097E-3</c:v>
                </c:pt>
                <c:pt idx="3121">
                  <c:v>6.1468511947882004E-3</c:v>
                </c:pt>
                <c:pt idx="3122">
                  <c:v>1.8906205796823054E-2</c:v>
                </c:pt>
                <c:pt idx="3123">
                  <c:v>1.1995586495272376E-3</c:v>
                </c:pt>
                <c:pt idx="3124">
                  <c:v>-1.5784164923905992E-3</c:v>
                </c:pt>
                <c:pt idx="3125">
                  <c:v>9.4403810633279257E-3</c:v>
                </c:pt>
                <c:pt idx="3126">
                  <c:v>1.1179582799211848E-2</c:v>
                </c:pt>
                <c:pt idx="3127">
                  <c:v>1.9182000465021207E-2</c:v>
                </c:pt>
                <c:pt idx="3128">
                  <c:v>1.1782207956495038E-3</c:v>
                </c:pt>
                <c:pt idx="3129">
                  <c:v>2.2388848538574149E-3</c:v>
                </c:pt>
                <c:pt idx="3130">
                  <c:v>1.3020148780268035E-2</c:v>
                </c:pt>
                <c:pt idx="3131">
                  <c:v>-4.5371192004793979E-3</c:v>
                </c:pt>
                <c:pt idx="3132">
                  <c:v>-1.4358764462646975E-3</c:v>
                </c:pt>
                <c:pt idx="3133">
                  <c:v>9.1135648488797003E-3</c:v>
                </c:pt>
                <c:pt idx="3134">
                  <c:v>-4.7022275656934875E-3</c:v>
                </c:pt>
                <c:pt idx="3135">
                  <c:v>7.3010963145932369E-3</c:v>
                </c:pt>
                <c:pt idx="3136">
                  <c:v>2.6764969005814445E-3</c:v>
                </c:pt>
                <c:pt idx="3137">
                  <c:v>1.5262166107985788E-3</c:v>
                </c:pt>
                <c:pt idx="3138">
                  <c:v>-1.311282785323015E-2</c:v>
                </c:pt>
                <c:pt idx="3139">
                  <c:v>2.1643673769635354E-2</c:v>
                </c:pt>
                <c:pt idx="3140">
                  <c:v>5.5691158529452243E-3</c:v>
                </c:pt>
                <c:pt idx="3141">
                  <c:v>3.2381978195845248E-3</c:v>
                </c:pt>
                <c:pt idx="3142">
                  <c:v>1.463030889181921E-2</c:v>
                </c:pt>
                <c:pt idx="3143">
                  <c:v>-2.8293245054381985E-3</c:v>
                </c:pt>
                <c:pt idx="3144">
                  <c:v>-1.4473269164483838E-2</c:v>
                </c:pt>
                <c:pt idx="3145">
                  <c:v>1.4494798802184027E-2</c:v>
                </c:pt>
                <c:pt idx="3146">
                  <c:v>-2.5083716897060026E-2</c:v>
                </c:pt>
                <c:pt idx="3147">
                  <c:v>-2.5309334303043403E-3</c:v>
                </c:pt>
                <c:pt idx="3148">
                  <c:v>9.025870348215772E-4</c:v>
                </c:pt>
                <c:pt idx="3149">
                  <c:v>-9.828389226131079E-3</c:v>
                </c:pt>
                <c:pt idx="3150">
                  <c:v>-1.3436901643309159E-2</c:v>
                </c:pt>
                <c:pt idx="3151">
                  <c:v>-7.127490885080039E-3</c:v>
                </c:pt>
                <c:pt idx="3152">
                  <c:v>-7.4312360941452141E-3</c:v>
                </c:pt>
                <c:pt idx="3153">
                  <c:v>1.3249698802202399E-2</c:v>
                </c:pt>
                <c:pt idx="3154">
                  <c:v>4.3033773133732437E-3</c:v>
                </c:pt>
                <c:pt idx="3155">
                  <c:v>-3.6514494996150788E-2</c:v>
                </c:pt>
                <c:pt idx="3156">
                  <c:v>-2.4785473225495635E-2</c:v>
                </c:pt>
                <c:pt idx="3157">
                  <c:v>1.6286485609307677E-2</c:v>
                </c:pt>
                <c:pt idx="3158">
                  <c:v>3.4261457131079236E-3</c:v>
                </c:pt>
                <c:pt idx="3159">
                  <c:v>-8.9671653424231029E-3</c:v>
                </c:pt>
                <c:pt idx="3160">
                  <c:v>-1.0865431046309111E-2</c:v>
                </c:pt>
                <c:pt idx="3161">
                  <c:v>-2.9677141923212494E-3</c:v>
                </c:pt>
                <c:pt idx="3162">
                  <c:v>-2.0884246285557708E-2</c:v>
                </c:pt>
                <c:pt idx="3163">
                  <c:v>-3.3201024472804937E-2</c:v>
                </c:pt>
                <c:pt idx="3164">
                  <c:v>1.1223428347689251E-2</c:v>
                </c:pt>
                <c:pt idx="3165">
                  <c:v>-2.9559286591493393E-3</c:v>
                </c:pt>
                <c:pt idx="3166">
                  <c:v>1.0633106106016289E-2</c:v>
                </c:pt>
                <c:pt idx="3167">
                  <c:v>8.2369557689297972E-3</c:v>
                </c:pt>
                <c:pt idx="3168">
                  <c:v>1.9438176314374054E-3</c:v>
                </c:pt>
                <c:pt idx="3169">
                  <c:v>1.7542206901835528E-2</c:v>
                </c:pt>
                <c:pt idx="3170">
                  <c:v>6.8622674504931914E-3</c:v>
                </c:pt>
                <c:pt idx="3171">
                  <c:v>1.1754026555574719E-2</c:v>
                </c:pt>
                <c:pt idx="3172">
                  <c:v>-6.0991591790636153E-3</c:v>
                </c:pt>
                <c:pt idx="3173">
                  <c:v>7.2860154221892374E-3</c:v>
                </c:pt>
                <c:pt idx="3174">
                  <c:v>7.7264162150484667E-3</c:v>
                </c:pt>
                <c:pt idx="3175">
                  <c:v>-1.5532718609842266E-3</c:v>
                </c:pt>
                <c:pt idx="3176">
                  <c:v>-2.0461016931113421E-2</c:v>
                </c:pt>
                <c:pt idx="3177">
                  <c:v>2.9782958102230078E-3</c:v>
                </c:pt>
                <c:pt idx="3178">
                  <c:v>-7.9481870140668664E-3</c:v>
                </c:pt>
                <c:pt idx="3179">
                  <c:v>8.4536694320974475E-4</c:v>
                </c:pt>
                <c:pt idx="3180">
                  <c:v>-7.8586391441681225E-3</c:v>
                </c:pt>
                <c:pt idx="3181">
                  <c:v>6.1186822283440983E-3</c:v>
                </c:pt>
                <c:pt idx="3182">
                  <c:v>9.6838563091867936E-3</c:v>
                </c:pt>
                <c:pt idx="3183">
                  <c:v>-1.8632445533867583E-2</c:v>
                </c:pt>
                <c:pt idx="3184">
                  <c:v>-1.3199382353614628E-3</c:v>
                </c:pt>
                <c:pt idx="3185">
                  <c:v>-1.2480738008058513E-3</c:v>
                </c:pt>
                <c:pt idx="3186">
                  <c:v>-1.6515480425787401E-2</c:v>
                </c:pt>
                <c:pt idx="3187">
                  <c:v>9.9577893285387378E-3</c:v>
                </c:pt>
                <c:pt idx="3188">
                  <c:v>2.0685512878998811E-2</c:v>
                </c:pt>
                <c:pt idx="3189">
                  <c:v>2.1116959547230717E-2</c:v>
                </c:pt>
                <c:pt idx="3190">
                  <c:v>9.3170645532701171E-3</c:v>
                </c:pt>
                <c:pt idx="3191">
                  <c:v>8.3727473259183182E-3</c:v>
                </c:pt>
                <c:pt idx="3192">
                  <c:v>1.7391146990691372E-3</c:v>
                </c:pt>
                <c:pt idx="3193">
                  <c:v>8.7955708290900353E-3</c:v>
                </c:pt>
                <c:pt idx="3194">
                  <c:v>-1.002519302051989E-2</c:v>
                </c:pt>
                <c:pt idx="3195">
                  <c:v>1.8127565647296499E-2</c:v>
                </c:pt>
                <c:pt idx="3196">
                  <c:v>-7.8283940299284129E-3</c:v>
                </c:pt>
                <c:pt idx="3197">
                  <c:v>-4.0505496857907849E-3</c:v>
                </c:pt>
                <c:pt idx="3198">
                  <c:v>-1.0060982216619852E-2</c:v>
                </c:pt>
                <c:pt idx="3199">
                  <c:v>6.8267750823187215E-3</c:v>
                </c:pt>
                <c:pt idx="3200">
                  <c:v>-1.8544850068475784E-3</c:v>
                </c:pt>
                <c:pt idx="3201">
                  <c:v>-7.656171342102956E-3</c:v>
                </c:pt>
                <c:pt idx="3202">
                  <c:v>5.3116788925790977E-3</c:v>
                </c:pt>
                <c:pt idx="3203">
                  <c:v>-2.2584529713689992E-2</c:v>
                </c:pt>
                <c:pt idx="3204">
                  <c:v>-8.4985567961888293E-3</c:v>
                </c:pt>
                <c:pt idx="3205">
                  <c:v>-1.4158571123850489E-3</c:v>
                </c:pt>
                <c:pt idx="3206">
                  <c:v>-1.1529154510097706E-3</c:v>
                </c:pt>
                <c:pt idx="3207">
                  <c:v>-1.5794956933914424E-2</c:v>
                </c:pt>
                <c:pt idx="3208">
                  <c:v>1.2545690707546511E-2</c:v>
                </c:pt>
                <c:pt idx="3209">
                  <c:v>6.6080278214264493E-3</c:v>
                </c:pt>
                <c:pt idx="3210">
                  <c:v>-3.8887301225149135E-3</c:v>
                </c:pt>
                <c:pt idx="3211">
                  <c:v>1.153526269484376E-3</c:v>
                </c:pt>
                <c:pt idx="3212">
                  <c:v>6.7523172966243213E-3</c:v>
                </c:pt>
                <c:pt idx="3213">
                  <c:v>-9.5430923271628686E-4</c:v>
                </c:pt>
                <c:pt idx="3214">
                  <c:v>-6.2770776669568611E-3</c:v>
                </c:pt>
                <c:pt idx="3215">
                  <c:v>1.4413298339546853E-3</c:v>
                </c:pt>
                <c:pt idx="3216">
                  <c:v>3.449301498529241E-3</c:v>
                </c:pt>
                <c:pt idx="3217">
                  <c:v>1.4797648485748414E-3</c:v>
                </c:pt>
                <c:pt idx="3218">
                  <c:v>2.063300834302122E-2</c:v>
                </c:pt>
                <c:pt idx="3219">
                  <c:v>-6.8296894855142077E-3</c:v>
                </c:pt>
                <c:pt idx="3220">
                  <c:v>3.0673616447486255E-4</c:v>
                </c:pt>
                <c:pt idx="3221">
                  <c:v>8.0195265887459798E-3</c:v>
                </c:pt>
                <c:pt idx="3222">
                  <c:v>-3.6505076100803928E-3</c:v>
                </c:pt>
                <c:pt idx="3223">
                  <c:v>1.248579229135419E-2</c:v>
                </c:pt>
                <c:pt idx="3224">
                  <c:v>1.3422151807628848E-3</c:v>
                </c:pt>
                <c:pt idx="3225">
                  <c:v>-6.2437560430644787E-2</c:v>
                </c:pt>
                <c:pt idx="3226">
                  <c:v>9.844415329464359E-3</c:v>
                </c:pt>
                <c:pt idx="3227">
                  <c:v>-4.6647514695340436E-3</c:v>
                </c:pt>
                <c:pt idx="3228">
                  <c:v>7.3178033019771754E-3</c:v>
                </c:pt>
                <c:pt idx="3229">
                  <c:v>2.0972383619961333E-2</c:v>
                </c:pt>
                <c:pt idx="3230">
                  <c:v>1.2416013589840156E-2</c:v>
                </c:pt>
                <c:pt idx="3231">
                  <c:v>-6.815769712501028E-3</c:v>
                </c:pt>
                <c:pt idx="3232">
                  <c:v>-1.0778877258388199E-2</c:v>
                </c:pt>
                <c:pt idx="3233">
                  <c:v>1.193780856441874E-2</c:v>
                </c:pt>
                <c:pt idx="3234">
                  <c:v>5.1173363608285494E-3</c:v>
                </c:pt>
                <c:pt idx="3235">
                  <c:v>3.96525399962011E-3</c:v>
                </c:pt>
                <c:pt idx="3236">
                  <c:v>-2.8247264933234418E-2</c:v>
                </c:pt>
                <c:pt idx="3237">
                  <c:v>1.8284892321546358E-3</c:v>
                </c:pt>
                <c:pt idx="3238">
                  <c:v>4.8708810498834998E-3</c:v>
                </c:pt>
                <c:pt idx="3239">
                  <c:v>-5.5193949752797098E-3</c:v>
                </c:pt>
                <c:pt idx="3240">
                  <c:v>-4.3261338965792356E-3</c:v>
                </c:pt>
                <c:pt idx="3241">
                  <c:v>9.9534483640226559E-3</c:v>
                </c:pt>
                <c:pt idx="3242">
                  <c:v>4.2833791665618029E-3</c:v>
                </c:pt>
                <c:pt idx="3243">
                  <c:v>2.1730229857498513E-2</c:v>
                </c:pt>
                <c:pt idx="3244">
                  <c:v>-1.1751292717967056E-2</c:v>
                </c:pt>
                <c:pt idx="3245">
                  <c:v>1.1105205228955624E-3</c:v>
                </c:pt>
                <c:pt idx="3246">
                  <c:v>1.760262668697498E-2</c:v>
                </c:pt>
                <c:pt idx="3247">
                  <c:v>5.103342800221258E-4</c:v>
                </c:pt>
                <c:pt idx="3248">
                  <c:v>1.432181233961893E-2</c:v>
                </c:pt>
                <c:pt idx="3249">
                  <c:v>1.1817782189859459E-2</c:v>
                </c:pt>
                <c:pt idx="3250">
                  <c:v>2.1440105708975103E-3</c:v>
                </c:pt>
                <c:pt idx="3251">
                  <c:v>5.5081693688085664E-3</c:v>
                </c:pt>
                <c:pt idx="3252">
                  <c:v>-6.0493803415409345E-3</c:v>
                </c:pt>
                <c:pt idx="3253">
                  <c:v>1.2686202056882959E-2</c:v>
                </c:pt>
                <c:pt idx="3254">
                  <c:v>1.2687108707523317E-3</c:v>
                </c:pt>
                <c:pt idx="3255">
                  <c:v>-5.106887541648961E-3</c:v>
                </c:pt>
                <c:pt idx="3256">
                  <c:v>9.6122494321048465E-3</c:v>
                </c:pt>
                <c:pt idx="3257">
                  <c:v>6.3352124031293821E-3</c:v>
                </c:pt>
                <c:pt idx="3258">
                  <c:v>-3.8284655330873545E-2</c:v>
                </c:pt>
                <c:pt idx="3259">
                  <c:v>-8.2340298790001861E-4</c:v>
                </c:pt>
                <c:pt idx="3260">
                  <c:v>-9.8439850903452616E-4</c:v>
                </c:pt>
                <c:pt idx="3261">
                  <c:v>-3.0968654675452034E-3</c:v>
                </c:pt>
                <c:pt idx="3262">
                  <c:v>9.3302604638468636E-3</c:v>
                </c:pt>
                <c:pt idx="3263">
                  <c:v>-2.780818713948305E-3</c:v>
                </c:pt>
                <c:pt idx="3264">
                  <c:v>-1.7453012547246734E-2</c:v>
                </c:pt>
                <c:pt idx="3265">
                  <c:v>-1.3327918947873099E-2</c:v>
                </c:pt>
                <c:pt idx="3266">
                  <c:v>-7.8693114611669106E-3</c:v>
                </c:pt>
                <c:pt idx="3267">
                  <c:v>-6.9517468800784493E-3</c:v>
                </c:pt>
                <c:pt idx="3268">
                  <c:v>1.1331229526454522E-2</c:v>
                </c:pt>
                <c:pt idx="3269">
                  <c:v>1.057340677577758E-2</c:v>
                </c:pt>
                <c:pt idx="3270">
                  <c:v>-1.2890959721518212E-2</c:v>
                </c:pt>
                <c:pt idx="3271">
                  <c:v>5.1716313770938417E-3</c:v>
                </c:pt>
                <c:pt idx="3272">
                  <c:v>-1.3301757460344052E-2</c:v>
                </c:pt>
                <c:pt idx="3273">
                  <c:v>-4.209827539218081E-3</c:v>
                </c:pt>
                <c:pt idx="3274">
                  <c:v>-3.6500772941136213E-3</c:v>
                </c:pt>
                <c:pt idx="3275">
                  <c:v>2.5275104928999953E-2</c:v>
                </c:pt>
                <c:pt idx="3276">
                  <c:v>-4.066336151107945E-3</c:v>
                </c:pt>
                <c:pt idx="3277">
                  <c:v>1.0426401549097972E-2</c:v>
                </c:pt>
                <c:pt idx="3278">
                  <c:v>-1.236108515119177E-3</c:v>
                </c:pt>
                <c:pt idx="3279">
                  <c:v>4.0476543960597577E-2</c:v>
                </c:pt>
                <c:pt idx="3280">
                  <c:v>1.142332498144708E-3</c:v>
                </c:pt>
                <c:pt idx="3281">
                  <c:v>-5.9499260591469177E-3</c:v>
                </c:pt>
                <c:pt idx="3282">
                  <c:v>-2.1625663507153406E-2</c:v>
                </c:pt>
                <c:pt idx="3283">
                  <c:v>2.8671896910612688E-2</c:v>
                </c:pt>
                <c:pt idx="3284">
                  <c:v>-1.0949712000212162E-2</c:v>
                </c:pt>
                <c:pt idx="3285">
                  <c:v>-6.3801786285843556E-2</c:v>
                </c:pt>
                <c:pt idx="3286">
                  <c:v>1.6866453868067421E-4</c:v>
                </c:pt>
                <c:pt idx="3287">
                  <c:v>-1.0024539745451297E-2</c:v>
                </c:pt>
                <c:pt idx="3288">
                  <c:v>3.5224562408462663E-3</c:v>
                </c:pt>
                <c:pt idx="3289">
                  <c:v>2.2285211364244705E-3</c:v>
                </c:pt>
                <c:pt idx="3290">
                  <c:v>6.1029485899084931E-3</c:v>
                </c:pt>
                <c:pt idx="3291">
                  <c:v>-1.4705256691303348E-2</c:v>
                </c:pt>
                <c:pt idx="3292">
                  <c:v>6.0099697912124102E-3</c:v>
                </c:pt>
                <c:pt idx="3293">
                  <c:v>-1.8939859484906557E-3</c:v>
                </c:pt>
                <c:pt idx="3294">
                  <c:v>-5.8502506949169517E-3</c:v>
                </c:pt>
                <c:pt idx="3295">
                  <c:v>3.6604155172889801E-3</c:v>
                </c:pt>
                <c:pt idx="3296">
                  <c:v>-5.15282530167358E-3</c:v>
                </c:pt>
                <c:pt idx="3297">
                  <c:v>2.9581842198776473E-3</c:v>
                </c:pt>
                <c:pt idx="3298">
                  <c:v>1.24454245210562E-2</c:v>
                </c:pt>
                <c:pt idx="3299">
                  <c:v>3.2735617150155796E-3</c:v>
                </c:pt>
                <c:pt idx="3300">
                  <c:v>-1.9215963572431702E-2</c:v>
                </c:pt>
                <c:pt idx="3301">
                  <c:v>-1.0366869909726645E-2</c:v>
                </c:pt>
                <c:pt idx="3302">
                  <c:v>-1.5214160528267129E-2</c:v>
                </c:pt>
                <c:pt idx="3303">
                  <c:v>4.5886017600314973E-3</c:v>
                </c:pt>
                <c:pt idx="3304">
                  <c:v>-1.8176351770294481E-2</c:v>
                </c:pt>
                <c:pt idx="3305">
                  <c:v>1.1298124030447871E-2</c:v>
                </c:pt>
                <c:pt idx="3306">
                  <c:v>-2.1643662002385777E-2</c:v>
                </c:pt>
                <c:pt idx="3307">
                  <c:v>3.0884056351513414E-4</c:v>
                </c:pt>
                <c:pt idx="3308">
                  <c:v>3.1435031360360591E-2</c:v>
                </c:pt>
                <c:pt idx="3309">
                  <c:v>-1.035213716623464E-2</c:v>
                </c:pt>
                <c:pt idx="3310">
                  <c:v>-9.0610592102421551E-3</c:v>
                </c:pt>
                <c:pt idx="3311">
                  <c:v>-3.400588826385554E-2</c:v>
                </c:pt>
                <c:pt idx="3312">
                  <c:v>7.625458883061385E-4</c:v>
                </c:pt>
                <c:pt idx="3313">
                  <c:v>7.3849390254533617E-3</c:v>
                </c:pt>
                <c:pt idx="3314">
                  <c:v>-1.1810540938027794E-2</c:v>
                </c:pt>
                <c:pt idx="3315">
                  <c:v>2.5518437327532274E-2</c:v>
                </c:pt>
                <c:pt idx="3316">
                  <c:v>3.6023982068814872E-4</c:v>
                </c:pt>
                <c:pt idx="3317">
                  <c:v>-1.3416067172103214E-2</c:v>
                </c:pt>
                <c:pt idx="3318">
                  <c:v>1.1149543768397812E-2</c:v>
                </c:pt>
                <c:pt idx="3319">
                  <c:v>-2.5301436057094781E-3</c:v>
                </c:pt>
                <c:pt idx="3320">
                  <c:v>1.1361129784403443E-2</c:v>
                </c:pt>
                <c:pt idx="3321">
                  <c:v>4.6408528610601728E-3</c:v>
                </c:pt>
                <c:pt idx="3322">
                  <c:v>5.2775926820471525E-3</c:v>
                </c:pt>
                <c:pt idx="3323">
                  <c:v>-1.3220933088235803E-2</c:v>
                </c:pt>
                <c:pt idx="3324">
                  <c:v>1.5630007665987881E-3</c:v>
                </c:pt>
                <c:pt idx="3325">
                  <c:v>-3.0624452542713034E-2</c:v>
                </c:pt>
                <c:pt idx="3326">
                  <c:v>-9.0428757668499331E-3</c:v>
                </c:pt>
                <c:pt idx="3327">
                  <c:v>1.7952381606929239E-2</c:v>
                </c:pt>
                <c:pt idx="3328">
                  <c:v>-1.308335406730681E-4</c:v>
                </c:pt>
                <c:pt idx="3329">
                  <c:v>-2.3913751277569985E-2</c:v>
                </c:pt>
                <c:pt idx="3330">
                  <c:v>-3.6213794122753933E-2</c:v>
                </c:pt>
                <c:pt idx="3331">
                  <c:v>-5.5176397472896594E-3</c:v>
                </c:pt>
                <c:pt idx="3332">
                  <c:v>-9.2642643448515635E-3</c:v>
                </c:pt>
                <c:pt idx="3333">
                  <c:v>9.6524776638358664E-2</c:v>
                </c:pt>
                <c:pt idx="3334">
                  <c:v>-2.3684772146975341E-2</c:v>
                </c:pt>
                <c:pt idx="3335">
                  <c:v>1.8446872786182199E-2</c:v>
                </c:pt>
                <c:pt idx="3336">
                  <c:v>-1.6489324324636817E-3</c:v>
                </c:pt>
                <c:pt idx="3337">
                  <c:v>-5.3778861159995183E-3</c:v>
                </c:pt>
                <c:pt idx="3338">
                  <c:v>-3.7292725613748225E-2</c:v>
                </c:pt>
                <c:pt idx="3339">
                  <c:v>-1.0359983921511193E-2</c:v>
                </c:pt>
                <c:pt idx="3340">
                  <c:v>-2.3828338839030391E-2</c:v>
                </c:pt>
                <c:pt idx="3341">
                  <c:v>2.1214670049209856E-2</c:v>
                </c:pt>
                <c:pt idx="3342">
                  <c:v>2.0426770322138518E-2</c:v>
                </c:pt>
                <c:pt idx="3343">
                  <c:v>3.3901551675681416E-2</c:v>
                </c:pt>
                <c:pt idx="3344">
                  <c:v>1.1679526978167121E-2</c:v>
                </c:pt>
                <c:pt idx="3345">
                  <c:v>-1.7624300547992623E-3</c:v>
                </c:pt>
                <c:pt idx="3346">
                  <c:v>7.3357435434040783E-3</c:v>
                </c:pt>
                <c:pt idx="3347">
                  <c:v>3.0913492248099282E-3</c:v>
                </c:pt>
                <c:pt idx="3348">
                  <c:v>7.3486126553848397E-2</c:v>
                </c:pt>
                <c:pt idx="3349">
                  <c:v>2.2959599411533093E-2</c:v>
                </c:pt>
                <c:pt idx="3350">
                  <c:v>2.0425734337741314E-3</c:v>
                </c:pt>
                <c:pt idx="3351">
                  <c:v>-6.5786684335278952E-3</c:v>
                </c:pt>
                <c:pt idx="3352">
                  <c:v>9.2308402438027751E-5</c:v>
                </c:pt>
                <c:pt idx="3353">
                  <c:v>1.1061247347841878E-2</c:v>
                </c:pt>
                <c:pt idx="3354">
                  <c:v>1.2772267673115025E-3</c:v>
                </c:pt>
                <c:pt idx="3355">
                  <c:v>2.3717595041516697E-2</c:v>
                </c:pt>
                <c:pt idx="3356">
                  <c:v>-2.6714158662880427E-4</c:v>
                </c:pt>
                <c:pt idx="3357">
                  <c:v>8.4250232291931838E-3</c:v>
                </c:pt>
                <c:pt idx="3358">
                  <c:v>4.1939365122980522E-4</c:v>
                </c:pt>
                <c:pt idx="3359">
                  <c:v>2.5126748948330183E-3</c:v>
                </c:pt>
                <c:pt idx="3360">
                  <c:v>1.0075210618417079E-2</c:v>
                </c:pt>
                <c:pt idx="3361">
                  <c:v>-1.5266512604802495E-3</c:v>
                </c:pt>
                <c:pt idx="3362">
                  <c:v>-1.2297846975223624E-2</c:v>
                </c:pt>
                <c:pt idx="3363">
                  <c:v>5.0472319879030173E-3</c:v>
                </c:pt>
                <c:pt idx="3364">
                  <c:v>-1.0342176510575202E-2</c:v>
                </c:pt>
                <c:pt idx="3365">
                  <c:v>2.3077862821184108E-2</c:v>
                </c:pt>
                <c:pt idx="3366">
                  <c:v>-7.254538651160704E-3</c:v>
                </c:pt>
                <c:pt idx="3367">
                  <c:v>2.8819722143877146E-3</c:v>
                </c:pt>
                <c:pt idx="3368">
                  <c:v>3.6559929301866012E-3</c:v>
                </c:pt>
                <c:pt idx="3369">
                  <c:v>3.4911618081408594E-3</c:v>
                </c:pt>
                <c:pt idx="3370">
                  <c:v>2.1623032621133197E-3</c:v>
                </c:pt>
                <c:pt idx="3371">
                  <c:v>1.9420833862943819E-3</c:v>
                </c:pt>
                <c:pt idx="3372">
                  <c:v>8.1799608060967484E-3</c:v>
                </c:pt>
                <c:pt idx="3373">
                  <c:v>5.7565773108050828E-3</c:v>
                </c:pt>
                <c:pt idx="3374">
                  <c:v>5.0258288648259248E-3</c:v>
                </c:pt>
                <c:pt idx="3375">
                  <c:v>-3.878479328570745E-3</c:v>
                </c:pt>
                <c:pt idx="3376">
                  <c:v>3.6034547332919114E-3</c:v>
                </c:pt>
                <c:pt idx="3377">
                  <c:v>1.3137478884932047E-2</c:v>
                </c:pt>
                <c:pt idx="3378">
                  <c:v>-8.1985718657999838E-3</c:v>
                </c:pt>
                <c:pt idx="3379">
                  <c:v>8.7622403184230927E-3</c:v>
                </c:pt>
                <c:pt idx="3380">
                  <c:v>-2.2984192821627544E-3</c:v>
                </c:pt>
                <c:pt idx="3381">
                  <c:v>4.5915679449073828E-3</c:v>
                </c:pt>
                <c:pt idx="3382">
                  <c:v>-5.9312650388580251E-3</c:v>
                </c:pt>
                <c:pt idx="3383">
                  <c:v>1.7853909995764E-2</c:v>
                </c:pt>
                <c:pt idx="3384">
                  <c:v>8.4212318060332414E-3</c:v>
                </c:pt>
                <c:pt idx="3385">
                  <c:v>4.39749074864165E-3</c:v>
                </c:pt>
                <c:pt idx="3386">
                  <c:v>1.0467702580200092E-2</c:v>
                </c:pt>
                <c:pt idx="3387">
                  <c:v>-3.0400973695640823E-3</c:v>
                </c:pt>
                <c:pt idx="3388">
                  <c:v>2.9596840450329376E-3</c:v>
                </c:pt>
                <c:pt idx="3389">
                  <c:v>-1.0834298365843018E-2</c:v>
                </c:pt>
                <c:pt idx="3390">
                  <c:v>-1.9529269587524277E-3</c:v>
                </c:pt>
                <c:pt idx="3391">
                  <c:v>1.5657992666304153E-2</c:v>
                </c:pt>
                <c:pt idx="3392">
                  <c:v>-2.2477331451158352E-3</c:v>
                </c:pt>
                <c:pt idx="3393">
                  <c:v>-2.2125237820710877E-3</c:v>
                </c:pt>
                <c:pt idx="3394">
                  <c:v>1.3778426809218635E-2</c:v>
                </c:pt>
                <c:pt idx="3395">
                  <c:v>-4.0398466867537551E-3</c:v>
                </c:pt>
                <c:pt idx="3396">
                  <c:v>3.662424475942728E-3</c:v>
                </c:pt>
                <c:pt idx="3397">
                  <c:v>-5.9621998308118768E-4</c:v>
                </c:pt>
                <c:pt idx="3398">
                  <c:v>5.5509440341215939E-3</c:v>
                </c:pt>
                <c:pt idx="3399">
                  <c:v>-3.9547576249049837E-4</c:v>
                </c:pt>
                <c:pt idx="3400">
                  <c:v>1.1953116798728996E-2</c:v>
                </c:pt>
                <c:pt idx="3401">
                  <c:v>-3.2297556825181557E-3</c:v>
                </c:pt>
                <c:pt idx="3402">
                  <c:v>1.9605728794484891E-5</c:v>
                </c:pt>
                <c:pt idx="3403">
                  <c:v>-9.4354259928562771E-3</c:v>
                </c:pt>
                <c:pt idx="3404">
                  <c:v>1.1867794181265449E-3</c:v>
                </c:pt>
                <c:pt idx="3405">
                  <c:v>9.8550096838789375E-3</c:v>
                </c:pt>
                <c:pt idx="3406">
                  <c:v>5.5241749320338734E-3</c:v>
                </c:pt>
                <c:pt idx="3407">
                  <c:v>-2.3581928859426281E-3</c:v>
                </c:pt>
                <c:pt idx="3408">
                  <c:v>1.3657603892189231E-4</c:v>
                </c:pt>
                <c:pt idx="3409">
                  <c:v>1.306284975332303E-3</c:v>
                </c:pt>
                <c:pt idx="3410">
                  <c:v>3.8715498714990526E-2</c:v>
                </c:pt>
                <c:pt idx="3411">
                  <c:v>-1.7757484787532907E-2</c:v>
                </c:pt>
                <c:pt idx="3412">
                  <c:v>2.1760707673090265E-2</c:v>
                </c:pt>
                <c:pt idx="3413">
                  <c:v>-1.4839606898935459E-2</c:v>
                </c:pt>
                <c:pt idx="3414">
                  <c:v>-5.3387163822017046E-3</c:v>
                </c:pt>
                <c:pt idx="3415">
                  <c:v>-7.8410774857006864E-3</c:v>
                </c:pt>
                <c:pt idx="3416">
                  <c:v>2.3013204387992716E-3</c:v>
                </c:pt>
                <c:pt idx="3417">
                  <c:v>-5.1733554195073847E-4</c:v>
                </c:pt>
                <c:pt idx="3418">
                  <c:v>1.4215137416834164E-2</c:v>
                </c:pt>
                <c:pt idx="3419">
                  <c:v>-1.6498440562615617E-2</c:v>
                </c:pt>
                <c:pt idx="3420">
                  <c:v>3.6431309828070797E-3</c:v>
                </c:pt>
                <c:pt idx="3421">
                  <c:v>-4.4310243697106002E-3</c:v>
                </c:pt>
                <c:pt idx="3422">
                  <c:v>-5.9194018225152238E-3</c:v>
                </c:pt>
                <c:pt idx="3423">
                  <c:v>-1.4276635798202614E-2</c:v>
                </c:pt>
                <c:pt idx="3424">
                  <c:v>-7.9764871602762358E-3</c:v>
                </c:pt>
                <c:pt idx="3425">
                  <c:v>-2.9308112388423155E-3</c:v>
                </c:pt>
                <c:pt idx="3426">
                  <c:v>5.9122044339561313E-3</c:v>
                </c:pt>
                <c:pt idx="3427">
                  <c:v>-5.8725415683089253E-3</c:v>
                </c:pt>
                <c:pt idx="3428">
                  <c:v>-4.4122102782564454E-3</c:v>
                </c:pt>
                <c:pt idx="3429">
                  <c:v>9.3182537487059691E-3</c:v>
                </c:pt>
                <c:pt idx="3430">
                  <c:v>5.7065425722285946E-3</c:v>
                </c:pt>
                <c:pt idx="3431">
                  <c:v>-5.8052173697786275E-3</c:v>
                </c:pt>
                <c:pt idx="3432">
                  <c:v>-3.1033519337198886E-3</c:v>
                </c:pt>
                <c:pt idx="3433">
                  <c:v>4.5523371099014061E-4</c:v>
                </c:pt>
                <c:pt idx="3434">
                  <c:v>5.1711321958779078E-3</c:v>
                </c:pt>
                <c:pt idx="3435">
                  <c:v>-2.5864628147859225E-2</c:v>
                </c:pt>
                <c:pt idx="3436">
                  <c:v>6.4438402593897859E-3</c:v>
                </c:pt>
                <c:pt idx="3437">
                  <c:v>4.2142864933734724E-4</c:v>
                </c:pt>
                <c:pt idx="3438">
                  <c:v>3.9247932797739698E-3</c:v>
                </c:pt>
                <c:pt idx="3439">
                  <c:v>1.2782362083138793E-3</c:v>
                </c:pt>
                <c:pt idx="3440">
                  <c:v>1.7588567095604728E-2</c:v>
                </c:pt>
                <c:pt idx="3441">
                  <c:v>1.0651057521778771E-2</c:v>
                </c:pt>
                <c:pt idx="3442">
                  <c:v>-1.2339086658352013E-2</c:v>
                </c:pt>
                <c:pt idx="3443">
                  <c:v>1.923341711194247E-3</c:v>
                </c:pt>
                <c:pt idx="3444">
                  <c:v>-3.0830583985846176E-3</c:v>
                </c:pt>
                <c:pt idx="3445">
                  <c:v>1.8473215755626417E-2</c:v>
                </c:pt>
                <c:pt idx="3446">
                  <c:v>-6.7417291709534486E-3</c:v>
                </c:pt>
                <c:pt idx="3447">
                  <c:v>-1.0198587927461228E-2</c:v>
                </c:pt>
                <c:pt idx="3448">
                  <c:v>1.8050192269559011E-3</c:v>
                </c:pt>
                <c:pt idx="3449">
                  <c:v>-6.134626683067846E-3</c:v>
                </c:pt>
                <c:pt idx="3450">
                  <c:v>8.6992075270243534E-3</c:v>
                </c:pt>
                <c:pt idx="3451">
                  <c:v>6.1205188823731478E-3</c:v>
                </c:pt>
                <c:pt idx="3452">
                  <c:v>6.4888126564672617E-3</c:v>
                </c:pt>
                <c:pt idx="3453">
                  <c:v>3.3922511954726036E-3</c:v>
                </c:pt>
                <c:pt idx="3454">
                  <c:v>-7.668201175168525E-3</c:v>
                </c:pt>
                <c:pt idx="3455">
                  <c:v>3.1168655265446286E-3</c:v>
                </c:pt>
                <c:pt idx="3456">
                  <c:v>2.1455618819687983E-2</c:v>
                </c:pt>
                <c:pt idx="3457">
                  <c:v>-8.7217312169509571E-3</c:v>
                </c:pt>
                <c:pt idx="3458">
                  <c:v>1.6589918281101695E-3</c:v>
                </c:pt>
                <c:pt idx="3459">
                  <c:v>-4.6789295195854624E-3</c:v>
                </c:pt>
                <c:pt idx="3460">
                  <c:v>-2.2142268708887615E-2</c:v>
                </c:pt>
                <c:pt idx="3461">
                  <c:v>6.0292277353936686E-3</c:v>
                </c:pt>
                <c:pt idx="3462">
                  <c:v>-9.3419753393063647E-4</c:v>
                </c:pt>
                <c:pt idx="3463">
                  <c:v>-2.7263875534037593E-4</c:v>
                </c:pt>
                <c:pt idx="3464">
                  <c:v>-3.5510846650801801E-3</c:v>
                </c:pt>
                <c:pt idx="3465">
                  <c:v>3.8431947731934805E-3</c:v>
                </c:pt>
                <c:pt idx="3466">
                  <c:v>6.2307916284104932E-3</c:v>
                </c:pt>
                <c:pt idx="3467">
                  <c:v>1.6820536616067938E-3</c:v>
                </c:pt>
                <c:pt idx="3468">
                  <c:v>5.5480781881667701E-3</c:v>
                </c:pt>
                <c:pt idx="3469">
                  <c:v>3.8420900974708165E-5</c:v>
                </c:pt>
                <c:pt idx="3470">
                  <c:v>5.8419772151516447E-3</c:v>
                </c:pt>
                <c:pt idx="3471">
                  <c:v>1.4993694023049847E-2</c:v>
                </c:pt>
                <c:pt idx="3472">
                  <c:v>1.9654317966919119E-2</c:v>
                </c:pt>
                <c:pt idx="3473">
                  <c:v>-9.5974611010316089E-4</c:v>
                </c:pt>
                <c:pt idx="3474">
                  <c:v>-2.9590563432842814E-2</c:v>
                </c:pt>
                <c:pt idx="3475">
                  <c:v>-1.5236455242090181E-2</c:v>
                </c:pt>
                <c:pt idx="3476">
                  <c:v>-1.507479702586237E-3</c:v>
                </c:pt>
                <c:pt idx="3477">
                  <c:v>-5.2358171115765365E-3</c:v>
                </c:pt>
                <c:pt idx="3478">
                  <c:v>-1.4038547132903064E-2</c:v>
                </c:pt>
                <c:pt idx="3479">
                  <c:v>-2.0035322559120352E-2</c:v>
                </c:pt>
                <c:pt idx="3480">
                  <c:v>-5.6342564272209299E-4</c:v>
                </c:pt>
                <c:pt idx="3481">
                  <c:v>1.8308881829560569E-2</c:v>
                </c:pt>
                <c:pt idx="3482">
                  <c:v>5.2824658650805871E-3</c:v>
                </c:pt>
                <c:pt idx="3483">
                  <c:v>4.8243901302579498E-3</c:v>
                </c:pt>
                <c:pt idx="3484">
                  <c:v>-1.5476980563366001E-2</c:v>
                </c:pt>
                <c:pt idx="3485">
                  <c:v>1.3597059906317998E-2</c:v>
                </c:pt>
                <c:pt idx="3486">
                  <c:v>-5.2865983374461231E-3</c:v>
                </c:pt>
                <c:pt idx="3487">
                  <c:v>-2.73666806960986E-2</c:v>
                </c:pt>
                <c:pt idx="3488">
                  <c:v>-1.359982629189267E-2</c:v>
                </c:pt>
                <c:pt idx="3489">
                  <c:v>-1.8000589599925308E-2</c:v>
                </c:pt>
                <c:pt idx="3490">
                  <c:v>-1.3276719139525063E-2</c:v>
                </c:pt>
                <c:pt idx="3491">
                  <c:v>3.974131134208198E-3</c:v>
                </c:pt>
                <c:pt idx="3492">
                  <c:v>6.2882046129223565E-3</c:v>
                </c:pt>
                <c:pt idx="3493">
                  <c:v>1.7683761423380632E-2</c:v>
                </c:pt>
                <c:pt idx="3494">
                  <c:v>1.3319753757626425E-2</c:v>
                </c:pt>
                <c:pt idx="3495">
                  <c:v>-1.0768941875060578E-2</c:v>
                </c:pt>
                <c:pt idx="3496">
                  <c:v>6.6752914907268592E-3</c:v>
                </c:pt>
                <c:pt idx="3497">
                  <c:v>-2.5359671759571177E-2</c:v>
                </c:pt>
                <c:pt idx="3498">
                  <c:v>6.488855090952381E-3</c:v>
                </c:pt>
                <c:pt idx="3499">
                  <c:v>4.8132873010242813E-3</c:v>
                </c:pt>
                <c:pt idx="3500">
                  <c:v>1.6136998425424685E-2</c:v>
                </c:pt>
                <c:pt idx="3501">
                  <c:v>2.0345059101043159E-3</c:v>
                </c:pt>
                <c:pt idx="3502">
                  <c:v>-2.7737771190968898E-2</c:v>
                </c:pt>
                <c:pt idx="3503">
                  <c:v>1.0207670516877522E-2</c:v>
                </c:pt>
                <c:pt idx="3504">
                  <c:v>-1.0270360546049068E-2</c:v>
                </c:pt>
                <c:pt idx="3505">
                  <c:v>-7.7831200049445952E-3</c:v>
                </c:pt>
                <c:pt idx="3506">
                  <c:v>3.301061649250175E-3</c:v>
                </c:pt>
                <c:pt idx="3507">
                  <c:v>-5.6692319709297919E-4</c:v>
                </c:pt>
                <c:pt idx="3508">
                  <c:v>1.6373660249112808E-2</c:v>
                </c:pt>
                <c:pt idx="3509">
                  <c:v>4.0004177486467774E-3</c:v>
                </c:pt>
                <c:pt idx="3510">
                  <c:v>-2.0600724190560451E-3</c:v>
                </c:pt>
                <c:pt idx="3511">
                  <c:v>3.9721385463826718E-3</c:v>
                </c:pt>
                <c:pt idx="3512">
                  <c:v>2.4003211951340825E-3</c:v>
                </c:pt>
                <c:pt idx="3513">
                  <c:v>-6.3542170565724005E-4</c:v>
                </c:pt>
                <c:pt idx="3514">
                  <c:v>-1.2515261017451839E-3</c:v>
                </c:pt>
                <c:pt idx="3515">
                  <c:v>7.7982314280453015E-4</c:v>
                </c:pt>
                <c:pt idx="3516">
                  <c:v>-7.9497895768508298E-3</c:v>
                </c:pt>
                <c:pt idx="3517">
                  <c:v>-2.2330943826937916E-2</c:v>
                </c:pt>
                <c:pt idx="3518">
                  <c:v>-1.9031708999174405E-4</c:v>
                </c:pt>
                <c:pt idx="3519">
                  <c:v>1.1898895854702338E-2</c:v>
                </c:pt>
                <c:pt idx="3520">
                  <c:v>1.0312156082291911E-2</c:v>
                </c:pt>
                <c:pt idx="3521">
                  <c:v>-1.1148433858863474E-2</c:v>
                </c:pt>
                <c:pt idx="3522">
                  <c:v>2.4441462360174867E-3</c:v>
                </c:pt>
                <c:pt idx="3523">
                  <c:v>-4.3911995785705519E-3</c:v>
                </c:pt>
                <c:pt idx="3524">
                  <c:v>-1.3736566684124953E-2</c:v>
                </c:pt>
                <c:pt idx="3525">
                  <c:v>-2.4279457251365492E-2</c:v>
                </c:pt>
                <c:pt idx="3526">
                  <c:v>-5.9386227542532529E-3</c:v>
                </c:pt>
                <c:pt idx="3527">
                  <c:v>6.9829638264996829E-3</c:v>
                </c:pt>
                <c:pt idx="3528">
                  <c:v>-1.1680178284046685E-2</c:v>
                </c:pt>
                <c:pt idx="3529">
                  <c:v>-2.3169637554241191E-2</c:v>
                </c:pt>
                <c:pt idx="3530">
                  <c:v>1.5705433122423392E-2</c:v>
                </c:pt>
                <c:pt idx="3531">
                  <c:v>3.2300619613673955E-2</c:v>
                </c:pt>
                <c:pt idx="3532">
                  <c:v>9.2499297678758641E-3</c:v>
                </c:pt>
                <c:pt idx="3533">
                  <c:v>2.1665445788558332E-2</c:v>
                </c:pt>
                <c:pt idx="3534">
                  <c:v>2.1824766252281289E-3</c:v>
                </c:pt>
                <c:pt idx="3535">
                  <c:v>-0.10528438819273024</c:v>
                </c:pt>
                <c:pt idx="3536">
                  <c:v>-7.4323962463650724E-3</c:v>
                </c:pt>
                <c:pt idx="3537">
                  <c:v>-1.6212898767266753E-2</c:v>
                </c:pt>
                <c:pt idx="3538">
                  <c:v>-2.9142468295565205E-2</c:v>
                </c:pt>
                <c:pt idx="3539">
                  <c:v>7.2207728325165083E-3</c:v>
                </c:pt>
                <c:pt idx="3540">
                  <c:v>-5.0811810850003587E-2</c:v>
                </c:pt>
                <c:pt idx="3541">
                  <c:v>1.8797498663988291E-2</c:v>
                </c:pt>
                <c:pt idx="3542">
                  <c:v>3.0588829636318773E-2</c:v>
                </c:pt>
                <c:pt idx="3543">
                  <c:v>-7.9819080997138006E-4</c:v>
                </c:pt>
                <c:pt idx="3544">
                  <c:v>-2.1770831965960063E-2</c:v>
                </c:pt>
                <c:pt idx="3545">
                  <c:v>-6.276300976498732E-3</c:v>
                </c:pt>
                <c:pt idx="3546">
                  <c:v>-1.2948853843771802E-3</c:v>
                </c:pt>
                <c:pt idx="3547">
                  <c:v>-1.1175540400305904E-2</c:v>
                </c:pt>
                <c:pt idx="3548">
                  <c:v>6.8804731172922937E-3</c:v>
                </c:pt>
                <c:pt idx="3549">
                  <c:v>-2.8569299937212644E-3</c:v>
                </c:pt>
                <c:pt idx="3550">
                  <c:v>-3.0916587609020186E-3</c:v>
                </c:pt>
                <c:pt idx="3551">
                  <c:v>-3.264969552508297E-2</c:v>
                </c:pt>
                <c:pt idx="3552">
                  <c:v>1.171358112375393E-2</c:v>
                </c:pt>
                <c:pt idx="3553">
                  <c:v>2.9384079613271614E-2</c:v>
                </c:pt>
                <c:pt idx="3554">
                  <c:v>2.7919052934204255E-3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42-406B-BBC6-F479BFB7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55273"/>
        <c:axId val="6975025"/>
      </c:scatterChart>
      <c:valAx>
        <c:axId val="225552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S&amp;P 500 Log Return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6975025"/>
        <c:crosses val="autoZero"/>
        <c:crossBetween val="midCat"/>
      </c:valAx>
      <c:valAx>
        <c:axId val="6975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MSFT Log Return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555273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Simulated MSFT Share Price (250 business days)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120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'[1]MSFT Analysis'!$I$94:$I$344</c:f>
              <c:numCache>
                <c:formatCode>General</c:formatCode>
                <c:ptCount val="2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</c:numCache>
            </c:numRef>
          </c:cat>
          <c:val>
            <c:numRef>
              <c:f>'[1]MSFT Analysis'!$K$94:$K$344</c:f>
              <c:numCache>
                <c:formatCode>General</c:formatCode>
                <c:ptCount val="251"/>
                <c:pt idx="0">
                  <c:v>401.72</c:v>
                </c:pt>
                <c:pt idx="1">
                  <c:v>407.51854935003342</c:v>
                </c:pt>
                <c:pt idx="2">
                  <c:v>407.64150498164184</c:v>
                </c:pt>
                <c:pt idx="3">
                  <c:v>412.44652794242529</c:v>
                </c:pt>
                <c:pt idx="4">
                  <c:v>406.61939403453238</c:v>
                </c:pt>
                <c:pt idx="5">
                  <c:v>396.45254968829477</c:v>
                </c:pt>
                <c:pt idx="6">
                  <c:v>391.15773872129336</c:v>
                </c:pt>
                <c:pt idx="7">
                  <c:v>398.66152259476661</c:v>
                </c:pt>
                <c:pt idx="8">
                  <c:v>410.83553430437007</c:v>
                </c:pt>
                <c:pt idx="9">
                  <c:v>410.33293083437246</c:v>
                </c:pt>
                <c:pt idx="10">
                  <c:v>407.05666318579983</c:v>
                </c:pt>
                <c:pt idx="11">
                  <c:v>398.70377318957793</c:v>
                </c:pt>
                <c:pt idx="12">
                  <c:v>399.94623758306403</c:v>
                </c:pt>
                <c:pt idx="13">
                  <c:v>399.19718860436478</c:v>
                </c:pt>
                <c:pt idx="14">
                  <c:v>393.86591643378887</c:v>
                </c:pt>
                <c:pt idx="15">
                  <c:v>391.35422012919997</c:v>
                </c:pt>
                <c:pt idx="16">
                  <c:v>398.77114541884242</c:v>
                </c:pt>
                <c:pt idx="17">
                  <c:v>388.37354866756408</c:v>
                </c:pt>
                <c:pt idx="18">
                  <c:v>389.61311741989817</c:v>
                </c:pt>
                <c:pt idx="19">
                  <c:v>381.48158929956634</c:v>
                </c:pt>
                <c:pt idx="20">
                  <c:v>383.2717403162651</c:v>
                </c:pt>
                <c:pt idx="21">
                  <c:v>373.53947839292533</c:v>
                </c:pt>
                <c:pt idx="22">
                  <c:v>382.39301388232349</c:v>
                </c:pt>
                <c:pt idx="23">
                  <c:v>388.77163427164851</c:v>
                </c:pt>
                <c:pt idx="24">
                  <c:v>381.68092508519521</c:v>
                </c:pt>
                <c:pt idx="25">
                  <c:v>373.75757644547497</c:v>
                </c:pt>
                <c:pt idx="26">
                  <c:v>370.05435418266325</c:v>
                </c:pt>
                <c:pt idx="27">
                  <c:v>371.6220871250884</c:v>
                </c:pt>
                <c:pt idx="28">
                  <c:v>372.32652090790327</c:v>
                </c:pt>
                <c:pt idx="29">
                  <c:v>361.87028068239539</c:v>
                </c:pt>
                <c:pt idx="30">
                  <c:v>356.6599733808772</c:v>
                </c:pt>
                <c:pt idx="31">
                  <c:v>349.17799108359577</c:v>
                </c:pt>
                <c:pt idx="32">
                  <c:v>347.74142563998845</c:v>
                </c:pt>
                <c:pt idx="33">
                  <c:v>351.51357138338437</c:v>
                </c:pt>
                <c:pt idx="34">
                  <c:v>357.30807528529323</c:v>
                </c:pt>
                <c:pt idx="35">
                  <c:v>353.65076525884143</c:v>
                </c:pt>
                <c:pt idx="36">
                  <c:v>345.72175470277108</c:v>
                </c:pt>
                <c:pt idx="37">
                  <c:v>355.25940488472207</c:v>
                </c:pt>
                <c:pt idx="38">
                  <c:v>346.38171020330992</c:v>
                </c:pt>
                <c:pt idx="39">
                  <c:v>349.10164946515607</c:v>
                </c:pt>
                <c:pt idx="40">
                  <c:v>355.47948371145134</c:v>
                </c:pt>
                <c:pt idx="41">
                  <c:v>358.03846335796192</c:v>
                </c:pt>
                <c:pt idx="42">
                  <c:v>352.53696134104695</c:v>
                </c:pt>
                <c:pt idx="43">
                  <c:v>367.88552733936473</c:v>
                </c:pt>
                <c:pt idx="44">
                  <c:v>374.81966420246908</c:v>
                </c:pt>
                <c:pt idx="45">
                  <c:v>380.16384532317721</c:v>
                </c:pt>
                <c:pt idx="46">
                  <c:v>384.6001841803245</c:v>
                </c:pt>
                <c:pt idx="47">
                  <c:v>378.51741769456277</c:v>
                </c:pt>
                <c:pt idx="48">
                  <c:v>373.72807650706017</c:v>
                </c:pt>
                <c:pt idx="49">
                  <c:v>369.18296478967767</c:v>
                </c:pt>
                <c:pt idx="50">
                  <c:v>373.7652264925224</c:v>
                </c:pt>
                <c:pt idx="51">
                  <c:v>377.36116886121823</c:v>
                </c:pt>
                <c:pt idx="52">
                  <c:v>385.57680246081316</c:v>
                </c:pt>
                <c:pt idx="53">
                  <c:v>383.72967677573138</c:v>
                </c:pt>
                <c:pt idx="54">
                  <c:v>381.52375328619962</c:v>
                </c:pt>
                <c:pt idx="55">
                  <c:v>379.36478629124969</c:v>
                </c:pt>
                <c:pt idx="56">
                  <c:v>380.73687873174549</c:v>
                </c:pt>
                <c:pt idx="57">
                  <c:v>361.13633886438714</c:v>
                </c:pt>
                <c:pt idx="58">
                  <c:v>358.72803124922098</c:v>
                </c:pt>
                <c:pt idx="59">
                  <c:v>353.46797186048525</c:v>
                </c:pt>
                <c:pt idx="60">
                  <c:v>358.08225006166094</c:v>
                </c:pt>
                <c:pt idx="61">
                  <c:v>359.01648696772605</c:v>
                </c:pt>
                <c:pt idx="62">
                  <c:v>362.92703921784363</c:v>
                </c:pt>
                <c:pt idx="63">
                  <c:v>363.08328896820746</c:v>
                </c:pt>
                <c:pt idx="64">
                  <c:v>366.62290416791484</c:v>
                </c:pt>
                <c:pt idx="65">
                  <c:v>363.80522377533288</c:v>
                </c:pt>
                <c:pt idx="66">
                  <c:v>361.19485677110976</c:v>
                </c:pt>
                <c:pt idx="67">
                  <c:v>358.81041859871931</c:v>
                </c:pt>
                <c:pt idx="68">
                  <c:v>350.12038213193728</c:v>
                </c:pt>
                <c:pt idx="69">
                  <c:v>346.45583336156329</c:v>
                </c:pt>
                <c:pt idx="70">
                  <c:v>344.00977965355059</c:v>
                </c:pt>
                <c:pt idx="71">
                  <c:v>339.98691273317803</c:v>
                </c:pt>
                <c:pt idx="72">
                  <c:v>338.18566298550292</c:v>
                </c:pt>
                <c:pt idx="73">
                  <c:v>337.80722996771414</c:v>
                </c:pt>
                <c:pt idx="74">
                  <c:v>335.08217703968666</c:v>
                </c:pt>
                <c:pt idx="75">
                  <c:v>343.54811546869411</c:v>
                </c:pt>
                <c:pt idx="76">
                  <c:v>343.74319518824126</c:v>
                </c:pt>
                <c:pt idx="77">
                  <c:v>351.89150290783266</c:v>
                </c:pt>
                <c:pt idx="78">
                  <c:v>352.82631220675592</c:v>
                </c:pt>
                <c:pt idx="79">
                  <c:v>361.66789850170136</c:v>
                </c:pt>
                <c:pt idx="80">
                  <c:v>365.30254579853016</c:v>
                </c:pt>
                <c:pt idx="81">
                  <c:v>361.77779648872246</c:v>
                </c:pt>
                <c:pt idx="82">
                  <c:v>361.76858132834059</c:v>
                </c:pt>
                <c:pt idx="83">
                  <c:v>365.36129369203934</c:v>
                </c:pt>
                <c:pt idx="84">
                  <c:v>357.17212029996233</c:v>
                </c:pt>
                <c:pt idx="85">
                  <c:v>358.5823931922086</c:v>
                </c:pt>
                <c:pt idx="86">
                  <c:v>360.87993513770579</c:v>
                </c:pt>
                <c:pt idx="87">
                  <c:v>364.91121626049585</c:v>
                </c:pt>
                <c:pt idx="88">
                  <c:v>363.98689115039201</c:v>
                </c:pt>
                <c:pt idx="89">
                  <c:v>350.90501443048447</c:v>
                </c:pt>
                <c:pt idx="90">
                  <c:v>357.22328517735997</c:v>
                </c:pt>
                <c:pt idx="91">
                  <c:v>351.31745211699268</c:v>
                </c:pt>
                <c:pt idx="92">
                  <c:v>355.93709313096491</c:v>
                </c:pt>
                <c:pt idx="93">
                  <c:v>350.17234512023441</c:v>
                </c:pt>
                <c:pt idx="94">
                  <c:v>337.22425681573475</c:v>
                </c:pt>
                <c:pt idx="95">
                  <c:v>333.58957904213679</c:v>
                </c:pt>
                <c:pt idx="96">
                  <c:v>335.66721866418283</c:v>
                </c:pt>
                <c:pt idx="97">
                  <c:v>331.3064711782871</c:v>
                </c:pt>
                <c:pt idx="98">
                  <c:v>331.74241607835575</c:v>
                </c:pt>
                <c:pt idx="99">
                  <c:v>331.48664891997487</c:v>
                </c:pt>
                <c:pt idx="100">
                  <c:v>336.36196213390519</c:v>
                </c:pt>
                <c:pt idx="101">
                  <c:v>338.21893050497215</c:v>
                </c:pt>
                <c:pt idx="102">
                  <c:v>334.07714088041342</c:v>
                </c:pt>
                <c:pt idx="103">
                  <c:v>344.3629096157315</c:v>
                </c:pt>
                <c:pt idx="104">
                  <c:v>347.99136984228909</c:v>
                </c:pt>
                <c:pt idx="105">
                  <c:v>335.41739588436758</c:v>
                </c:pt>
                <c:pt idx="106">
                  <c:v>333.99218797100491</c:v>
                </c:pt>
                <c:pt idx="107">
                  <c:v>328.31703569249271</c:v>
                </c:pt>
                <c:pt idx="108">
                  <c:v>325.25751676023799</c:v>
                </c:pt>
                <c:pt idx="109">
                  <c:v>328.45554262158083</c:v>
                </c:pt>
                <c:pt idx="110">
                  <c:v>323.981568833582</c:v>
                </c:pt>
                <c:pt idx="111">
                  <c:v>324.13783959907306</c:v>
                </c:pt>
                <c:pt idx="112">
                  <c:v>323.90259434536864</c:v>
                </c:pt>
                <c:pt idx="113">
                  <c:v>327.19706763703726</c:v>
                </c:pt>
                <c:pt idx="114">
                  <c:v>333.43485965932547</c:v>
                </c:pt>
                <c:pt idx="115">
                  <c:v>349.10199601900456</c:v>
                </c:pt>
                <c:pt idx="116">
                  <c:v>340.41469603416073</c:v>
                </c:pt>
                <c:pt idx="117">
                  <c:v>337.5993743395918</c:v>
                </c:pt>
                <c:pt idx="118">
                  <c:v>347.37087179082687</c:v>
                </c:pt>
                <c:pt idx="119">
                  <c:v>350.95672496213484</c:v>
                </c:pt>
                <c:pt idx="120">
                  <c:v>338.6487214372525</c:v>
                </c:pt>
                <c:pt idx="121">
                  <c:v>336.2852619997023</c:v>
                </c:pt>
                <c:pt idx="122">
                  <c:v>335.63902484861376</c:v>
                </c:pt>
                <c:pt idx="123">
                  <c:v>331.76942760162643</c:v>
                </c:pt>
                <c:pt idx="124">
                  <c:v>323.8091849528663</c:v>
                </c:pt>
                <c:pt idx="125">
                  <c:v>312.87136414450197</c:v>
                </c:pt>
                <c:pt idx="126">
                  <c:v>316.68157371049949</c:v>
                </c:pt>
                <c:pt idx="127">
                  <c:v>315.41991704838364</c:v>
                </c:pt>
                <c:pt idx="128">
                  <c:v>318.62778282158649</c:v>
                </c:pt>
                <c:pt idx="129">
                  <c:v>321.50724389583172</c:v>
                </c:pt>
                <c:pt idx="130">
                  <c:v>326.50977935949481</c:v>
                </c:pt>
                <c:pt idx="131">
                  <c:v>333.84709307602105</c:v>
                </c:pt>
                <c:pt idx="132">
                  <c:v>336.07925327300313</c:v>
                </c:pt>
                <c:pt idx="133">
                  <c:v>334.46946816692099</c:v>
                </c:pt>
                <c:pt idx="134">
                  <c:v>341.27063121799711</c:v>
                </c:pt>
                <c:pt idx="135">
                  <c:v>336.4749768650592</c:v>
                </c:pt>
                <c:pt idx="136">
                  <c:v>331.64384190423294</c:v>
                </c:pt>
                <c:pt idx="137">
                  <c:v>338.69780585907182</c:v>
                </c:pt>
                <c:pt idx="138">
                  <c:v>332.07633706642594</c:v>
                </c:pt>
                <c:pt idx="139">
                  <c:v>336.84625478761524</c:v>
                </c:pt>
                <c:pt idx="140">
                  <c:v>344.82276350280796</c:v>
                </c:pt>
                <c:pt idx="141">
                  <c:v>342.46404252727262</c:v>
                </c:pt>
                <c:pt idx="142">
                  <c:v>339.62442953096053</c:v>
                </c:pt>
                <c:pt idx="143">
                  <c:v>335.1299291221398</c:v>
                </c:pt>
                <c:pt idx="144">
                  <c:v>322.49361165757915</c:v>
                </c:pt>
                <c:pt idx="145">
                  <c:v>334.12227118386585</c:v>
                </c:pt>
                <c:pt idx="146">
                  <c:v>338.85282520399937</c:v>
                </c:pt>
                <c:pt idx="147">
                  <c:v>343.27286610057115</c:v>
                </c:pt>
                <c:pt idx="148">
                  <c:v>352.83058728606034</c:v>
                </c:pt>
                <c:pt idx="149">
                  <c:v>350.16829881621663</c:v>
                </c:pt>
                <c:pt idx="150">
                  <c:v>360.12493017214888</c:v>
                </c:pt>
                <c:pt idx="151">
                  <c:v>355.87226125295558</c:v>
                </c:pt>
                <c:pt idx="152">
                  <c:v>361.78687272115587</c:v>
                </c:pt>
                <c:pt idx="153">
                  <c:v>355.27538562477162</c:v>
                </c:pt>
                <c:pt idx="154">
                  <c:v>355.27789042358575</c:v>
                </c:pt>
                <c:pt idx="155">
                  <c:v>348.51676833528569</c:v>
                </c:pt>
                <c:pt idx="156">
                  <c:v>352.17151828553887</c:v>
                </c:pt>
                <c:pt idx="157">
                  <c:v>349.48960546603445</c:v>
                </c:pt>
                <c:pt idx="158">
                  <c:v>343.67300420279162</c:v>
                </c:pt>
                <c:pt idx="159">
                  <c:v>345.02373131089792</c:v>
                </c:pt>
                <c:pt idx="160">
                  <c:v>347.36473087829938</c:v>
                </c:pt>
                <c:pt idx="161">
                  <c:v>342.87023150999516</c:v>
                </c:pt>
                <c:pt idx="162">
                  <c:v>340.37730943301858</c:v>
                </c:pt>
                <c:pt idx="163">
                  <c:v>343.52031639583947</c:v>
                </c:pt>
                <c:pt idx="164">
                  <c:v>336.23539135823933</c:v>
                </c:pt>
                <c:pt idx="165">
                  <c:v>334.47563420086175</c:v>
                </c:pt>
                <c:pt idx="166">
                  <c:v>340.10779089741141</c:v>
                </c:pt>
                <c:pt idx="167">
                  <c:v>335.92561902672662</c:v>
                </c:pt>
                <c:pt idx="168">
                  <c:v>336.69522798349408</c:v>
                </c:pt>
                <c:pt idx="169">
                  <c:v>334.02281661918363</c:v>
                </c:pt>
                <c:pt idx="170">
                  <c:v>333.95503606568587</c:v>
                </c:pt>
                <c:pt idx="171">
                  <c:v>336.26898533795526</c:v>
                </c:pt>
                <c:pt idx="172">
                  <c:v>342.41337848291624</c:v>
                </c:pt>
                <c:pt idx="173">
                  <c:v>342.15220134714286</c:v>
                </c:pt>
                <c:pt idx="174">
                  <c:v>351.86627781254219</c:v>
                </c:pt>
                <c:pt idx="175">
                  <c:v>354.76847869849814</c:v>
                </c:pt>
                <c:pt idx="176">
                  <c:v>355.85742517803186</c:v>
                </c:pt>
                <c:pt idx="177">
                  <c:v>344.78263148751114</c:v>
                </c:pt>
                <c:pt idx="178">
                  <c:v>335.70402860477299</c:v>
                </c:pt>
                <c:pt idx="179">
                  <c:v>335.55024394387203</c:v>
                </c:pt>
                <c:pt idx="180">
                  <c:v>325.96829189571127</c:v>
                </c:pt>
                <c:pt idx="181">
                  <c:v>331.00343667672058</c:v>
                </c:pt>
                <c:pt idx="182">
                  <c:v>332.15898328773534</c:v>
                </c:pt>
                <c:pt idx="183">
                  <c:v>331.46515727803575</c:v>
                </c:pt>
                <c:pt idx="184">
                  <c:v>327.54757218072194</c:v>
                </c:pt>
                <c:pt idx="185">
                  <c:v>337.08639337670832</c:v>
                </c:pt>
                <c:pt idx="186">
                  <c:v>338.61692105199819</c:v>
                </c:pt>
                <c:pt idx="187">
                  <c:v>334.04968921385768</c:v>
                </c:pt>
                <c:pt idx="188">
                  <c:v>352.38293834833303</c:v>
                </c:pt>
                <c:pt idx="189">
                  <c:v>348.95391354582887</c:v>
                </c:pt>
                <c:pt idx="190">
                  <c:v>338.42281251807788</c:v>
                </c:pt>
                <c:pt idx="191">
                  <c:v>337.59232620254977</c:v>
                </c:pt>
                <c:pt idx="192">
                  <c:v>340.47447022168069</c:v>
                </c:pt>
                <c:pt idx="193">
                  <c:v>349.35562704244893</c:v>
                </c:pt>
                <c:pt idx="194">
                  <c:v>349.70099602439268</c:v>
                </c:pt>
                <c:pt idx="195">
                  <c:v>335.47272392572188</c:v>
                </c:pt>
                <c:pt idx="196">
                  <c:v>342.98435570360209</c:v>
                </c:pt>
                <c:pt idx="197">
                  <c:v>344.11357852563094</c:v>
                </c:pt>
                <c:pt idx="198">
                  <c:v>350.66218166341639</c:v>
                </c:pt>
                <c:pt idx="199">
                  <c:v>351.57367645677408</c:v>
                </c:pt>
                <c:pt idx="200">
                  <c:v>352.46677648302403</c:v>
                </c:pt>
                <c:pt idx="201">
                  <c:v>354.36690182763363</c:v>
                </c:pt>
                <c:pt idx="202">
                  <c:v>353.85900379155163</c:v>
                </c:pt>
                <c:pt idx="203">
                  <c:v>355.32254273903339</c:v>
                </c:pt>
                <c:pt idx="204">
                  <c:v>362.82137531671191</c:v>
                </c:pt>
                <c:pt idx="205">
                  <c:v>360.19363168071317</c:v>
                </c:pt>
                <c:pt idx="206">
                  <c:v>363.04223698564033</c:v>
                </c:pt>
                <c:pt idx="207">
                  <c:v>368.37992964335496</c:v>
                </c:pt>
                <c:pt idx="208">
                  <c:v>376.21359917095128</c:v>
                </c:pt>
                <c:pt idx="209">
                  <c:v>390.94793204766023</c:v>
                </c:pt>
                <c:pt idx="210">
                  <c:v>389.71245574955691</c:v>
                </c:pt>
                <c:pt idx="211">
                  <c:v>390.26196171020325</c:v>
                </c:pt>
                <c:pt idx="212">
                  <c:v>385.34404039923413</c:v>
                </c:pt>
                <c:pt idx="213">
                  <c:v>389.75397172722899</c:v>
                </c:pt>
                <c:pt idx="214">
                  <c:v>393.2406078818708</c:v>
                </c:pt>
                <c:pt idx="215">
                  <c:v>395.23922042602339</c:v>
                </c:pt>
                <c:pt idx="216">
                  <c:v>395.61452689362068</c:v>
                </c:pt>
                <c:pt idx="217">
                  <c:v>402.55224162131304</c:v>
                </c:pt>
                <c:pt idx="218">
                  <c:v>406.36100334545335</c:v>
                </c:pt>
                <c:pt idx="219">
                  <c:v>402.92850271856059</c:v>
                </c:pt>
                <c:pt idx="220">
                  <c:v>398.40091640207112</c:v>
                </c:pt>
                <c:pt idx="221">
                  <c:v>391.04371440800588</c:v>
                </c:pt>
                <c:pt idx="222">
                  <c:v>399.05134240806035</c:v>
                </c:pt>
                <c:pt idx="223">
                  <c:v>404.732970281924</c:v>
                </c:pt>
                <c:pt idx="224">
                  <c:v>408.22088260248989</c:v>
                </c:pt>
                <c:pt idx="225">
                  <c:v>405.96641807652725</c:v>
                </c:pt>
                <c:pt idx="226">
                  <c:v>400.03444422506686</c:v>
                </c:pt>
                <c:pt idx="227">
                  <c:v>405.61145615760091</c:v>
                </c:pt>
                <c:pt idx="228">
                  <c:v>404.31594437020902</c:v>
                </c:pt>
                <c:pt idx="229">
                  <c:v>413.03660442112448</c:v>
                </c:pt>
                <c:pt idx="230">
                  <c:v>408.48021240598337</c:v>
                </c:pt>
                <c:pt idx="231">
                  <c:v>409.09303254495421</c:v>
                </c:pt>
                <c:pt idx="232">
                  <c:v>403.02328367026388</c:v>
                </c:pt>
                <c:pt idx="233">
                  <c:v>393.62429078784771</c:v>
                </c:pt>
                <c:pt idx="234">
                  <c:v>384.33751248982571</c:v>
                </c:pt>
                <c:pt idx="235">
                  <c:v>376.16401811682107</c:v>
                </c:pt>
                <c:pt idx="236">
                  <c:v>381.47863985021155</c:v>
                </c:pt>
                <c:pt idx="237">
                  <c:v>382.3155837248168</c:v>
                </c:pt>
                <c:pt idx="238">
                  <c:v>396.65397745735481</c:v>
                </c:pt>
                <c:pt idx="239">
                  <c:v>399.536718146037</c:v>
                </c:pt>
                <c:pt idx="240">
                  <c:v>399.01984326737573</c:v>
                </c:pt>
                <c:pt idx="241">
                  <c:v>396.46221021781798</c:v>
                </c:pt>
                <c:pt idx="242">
                  <c:v>396.25594464164368</c:v>
                </c:pt>
                <c:pt idx="243">
                  <c:v>393.72025270995204</c:v>
                </c:pt>
                <c:pt idx="244">
                  <c:v>395.29942298846669</c:v>
                </c:pt>
                <c:pt idx="245">
                  <c:v>393.22796394933027</c:v>
                </c:pt>
                <c:pt idx="246">
                  <c:v>387.4149684742647</c:v>
                </c:pt>
                <c:pt idx="247">
                  <c:v>384.91854247164298</c:v>
                </c:pt>
                <c:pt idx="248">
                  <c:v>385.22879846410285</c:v>
                </c:pt>
                <c:pt idx="249">
                  <c:v>396.89349894531546</c:v>
                </c:pt>
                <c:pt idx="250">
                  <c:v>386.9259449734875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6-4AAF-A34C-E0C6C3F98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0269810"/>
        <c:axId val="420983"/>
      </c:lineChart>
      <c:catAx>
        <c:axId val="30269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Business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420983"/>
        <c:crosses val="autoZero"/>
        <c:auto val="1"/>
        <c:lblAlgn val="ctr"/>
        <c:lblOffset val="100"/>
        <c:noMultiLvlLbl val="0"/>
      </c:catAx>
      <c:valAx>
        <c:axId val="4209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Simulated Price (USD)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026981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f(X) = X³ - 3X² - 2X - 20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'[2]Goal Seek Solution'!$B$12</c:f>
              <c:strCache>
                <c:ptCount val="1"/>
                <c:pt idx="0">
                  <c:v>f(X)</c:v>
                </c:pt>
              </c:strCache>
            </c:strRef>
          </c:tx>
          <c:spPr>
            <a:ln w="248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'[2]Goal Seek Solution'!$A$13:$A$53</c:f>
              <c:numCache>
                <c:formatCode>General</c:formatCode>
                <c:ptCount val="41"/>
                <c:pt idx="0">
                  <c:v>-10</c:v>
                </c:pt>
                <c:pt idx="1">
                  <c:v>-9.5</c:v>
                </c:pt>
                <c:pt idx="2">
                  <c:v>-9</c:v>
                </c:pt>
                <c:pt idx="3">
                  <c:v>-8.5</c:v>
                </c:pt>
                <c:pt idx="4">
                  <c:v>-8</c:v>
                </c:pt>
                <c:pt idx="5">
                  <c:v>-7.5</c:v>
                </c:pt>
                <c:pt idx="6">
                  <c:v>-7</c:v>
                </c:pt>
                <c:pt idx="7">
                  <c:v>-6.5</c:v>
                </c:pt>
                <c:pt idx="8">
                  <c:v>-6</c:v>
                </c:pt>
                <c:pt idx="9">
                  <c:v>-5.5</c:v>
                </c:pt>
                <c:pt idx="10">
                  <c:v>-5</c:v>
                </c:pt>
                <c:pt idx="11">
                  <c:v>-4.5</c:v>
                </c:pt>
                <c:pt idx="12">
                  <c:v>-4</c:v>
                </c:pt>
                <c:pt idx="13">
                  <c:v>-3.5</c:v>
                </c:pt>
                <c:pt idx="14">
                  <c:v>-3</c:v>
                </c:pt>
                <c:pt idx="15">
                  <c:v>-2.5</c:v>
                </c:pt>
                <c:pt idx="16">
                  <c:v>-2</c:v>
                </c:pt>
                <c:pt idx="17">
                  <c:v>-1.5</c:v>
                </c:pt>
                <c:pt idx="18">
                  <c:v>-1</c:v>
                </c:pt>
                <c:pt idx="19">
                  <c:v>-0.5</c:v>
                </c:pt>
                <c:pt idx="20">
                  <c:v>0</c:v>
                </c:pt>
                <c:pt idx="21">
                  <c:v>0.5</c:v>
                </c:pt>
                <c:pt idx="22">
                  <c:v>1</c:v>
                </c:pt>
                <c:pt idx="23">
                  <c:v>1.5</c:v>
                </c:pt>
                <c:pt idx="24">
                  <c:v>2</c:v>
                </c:pt>
                <c:pt idx="25">
                  <c:v>2.5</c:v>
                </c:pt>
                <c:pt idx="26">
                  <c:v>3</c:v>
                </c:pt>
                <c:pt idx="27">
                  <c:v>3.5</c:v>
                </c:pt>
                <c:pt idx="28">
                  <c:v>4</c:v>
                </c:pt>
                <c:pt idx="29">
                  <c:v>4.5</c:v>
                </c:pt>
                <c:pt idx="30">
                  <c:v>5</c:v>
                </c:pt>
                <c:pt idx="31">
                  <c:v>5.5</c:v>
                </c:pt>
                <c:pt idx="32">
                  <c:v>6</c:v>
                </c:pt>
                <c:pt idx="33">
                  <c:v>6.5</c:v>
                </c:pt>
                <c:pt idx="34">
                  <c:v>7</c:v>
                </c:pt>
                <c:pt idx="35">
                  <c:v>7.5</c:v>
                </c:pt>
                <c:pt idx="36">
                  <c:v>8</c:v>
                </c:pt>
                <c:pt idx="37">
                  <c:v>8.5</c:v>
                </c:pt>
                <c:pt idx="38">
                  <c:v>9</c:v>
                </c:pt>
                <c:pt idx="39">
                  <c:v>9.5</c:v>
                </c:pt>
                <c:pt idx="40">
                  <c:v>10</c:v>
                </c:pt>
              </c:numCache>
            </c:numRef>
          </c:cat>
          <c:val>
            <c:numRef>
              <c:f>'[2]Goal Seek Solution'!$B$13:$B$53</c:f>
              <c:numCache>
                <c:formatCode>General</c:formatCode>
                <c:ptCount val="41"/>
                <c:pt idx="0">
                  <c:v>-1300</c:v>
                </c:pt>
                <c:pt idx="1">
                  <c:v>-1129.125</c:v>
                </c:pt>
                <c:pt idx="2">
                  <c:v>-974</c:v>
                </c:pt>
                <c:pt idx="3">
                  <c:v>-833.875</c:v>
                </c:pt>
                <c:pt idx="4">
                  <c:v>-708</c:v>
                </c:pt>
                <c:pt idx="5">
                  <c:v>-595.625</c:v>
                </c:pt>
                <c:pt idx="6">
                  <c:v>-496</c:v>
                </c:pt>
                <c:pt idx="7">
                  <c:v>-408.375</c:v>
                </c:pt>
                <c:pt idx="8">
                  <c:v>-332</c:v>
                </c:pt>
                <c:pt idx="9">
                  <c:v>-266.125</c:v>
                </c:pt>
                <c:pt idx="10">
                  <c:v>-210</c:v>
                </c:pt>
                <c:pt idx="11">
                  <c:v>-162.875</c:v>
                </c:pt>
                <c:pt idx="12">
                  <c:v>-124</c:v>
                </c:pt>
                <c:pt idx="13">
                  <c:v>-92.625</c:v>
                </c:pt>
                <c:pt idx="14">
                  <c:v>-68</c:v>
                </c:pt>
                <c:pt idx="15">
                  <c:v>-49.375</c:v>
                </c:pt>
                <c:pt idx="16">
                  <c:v>-36</c:v>
                </c:pt>
                <c:pt idx="17">
                  <c:v>-27.125</c:v>
                </c:pt>
                <c:pt idx="18">
                  <c:v>-22</c:v>
                </c:pt>
                <c:pt idx="19">
                  <c:v>-19.875</c:v>
                </c:pt>
                <c:pt idx="20">
                  <c:v>-20</c:v>
                </c:pt>
                <c:pt idx="21">
                  <c:v>-21.625</c:v>
                </c:pt>
                <c:pt idx="22">
                  <c:v>-24</c:v>
                </c:pt>
                <c:pt idx="23">
                  <c:v>-26.375</c:v>
                </c:pt>
                <c:pt idx="24">
                  <c:v>-28</c:v>
                </c:pt>
                <c:pt idx="25">
                  <c:v>-28.125</c:v>
                </c:pt>
                <c:pt idx="26">
                  <c:v>-26</c:v>
                </c:pt>
                <c:pt idx="27">
                  <c:v>-20.875</c:v>
                </c:pt>
                <c:pt idx="28">
                  <c:v>-12</c:v>
                </c:pt>
                <c:pt idx="29">
                  <c:v>1.375</c:v>
                </c:pt>
                <c:pt idx="30">
                  <c:v>20</c:v>
                </c:pt>
                <c:pt idx="31">
                  <c:v>44.625</c:v>
                </c:pt>
                <c:pt idx="32">
                  <c:v>76</c:v>
                </c:pt>
                <c:pt idx="33">
                  <c:v>114.875</c:v>
                </c:pt>
                <c:pt idx="34">
                  <c:v>162</c:v>
                </c:pt>
                <c:pt idx="35">
                  <c:v>218.125</c:v>
                </c:pt>
                <c:pt idx="36">
                  <c:v>284</c:v>
                </c:pt>
                <c:pt idx="37">
                  <c:v>360.375</c:v>
                </c:pt>
                <c:pt idx="38">
                  <c:v>448</c:v>
                </c:pt>
                <c:pt idx="39">
                  <c:v>547.625</c:v>
                </c:pt>
                <c:pt idx="40">
                  <c:v>660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5E-486B-9EFE-2F697DEDB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8555111"/>
        <c:axId val="18136355"/>
      </c:lineChart>
      <c:catAx>
        <c:axId val="18555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8136355"/>
        <c:crosses val="autoZero"/>
        <c:auto val="1"/>
        <c:lblAlgn val="ctr"/>
        <c:lblOffset val="100"/>
        <c:noMultiLvlLbl val="0"/>
      </c:catAx>
      <c:valAx>
        <c:axId val="1813635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f(X)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855511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43</xdr:row>
      <xdr:rowOff>9525</xdr:rowOff>
    </xdr:from>
    <xdr:to>
      <xdr:col>19</xdr:col>
      <xdr:colOff>15675</xdr:colOff>
      <xdr:row>70</xdr:row>
      <xdr:rowOff>171765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649605</xdr:colOff>
      <xdr:row>20</xdr:row>
      <xdr:rowOff>19050</xdr:rowOff>
    </xdr:from>
    <xdr:to>
      <xdr:col>19</xdr:col>
      <xdr:colOff>703290</xdr:colOff>
      <xdr:row>44</xdr:row>
      <xdr:rowOff>2430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647700</xdr:colOff>
      <xdr:row>69</xdr:row>
      <xdr:rowOff>171450</xdr:rowOff>
    </xdr:from>
    <xdr:to>
      <xdr:col>19</xdr:col>
      <xdr:colOff>703290</xdr:colOff>
      <xdr:row>93</xdr:row>
      <xdr:rowOff>151020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600075</xdr:colOff>
      <xdr:row>142</xdr:row>
      <xdr:rowOff>121920</xdr:rowOff>
    </xdr:from>
    <xdr:to>
      <xdr:col>19</xdr:col>
      <xdr:colOff>665190</xdr:colOff>
      <xdr:row>166</xdr:row>
      <xdr:rowOff>94230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590550</xdr:colOff>
      <xdr:row>119</xdr:row>
      <xdr:rowOff>133350</xdr:rowOff>
    </xdr:from>
    <xdr:to>
      <xdr:col>19</xdr:col>
      <xdr:colOff>667095</xdr:colOff>
      <xdr:row>143</xdr:row>
      <xdr:rowOff>112920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464820</xdr:colOff>
      <xdr:row>193</xdr:row>
      <xdr:rowOff>33338</xdr:rowOff>
    </xdr:from>
    <xdr:to>
      <xdr:col>19</xdr:col>
      <xdr:colOff>510885</xdr:colOff>
      <xdr:row>217</xdr:row>
      <xdr:rowOff>20528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597218</xdr:colOff>
      <xdr:row>166</xdr:row>
      <xdr:rowOff>25717</xdr:rowOff>
    </xdr:from>
    <xdr:to>
      <xdr:col>18</xdr:col>
      <xdr:colOff>1051043</xdr:colOff>
      <xdr:row>194</xdr:row>
      <xdr:rowOff>16867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600075</xdr:colOff>
      <xdr:row>92</xdr:row>
      <xdr:rowOff>180975</xdr:rowOff>
    </xdr:from>
    <xdr:to>
      <xdr:col>18</xdr:col>
      <xdr:colOff>1050090</xdr:colOff>
      <xdr:row>120</xdr:row>
      <xdr:rowOff>167955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14</xdr:col>
      <xdr:colOff>419400</xdr:colOff>
      <xdr:row>36</xdr:row>
      <xdr:rowOff>149265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FT Analysis"/>
    </sheetNames>
    <sheetDataSet>
      <sheetData sheetId="0">
        <row r="4">
          <cell r="B4" t="str">
            <v>MSFT Close</v>
          </cell>
        </row>
        <row r="5">
          <cell r="B5">
            <v>21.838799999999999</v>
          </cell>
          <cell r="D5">
            <v>71084615.389093995</v>
          </cell>
          <cell r="E5">
            <v>2397750000</v>
          </cell>
        </row>
        <row r="6">
          <cell r="B6">
            <v>22.1691</v>
          </cell>
          <cell r="D6">
            <v>126063910.30582</v>
          </cell>
          <cell r="E6">
            <v>2031572222</v>
          </cell>
          <cell r="F6">
            <v>1.50112230927922E-2</v>
          </cell>
          <cell r="G6">
            <v>-2.5401851188711095E-3</v>
          </cell>
        </row>
        <row r="7">
          <cell r="B7">
            <v>21.887599999999999</v>
          </cell>
          <cell r="D7">
            <v>75679955.173214003</v>
          </cell>
          <cell r="E7">
            <v>1873111111</v>
          </cell>
          <cell r="F7">
            <v>-1.2779160985664907E-2</v>
          </cell>
          <cell r="G7">
            <v>2.2591283435529062E-3</v>
          </cell>
        </row>
        <row r="8">
          <cell r="B8">
            <v>21.963799999999999</v>
          </cell>
          <cell r="D8">
            <v>76055666.710004002</v>
          </cell>
          <cell r="E8">
            <v>2345533333</v>
          </cell>
          <cell r="F8">
            <v>3.4753771463098995E-3</v>
          </cell>
          <cell r="G8">
            <v>8.8465194982314723E-3</v>
          </cell>
        </row>
        <row r="9">
          <cell r="B9">
            <v>21.8721</v>
          </cell>
          <cell r="D9">
            <v>83127215.922156006</v>
          </cell>
          <cell r="E9">
            <v>2204511111</v>
          </cell>
          <cell r="F9">
            <v>-4.1837915389234146E-3</v>
          </cell>
          <cell r="G9">
            <v>3.0953044479032282E-4</v>
          </cell>
        </row>
        <row r="10">
          <cell r="B10">
            <v>22.090699999999998</v>
          </cell>
          <cell r="D10">
            <v>62582217.987121001</v>
          </cell>
          <cell r="E10">
            <v>2233272222</v>
          </cell>
          <cell r="F10">
            <v>9.9448534500700455E-3</v>
          </cell>
          <cell r="G10">
            <v>2.3338676271165535E-3</v>
          </cell>
        </row>
        <row r="11">
          <cell r="B11">
            <v>22.291</v>
          </cell>
          <cell r="D11">
            <v>76303835.088322997</v>
          </cell>
          <cell r="E11">
            <v>2051316667</v>
          </cell>
          <cell r="F11">
            <v>9.0263040819872527E-3</v>
          </cell>
          <cell r="G11">
            <v>-4.9601779332832637E-3</v>
          </cell>
        </row>
        <row r="12">
          <cell r="B12">
            <v>22.293900000000001</v>
          </cell>
          <cell r="D12">
            <v>91748989.485945001</v>
          </cell>
          <cell r="E12">
            <v>2228050000</v>
          </cell>
          <cell r="F12">
            <v>1.3008888677956467E-4</v>
          </cell>
          <cell r="G12">
            <v>3.5465972840967364E-3</v>
          </cell>
        </row>
        <row r="13">
          <cell r="B13">
            <v>22.273499999999999</v>
          </cell>
          <cell r="D13">
            <v>82190726.472481996</v>
          </cell>
          <cell r="E13">
            <v>2275644444</v>
          </cell>
          <cell r="F13">
            <v>-9.1546742348616041E-4</v>
          </cell>
          <cell r="G13">
            <v>1.104669323633066E-2</v>
          </cell>
        </row>
        <row r="14">
          <cell r="B14">
            <v>22.183499999999999</v>
          </cell>
          <cell r="D14">
            <v>93830300.002948999</v>
          </cell>
          <cell r="E14">
            <v>2481050000</v>
          </cell>
          <cell r="F14">
            <v>-4.0488617292924172E-3</v>
          </cell>
          <cell r="G14">
            <v>4.9265315806270226E-3</v>
          </cell>
        </row>
        <row r="15">
          <cell r="B15">
            <v>23.440899999999999</v>
          </cell>
          <cell r="D15">
            <v>210266546.76438999</v>
          </cell>
          <cell r="E15">
            <v>2173677778</v>
          </cell>
          <cell r="F15">
            <v>5.5133590583348414E-2</v>
          </cell>
          <cell r="G15">
            <v>6.6923208119318213E-4</v>
          </cell>
        </row>
        <row r="16">
          <cell r="B16">
            <v>23.453299999999999</v>
          </cell>
          <cell r="D16">
            <v>96430595.155866995</v>
          </cell>
          <cell r="E16">
            <v>2094950000</v>
          </cell>
          <cell r="F16">
            <v>5.2885006201212155E-4</v>
          </cell>
          <cell r="G16">
            <v>4.7123563413351943E-4</v>
          </cell>
        </row>
        <row r="17">
          <cell r="B17">
            <v>23.148700000000002</v>
          </cell>
          <cell r="D17">
            <v>59953339.881644003</v>
          </cell>
          <cell r="E17">
            <v>2051977778</v>
          </cell>
          <cell r="F17">
            <v>-1.3072586490252742E-2</v>
          </cell>
          <cell r="G17">
            <v>-1.026362395993147E-3</v>
          </cell>
        </row>
        <row r="18">
          <cell r="B18">
            <v>23.323399999999999</v>
          </cell>
          <cell r="D18">
            <v>75079909.742511004</v>
          </cell>
          <cell r="E18">
            <v>2450505556</v>
          </cell>
          <cell r="F18">
            <v>7.5185250055781602E-3</v>
          </cell>
          <cell r="G18">
            <v>8.6416691016175592E-3</v>
          </cell>
        </row>
        <row r="19">
          <cell r="B19">
            <v>23.275600000000001</v>
          </cell>
          <cell r="D19">
            <v>62239475.439456001</v>
          </cell>
          <cell r="E19">
            <v>2512261111</v>
          </cell>
          <cell r="F19">
            <v>-2.0515468900717962E-3</v>
          </cell>
          <cell r="G19">
            <v>-5.7705048401983719E-3</v>
          </cell>
        </row>
        <row r="20">
          <cell r="B20">
            <v>23.061499999999999</v>
          </cell>
          <cell r="D20">
            <v>56010803.896605</v>
          </cell>
          <cell r="E20">
            <v>2226322222</v>
          </cell>
          <cell r="F20">
            <v>-9.2410411363598975E-3</v>
          </cell>
          <cell r="G20">
            <v>-1.5940734220098644E-3</v>
          </cell>
        </row>
        <row r="21">
          <cell r="B21">
            <v>23.358599999999999</v>
          </cell>
          <cell r="D21">
            <v>64779116.539126001</v>
          </cell>
          <cell r="E21">
            <v>2032783333</v>
          </cell>
          <cell r="F21">
            <v>1.2800664230161551E-2</v>
          </cell>
          <cell r="G21">
            <v>-2.5253499086551E-3</v>
          </cell>
        </row>
        <row r="22">
          <cell r="B22">
            <v>23.301200000000001</v>
          </cell>
          <cell r="D22">
            <v>64106291.977906004</v>
          </cell>
          <cell r="E22">
            <v>2353083333</v>
          </cell>
          <cell r="F22">
            <v>-2.4603632658246966E-3</v>
          </cell>
          <cell r="G22">
            <v>-4.5706973394398057E-4</v>
          </cell>
        </row>
        <row r="23">
          <cell r="B23">
            <v>23.584199999999999</v>
          </cell>
          <cell r="D23">
            <v>85669089.969010994</v>
          </cell>
          <cell r="E23">
            <v>2502422222</v>
          </cell>
          <cell r="F23">
            <v>1.2072134905225065E-2</v>
          </cell>
          <cell r="G23">
            <v>8.860289331437619E-3</v>
          </cell>
        </row>
        <row r="24">
          <cell r="B24">
            <v>23.6282</v>
          </cell>
          <cell r="D24">
            <v>66195495.108324997</v>
          </cell>
          <cell r="E24">
            <v>2289400000</v>
          </cell>
          <cell r="F24">
            <v>1.8639176461562382E-3</v>
          </cell>
          <cell r="G24">
            <v>1.0944925478258915E-3</v>
          </cell>
        </row>
        <row r="25">
          <cell r="B25">
            <v>23.854700000000001</v>
          </cell>
          <cell r="D25">
            <v>47873509.228698</v>
          </cell>
          <cell r="E25">
            <v>2560305556</v>
          </cell>
          <cell r="F25">
            <v>9.5403489663446941E-3</v>
          </cell>
          <cell r="G25">
            <v>1.4499737264160701E-2</v>
          </cell>
        </row>
        <row r="26">
          <cell r="B26">
            <v>23.823699999999999</v>
          </cell>
          <cell r="D26">
            <v>35540825.205998003</v>
          </cell>
          <cell r="E26">
            <v>1877611111</v>
          </cell>
          <cell r="F26">
            <v>-1.3003793905997441E-3</v>
          </cell>
          <cell r="G26">
            <v>-4.2391317108323237E-4</v>
          </cell>
        </row>
        <row r="27">
          <cell r="B27">
            <v>23.9436</v>
          </cell>
          <cell r="D27">
            <v>49740226.456796996</v>
          </cell>
          <cell r="E27">
            <v>2079144444</v>
          </cell>
          <cell r="F27">
            <v>5.0201812458344867E-3</v>
          </cell>
          <cell r="G27">
            <v>2.0212685879011623E-3</v>
          </cell>
        </row>
        <row r="28">
          <cell r="B28">
            <v>24.1889</v>
          </cell>
          <cell r="D28">
            <v>62945266.942162</v>
          </cell>
          <cell r="E28">
            <v>2275961111</v>
          </cell>
          <cell r="F28">
            <v>1.0192785487554621E-2</v>
          </cell>
          <cell r="G28">
            <v>2.1579461175579256E-3</v>
          </cell>
        </row>
        <row r="29">
          <cell r="B29">
            <v>24.274100000000001</v>
          </cell>
          <cell r="D29">
            <v>63970074.009024002</v>
          </cell>
          <cell r="E29">
            <v>2338827778</v>
          </cell>
          <cell r="F29">
            <v>3.5160880579573651E-3</v>
          </cell>
          <cell r="G29">
            <v>1.4730323066491182E-3</v>
          </cell>
        </row>
        <row r="30">
          <cell r="B30">
            <v>24.062899999999999</v>
          </cell>
          <cell r="D30">
            <v>56538986.513957001</v>
          </cell>
          <cell r="E30">
            <v>2154211111</v>
          </cell>
          <cell r="F30">
            <v>-8.7387030234010281E-3</v>
          </cell>
          <cell r="G30">
            <v>-6.9101696706045917E-3</v>
          </cell>
        </row>
        <row r="31">
          <cell r="B31">
            <v>24.126200000000001</v>
          </cell>
          <cell r="D31">
            <v>42233227.971772999</v>
          </cell>
          <cell r="E31">
            <v>2010022222</v>
          </cell>
          <cell r="F31">
            <v>2.6271516341934095E-3</v>
          </cell>
          <cell r="G31">
            <v>6.7770197880235375E-3</v>
          </cell>
        </row>
        <row r="32">
          <cell r="B32">
            <v>24.023800000000001</v>
          </cell>
          <cell r="D32">
            <v>75107423.829017997</v>
          </cell>
          <cell r="E32">
            <v>2160844444</v>
          </cell>
          <cell r="F32">
            <v>-4.2533812826018738E-3</v>
          </cell>
          <cell r="G32">
            <v>-9.3995055527716274E-4</v>
          </cell>
        </row>
        <row r="33">
          <cell r="B33">
            <v>23.861499999999999</v>
          </cell>
          <cell r="D33">
            <v>54541079.287460998</v>
          </cell>
          <cell r="E33">
            <v>2266855556</v>
          </cell>
          <cell r="F33">
            <v>-6.7787242217625093E-3</v>
          </cell>
          <cell r="G33">
            <v>-5.3977329957059358E-3</v>
          </cell>
        </row>
        <row r="34">
          <cell r="B34">
            <v>24.840299999999999</v>
          </cell>
          <cell r="D34">
            <v>119246401.06856</v>
          </cell>
          <cell r="E34">
            <v>2282711111</v>
          </cell>
          <cell r="F34">
            <v>4.0201052870745289E-2</v>
          </cell>
          <cell r="G34">
            <v>1.0965322528886171E-2</v>
          </cell>
        </row>
        <row r="35">
          <cell r="B35">
            <v>24.815100000000001</v>
          </cell>
          <cell r="D35">
            <v>88191586.211472005</v>
          </cell>
          <cell r="E35">
            <v>2065355556</v>
          </cell>
          <cell r="F35">
            <v>-1.0149954350765981E-3</v>
          </cell>
          <cell r="G35">
            <v>2.3462189950568782E-3</v>
          </cell>
        </row>
        <row r="36">
          <cell r="B36">
            <v>24.9693</v>
          </cell>
          <cell r="D36">
            <v>64006221.953221001</v>
          </cell>
          <cell r="E36">
            <v>2108444444</v>
          </cell>
          <cell r="F36">
            <v>6.1947314064060965E-3</v>
          </cell>
          <cell r="G36">
            <v>7.1967808528795797E-4</v>
          </cell>
        </row>
        <row r="37">
          <cell r="B37">
            <v>24.831499999999998</v>
          </cell>
          <cell r="D37">
            <v>62012199.092440002</v>
          </cell>
          <cell r="E37">
            <v>2018727778</v>
          </cell>
          <cell r="F37">
            <v>-5.5340617695517963E-3</v>
          </cell>
          <cell r="G37">
            <v>-3.34575126341362E-3</v>
          </cell>
        </row>
        <row r="38">
          <cell r="B38">
            <v>24.913599999999999</v>
          </cell>
          <cell r="D38">
            <v>44116825.912023</v>
          </cell>
          <cell r="E38">
            <v>2103583333</v>
          </cell>
          <cell r="F38">
            <v>3.3008306162113318E-3</v>
          </cell>
          <cell r="G38">
            <v>4.262957005584894E-3</v>
          </cell>
        </row>
        <row r="39">
          <cell r="B39">
            <v>25.000499999999999</v>
          </cell>
          <cell r="D39">
            <v>44798846.407045998</v>
          </cell>
          <cell r="E39">
            <v>1947422222</v>
          </cell>
          <cell r="F39">
            <v>3.4819855631802645E-3</v>
          </cell>
          <cell r="G39">
            <v>1.6708196763969795E-3</v>
          </cell>
        </row>
        <row r="40">
          <cell r="B40">
            <v>24.896000000000001</v>
          </cell>
          <cell r="D40">
            <v>43529746.113214001</v>
          </cell>
          <cell r="E40">
            <v>2027161111</v>
          </cell>
          <cell r="F40">
            <v>-4.1886766722222758E-3</v>
          </cell>
          <cell r="G40">
            <v>1.3536603940939738E-3</v>
          </cell>
        </row>
        <row r="41">
          <cell r="B41">
            <v>25.31</v>
          </cell>
          <cell r="D41">
            <v>56942035.016728997</v>
          </cell>
          <cell r="E41">
            <v>1988400000</v>
          </cell>
          <cell r="F41">
            <v>1.6492426561051494E-2</v>
          </cell>
          <cell r="G41">
            <v>3.3506493568948885E-3</v>
          </cell>
        </row>
        <row r="42">
          <cell r="B42">
            <v>25.201799999999999</v>
          </cell>
          <cell r="D42">
            <v>74702782.265347004</v>
          </cell>
          <cell r="E42">
            <v>2490205556</v>
          </cell>
          <cell r="F42">
            <v>-4.2841540191254218E-3</v>
          </cell>
          <cell r="G42">
            <v>-4.7482429432547935E-3</v>
          </cell>
        </row>
        <row r="43">
          <cell r="B43">
            <v>25.645299999999999</v>
          </cell>
          <cell r="D43">
            <v>97395381.912862003</v>
          </cell>
          <cell r="E43">
            <v>2177355556</v>
          </cell>
          <cell r="F43">
            <v>1.7444898421682301E-2</v>
          </cell>
          <cell r="G43">
            <v>6.1392207480289963E-3</v>
          </cell>
        </row>
        <row r="44">
          <cell r="B44">
            <v>25.475300000000001</v>
          </cell>
          <cell r="D44">
            <v>59580308.700530998</v>
          </cell>
          <cell r="E44">
            <v>1824161111</v>
          </cell>
          <cell r="F44">
            <v>-6.6509636689137406E-3</v>
          </cell>
          <cell r="G44">
            <v>-3.2510634673347419E-3</v>
          </cell>
        </row>
        <row r="45">
          <cell r="B45">
            <v>25.255500000000001</v>
          </cell>
          <cell r="D45">
            <v>56936213.587247998</v>
          </cell>
          <cell r="E45">
            <v>1905266667</v>
          </cell>
          <cell r="F45">
            <v>-8.6654015068486547E-3</v>
          </cell>
          <cell r="G45">
            <v>-3.877164727582936E-3</v>
          </cell>
        </row>
        <row r="46">
          <cell r="B46">
            <v>25.060099999999998</v>
          </cell>
          <cell r="D46">
            <v>65400421.551816002</v>
          </cell>
          <cell r="E46">
            <v>2328366667</v>
          </cell>
          <cell r="F46">
            <v>-7.767013900881789E-3</v>
          </cell>
          <cell r="G46">
            <v>-1.5489527433395317E-2</v>
          </cell>
        </row>
        <row r="47">
          <cell r="B47">
            <v>25.287800000000001</v>
          </cell>
          <cell r="D47">
            <v>28961392.572448</v>
          </cell>
          <cell r="E47">
            <v>1989100000</v>
          </cell>
          <cell r="F47">
            <v>9.0451261095040765E-3</v>
          </cell>
          <cell r="G47">
            <v>6.8769072088010284E-3</v>
          </cell>
        </row>
        <row r="48">
          <cell r="B48">
            <v>25.421500000000002</v>
          </cell>
          <cell r="D48">
            <v>46275937.387120001</v>
          </cell>
          <cell r="E48">
            <v>1968366667</v>
          </cell>
          <cell r="F48">
            <v>5.2732066825192693E-3</v>
          </cell>
          <cell r="G48">
            <v>9.7700277612063294E-3</v>
          </cell>
          <cell r="I48">
            <v>-0.14979799999999999</v>
          </cell>
          <cell r="J48">
            <v>1</v>
          </cell>
        </row>
        <row r="49">
          <cell r="B49">
            <v>25.404</v>
          </cell>
          <cell r="D49">
            <v>43604938.382893004</v>
          </cell>
          <cell r="E49">
            <v>2021927778</v>
          </cell>
          <cell r="F49">
            <v>-6.8863073424019043E-4</v>
          </cell>
          <cell r="G49">
            <v>3.6247016059477617E-3</v>
          </cell>
          <cell r="I49">
            <v>-0.14004800000000001</v>
          </cell>
          <cell r="J49">
            <v>0</v>
          </cell>
        </row>
        <row r="50">
          <cell r="B50">
            <v>25.443000000000001</v>
          </cell>
          <cell r="D50">
            <v>42910296.258844003</v>
          </cell>
          <cell r="E50">
            <v>1712150000</v>
          </cell>
          <cell r="F50">
            <v>1.5340141069442609E-3</v>
          </cell>
          <cell r="G50">
            <v>1.6046915379674782E-4</v>
          </cell>
          <cell r="I50">
            <v>-0.130297</v>
          </cell>
          <cell r="J50">
            <v>0</v>
          </cell>
        </row>
        <row r="51">
          <cell r="B51">
            <v>25.943200000000001</v>
          </cell>
          <cell r="D51">
            <v>61641132.618183002</v>
          </cell>
          <cell r="E51">
            <v>2436927778</v>
          </cell>
          <cell r="F51">
            <v>1.9468876835909033E-2</v>
          </cell>
          <cell r="G51">
            <v>1.796914314001119E-2</v>
          </cell>
          <cell r="I51">
            <v>-0.120546</v>
          </cell>
          <cell r="J51">
            <v>1</v>
          </cell>
        </row>
        <row r="52">
          <cell r="B52">
            <v>26.028099999999998</v>
          </cell>
          <cell r="D52">
            <v>52872005.016487002</v>
          </cell>
          <cell r="E52">
            <v>2501266667</v>
          </cell>
          <cell r="F52">
            <v>3.2671907580653849E-3</v>
          </cell>
          <cell r="G52">
            <v>-1.1970340792054287E-3</v>
          </cell>
          <cell r="I52">
            <v>-0.11079600000000001</v>
          </cell>
          <cell r="J52">
            <v>0</v>
          </cell>
        </row>
        <row r="53">
          <cell r="B53">
            <v>26.0868</v>
          </cell>
          <cell r="D53">
            <v>61791160.868856996</v>
          </cell>
          <cell r="E53">
            <v>2373138889</v>
          </cell>
          <cell r="F53">
            <v>2.2527156273494933E-3</v>
          </cell>
          <cell r="G53">
            <v>5.9495041200391232E-3</v>
          </cell>
          <cell r="I53">
            <v>-0.101045</v>
          </cell>
          <cell r="J53">
            <v>1</v>
          </cell>
        </row>
        <row r="54">
          <cell r="B54">
            <v>25.888400000000001</v>
          </cell>
          <cell r="D54">
            <v>82638391.942431003</v>
          </cell>
          <cell r="E54">
            <v>2868861111</v>
          </cell>
          <cell r="F54">
            <v>-7.6344473379943026E-3</v>
          </cell>
          <cell r="G54">
            <v>1.1187237741202927E-3</v>
          </cell>
          <cell r="I54">
            <v>-9.1294E-2</v>
          </cell>
          <cell r="J54">
            <v>2</v>
          </cell>
        </row>
        <row r="55">
          <cell r="B55">
            <v>25.570900000000002</v>
          </cell>
          <cell r="D55">
            <v>56409641.435703002</v>
          </cell>
          <cell r="E55">
            <v>2184761111</v>
          </cell>
          <cell r="F55">
            <v>-1.2340005750257434E-2</v>
          </cell>
          <cell r="G55">
            <v>3.9660028103612023E-3</v>
          </cell>
          <cell r="I55">
            <v>-8.1543000000000004E-2</v>
          </cell>
          <cell r="J55">
            <v>0</v>
          </cell>
        </row>
        <row r="56">
          <cell r="B56">
            <v>25.404</v>
          </cell>
          <cell r="D56">
            <v>52341933.454819001</v>
          </cell>
          <cell r="E56">
            <v>2052933333</v>
          </cell>
          <cell r="F56">
            <v>-6.5483442400164297E-3</v>
          </cell>
          <cell r="G56">
            <v>-3.0050426304927035E-3</v>
          </cell>
          <cell r="I56">
            <v>-7.1792999999999996E-2</v>
          </cell>
          <cell r="J56">
            <v>3</v>
          </cell>
        </row>
        <row r="57">
          <cell r="B57">
            <v>25.342400000000001</v>
          </cell>
          <cell r="D57">
            <v>47769299.907601997</v>
          </cell>
          <cell r="E57">
            <v>1985327778</v>
          </cell>
          <cell r="F57">
            <v>-2.4277596147095327E-3</v>
          </cell>
          <cell r="G57">
            <v>-1.8729464492867856E-3</v>
          </cell>
          <cell r="I57">
            <v>-6.2042E-2</v>
          </cell>
          <cell r="J57">
            <v>4</v>
          </cell>
        </row>
        <row r="58">
          <cell r="B58">
            <v>25.413599999999999</v>
          </cell>
          <cell r="D58">
            <v>39979778.829301998</v>
          </cell>
          <cell r="E58">
            <v>2078105556</v>
          </cell>
          <cell r="F58">
            <v>2.8055814761984567E-3</v>
          </cell>
          <cell r="G58">
            <v>-7.2326448201014181E-3</v>
          </cell>
          <cell r="I58">
            <v>-5.2290999999999997E-2</v>
          </cell>
          <cell r="J58">
            <v>7</v>
          </cell>
        </row>
        <row r="59">
          <cell r="B59">
            <v>25.421500000000002</v>
          </cell>
          <cell r="D59">
            <v>45222395.842623003</v>
          </cell>
          <cell r="E59">
            <v>1929416667</v>
          </cell>
          <cell r="F59">
            <v>3.1080887275128745E-4</v>
          </cell>
          <cell r="G59">
            <v>3.1040675271881042E-3</v>
          </cell>
          <cell r="I59">
            <v>-4.2541000000000002E-2</v>
          </cell>
          <cell r="J59">
            <v>19</v>
          </cell>
        </row>
        <row r="60">
          <cell r="B60">
            <v>25.8797</v>
          </cell>
          <cell r="D60">
            <v>46281522.314631</v>
          </cell>
          <cell r="E60">
            <v>1987194444</v>
          </cell>
          <cell r="F60">
            <v>1.7863604927638128E-2</v>
          </cell>
          <cell r="G60">
            <v>1.3790282585130287E-2</v>
          </cell>
          <cell r="I60">
            <v>-3.279E-2</v>
          </cell>
          <cell r="J60">
            <v>48</v>
          </cell>
        </row>
        <row r="61">
          <cell r="B61">
            <v>25.823899999999998</v>
          </cell>
          <cell r="D61">
            <v>45677611.970755003</v>
          </cell>
          <cell r="E61">
            <v>1952022222</v>
          </cell>
          <cell r="F61">
            <v>-2.1584578893567036E-3</v>
          </cell>
          <cell r="G61">
            <v>-2.8207566873393645E-3</v>
          </cell>
          <cell r="I61">
            <v>-2.3039E-2</v>
          </cell>
          <cell r="J61">
            <v>118</v>
          </cell>
        </row>
        <row r="62">
          <cell r="B62">
            <v>25.562200000000001</v>
          </cell>
          <cell r="D62">
            <v>52065242.529204004</v>
          </cell>
          <cell r="E62">
            <v>2162666667</v>
          </cell>
          <cell r="F62">
            <v>-1.0185721920416444E-2</v>
          </cell>
          <cell r="G62">
            <v>-4.9537726478604228E-3</v>
          </cell>
          <cell r="I62">
            <v>-1.3289E-2</v>
          </cell>
          <cell r="J62">
            <v>268</v>
          </cell>
        </row>
        <row r="63">
          <cell r="B63">
            <v>25.508299999999998</v>
          </cell>
          <cell r="D63">
            <v>46639966.136044003</v>
          </cell>
          <cell r="E63">
            <v>2128888889</v>
          </cell>
          <cell r="F63">
            <v>-2.110808392816829E-3</v>
          </cell>
          <cell r="G63">
            <v>-1.6092170290043855E-3</v>
          </cell>
          <cell r="I63">
            <v>-3.5379999999999999E-3</v>
          </cell>
          <cell r="J63">
            <v>759</v>
          </cell>
        </row>
        <row r="64">
          <cell r="B64">
            <v>25.621600000000001</v>
          </cell>
          <cell r="D64">
            <v>39979804.424750999</v>
          </cell>
          <cell r="E64">
            <v>2042716667</v>
          </cell>
          <cell r="F64">
            <v>4.4318563285681159E-3</v>
          </cell>
          <cell r="G64">
            <v>3.6916552995440582E-3</v>
          </cell>
          <cell r="I64">
            <v>6.2129999999999998E-3</v>
          </cell>
          <cell r="J64">
            <v>1172</v>
          </cell>
        </row>
        <row r="65">
          <cell r="B65">
            <v>25.645299999999999</v>
          </cell>
          <cell r="D65">
            <v>45143946.807700001</v>
          </cell>
          <cell r="E65">
            <v>1984450000</v>
          </cell>
          <cell r="F65">
            <v>9.2457323100465219E-4</v>
          </cell>
          <cell r="G65">
            <v>7.4765777930732918E-3</v>
          </cell>
          <cell r="I65">
            <v>1.5963000000000001E-2</v>
          </cell>
          <cell r="J65">
            <v>691</v>
          </cell>
        </row>
        <row r="66">
          <cell r="B66">
            <v>25.363800000000001</v>
          </cell>
          <cell r="D66">
            <v>53830852.604924999</v>
          </cell>
          <cell r="E66">
            <v>2123383333</v>
          </cell>
          <cell r="F66">
            <v>-1.1037358344502781E-2</v>
          </cell>
          <cell r="G66">
            <v>-3.9965877474346378E-3</v>
          </cell>
          <cell r="I66">
            <v>2.5714000000000001E-2</v>
          </cell>
          <cell r="J66">
            <v>308</v>
          </cell>
        </row>
        <row r="67">
          <cell r="B67">
            <v>24.7866</v>
          </cell>
          <cell r="D67">
            <v>62267755.341870002</v>
          </cell>
          <cell r="E67">
            <v>2187938889</v>
          </cell>
          <cell r="F67">
            <v>-2.3019776051644434E-2</v>
          </cell>
          <cell r="G67">
            <v>-1.0254895475303529E-2</v>
          </cell>
          <cell r="I67">
            <v>3.5465000000000003E-2</v>
          </cell>
          <cell r="J67">
            <v>89</v>
          </cell>
        </row>
        <row r="68">
          <cell r="B68">
            <v>25.027899999999999</v>
          </cell>
          <cell r="D68">
            <v>64374083.876955003</v>
          </cell>
          <cell r="E68">
            <v>1835411111</v>
          </cell>
          <cell r="F68">
            <v>9.6880180396806681E-3</v>
          </cell>
          <cell r="G68">
            <v>-6.2923664233309191E-4</v>
          </cell>
          <cell r="I68">
            <v>4.5215999999999999E-2</v>
          </cell>
          <cell r="J68">
            <v>31</v>
          </cell>
        </row>
        <row r="69">
          <cell r="B69">
            <v>24.698899999999998</v>
          </cell>
          <cell r="D69">
            <v>33937800.509439997</v>
          </cell>
          <cell r="E69">
            <v>1927211111</v>
          </cell>
          <cell r="F69">
            <v>-1.3232494373833368E-2</v>
          </cell>
          <cell r="G69">
            <v>-1.1423434105777059E-2</v>
          </cell>
          <cell r="I69">
            <v>5.4966000000000001E-2</v>
          </cell>
          <cell r="J69">
            <v>9</v>
          </cell>
        </row>
        <row r="70">
          <cell r="B70">
            <v>24.1967</v>
          </cell>
          <cell r="D70">
            <v>68170836.360990003</v>
          </cell>
          <cell r="E70">
            <v>2573183333</v>
          </cell>
          <cell r="F70">
            <v>-2.0542448001378503E-2</v>
          </cell>
          <cell r="G70">
            <v>-1.7229035445361768E-2</v>
          </cell>
          <cell r="I70">
            <v>6.4716999999999997E-2</v>
          </cell>
          <cell r="J70">
            <v>9</v>
          </cell>
        </row>
        <row r="71">
          <cell r="B71">
            <v>24.095199999999998</v>
          </cell>
          <cell r="D71">
            <v>54165384.131760001</v>
          </cell>
          <cell r="E71">
            <v>2079466667</v>
          </cell>
          <cell r="F71">
            <v>-4.203609692786465E-3</v>
          </cell>
          <cell r="G71">
            <v>7.4212931815645089E-3</v>
          </cell>
          <cell r="I71">
            <v>7.4468000000000006E-2</v>
          </cell>
          <cell r="J71">
            <v>8</v>
          </cell>
        </row>
        <row r="72">
          <cell r="B72">
            <v>24.603100000000001</v>
          </cell>
          <cell r="D72">
            <v>48233862.470789999</v>
          </cell>
          <cell r="E72">
            <v>2010155556</v>
          </cell>
          <cell r="F72">
            <v>2.0859800723973271E-2</v>
          </cell>
          <cell r="G72">
            <v>1.3685325404961968E-2</v>
          </cell>
          <cell r="I72">
            <v>8.4218000000000001E-2</v>
          </cell>
          <cell r="J72">
            <v>2</v>
          </cell>
        </row>
        <row r="73">
          <cell r="B73">
            <v>24.470300000000002</v>
          </cell>
          <cell r="D73">
            <v>50053462.568014003</v>
          </cell>
          <cell r="E73">
            <v>2017311111</v>
          </cell>
          <cell r="F73">
            <v>-5.4123139695755424E-3</v>
          </cell>
          <cell r="G73">
            <v>-1.2553512960530443E-2</v>
          </cell>
          <cell r="I73">
            <v>9.3968999999999997E-2</v>
          </cell>
          <cell r="J73">
            <v>1</v>
          </cell>
        </row>
        <row r="74">
          <cell r="B74">
            <v>24.683</v>
          </cell>
          <cell r="D74">
            <v>48007804.467265002</v>
          </cell>
          <cell r="E74">
            <v>1985988889</v>
          </cell>
          <cell r="F74">
            <v>8.6546102760642913E-3</v>
          </cell>
          <cell r="G74">
            <v>-5.036808959588716E-4</v>
          </cell>
          <cell r="I74">
            <v>0.10372000000000001</v>
          </cell>
          <cell r="J74">
            <v>3</v>
          </cell>
        </row>
        <row r="75">
          <cell r="B75">
            <v>24.974299999999999</v>
          </cell>
          <cell r="D75">
            <v>43268741.104075998</v>
          </cell>
          <cell r="E75">
            <v>1920111111</v>
          </cell>
          <cell r="F75">
            <v>1.1732548548209957E-2</v>
          </cell>
          <cell r="G75">
            <v>1.5367918875513488E-2</v>
          </cell>
          <cell r="I75">
            <v>0.11347</v>
          </cell>
          <cell r="J75">
            <v>0</v>
          </cell>
        </row>
        <row r="76">
          <cell r="B76">
            <v>24.729900000000001</v>
          </cell>
          <cell r="D76">
            <v>51066691.276454002</v>
          </cell>
          <cell r="E76">
            <v>1923966667</v>
          </cell>
          <cell r="F76">
            <v>-9.8342582603013432E-3</v>
          </cell>
          <cell r="G76">
            <v>-4.0635232720984613E-3</v>
          </cell>
          <cell r="I76">
            <v>0.123221</v>
          </cell>
          <cell r="J76">
            <v>0</v>
          </cell>
        </row>
        <row r="77">
          <cell r="B77">
            <v>24.625399999999999</v>
          </cell>
          <cell r="D77">
            <v>68889214.682908997</v>
          </cell>
          <cell r="E77">
            <v>2322233333</v>
          </cell>
          <cell r="F77">
            <v>-4.2346072724472111E-3</v>
          </cell>
          <cell r="G77">
            <v>-5.952096817443118E-3</v>
          </cell>
          <cell r="I77">
            <v>0.13297200000000001</v>
          </cell>
          <cell r="J77">
            <v>1</v>
          </cell>
        </row>
        <row r="78">
          <cell r="B78">
            <v>25.745999999999999</v>
          </cell>
          <cell r="D78">
            <v>133535785.68853</v>
          </cell>
          <cell r="E78">
            <v>2129622222</v>
          </cell>
          <cell r="F78">
            <v>4.4500844656394409E-2</v>
          </cell>
          <cell r="G78">
            <v>1.1685932847406632E-3</v>
          </cell>
          <cell r="I78" t="str">
            <v>More</v>
          </cell>
          <cell r="J78">
            <v>0</v>
          </cell>
        </row>
        <row r="79">
          <cell r="B79">
            <v>25.508299999999998</v>
          </cell>
          <cell r="D79">
            <v>81451516.524524003</v>
          </cell>
          <cell r="E79">
            <v>2030477778</v>
          </cell>
          <cell r="F79">
            <v>-9.275385837425848E-3</v>
          </cell>
          <cell r="G79">
            <v>-8.4430489857261516E-3</v>
          </cell>
        </row>
        <row r="80">
          <cell r="B80">
            <v>25.347300000000001</v>
          </cell>
          <cell r="D80">
            <v>51417444.17661</v>
          </cell>
          <cell r="E80">
            <v>2009500000</v>
          </cell>
          <cell r="F80">
            <v>-6.3316739110372278E-3</v>
          </cell>
          <cell r="G80">
            <v>3.6729981305998567E-3</v>
          </cell>
        </row>
        <row r="81">
          <cell r="B81">
            <v>25.570900000000002</v>
          </cell>
          <cell r="D81">
            <v>78696143.650268003</v>
          </cell>
          <cell r="E81">
            <v>2221350000</v>
          </cell>
          <cell r="F81">
            <v>8.7827706917653851E-3</v>
          </cell>
          <cell r="G81">
            <v>1.3552363677729872E-2</v>
          </cell>
        </row>
        <row r="82">
          <cell r="B82">
            <v>25.4986</v>
          </cell>
          <cell r="D82">
            <v>50761144.038856998</v>
          </cell>
          <cell r="E82">
            <v>2241500000</v>
          </cell>
          <cell r="F82">
            <v>-2.8314374843165422E-3</v>
          </cell>
          <cell r="G82">
            <v>6.6579239517370777E-3</v>
          </cell>
        </row>
        <row r="83">
          <cell r="B83">
            <v>25.3932</v>
          </cell>
          <cell r="D83">
            <v>52158230.804378003</v>
          </cell>
          <cell r="E83">
            <v>2025461111</v>
          </cell>
          <cell r="F83">
            <v>-4.1421270498393425E-3</v>
          </cell>
          <cell r="G83">
            <v>2.4114104160489723E-3</v>
          </cell>
        </row>
        <row r="84">
          <cell r="B84">
            <v>25.421500000000002</v>
          </cell>
          <cell r="D84">
            <v>44955082.066607997</v>
          </cell>
          <cell r="E84">
            <v>1985561111</v>
          </cell>
          <cell r="F84">
            <v>1.1138510283795386E-3</v>
          </cell>
          <cell r="G84">
            <v>-3.8910971640511403E-3</v>
          </cell>
        </row>
        <row r="85">
          <cell r="B85">
            <v>25.420500000000001</v>
          </cell>
          <cell r="D85">
            <v>55195282.645830996</v>
          </cell>
          <cell r="E85">
            <v>2115527778</v>
          </cell>
          <cell r="F85">
            <v>-3.9337555569461936E-5</v>
          </cell>
          <cell r="G85">
            <v>5.6424983763752054E-3</v>
          </cell>
        </row>
        <row r="86">
          <cell r="B86">
            <v>25.255500000000001</v>
          </cell>
          <cell r="D86">
            <v>47077115.970711999</v>
          </cell>
          <cell r="E86">
            <v>2113255556</v>
          </cell>
          <cell r="F86">
            <v>-6.5119813355720823E-3</v>
          </cell>
          <cell r="G86">
            <v>-2.4998855665210461E-3</v>
          </cell>
        </row>
        <row r="87">
          <cell r="B87">
            <v>25.217300000000002</v>
          </cell>
          <cell r="D87">
            <v>39669317.265023001</v>
          </cell>
          <cell r="E87">
            <v>2224950000</v>
          </cell>
          <cell r="F87">
            <v>-1.513686868721615E-3</v>
          </cell>
          <cell r="G87">
            <v>-7.688270722404974E-3</v>
          </cell>
        </row>
        <row r="88">
          <cell r="B88">
            <v>24.604099999999999</v>
          </cell>
          <cell r="D88">
            <v>72944675.752177</v>
          </cell>
          <cell r="E88">
            <v>2208411111</v>
          </cell>
          <cell r="F88">
            <v>-2.4617171197467591E-2</v>
          </cell>
          <cell r="G88">
            <v>-1.6279016486759133E-2</v>
          </cell>
        </row>
        <row r="89">
          <cell r="B89">
            <v>24.338200000000001</v>
          </cell>
          <cell r="D89">
            <v>61252447.258954003</v>
          </cell>
          <cell r="E89">
            <v>1977438889</v>
          </cell>
          <cell r="F89">
            <v>-1.0865963234690194E-2</v>
          </cell>
          <cell r="G89">
            <v>3.5053383740709244E-4</v>
          </cell>
        </row>
        <row r="90">
          <cell r="B90">
            <v>24.222100000000001</v>
          </cell>
          <cell r="D90">
            <v>59950762.931589998</v>
          </cell>
          <cell r="E90">
            <v>2367594444</v>
          </cell>
          <cell r="F90">
            <v>-4.7816929143681833E-3</v>
          </cell>
          <cell r="G90">
            <v>-4.2878637386193951E-3</v>
          </cell>
        </row>
        <row r="91">
          <cell r="B91">
            <v>24.4312</v>
          </cell>
          <cell r="D91">
            <v>63347673.511012003</v>
          </cell>
          <cell r="E91">
            <v>2382522222</v>
          </cell>
          <cell r="F91">
            <v>8.5955644292318376E-3</v>
          </cell>
          <cell r="G91">
            <v>-6.7248165728184027E-3</v>
          </cell>
        </row>
        <row r="92">
          <cell r="B92">
            <v>24.412500000000001</v>
          </cell>
          <cell r="D92">
            <v>55090849.108580001</v>
          </cell>
          <cell r="E92">
            <v>2071105556</v>
          </cell>
          <cell r="F92">
            <v>-7.6570779501404073E-4</v>
          </cell>
          <cell r="G92">
            <v>2.5142221555989205E-3</v>
          </cell>
        </row>
        <row r="93">
          <cell r="B93">
            <v>24.749700000000001</v>
          </cell>
          <cell r="D93">
            <v>56067481.440513</v>
          </cell>
          <cell r="E93">
            <v>2149483333</v>
          </cell>
          <cell r="F93">
            <v>1.3718071526318269E-2</v>
          </cell>
          <cell r="G93">
            <v>-3.3931093490318499E-3</v>
          </cell>
        </row>
        <row r="94">
          <cell r="B94">
            <v>24.3626</v>
          </cell>
          <cell r="D94">
            <v>51021469.232804</v>
          </cell>
          <cell r="E94">
            <v>2048955556</v>
          </cell>
          <cell r="F94">
            <v>-1.5764198234799447E-2</v>
          </cell>
          <cell r="G94">
            <v>-1.1175044036911441E-2</v>
          </cell>
          <cell r="I94">
            <v>0</v>
          </cell>
          <cell r="K94">
            <v>401.72</v>
          </cell>
        </row>
        <row r="95">
          <cell r="B95">
            <v>24.146999999999998</v>
          </cell>
          <cell r="D95">
            <v>77344894.243048996</v>
          </cell>
          <cell r="E95">
            <v>2285577778</v>
          </cell>
          <cell r="F95">
            <v>-8.8890207146097629E-3</v>
          </cell>
          <cell r="G95">
            <v>-5.7624522046803815E-3</v>
          </cell>
          <cell r="I95">
            <v>1</v>
          </cell>
          <cell r="K95">
            <v>407.51854935003342</v>
          </cell>
        </row>
        <row r="96">
          <cell r="B96">
            <v>23.898599999999998</v>
          </cell>
          <cell r="D96">
            <v>75146390.344329</v>
          </cell>
          <cell r="E96">
            <v>2378011111</v>
          </cell>
          <cell r="F96">
            <v>-1.0340268963822442E-2</v>
          </cell>
          <cell r="G96">
            <v>-4.4135550996594808E-3</v>
          </cell>
          <cell r="I96">
            <v>2</v>
          </cell>
          <cell r="K96">
            <v>407.64150498164184</v>
          </cell>
        </row>
        <row r="97">
          <cell r="B97">
            <v>23.757100000000001</v>
          </cell>
          <cell r="D97">
            <v>47870208.439277001</v>
          </cell>
          <cell r="E97">
            <v>2591266667</v>
          </cell>
          <cell r="F97">
            <v>-5.9384466426735732E-3</v>
          </cell>
          <cell r="G97">
            <v>-1.516574932256603E-2</v>
          </cell>
          <cell r="I97">
            <v>3</v>
          </cell>
          <cell r="K97">
            <v>412.44652794242529</v>
          </cell>
        </row>
        <row r="98">
          <cell r="B98">
            <v>23.3948</v>
          </cell>
          <cell r="D98">
            <v>70300442.423455998</v>
          </cell>
          <cell r="E98">
            <v>2506927778</v>
          </cell>
          <cell r="F98">
            <v>-1.536765772679341E-2</v>
          </cell>
          <cell r="G98">
            <v>-7.4151904335883496E-3</v>
          </cell>
          <cell r="I98">
            <v>4</v>
          </cell>
          <cell r="K98">
            <v>406.61939403453238</v>
          </cell>
        </row>
        <row r="99">
          <cell r="B99">
            <v>23.777699999999999</v>
          </cell>
          <cell r="D99">
            <v>48524227.510396004</v>
          </cell>
          <cell r="E99">
            <v>2103750000</v>
          </cell>
          <cell r="F99">
            <v>1.6234391205827852E-2</v>
          </cell>
          <cell r="G99">
            <v>1.5908669197356163E-2</v>
          </cell>
          <cell r="I99">
            <v>5</v>
          </cell>
          <cell r="K99">
            <v>396.45254968829477</v>
          </cell>
        </row>
        <row r="100">
          <cell r="B100">
            <v>23.7865</v>
          </cell>
          <cell r="D100">
            <v>49421247.750091001</v>
          </cell>
          <cell r="E100">
            <v>2290933333</v>
          </cell>
          <cell r="F100">
            <v>3.7002620039487373E-4</v>
          </cell>
          <cell r="G100">
            <v>4.8620766582948318E-4</v>
          </cell>
          <cell r="I100">
            <v>6</v>
          </cell>
          <cell r="K100">
            <v>391.15773872129336</v>
          </cell>
        </row>
        <row r="101">
          <cell r="B101">
            <v>23.271699999999999</v>
          </cell>
          <cell r="D101">
            <v>83869193.250325993</v>
          </cell>
          <cell r="E101">
            <v>2282405556</v>
          </cell>
          <cell r="F101">
            <v>-2.1880162770673801E-2</v>
          </cell>
          <cell r="G101">
            <v>1.6922853300106668E-3</v>
          </cell>
          <cell r="I101">
            <v>7</v>
          </cell>
          <cell r="K101">
            <v>398.66152259476661</v>
          </cell>
        </row>
        <row r="102">
          <cell r="B102">
            <v>23.2364</v>
          </cell>
          <cell r="D102">
            <v>54183719.689372003</v>
          </cell>
          <cell r="E102">
            <v>2187594444</v>
          </cell>
          <cell r="F102">
            <v>-1.518015432954239E-3</v>
          </cell>
          <cell r="G102">
            <v>1.3790283825421373E-3</v>
          </cell>
          <cell r="I102">
            <v>8</v>
          </cell>
          <cell r="K102">
            <v>410.83553430437007</v>
          </cell>
        </row>
        <row r="103">
          <cell r="B103">
            <v>23.229600000000001</v>
          </cell>
          <cell r="D103">
            <v>36914163.487830997</v>
          </cell>
          <cell r="E103">
            <v>1595922222</v>
          </cell>
          <cell r="F103">
            <v>-2.9268712815999935E-4</v>
          </cell>
          <cell r="G103">
            <v>-2.167899276191806E-3</v>
          </cell>
          <cell r="I103">
            <v>9</v>
          </cell>
          <cell r="K103">
            <v>410.33293083437246</v>
          </cell>
        </row>
        <row r="104">
          <cell r="B104">
            <v>23.6282</v>
          </cell>
          <cell r="D104">
            <v>47236745.587140001</v>
          </cell>
          <cell r="E104">
            <v>1912022222</v>
          </cell>
          <cell r="F104">
            <v>1.7013586421917467E-2</v>
          </cell>
          <cell r="G104">
            <v>1.1017981539835837E-2</v>
          </cell>
          <cell r="I104">
            <v>10</v>
          </cell>
          <cell r="K104">
            <v>407.05666318579983</v>
          </cell>
        </row>
        <row r="105">
          <cell r="B105">
            <v>23.4513</v>
          </cell>
          <cell r="D105">
            <v>52028452.651086003</v>
          </cell>
          <cell r="E105">
            <v>1963494444</v>
          </cell>
          <cell r="F105">
            <v>-7.5149834868466717E-3</v>
          </cell>
          <cell r="G105">
            <v>-1.4438555426152216E-2</v>
          </cell>
          <cell r="I105">
            <v>11</v>
          </cell>
          <cell r="K105">
            <v>398.70377318957793</v>
          </cell>
        </row>
        <row r="106">
          <cell r="B106">
            <v>23.333300000000001</v>
          </cell>
          <cell r="D106">
            <v>48965062.066257998</v>
          </cell>
          <cell r="E106">
            <v>2532011111</v>
          </cell>
          <cell r="F106">
            <v>-5.0444056471219958E-3</v>
          </cell>
          <cell r="G106">
            <v>-2.2792684195200048E-3</v>
          </cell>
          <cell r="I106">
            <v>12</v>
          </cell>
          <cell r="K106">
            <v>399.94623758306403</v>
          </cell>
        </row>
        <row r="107">
          <cell r="B107">
            <v>22.7423</v>
          </cell>
          <cell r="D107">
            <v>70855838.124806002</v>
          </cell>
          <cell r="E107">
            <v>2594083333</v>
          </cell>
          <cell r="F107">
            <v>-2.5654898241336533E-2</v>
          </cell>
          <cell r="G107">
            <v>-2.4951359516333108E-2</v>
          </cell>
          <cell r="I107">
            <v>13</v>
          </cell>
          <cell r="K107">
            <v>399.19718860436478</v>
          </cell>
        </row>
        <row r="108">
          <cell r="B108">
            <v>22.8203</v>
          </cell>
          <cell r="D108">
            <v>59956795.267591</v>
          </cell>
          <cell r="E108">
            <v>2228866667</v>
          </cell>
          <cell r="F108">
            <v>3.4238641428927644E-3</v>
          </cell>
          <cell r="G108">
            <v>1.0953673794903053E-4</v>
          </cell>
          <cell r="I108">
            <v>14</v>
          </cell>
          <cell r="K108">
            <v>393.86591643378887</v>
          </cell>
        </row>
        <row r="109">
          <cell r="B109">
            <v>22.782299999999999</v>
          </cell>
          <cell r="D109">
            <v>57179602.782870002</v>
          </cell>
          <cell r="E109">
            <v>1890683333</v>
          </cell>
          <cell r="F109">
            <v>-1.6665720285815675E-3</v>
          </cell>
          <cell r="G109">
            <v>5.7105566157771509E-3</v>
          </cell>
          <cell r="I109">
            <v>15</v>
          </cell>
          <cell r="K109">
            <v>391.35422012919997</v>
          </cell>
        </row>
        <row r="110">
          <cell r="B110">
            <v>23.460100000000001</v>
          </cell>
          <cell r="D110">
            <v>49498944.278741002</v>
          </cell>
          <cell r="E110">
            <v>2371311111</v>
          </cell>
          <cell r="F110">
            <v>2.9317187109064856E-2</v>
          </cell>
          <cell r="G110">
            <v>2.2787772335250183E-2</v>
          </cell>
          <cell r="I110">
            <v>16</v>
          </cell>
          <cell r="K110">
            <v>398.77114541884242</v>
          </cell>
        </row>
        <row r="111">
          <cell r="B111">
            <v>23.363600000000002</v>
          </cell>
          <cell r="D111">
            <v>47277772.024384998</v>
          </cell>
          <cell r="E111">
            <v>2365633333</v>
          </cell>
          <cell r="F111">
            <v>-4.1218501154351101E-3</v>
          </cell>
          <cell r="G111">
            <v>-1.0645902098176338E-4</v>
          </cell>
          <cell r="I111">
            <v>17</v>
          </cell>
          <cell r="K111">
            <v>388.37354866756408</v>
          </cell>
        </row>
        <row r="112">
          <cell r="B112">
            <v>23.703399999999998</v>
          </cell>
          <cell r="D112">
            <v>53233237.718292996</v>
          </cell>
          <cell r="E112">
            <v>1942883333</v>
          </cell>
          <cell r="F112">
            <v>1.4439242091902905E-2</v>
          </cell>
          <cell r="G112">
            <v>8.0813875904548593E-3</v>
          </cell>
          <cell r="I112">
            <v>18</v>
          </cell>
          <cell r="K112">
            <v>389.61311741989817</v>
          </cell>
        </row>
        <row r="113">
          <cell r="B113">
            <v>23.099699999999999</v>
          </cell>
          <cell r="D113">
            <v>57999633.952192001</v>
          </cell>
          <cell r="E113">
            <v>1965294444</v>
          </cell>
          <cell r="F113">
            <v>-2.5798867336878781E-2</v>
          </cell>
          <cell r="G113">
            <v>-1.2700439066485178E-2</v>
          </cell>
          <cell r="I113">
            <v>19</v>
          </cell>
          <cell r="K113">
            <v>381.48158929956634</v>
          </cell>
        </row>
        <row r="114">
          <cell r="B114">
            <v>23.411200000000001</v>
          </cell>
          <cell r="D114">
            <v>44208194.507028997</v>
          </cell>
          <cell r="E114">
            <v>1912733333</v>
          </cell>
          <cell r="F114">
            <v>1.339490990387142E-2</v>
          </cell>
          <cell r="G114">
            <v>1.1583390373813106E-2</v>
          </cell>
          <cell r="I114">
            <v>20</v>
          </cell>
          <cell r="K114">
            <v>383.2717403162651</v>
          </cell>
        </row>
        <row r="115">
          <cell r="B115">
            <v>23.286300000000001</v>
          </cell>
          <cell r="D115">
            <v>41264158.583838999</v>
          </cell>
          <cell r="E115">
            <v>1948061111</v>
          </cell>
          <cell r="F115">
            <v>-5.3493355249587728E-3</v>
          </cell>
          <cell r="G115">
            <v>-7.0479932229503646E-3</v>
          </cell>
          <cell r="I115">
            <v>21</v>
          </cell>
          <cell r="K115">
            <v>373.53947839292533</v>
          </cell>
        </row>
        <row r="116">
          <cell r="B116">
            <v>23.4513</v>
          </cell>
          <cell r="D116">
            <v>49364035.773157999</v>
          </cell>
          <cell r="E116">
            <v>2048733333</v>
          </cell>
          <cell r="F116">
            <v>7.0607256465809141E-3</v>
          </cell>
          <cell r="G116">
            <v>1.0756614732241909E-2</v>
          </cell>
          <cell r="I116">
            <v>22</v>
          </cell>
          <cell r="K116">
            <v>382.39301388232349</v>
          </cell>
        </row>
        <row r="117">
          <cell r="B117">
            <v>23.9985</v>
          </cell>
          <cell r="D117">
            <v>77945717.775479004</v>
          </cell>
          <cell r="E117">
            <v>2445316667</v>
          </cell>
          <cell r="F117">
            <v>2.3065397938817001E-2</v>
          </cell>
          <cell r="G117">
            <v>1.0284752736562524E-2</v>
          </cell>
          <cell r="I117">
            <v>23</v>
          </cell>
          <cell r="K117">
            <v>388.77163427164851</v>
          </cell>
        </row>
        <row r="118">
          <cell r="B118">
            <v>23.851800000000001</v>
          </cell>
          <cell r="D118">
            <v>73241847.134235993</v>
          </cell>
          <cell r="E118">
            <v>1810794444</v>
          </cell>
          <cell r="F118">
            <v>-6.1316422101210678E-3</v>
          </cell>
          <cell r="G118">
            <v>1.4436567200249713E-3</v>
          </cell>
          <cell r="I118">
            <v>24</v>
          </cell>
          <cell r="K118">
            <v>381.68092508519521</v>
          </cell>
        </row>
        <row r="119">
          <cell r="B119">
            <v>24.5396</v>
          </cell>
          <cell r="D119">
            <v>94722311.724702001</v>
          </cell>
          <cell r="E119">
            <v>2119638889</v>
          </cell>
          <cell r="F119">
            <v>2.8428453046801798E-2</v>
          </cell>
          <cell r="G119">
            <v>9.767870585814924E-3</v>
          </cell>
          <cell r="I119">
            <v>25</v>
          </cell>
          <cell r="K119">
            <v>373.75757644547497</v>
          </cell>
        </row>
        <row r="120">
          <cell r="B120">
            <v>24.724</v>
          </cell>
          <cell r="D120">
            <v>45350455.005396001</v>
          </cell>
          <cell r="E120">
            <v>2053166667</v>
          </cell>
          <cell r="F120">
            <v>7.4862925656069288E-3</v>
          </cell>
          <cell r="G120">
            <v>-1.6877516747354983E-3</v>
          </cell>
          <cell r="I120">
            <v>26</v>
          </cell>
          <cell r="K120">
            <v>370.05435418266325</v>
          </cell>
        </row>
        <row r="121">
          <cell r="B121">
            <v>24.0932</v>
          </cell>
          <cell r="D121">
            <v>60623797.375510998</v>
          </cell>
          <cell r="E121">
            <v>2274705556</v>
          </cell>
          <cell r="F121">
            <v>-2.5844788790732702E-2</v>
          </cell>
          <cell r="G121">
            <v>-2.2513258771434952E-2</v>
          </cell>
          <cell r="I121">
            <v>27</v>
          </cell>
          <cell r="K121">
            <v>371.6220871250884</v>
          </cell>
        </row>
        <row r="122">
          <cell r="B122">
            <v>24.5396</v>
          </cell>
          <cell r="D122">
            <v>56417572.954203002</v>
          </cell>
          <cell r="E122">
            <v>2928605556</v>
          </cell>
          <cell r="F122">
            <v>1.8358496225125573E-2</v>
          </cell>
          <cell r="G122">
            <v>7.1489819720210544E-3</v>
          </cell>
          <cell r="I122">
            <v>28</v>
          </cell>
          <cell r="K122">
            <v>372.32652090790327</v>
          </cell>
        </row>
        <row r="123">
          <cell r="B123">
            <v>23.8675</v>
          </cell>
          <cell r="D123">
            <v>46267165.313993998</v>
          </cell>
          <cell r="E123">
            <v>1945455556</v>
          </cell>
          <cell r="F123">
            <v>-2.7770438341368636E-2</v>
          </cell>
          <cell r="G123">
            <v>-1.6083465459972662E-2</v>
          </cell>
          <cell r="I123">
            <v>29</v>
          </cell>
          <cell r="K123">
            <v>361.87028068239539</v>
          </cell>
        </row>
        <row r="124">
          <cell r="B124">
            <v>23.9985</v>
          </cell>
          <cell r="D124">
            <v>48065588.758495003</v>
          </cell>
          <cell r="E124">
            <v>1896077778</v>
          </cell>
          <cell r="F124">
            <v>5.4736275046881151E-3</v>
          </cell>
          <cell r="G124">
            <v>4.7613532585773716E-3</v>
          </cell>
          <cell r="I124">
            <v>30</v>
          </cell>
          <cell r="K124">
            <v>356.6599733808772</v>
          </cell>
        </row>
        <row r="125">
          <cell r="B125">
            <v>24.115600000000001</v>
          </cell>
          <cell r="D125">
            <v>42235014.534285001</v>
          </cell>
          <cell r="E125">
            <v>1826061111</v>
          </cell>
          <cell r="F125">
            <v>4.8676055962722639E-3</v>
          </cell>
          <cell r="G125">
            <v>8.9447923523008708E-3</v>
          </cell>
          <cell r="I125">
            <v>31</v>
          </cell>
          <cell r="K125">
            <v>349.17799108359577</v>
          </cell>
        </row>
        <row r="126">
          <cell r="B126">
            <v>23.9054</v>
          </cell>
          <cell r="D126">
            <v>56709837.176307</v>
          </cell>
          <cell r="E126">
            <v>2205205556</v>
          </cell>
          <cell r="F126">
            <v>-8.7545591518714879E-3</v>
          </cell>
          <cell r="G126">
            <v>-2.112076068222122E-3</v>
          </cell>
          <cell r="I126">
            <v>32</v>
          </cell>
          <cell r="K126">
            <v>347.74142563998845</v>
          </cell>
        </row>
        <row r="127">
          <cell r="B127">
            <v>24.453499999999998</v>
          </cell>
          <cell r="D127">
            <v>69081498.976317003</v>
          </cell>
          <cell r="E127">
            <v>2550266667</v>
          </cell>
          <cell r="F127">
            <v>2.2668980121113413E-2</v>
          </cell>
          <cell r="G127">
            <v>2.4614798034165282E-2</v>
          </cell>
          <cell r="I127">
            <v>33</v>
          </cell>
          <cell r="K127">
            <v>351.51357138338437</v>
          </cell>
        </row>
        <row r="128">
          <cell r="B128">
            <v>24.4312</v>
          </cell>
          <cell r="D128">
            <v>38247013.860717997</v>
          </cell>
          <cell r="E128">
            <v>1834250000</v>
          </cell>
          <cell r="F128">
            <v>-9.1235096244203365E-4</v>
          </cell>
          <cell r="G128">
            <v>2.4563100993451855E-3</v>
          </cell>
          <cell r="I128">
            <v>34</v>
          </cell>
          <cell r="K128">
            <v>357.30807528529323</v>
          </cell>
        </row>
        <row r="129">
          <cell r="B129">
            <v>24.5884</v>
          </cell>
          <cell r="D129">
            <v>26198076.917693</v>
          </cell>
          <cell r="E129">
            <v>1175772222</v>
          </cell>
          <cell r="F129">
            <v>6.4137830128868619E-3</v>
          </cell>
          <cell r="G129">
            <v>6.2127645053796339E-3</v>
          </cell>
          <cell r="I129">
            <v>35</v>
          </cell>
          <cell r="K129">
            <v>353.65076525884143</v>
          </cell>
        </row>
        <row r="130">
          <cell r="B130">
            <v>24.5396</v>
          </cell>
          <cell r="D130">
            <v>36032170.849601001</v>
          </cell>
          <cell r="E130">
            <v>1689733333</v>
          </cell>
          <cell r="F130">
            <v>-1.9866477792783665E-3</v>
          </cell>
          <cell r="G130">
            <v>-4.6979952180121604E-3</v>
          </cell>
          <cell r="I130">
            <v>36</v>
          </cell>
          <cell r="K130">
            <v>345.72175470277108</v>
          </cell>
        </row>
        <row r="131">
          <cell r="B131">
            <v>24.124199999999998</v>
          </cell>
          <cell r="D131">
            <v>47907800.990754001</v>
          </cell>
          <cell r="E131">
            <v>1525077778</v>
          </cell>
          <cell r="F131">
            <v>-1.707265317795759E-2</v>
          </cell>
          <cell r="G131">
            <v>-9.4774904376453764E-3</v>
          </cell>
          <cell r="I131">
            <v>37</v>
          </cell>
          <cell r="K131">
            <v>355.25940488472207</v>
          </cell>
        </row>
        <row r="132">
          <cell r="B132">
            <v>23.983799999999999</v>
          </cell>
          <cell r="D132">
            <v>38384361.100916997</v>
          </cell>
          <cell r="E132">
            <v>1613811111</v>
          </cell>
          <cell r="F132">
            <v>-5.8368836205843228E-3</v>
          </cell>
          <cell r="G132">
            <v>-1.6401076395319903E-3</v>
          </cell>
          <cell r="I132">
            <v>38</v>
          </cell>
          <cell r="K132">
            <v>346.38171020330992</v>
          </cell>
        </row>
        <row r="133">
          <cell r="B133">
            <v>23.7699</v>
          </cell>
          <cell r="D133">
            <v>46952853.125301003</v>
          </cell>
          <cell r="E133">
            <v>1928111111</v>
          </cell>
          <cell r="F133">
            <v>-8.958528053217554E-3</v>
          </cell>
          <cell r="G133">
            <v>-8.1591288327641839E-3</v>
          </cell>
          <cell r="I133">
            <v>39</v>
          </cell>
          <cell r="K133">
            <v>349.10164946515607</v>
          </cell>
        </row>
        <row r="134">
          <cell r="B134">
            <v>23.42</v>
          </cell>
          <cell r="D134">
            <v>49022117.399029002</v>
          </cell>
          <cell r="E134">
            <v>1903494444</v>
          </cell>
          <cell r="F134">
            <v>-1.4829716210089076E-2</v>
          </cell>
          <cell r="G134">
            <v>-1.490912885989825E-5</v>
          </cell>
          <cell r="I134">
            <v>40</v>
          </cell>
          <cell r="K134">
            <v>355.47948371145134</v>
          </cell>
        </row>
        <row r="135">
          <cell r="B135">
            <v>22.889900000000001</v>
          </cell>
          <cell r="D135">
            <v>79471383.803343996</v>
          </cell>
          <cell r="E135">
            <v>2030244444</v>
          </cell>
          <cell r="F135">
            <v>-2.2894592934603969E-2</v>
          </cell>
          <cell r="G135">
            <v>-4.9996180683616704E-3</v>
          </cell>
          <cell r="I135">
            <v>41</v>
          </cell>
          <cell r="K135">
            <v>358.03846335796192</v>
          </cell>
        </row>
        <row r="136">
          <cell r="B136">
            <v>23.490500000000001</v>
          </cell>
          <cell r="D136">
            <v>48897650.813823998</v>
          </cell>
          <cell r="E136">
            <v>1784961111</v>
          </cell>
          <cell r="F136">
            <v>2.5900318862787257E-2</v>
          </cell>
          <cell r="G136">
            <v>1.636274497101934E-2</v>
          </cell>
          <cell r="I136">
            <v>42</v>
          </cell>
          <cell r="K136">
            <v>352.53696134104695</v>
          </cell>
        </row>
        <row r="137">
          <cell r="B137">
            <v>23.532499999999999</v>
          </cell>
          <cell r="D137">
            <v>34905722.197330996</v>
          </cell>
          <cell r="E137">
            <v>1590400000</v>
          </cell>
          <cell r="F137">
            <v>1.7863603414834128E-3</v>
          </cell>
          <cell r="G137">
            <v>-2.316985120192678E-3</v>
          </cell>
          <cell r="I137">
            <v>43</v>
          </cell>
          <cell r="K137">
            <v>367.88552733936473</v>
          </cell>
        </row>
        <row r="138">
          <cell r="B138">
            <v>23.709299999999999</v>
          </cell>
          <cell r="D138">
            <v>42254104.645806998</v>
          </cell>
          <cell r="E138">
            <v>1981488889</v>
          </cell>
          <cell r="F138">
            <v>7.4849317944067828E-3</v>
          </cell>
          <cell r="G138">
            <v>7.3823344056611782E-3</v>
          </cell>
          <cell r="I138">
            <v>44</v>
          </cell>
          <cell r="K138">
            <v>374.81966420246908</v>
          </cell>
        </row>
        <row r="139">
          <cell r="B139">
            <v>24.338200000000001</v>
          </cell>
          <cell r="D139">
            <v>51412280.038323</v>
          </cell>
          <cell r="E139">
            <v>2023683333</v>
          </cell>
          <cell r="F139">
            <v>2.6179756249302733E-2</v>
          </cell>
          <cell r="G139">
            <v>6.6582862145774472E-3</v>
          </cell>
          <cell r="I139">
            <v>45</v>
          </cell>
          <cell r="K139">
            <v>380.16384532317721</v>
          </cell>
        </row>
        <row r="140">
          <cell r="B140">
            <v>24.5151</v>
          </cell>
          <cell r="D140">
            <v>58338308.870711997</v>
          </cell>
          <cell r="E140">
            <v>2246311111</v>
          </cell>
          <cell r="F140">
            <v>7.2421217471525488E-3</v>
          </cell>
          <cell r="G140">
            <v>2.7134294953041031E-3</v>
          </cell>
          <cell r="I140">
            <v>46</v>
          </cell>
          <cell r="K140">
            <v>384.6001841803245</v>
          </cell>
        </row>
        <row r="141">
          <cell r="B141">
            <v>24.0687</v>
          </cell>
          <cell r="D141">
            <v>80094936.096673995</v>
          </cell>
          <cell r="E141">
            <v>2180566667</v>
          </cell>
          <cell r="F141">
            <v>-1.8377013033674078E-2</v>
          </cell>
          <cell r="G141">
            <v>-1.011263852275059E-2</v>
          </cell>
          <cell r="I141">
            <v>47</v>
          </cell>
          <cell r="K141">
            <v>378.51741769456277</v>
          </cell>
        </row>
        <row r="142">
          <cell r="B142">
            <v>23.4026</v>
          </cell>
          <cell r="D142">
            <v>68980417.419388995</v>
          </cell>
          <cell r="E142">
            <v>2065100000</v>
          </cell>
          <cell r="F142">
            <v>-2.8065113894041555E-2</v>
          </cell>
          <cell r="G142">
            <v>-8.9489683826660012E-3</v>
          </cell>
          <cell r="I142">
            <v>48</v>
          </cell>
          <cell r="K142">
            <v>373.72807650706017</v>
          </cell>
        </row>
        <row r="143">
          <cell r="B143">
            <v>23.302199999999999</v>
          </cell>
          <cell r="D143">
            <v>59701084.421635002</v>
          </cell>
          <cell r="E143">
            <v>2161827778</v>
          </cell>
          <cell r="F143">
            <v>-4.2993505872157296E-3</v>
          </cell>
          <cell r="G143">
            <v>-9.0820795122977943E-3</v>
          </cell>
          <cell r="I143">
            <v>49</v>
          </cell>
          <cell r="K143">
            <v>369.18296478967767</v>
          </cell>
        </row>
        <row r="144">
          <cell r="B144">
            <v>23.0441</v>
          </cell>
          <cell r="D144">
            <v>57024611.062247999</v>
          </cell>
          <cell r="E144">
            <v>2066205556</v>
          </cell>
          <cell r="F144">
            <v>-1.1138005330059734E-2</v>
          </cell>
          <cell r="G144">
            <v>-3.1387788913235705E-4</v>
          </cell>
          <cell r="I144">
            <v>50</v>
          </cell>
          <cell r="K144">
            <v>373.7652264925224</v>
          </cell>
        </row>
        <row r="145">
          <cell r="B145">
            <v>23.310700000000001</v>
          </cell>
          <cell r="D145">
            <v>56672856.868031003</v>
          </cell>
          <cell r="E145">
            <v>2460722222</v>
          </cell>
          <cell r="F145">
            <v>1.1502711241694281E-2</v>
          </cell>
          <cell r="G145">
            <v>1.6405659452859416E-2</v>
          </cell>
          <cell r="I145">
            <v>51</v>
          </cell>
          <cell r="K145">
            <v>377.36116886121823</v>
          </cell>
        </row>
        <row r="146">
          <cell r="B146">
            <v>23.777699999999999</v>
          </cell>
          <cell r="D146">
            <v>55350124.889014997</v>
          </cell>
          <cell r="E146">
            <v>2443894444</v>
          </cell>
          <cell r="F146">
            <v>1.9835684025441284E-2</v>
          </cell>
          <cell r="G146">
            <v>1.8900849989626385E-2</v>
          </cell>
          <cell r="I146">
            <v>52</v>
          </cell>
          <cell r="K146">
            <v>385.57680246081316</v>
          </cell>
        </row>
        <row r="147">
          <cell r="B147">
            <v>23.694500000000001</v>
          </cell>
          <cell r="D147">
            <v>36160203.393103004</v>
          </cell>
          <cell r="E147">
            <v>1784477778</v>
          </cell>
          <cell r="F147">
            <v>-3.5052129535392581E-3</v>
          </cell>
          <cell r="G147">
            <v>-4.8353283011341573E-4</v>
          </cell>
          <cell r="I147">
            <v>53</v>
          </cell>
          <cell r="K147">
            <v>383.72967677573138</v>
          </cell>
        </row>
        <row r="148">
          <cell r="B148">
            <v>23.5578</v>
          </cell>
          <cell r="D148">
            <v>47065870.353156</v>
          </cell>
          <cell r="E148">
            <v>2123094444</v>
          </cell>
          <cell r="F148">
            <v>-5.7859778831830513E-3</v>
          </cell>
          <cell r="G148">
            <v>-4.3260985787338772E-3</v>
          </cell>
          <cell r="I148">
            <v>54</v>
          </cell>
          <cell r="K148">
            <v>381.52375328619962</v>
          </cell>
        </row>
        <row r="149">
          <cell r="B149">
            <v>23.507000000000001</v>
          </cell>
          <cell r="D149">
            <v>39684573.177914999</v>
          </cell>
          <cell r="E149">
            <v>2467177778</v>
          </cell>
          <cell r="F149">
            <v>-2.1587266801413436E-3</v>
          </cell>
          <cell r="G149">
            <v>-2.9041927884913225E-3</v>
          </cell>
          <cell r="I149">
            <v>55</v>
          </cell>
          <cell r="K149">
            <v>379.36478629124969</v>
          </cell>
        </row>
        <row r="150">
          <cell r="B150">
            <v>23.333300000000001</v>
          </cell>
          <cell r="D150">
            <v>49441935.017784998</v>
          </cell>
          <cell r="E150">
            <v>2329855556</v>
          </cell>
          <cell r="F150">
            <v>-7.4167243265807507E-3</v>
          </cell>
          <cell r="G150">
            <v>-7.532002677547946E-3</v>
          </cell>
          <cell r="I150">
            <v>56</v>
          </cell>
          <cell r="K150">
            <v>380.73687873174549</v>
          </cell>
        </row>
        <row r="151">
          <cell r="B151">
            <v>23.777699999999999</v>
          </cell>
          <cell r="D151">
            <v>44861232.760448001</v>
          </cell>
          <cell r="E151">
            <v>2083983333</v>
          </cell>
          <cell r="F151">
            <v>1.8866641843444405E-2</v>
          </cell>
          <cell r="G151">
            <v>1.8861295205931709E-2</v>
          </cell>
          <cell r="I151">
            <v>57</v>
          </cell>
          <cell r="K151">
            <v>361.13633886438714</v>
          </cell>
        </row>
        <row r="152">
          <cell r="B152">
            <v>23.941800000000001</v>
          </cell>
          <cell r="D152">
            <v>34367629.021173</v>
          </cell>
          <cell r="E152">
            <v>1734472222</v>
          </cell>
          <cell r="F152">
            <v>6.8777186210333824E-3</v>
          </cell>
          <cell r="G152">
            <v>2.3265677120569918E-3</v>
          </cell>
          <cell r="I152">
            <v>58</v>
          </cell>
          <cell r="K152">
            <v>358.72803124922098</v>
          </cell>
        </row>
        <row r="153">
          <cell r="B153">
            <v>24.187899999999999</v>
          </cell>
          <cell r="D153">
            <v>35032063.393399999</v>
          </cell>
          <cell r="E153">
            <v>2045827778</v>
          </cell>
          <cell r="F153">
            <v>1.0226622847680117E-2</v>
          </cell>
          <cell r="G153">
            <v>5.0937661557810326E-3</v>
          </cell>
          <cell r="I153">
            <v>59</v>
          </cell>
          <cell r="K153">
            <v>353.46797186048525</v>
          </cell>
        </row>
        <row r="154">
          <cell r="B154">
            <v>24.244499999999999</v>
          </cell>
          <cell r="D154">
            <v>32849462.460585002</v>
          </cell>
          <cell r="E154">
            <v>1789883333</v>
          </cell>
          <cell r="F154">
            <v>2.3372794148776195E-3</v>
          </cell>
          <cell r="G154">
            <v>6.2063727884550447E-4</v>
          </cell>
          <cell r="I154">
            <v>60</v>
          </cell>
          <cell r="K154">
            <v>358.08225006166094</v>
          </cell>
        </row>
        <row r="155">
          <cell r="B155">
            <v>24.380500000000001</v>
          </cell>
          <cell r="D155">
            <v>31175357.147670001</v>
          </cell>
          <cell r="E155">
            <v>1733116667</v>
          </cell>
          <cell r="F155">
            <v>5.5938449206085761E-3</v>
          </cell>
          <cell r="G155">
            <v>4.13544294347905E-4</v>
          </cell>
          <cell r="I155">
            <v>61</v>
          </cell>
          <cell r="K155">
            <v>359.01648696772605</v>
          </cell>
        </row>
        <row r="156">
          <cell r="B156">
            <v>24.315000000000001</v>
          </cell>
          <cell r="D156">
            <v>34791488.673621997</v>
          </cell>
          <cell r="E156">
            <v>1537766667</v>
          </cell>
          <cell r="F156">
            <v>-2.690188600695287E-3</v>
          </cell>
          <cell r="G156">
            <v>2.1860889478816747E-3</v>
          </cell>
          <cell r="I156">
            <v>62</v>
          </cell>
          <cell r="K156">
            <v>362.92703921784363</v>
          </cell>
        </row>
        <row r="157">
          <cell r="B157">
            <v>24.290299999999998</v>
          </cell>
          <cell r="D157">
            <v>28835944.145725001</v>
          </cell>
          <cell r="E157">
            <v>1388883333</v>
          </cell>
          <cell r="F157">
            <v>-1.0163501563078606E-3</v>
          </cell>
          <cell r="G157">
            <v>-1.2526781188120387E-3</v>
          </cell>
          <cell r="I157">
            <v>63</v>
          </cell>
          <cell r="K157">
            <v>363.08328896820746</v>
          </cell>
        </row>
        <row r="158">
          <cell r="B158">
            <v>24.244499999999999</v>
          </cell>
          <cell r="D158">
            <v>42939813.957294002</v>
          </cell>
          <cell r="E158">
            <v>1628277778</v>
          </cell>
          <cell r="F158">
            <v>-1.8873061636054229E-3</v>
          </cell>
          <cell r="G158">
            <v>-1.2820330212278219E-4</v>
          </cell>
          <cell r="I158">
            <v>64</v>
          </cell>
          <cell r="K158">
            <v>366.62290416791484</v>
          </cell>
        </row>
        <row r="159">
          <cell r="B159">
            <v>24.3003</v>
          </cell>
          <cell r="D159">
            <v>30262985.780005001</v>
          </cell>
          <cell r="E159">
            <v>1475416667</v>
          </cell>
          <cell r="F159">
            <v>2.2989084134719421E-3</v>
          </cell>
          <cell r="G159">
            <v>1.1390090430037803E-3</v>
          </cell>
          <cell r="I159">
            <v>65</v>
          </cell>
          <cell r="K159">
            <v>363.80522377533288</v>
          </cell>
        </row>
        <row r="160">
          <cell r="B160">
            <v>24.766200000000001</v>
          </cell>
          <cell r="D160">
            <v>44475634.212664999</v>
          </cell>
          <cell r="E160">
            <v>1730055556</v>
          </cell>
          <cell r="F160">
            <v>1.8991124398490721E-2</v>
          </cell>
          <cell r="G160">
            <v>7.0754343324954463E-3</v>
          </cell>
          <cell r="I160">
            <v>66</v>
          </cell>
          <cell r="K160">
            <v>361.19485677110976</v>
          </cell>
        </row>
        <row r="161">
          <cell r="B161">
            <v>24.864899999999999</v>
          </cell>
          <cell r="D161">
            <v>40502126.707534999</v>
          </cell>
          <cell r="E161">
            <v>1623883333</v>
          </cell>
          <cell r="F161">
            <v>3.9773500935428386E-3</v>
          </cell>
          <cell r="G161">
            <v>1.8703665370596102E-3</v>
          </cell>
          <cell r="I161">
            <v>67</v>
          </cell>
          <cell r="K161">
            <v>358.81041859871931</v>
          </cell>
        </row>
        <row r="162">
          <cell r="B162">
            <v>24.735800000000001</v>
          </cell>
          <cell r="D162">
            <v>29500908.855707999</v>
          </cell>
          <cell r="E162">
            <v>1536844444</v>
          </cell>
          <cell r="F162">
            <v>-5.2055834506468104E-3</v>
          </cell>
          <cell r="G162">
            <v>-2.1154395355287849E-5</v>
          </cell>
          <cell r="I162">
            <v>68</v>
          </cell>
          <cell r="K162">
            <v>350.12038213193728</v>
          </cell>
        </row>
        <row r="163">
          <cell r="B163">
            <v>24.7806</v>
          </cell>
          <cell r="D163">
            <v>35818476.472949997</v>
          </cell>
          <cell r="E163">
            <v>1823861111</v>
          </cell>
          <cell r="F163">
            <v>1.8095019922306167E-3</v>
          </cell>
          <cell r="G163">
            <v>-3.5036944682847937E-3</v>
          </cell>
          <cell r="I163">
            <v>69</v>
          </cell>
          <cell r="K163">
            <v>346.45583336156329</v>
          </cell>
        </row>
        <row r="164">
          <cell r="B164">
            <v>24.5746</v>
          </cell>
          <cell r="D164">
            <v>41556057.302896</v>
          </cell>
          <cell r="E164">
            <v>1701494444</v>
          </cell>
          <cell r="F164">
            <v>-8.3476997861292659E-3</v>
          </cell>
          <cell r="G164">
            <v>2.2641562930589981E-4</v>
          </cell>
          <cell r="I164">
            <v>70</v>
          </cell>
          <cell r="K164">
            <v>344.00977965355059</v>
          </cell>
        </row>
        <row r="165">
          <cell r="B165">
            <v>24.339200000000002</v>
          </cell>
          <cell r="D165">
            <v>35241025.682983004</v>
          </cell>
          <cell r="E165">
            <v>1671244444</v>
          </cell>
          <cell r="F165">
            <v>-9.6251698850469518E-3</v>
          </cell>
          <cell r="G165">
            <v>-8.1049751636543699E-3</v>
          </cell>
          <cell r="I165">
            <v>71</v>
          </cell>
          <cell r="K165">
            <v>339.98691273317803</v>
          </cell>
        </row>
        <row r="166">
          <cell r="B166">
            <v>24.590399999999999</v>
          </cell>
          <cell r="D166">
            <v>28514971.041439999</v>
          </cell>
          <cell r="E166">
            <v>1443772222</v>
          </cell>
          <cell r="F166">
            <v>1.0267903559161594E-2</v>
          </cell>
          <cell r="G166">
            <v>6.4339535401051222E-3</v>
          </cell>
          <cell r="I166">
            <v>72</v>
          </cell>
          <cell r="K166">
            <v>338.18566298550292</v>
          </cell>
        </row>
        <row r="167">
          <cell r="B167">
            <v>24.695900000000002</v>
          </cell>
          <cell r="D167">
            <v>43113638.811104</v>
          </cell>
          <cell r="E167">
            <v>1373611111</v>
          </cell>
          <cell r="F167">
            <v>4.2811150820065346E-3</v>
          </cell>
          <cell r="G167">
            <v>-4.8908941741975952E-4</v>
          </cell>
          <cell r="I167">
            <v>73</v>
          </cell>
          <cell r="K167">
            <v>337.80722996771414</v>
          </cell>
        </row>
        <row r="168">
          <cell r="B168">
            <v>24.647099999999998</v>
          </cell>
          <cell r="D168">
            <v>29762034.675377</v>
          </cell>
          <cell r="E168">
            <v>1460605556</v>
          </cell>
          <cell r="F168">
            <v>-1.9779914439995304E-3</v>
          </cell>
          <cell r="G168">
            <v>-8.0858523276048809E-4</v>
          </cell>
          <cell r="I168">
            <v>74</v>
          </cell>
          <cell r="K168">
            <v>335.08217703968666</v>
          </cell>
        </row>
        <row r="169">
          <cell r="B169">
            <v>24.662600000000001</v>
          </cell>
          <cell r="D169">
            <v>29016333.720927</v>
          </cell>
          <cell r="E169">
            <v>1428455556</v>
          </cell>
          <cell r="F169">
            <v>6.2867957057206143E-4</v>
          </cell>
          <cell r="G169">
            <v>8.4403453494465283E-4</v>
          </cell>
          <cell r="I169">
            <v>75</v>
          </cell>
          <cell r="K169">
            <v>343.54811546869411</v>
          </cell>
        </row>
        <row r="170">
          <cell r="B170">
            <v>24.396799999999999</v>
          </cell>
          <cell r="D170">
            <v>29792039.711220998</v>
          </cell>
          <cell r="E170">
            <v>1405711111</v>
          </cell>
          <cell r="F170">
            <v>-1.083594992190772E-2</v>
          </cell>
          <cell r="G170">
            <v>-7.836422697165871E-3</v>
          </cell>
          <cell r="I170">
            <v>76</v>
          </cell>
          <cell r="K170">
            <v>343.74319518824126</v>
          </cell>
        </row>
        <row r="171">
          <cell r="B171">
            <v>24.7974</v>
          </cell>
          <cell r="D171">
            <v>45475568.643613003</v>
          </cell>
          <cell r="E171">
            <v>1632361111</v>
          </cell>
          <cell r="F171">
            <v>1.6286832807715666E-2</v>
          </cell>
          <cell r="G171">
            <v>5.0604870542372508E-3</v>
          </cell>
          <cell r="I171">
            <v>77</v>
          </cell>
          <cell r="K171">
            <v>351.89150290783266</v>
          </cell>
        </row>
        <row r="172">
          <cell r="B172">
            <v>24.454499999999999</v>
          </cell>
          <cell r="D172">
            <v>60346707.160853997</v>
          </cell>
          <cell r="E172">
            <v>1777950000</v>
          </cell>
          <cell r="F172">
            <v>-1.3924560899615846E-2</v>
          </cell>
          <cell r="G172">
            <v>-1.1666288598383128E-3</v>
          </cell>
          <cell r="I172">
            <v>78</v>
          </cell>
          <cell r="K172">
            <v>352.82631220675592</v>
          </cell>
        </row>
        <row r="173">
          <cell r="B173">
            <v>24.454499999999999</v>
          </cell>
          <cell r="D173">
            <v>41820080.527670003</v>
          </cell>
          <cell r="E173">
            <v>1882838889</v>
          </cell>
          <cell r="F173">
            <v>0</v>
          </cell>
          <cell r="G173">
            <v>-1.0682316087138285E-3</v>
          </cell>
          <cell r="I173">
            <v>79</v>
          </cell>
          <cell r="K173">
            <v>361.66789850170136</v>
          </cell>
        </row>
        <row r="174">
          <cell r="B174">
            <v>25.215299999999999</v>
          </cell>
          <cell r="D174">
            <v>60101976.763575003</v>
          </cell>
          <cell r="E174">
            <v>2196038889</v>
          </cell>
          <cell r="F174">
            <v>3.0636705072182628E-2</v>
          </cell>
          <cell r="G174">
            <v>2.0229498271412946E-2</v>
          </cell>
          <cell r="I174">
            <v>80</v>
          </cell>
          <cell r="K174">
            <v>365.30254579853016</v>
          </cell>
        </row>
        <row r="175">
          <cell r="B175">
            <v>24.904900000000001</v>
          </cell>
          <cell r="D175">
            <v>53008015.150302999</v>
          </cell>
          <cell r="E175">
            <v>2065344444</v>
          </cell>
          <cell r="F175">
            <v>-1.2386381878658863E-2</v>
          </cell>
          <cell r="G175">
            <v>4.0417610177212364E-3</v>
          </cell>
          <cell r="I175">
            <v>81</v>
          </cell>
          <cell r="K175">
            <v>361.77779648872246</v>
          </cell>
        </row>
        <row r="176">
          <cell r="B176">
            <v>24.7182</v>
          </cell>
          <cell r="D176">
            <v>50362468.263012998</v>
          </cell>
          <cell r="E176">
            <v>1790927778</v>
          </cell>
          <cell r="F176">
            <v>-7.5247568548755129E-3</v>
          </cell>
          <cell r="G176">
            <v>-6.1667443421586504E-3</v>
          </cell>
          <cell r="I176">
            <v>82</v>
          </cell>
          <cell r="K176">
            <v>361.76858132834059</v>
          </cell>
        </row>
        <row r="177">
          <cell r="B177">
            <v>24.773800000000001</v>
          </cell>
          <cell r="D177">
            <v>31308830.260336</v>
          </cell>
          <cell r="E177">
            <v>1949794444</v>
          </cell>
          <cell r="F177">
            <v>2.2468287153551191E-3</v>
          </cell>
          <cell r="G177">
            <v>3.1299804777848361E-3</v>
          </cell>
          <cell r="I177">
            <v>83</v>
          </cell>
          <cell r="K177">
            <v>365.36129369203934</v>
          </cell>
        </row>
        <row r="178">
          <cell r="B178">
            <v>24.766200000000001</v>
          </cell>
          <cell r="D178">
            <v>40733726.638213001</v>
          </cell>
          <cell r="E178">
            <v>2022888889</v>
          </cell>
          <cell r="F178">
            <v>-3.0682277188619276E-4</v>
          </cell>
          <cell r="G178">
            <v>2.0905056879527827E-3</v>
          </cell>
          <cell r="I178">
            <v>84</v>
          </cell>
          <cell r="K178">
            <v>357.17212029996233</v>
          </cell>
        </row>
        <row r="179">
          <cell r="B179">
            <v>24.8873</v>
          </cell>
          <cell r="D179">
            <v>55985258.612223998</v>
          </cell>
          <cell r="E179">
            <v>2559194444</v>
          </cell>
          <cell r="F179">
            <v>4.8778128474937076E-3</v>
          </cell>
          <cell r="G179">
            <v>1.617821963021452E-2</v>
          </cell>
          <cell r="I179">
            <v>85</v>
          </cell>
          <cell r="K179">
            <v>358.5823931922086</v>
          </cell>
        </row>
        <row r="180">
          <cell r="B180">
            <v>25.1128</v>
          </cell>
          <cell r="D180">
            <v>63907291.438033998</v>
          </cell>
          <cell r="E180">
            <v>2801105556</v>
          </cell>
          <cell r="F180">
            <v>9.020043116316153E-3</v>
          </cell>
          <cell r="G180">
            <v>3.9511152790704966E-3</v>
          </cell>
          <cell r="I180">
            <v>86</v>
          </cell>
          <cell r="K180">
            <v>360.87993513770579</v>
          </cell>
        </row>
        <row r="181">
          <cell r="B181">
            <v>25.1128</v>
          </cell>
          <cell r="D181">
            <v>45347661.005914003</v>
          </cell>
          <cell r="E181">
            <v>1934683333</v>
          </cell>
          <cell r="F181">
            <v>0</v>
          </cell>
          <cell r="G181">
            <v>-3.1295294353358739E-3</v>
          </cell>
          <cell r="I181">
            <v>87</v>
          </cell>
          <cell r="K181">
            <v>364.91121626049585</v>
          </cell>
        </row>
        <row r="182">
          <cell r="B182">
            <v>25.078600000000002</v>
          </cell>
          <cell r="D182">
            <v>42918545.160943002</v>
          </cell>
          <cell r="E182">
            <v>1876327778</v>
          </cell>
          <cell r="F182">
            <v>-1.3627834765700536E-3</v>
          </cell>
          <cell r="G182">
            <v>-1.2805984266831857E-3</v>
          </cell>
          <cell r="I182">
            <v>88</v>
          </cell>
          <cell r="K182">
            <v>363.98689115039201</v>
          </cell>
        </row>
        <row r="183">
          <cell r="B183">
            <v>24.9849</v>
          </cell>
          <cell r="D183">
            <v>60744325.332643002</v>
          </cell>
          <cell r="E183">
            <v>1917422222</v>
          </cell>
          <cell r="F183">
            <v>-3.7432504483206138E-3</v>
          </cell>
          <cell r="G183">
            <v>1.18478151903211E-3</v>
          </cell>
          <cell r="I183">
            <v>89</v>
          </cell>
          <cell r="K183">
            <v>350.90501443048447</v>
          </cell>
        </row>
        <row r="184">
          <cell r="B184">
            <v>25.306100000000001</v>
          </cell>
          <cell r="D184">
            <v>56602574.829759002</v>
          </cell>
          <cell r="E184">
            <v>1879177778</v>
          </cell>
          <cell r="F184">
            <v>1.2773831004570411E-2</v>
          </cell>
          <cell r="G184">
            <v>-5.4085326052881347E-4</v>
          </cell>
          <cell r="I184">
            <v>90</v>
          </cell>
          <cell r="K184">
            <v>357.22328517735997</v>
          </cell>
        </row>
        <row r="185">
          <cell r="B185">
            <v>25.096399999999999</v>
          </cell>
          <cell r="D185">
            <v>127186969.09649999</v>
          </cell>
          <cell r="E185">
            <v>2685483333</v>
          </cell>
          <cell r="F185">
            <v>-8.3210638349054695E-3</v>
          </cell>
          <cell r="G185">
            <v>-7.5331888366289224E-5</v>
          </cell>
          <cell r="I185">
            <v>91</v>
          </cell>
          <cell r="K185">
            <v>351.31745211699268</v>
          </cell>
        </row>
        <row r="186">
          <cell r="B186">
            <v>24.766200000000001</v>
          </cell>
          <cell r="D186">
            <v>58170727.259423003</v>
          </cell>
          <cell r="E186">
            <v>1671622222</v>
          </cell>
          <cell r="F186">
            <v>-1.3244589208584375E-2</v>
          </cell>
          <cell r="G186">
            <v>-2.2351434037312782E-3</v>
          </cell>
          <cell r="I186">
            <v>92</v>
          </cell>
          <cell r="K186">
            <v>355.93709313096491</v>
          </cell>
        </row>
        <row r="187">
          <cell r="B187">
            <v>24.454499999999999</v>
          </cell>
          <cell r="D187">
            <v>67443686.989761993</v>
          </cell>
          <cell r="E187">
            <v>2077722222</v>
          </cell>
          <cell r="F187">
            <v>-1.2665572282116877E-2</v>
          </cell>
          <cell r="G187">
            <v>-1.0557355654258943E-2</v>
          </cell>
          <cell r="I187">
            <v>93</v>
          </cell>
          <cell r="K187">
            <v>350.17234512023441</v>
          </cell>
        </row>
        <row r="188">
          <cell r="B188">
            <v>24.273099999999999</v>
          </cell>
          <cell r="D188">
            <v>67952847.067585006</v>
          </cell>
          <cell r="E188">
            <v>1980766667</v>
          </cell>
          <cell r="F188">
            <v>-7.4455067764583448E-3</v>
          </cell>
          <cell r="G188">
            <v>-5.7532394483594748E-3</v>
          </cell>
          <cell r="I188">
            <v>94</v>
          </cell>
          <cell r="K188">
            <v>337.22425681573475</v>
          </cell>
        </row>
        <row r="189">
          <cell r="B189">
            <v>24.267099999999999</v>
          </cell>
          <cell r="D189">
            <v>58572552.299615003</v>
          </cell>
          <cell r="E189">
            <v>1750183333</v>
          </cell>
          <cell r="F189">
            <v>-2.4721777127241528E-4</v>
          </cell>
          <cell r="G189">
            <v>9.6026733646948151E-3</v>
          </cell>
          <cell r="I189">
            <v>95</v>
          </cell>
          <cell r="K189">
            <v>333.58957904213679</v>
          </cell>
        </row>
        <row r="190">
          <cell r="B190">
            <v>23.9466</v>
          </cell>
          <cell r="D190">
            <v>67395822.471705005</v>
          </cell>
          <cell r="E190">
            <v>1949572222</v>
          </cell>
          <cell r="F190">
            <v>-1.3295172160356809E-2</v>
          </cell>
          <cell r="G190">
            <v>-4.4878218697084783E-3</v>
          </cell>
          <cell r="I190">
            <v>96</v>
          </cell>
          <cell r="K190">
            <v>335.66721866418283</v>
          </cell>
        </row>
        <row r="191">
          <cell r="B191">
            <v>23.729700000000001</v>
          </cell>
          <cell r="D191">
            <v>67113800.525460005</v>
          </cell>
          <cell r="E191">
            <v>1947266667</v>
          </cell>
          <cell r="F191">
            <v>-9.0989232148669108E-3</v>
          </cell>
          <cell r="G191">
            <v>2.6480349319839992E-3</v>
          </cell>
          <cell r="I191">
            <v>97</v>
          </cell>
          <cell r="K191">
            <v>331.3064711782871</v>
          </cell>
        </row>
        <row r="192">
          <cell r="B192">
            <v>23.8645</v>
          </cell>
          <cell r="D192">
            <v>53848141.820481002</v>
          </cell>
          <cell r="E192">
            <v>1845438889</v>
          </cell>
          <cell r="F192">
            <v>5.6645709119118636E-3</v>
          </cell>
          <cell r="G192">
            <v>8.7189996666161944E-4</v>
          </cell>
          <cell r="I192">
            <v>98</v>
          </cell>
          <cell r="K192">
            <v>331.74241607835575</v>
          </cell>
        </row>
        <row r="193">
          <cell r="B193">
            <v>24.028700000000001</v>
          </cell>
          <cell r="D193">
            <v>57992848.086101003</v>
          </cell>
          <cell r="E193">
            <v>1962022222</v>
          </cell>
          <cell r="F193">
            <v>6.8569501874696879E-3</v>
          </cell>
          <cell r="G193">
            <v>3.6178640233520921E-3</v>
          </cell>
          <cell r="I193">
            <v>99</v>
          </cell>
          <cell r="K193">
            <v>331.48664891997487</v>
          </cell>
        </row>
        <row r="194">
          <cell r="B194">
            <v>24.1645</v>
          </cell>
          <cell r="D194">
            <v>54233420.937028997</v>
          </cell>
          <cell r="E194">
            <v>2008811111</v>
          </cell>
          <cell r="F194">
            <v>5.6356647587320176E-3</v>
          </cell>
          <cell r="G194">
            <v>7.1487982954376974E-3</v>
          </cell>
          <cell r="I194">
            <v>100</v>
          </cell>
          <cell r="K194">
            <v>336.36196213390519</v>
          </cell>
        </row>
        <row r="195">
          <cell r="B195">
            <v>24.0199</v>
          </cell>
          <cell r="D195">
            <v>51120488.820161998</v>
          </cell>
          <cell r="E195">
            <v>1762744444</v>
          </cell>
          <cell r="F195">
            <v>-6.0019605550046115E-3</v>
          </cell>
          <cell r="G195">
            <v>-3.2166114302795205E-4</v>
          </cell>
          <cell r="I195">
            <v>101</v>
          </cell>
          <cell r="K195">
            <v>338.21893050497215</v>
          </cell>
        </row>
        <row r="196">
          <cell r="B196">
            <v>23.964200000000002</v>
          </cell>
          <cell r="D196">
            <v>36978851.384228997</v>
          </cell>
          <cell r="E196">
            <v>1293733333</v>
          </cell>
          <cell r="F196">
            <v>-2.3216034068722106E-3</v>
          </cell>
          <cell r="G196">
            <v>-3.4626904363913532E-3</v>
          </cell>
          <cell r="I196">
            <v>102</v>
          </cell>
          <cell r="K196">
            <v>334.07714088041342</v>
          </cell>
        </row>
        <row r="197">
          <cell r="B197">
            <v>23.561599999999999</v>
          </cell>
          <cell r="D197">
            <v>56076399.919620998</v>
          </cell>
          <cell r="E197">
            <v>1786844444</v>
          </cell>
          <cell r="F197">
            <v>-1.6942781846703055E-2</v>
          </cell>
          <cell r="G197">
            <v>-9.9401652318431739E-3</v>
          </cell>
          <cell r="I197">
            <v>103</v>
          </cell>
          <cell r="K197">
            <v>344.3629096157315</v>
          </cell>
        </row>
        <row r="198">
          <cell r="B198">
            <v>23.320499999999999</v>
          </cell>
          <cell r="D198">
            <v>58688931.745975003</v>
          </cell>
          <cell r="E198">
            <v>1791700000</v>
          </cell>
          <cell r="F198">
            <v>-1.0285466116492586E-2</v>
          </cell>
          <cell r="G198">
            <v>-6.2073100173509251E-3</v>
          </cell>
          <cell r="I198">
            <v>104</v>
          </cell>
          <cell r="K198">
            <v>347.99136984228909</v>
          </cell>
        </row>
        <row r="199">
          <cell r="B199">
            <v>23.2942</v>
          </cell>
          <cell r="D199">
            <v>51562323.646266997</v>
          </cell>
          <cell r="E199">
            <v>2040300000</v>
          </cell>
          <cell r="F199">
            <v>-1.1283995302175545E-3</v>
          </cell>
          <cell r="G199">
            <v>1.954351929163438E-4</v>
          </cell>
          <cell r="I199">
            <v>105</v>
          </cell>
          <cell r="K199">
            <v>335.41739588436758</v>
          </cell>
        </row>
        <row r="200">
          <cell r="B200">
            <v>23.493500000000001</v>
          </cell>
          <cell r="D200">
            <v>57746820.511340998</v>
          </cell>
          <cell r="E200">
            <v>1741527778</v>
          </cell>
          <cell r="F200">
            <v>8.5193846002238408E-3</v>
          </cell>
          <cell r="G200">
            <v>-2.9705448850503111E-3</v>
          </cell>
          <cell r="I200">
            <v>106</v>
          </cell>
          <cell r="K200">
            <v>333.99218797100491</v>
          </cell>
        </row>
        <row r="201">
          <cell r="B201">
            <v>23.7453</v>
          </cell>
          <cell r="D201">
            <v>52750133.810061</v>
          </cell>
          <cell r="E201">
            <v>1935450000</v>
          </cell>
          <cell r="F201">
            <v>1.0660829014286621E-2</v>
          </cell>
          <cell r="G201">
            <v>8.0454434366606341E-3</v>
          </cell>
          <cell r="I201">
            <v>107</v>
          </cell>
          <cell r="K201">
            <v>328.31703569249271</v>
          </cell>
        </row>
        <row r="202">
          <cell r="B202">
            <v>23.729700000000001</v>
          </cell>
          <cell r="D202">
            <v>59331244.481409997</v>
          </cell>
          <cell r="E202">
            <v>1982650000</v>
          </cell>
          <cell r="F202">
            <v>-6.5718801733389675E-4</v>
          </cell>
          <cell r="G202">
            <v>1.0217529003082159E-2</v>
          </cell>
          <cell r="I202">
            <v>108</v>
          </cell>
          <cell r="K202">
            <v>325.25751676023799</v>
          </cell>
        </row>
        <row r="203">
          <cell r="B203">
            <v>23.809799999999999</v>
          </cell>
          <cell r="D203">
            <v>54941407.505653001</v>
          </cell>
          <cell r="E203">
            <v>2030733333</v>
          </cell>
          <cell r="F203">
            <v>3.3698324887623003E-3</v>
          </cell>
          <cell r="G203">
            <v>4.1086129344168739E-3</v>
          </cell>
          <cell r="I203">
            <v>109</v>
          </cell>
          <cell r="K203">
            <v>328.45554262158083</v>
          </cell>
        </row>
        <row r="204">
          <cell r="B204">
            <v>23.738600000000002</v>
          </cell>
          <cell r="D204">
            <v>73584692.063706994</v>
          </cell>
          <cell r="E204">
            <v>2155572222</v>
          </cell>
          <cell r="F204">
            <v>-2.9948453877162761E-3</v>
          </cell>
          <cell r="G204">
            <v>-2.4466730272574805E-3</v>
          </cell>
          <cell r="I204">
            <v>110</v>
          </cell>
          <cell r="K204">
            <v>323.981568833582</v>
          </cell>
        </row>
        <row r="205">
          <cell r="B205">
            <v>23.0441</v>
          </cell>
          <cell r="D205">
            <v>112436309.39313</v>
          </cell>
          <cell r="E205">
            <v>2152872222</v>
          </cell>
          <cell r="F205">
            <v>-2.969264385866386E-2</v>
          </cell>
          <cell r="G205">
            <v>-1.6710127170061661E-2</v>
          </cell>
          <cell r="I205">
            <v>111</v>
          </cell>
          <cell r="K205">
            <v>324.13783959907306</v>
          </cell>
        </row>
        <row r="206">
          <cell r="B206">
            <v>22.532399999999999</v>
          </cell>
          <cell r="D206">
            <v>103620727.07084</v>
          </cell>
          <cell r="E206">
            <v>1786788889</v>
          </cell>
          <cell r="F206">
            <v>-2.2455497980480389E-2</v>
          </cell>
          <cell r="G206">
            <v>4.3948225512983235E-4</v>
          </cell>
          <cell r="I206">
            <v>112</v>
          </cell>
          <cell r="K206">
            <v>323.90259434536864</v>
          </cell>
        </row>
        <row r="207">
          <cell r="B207">
            <v>22.571300000000001</v>
          </cell>
          <cell r="D207">
            <v>80056495.823844999</v>
          </cell>
          <cell r="E207">
            <v>1993150000</v>
          </cell>
          <cell r="F207">
            <v>1.7249143482698469E-3</v>
          </cell>
          <cell r="G207">
            <v>-1.4549262064668257E-2</v>
          </cell>
          <cell r="I207">
            <v>113</v>
          </cell>
          <cell r="K207">
            <v>327.19706763703726</v>
          </cell>
        </row>
        <row r="208">
          <cell r="B208">
            <v>22.4513</v>
          </cell>
          <cell r="D208">
            <v>66272644.918132998</v>
          </cell>
          <cell r="E208">
            <v>1881094444</v>
          </cell>
          <cell r="F208">
            <v>-5.3306687823521026E-3</v>
          </cell>
          <cell r="G208">
            <v>-3.0901628496863881E-3</v>
          </cell>
          <cell r="I208">
            <v>114</v>
          </cell>
          <cell r="K208">
            <v>333.43485965932547</v>
          </cell>
        </row>
        <row r="209">
          <cell r="B209">
            <v>22.436599999999999</v>
          </cell>
          <cell r="D209">
            <v>67202230.762636006</v>
          </cell>
          <cell r="E209">
            <v>1951466667</v>
          </cell>
          <cell r="F209">
            <v>-6.5496494714615693E-4</v>
          </cell>
          <cell r="G209">
            <v>2.9910856826463454E-3</v>
          </cell>
          <cell r="I209">
            <v>115</v>
          </cell>
          <cell r="K209">
            <v>349.10199601900456</v>
          </cell>
        </row>
        <row r="210">
          <cell r="B210">
            <v>22.700500000000002</v>
          </cell>
          <cell r="D210">
            <v>71810636.512821004</v>
          </cell>
          <cell r="E210">
            <v>1824950000</v>
          </cell>
          <cell r="F210">
            <v>1.1693396653096591E-2</v>
          </cell>
          <cell r="G210">
            <v>-7.2922680414156456E-4</v>
          </cell>
          <cell r="I210">
            <v>116</v>
          </cell>
          <cell r="K210">
            <v>340.41469603416073</v>
          </cell>
        </row>
        <row r="211">
          <cell r="B211">
            <v>22.962900000000001</v>
          </cell>
          <cell r="D211">
            <v>86333266.339090005</v>
          </cell>
          <cell r="E211">
            <v>1987283333</v>
          </cell>
          <cell r="F211">
            <v>1.1492919419068442E-2</v>
          </cell>
          <cell r="G211">
            <v>1.5580184869156202E-4</v>
          </cell>
          <cell r="I211">
            <v>117</v>
          </cell>
          <cell r="K211">
            <v>337.5993743395918</v>
          </cell>
        </row>
        <row r="212">
          <cell r="B212">
            <v>23.7453</v>
          </cell>
          <cell r="D212">
            <v>89539808.188692003</v>
          </cell>
          <cell r="E212">
            <v>2183272222</v>
          </cell>
          <cell r="F212">
            <v>3.3504746064495654E-2</v>
          </cell>
          <cell r="G212">
            <v>1.0867260747050345E-2</v>
          </cell>
          <cell r="I212">
            <v>118</v>
          </cell>
          <cell r="K212">
            <v>347.37087179082687</v>
          </cell>
        </row>
        <row r="213">
          <cell r="B213">
            <v>23.738600000000002</v>
          </cell>
          <cell r="D213">
            <v>71011806.567855</v>
          </cell>
          <cell r="E213">
            <v>2073600000</v>
          </cell>
          <cell r="F213">
            <v>-2.8220091628792398E-4</v>
          </cell>
          <cell r="G213">
            <v>-9.4237076580922455E-3</v>
          </cell>
          <cell r="I213">
            <v>119</v>
          </cell>
          <cell r="K213">
            <v>350.95672496213484</v>
          </cell>
        </row>
        <row r="214">
          <cell r="B214">
            <v>23.840199999999999</v>
          </cell>
          <cell r="D214">
            <v>47313865.706224002</v>
          </cell>
          <cell r="E214">
            <v>1622800000</v>
          </cell>
          <cell r="F214">
            <v>4.270816179931229E-3</v>
          </cell>
          <cell r="G214">
            <v>2.1614299275310735E-3</v>
          </cell>
          <cell r="I214">
            <v>120</v>
          </cell>
          <cell r="K214">
            <v>338.6487214372525</v>
          </cell>
        </row>
        <row r="215">
          <cell r="B215">
            <v>24.028700000000001</v>
          </cell>
          <cell r="D215">
            <v>53944363.313084997</v>
          </cell>
          <cell r="E215">
            <v>1837205556</v>
          </cell>
          <cell r="F215">
            <v>7.8757178184042584E-3</v>
          </cell>
          <cell r="G215">
            <v>7.822505758014995E-3</v>
          </cell>
          <cell r="I215">
            <v>121</v>
          </cell>
          <cell r="K215">
            <v>336.2852619997023</v>
          </cell>
        </row>
        <row r="216">
          <cell r="B216">
            <v>23.3978</v>
          </cell>
          <cell r="D216">
            <v>71925734.138970003</v>
          </cell>
          <cell r="E216">
            <v>2420272222</v>
          </cell>
          <cell r="F216">
            <v>-2.6606948392353849E-2</v>
          </cell>
          <cell r="G216">
            <v>-2.3990494932418175E-2</v>
          </cell>
          <cell r="I216">
            <v>122</v>
          </cell>
          <cell r="K216">
            <v>335.63902484861376</v>
          </cell>
        </row>
        <row r="217">
          <cell r="B217">
            <v>23.182700000000001</v>
          </cell>
          <cell r="D217">
            <v>61935671.764013</v>
          </cell>
          <cell r="E217">
            <v>2099733333</v>
          </cell>
          <cell r="F217">
            <v>-9.2356899974853218E-3</v>
          </cell>
          <cell r="G217">
            <v>-1.2279919394418561E-2</v>
          </cell>
          <cell r="I217">
            <v>123</v>
          </cell>
          <cell r="K217">
            <v>331.76942760162643</v>
          </cell>
        </row>
        <row r="218">
          <cell r="B218">
            <v>23.198499999999999</v>
          </cell>
          <cell r="D218">
            <v>53803243.303337999</v>
          </cell>
          <cell r="E218">
            <v>2026305556</v>
          </cell>
          <cell r="F218">
            <v>6.8131055734551714E-4</v>
          </cell>
          <cell r="G218">
            <v>1.6972760624259981E-3</v>
          </cell>
          <cell r="I218">
            <v>124</v>
          </cell>
          <cell r="K218">
            <v>323.8091849528663</v>
          </cell>
        </row>
        <row r="219">
          <cell r="B219">
            <v>22.706399999999999</v>
          </cell>
          <cell r="D219">
            <v>75936767.647403002</v>
          </cell>
          <cell r="E219">
            <v>1426411111</v>
          </cell>
          <cell r="F219">
            <v>-2.1440798333407673E-2</v>
          </cell>
          <cell r="G219">
            <v>1.3044045411771709E-4</v>
          </cell>
          <cell r="I219">
            <v>125</v>
          </cell>
          <cell r="K219">
            <v>312.87136414450197</v>
          </cell>
        </row>
        <row r="220">
          <cell r="B220">
            <v>21.976500000000001</v>
          </cell>
          <cell r="D220">
            <v>162317632.31186</v>
          </cell>
          <cell r="E220">
            <v>1919750000</v>
          </cell>
          <cell r="F220">
            <v>-3.2673122448866582E-2</v>
          </cell>
          <cell r="G220">
            <v>-3.9933835596909703E-3</v>
          </cell>
          <cell r="I220">
            <v>126</v>
          </cell>
          <cell r="K220">
            <v>316.68157371049949</v>
          </cell>
        </row>
        <row r="221">
          <cell r="B221">
            <v>21.7744</v>
          </cell>
          <cell r="D221">
            <v>93793809.079704002</v>
          </cell>
          <cell r="E221">
            <v>2283061111</v>
          </cell>
          <cell r="F221">
            <v>-9.2387328034243613E-3</v>
          </cell>
          <cell r="G221">
            <v>-1.394884192572606E-2</v>
          </cell>
          <cell r="I221">
            <v>127</v>
          </cell>
          <cell r="K221">
            <v>315.41991704838364</v>
          </cell>
        </row>
        <row r="222">
          <cell r="B222">
            <v>21.626899999999999</v>
          </cell>
          <cell r="D222">
            <v>62801128.716779001</v>
          </cell>
          <cell r="E222">
            <v>2182705556</v>
          </cell>
          <cell r="F222">
            <v>-6.7970575938722565E-3</v>
          </cell>
          <cell r="G222">
            <v>-1.5947906895285239E-3</v>
          </cell>
          <cell r="I222">
            <v>128</v>
          </cell>
          <cell r="K222">
            <v>318.62778282158649</v>
          </cell>
        </row>
        <row r="223">
          <cell r="B223">
            <v>21.515499999999999</v>
          </cell>
          <cell r="D223">
            <v>78998574.385692999</v>
          </cell>
          <cell r="E223">
            <v>2247727778</v>
          </cell>
          <cell r="F223">
            <v>-5.1643046092373877E-3</v>
          </cell>
          <cell r="G223">
            <v>4.8282386725694085E-3</v>
          </cell>
          <cell r="I223">
            <v>129</v>
          </cell>
          <cell r="K223">
            <v>321.50724389583172</v>
          </cell>
        </row>
        <row r="224">
          <cell r="B224">
            <v>21.683499999999999</v>
          </cell>
          <cell r="D224">
            <v>70466117.685519993</v>
          </cell>
          <cell r="E224">
            <v>1874888889</v>
          </cell>
          <cell r="F224">
            <v>7.7779970351385362E-3</v>
          </cell>
          <cell r="G224">
            <v>1.9667369768091868E-2</v>
          </cell>
          <cell r="I224">
            <v>130</v>
          </cell>
          <cell r="K224">
            <v>326.50977935949481</v>
          </cell>
        </row>
        <row r="225">
          <cell r="B225">
            <v>21.668900000000001</v>
          </cell>
          <cell r="D225">
            <v>58007499.946337</v>
          </cell>
          <cell r="E225">
            <v>1781755556</v>
          </cell>
          <cell r="F225">
            <v>-6.7354981740166411E-4</v>
          </cell>
          <cell r="G225">
            <v>6.6313477760757589E-4</v>
          </cell>
          <cell r="I225">
            <v>131</v>
          </cell>
          <cell r="K225">
            <v>333.84709307602105</v>
          </cell>
        </row>
        <row r="226">
          <cell r="B226">
            <v>21.8642</v>
          </cell>
          <cell r="D226">
            <v>81780822.483988002</v>
          </cell>
          <cell r="E226">
            <v>1481716667</v>
          </cell>
          <cell r="F226">
            <v>8.9725432023926802E-3</v>
          </cell>
          <cell r="G226">
            <v>2.3175148199859131E-3</v>
          </cell>
          <cell r="I226">
            <v>132</v>
          </cell>
          <cell r="K226">
            <v>336.07925327300313</v>
          </cell>
        </row>
        <row r="227">
          <cell r="B227">
            <v>22.4726</v>
          </cell>
          <cell r="D227">
            <v>71303696.072549</v>
          </cell>
          <cell r="E227">
            <v>836088889</v>
          </cell>
          <cell r="F227">
            <v>2.7446193297771027E-2</v>
          </cell>
          <cell r="G227">
            <v>1.2942205804867957E-2</v>
          </cell>
          <cell r="I227">
            <v>133</v>
          </cell>
          <cell r="K227">
            <v>334.46946816692099</v>
          </cell>
        </row>
        <row r="228">
          <cell r="B228">
            <v>22.218900000000001</v>
          </cell>
          <cell r="D228">
            <v>104999687.13765</v>
          </cell>
          <cell r="E228">
            <v>1638311111</v>
          </cell>
          <cell r="F228">
            <v>-1.1353511303128694E-2</v>
          </cell>
          <cell r="G228">
            <v>-2.0316547209315592E-3</v>
          </cell>
          <cell r="I228">
            <v>134</v>
          </cell>
          <cell r="K228">
            <v>341.27063121799711</v>
          </cell>
        </row>
        <row r="229">
          <cell r="B229">
            <v>21.967600000000001</v>
          </cell>
          <cell r="D229">
            <v>55498018.479038</v>
          </cell>
          <cell r="E229">
            <v>1846177778</v>
          </cell>
          <cell r="F229">
            <v>-1.1374637478722451E-2</v>
          </cell>
          <cell r="G229">
            <v>-5.2402240238485368E-3</v>
          </cell>
          <cell r="I229">
            <v>135</v>
          </cell>
          <cell r="K229">
            <v>336.4749768650592</v>
          </cell>
        </row>
        <row r="230">
          <cell r="B230">
            <v>22.194299999999998</v>
          </cell>
          <cell r="D230">
            <v>65335074.316588998</v>
          </cell>
          <cell r="E230">
            <v>1866250000</v>
          </cell>
          <cell r="F230">
            <v>1.0266858596961638E-2</v>
          </cell>
          <cell r="G230">
            <v>7.8252507809793547E-3</v>
          </cell>
          <cell r="I230">
            <v>136</v>
          </cell>
          <cell r="K230">
            <v>331.64384190423294</v>
          </cell>
        </row>
        <row r="231">
          <cell r="B231">
            <v>21.8642</v>
          </cell>
          <cell r="D231">
            <v>85717481.753371</v>
          </cell>
          <cell r="E231">
            <v>1864916667</v>
          </cell>
          <cell r="F231">
            <v>-1.4984903112881476E-2</v>
          </cell>
          <cell r="G231">
            <v>4.2606261459933554E-3</v>
          </cell>
          <cell r="I231">
            <v>137</v>
          </cell>
          <cell r="K231">
            <v>338.69780585907182</v>
          </cell>
        </row>
        <row r="232">
          <cell r="B232">
            <v>21.588000000000001</v>
          </cell>
          <cell r="D232">
            <v>103145880.25526001</v>
          </cell>
          <cell r="E232">
            <v>2203333333</v>
          </cell>
          <cell r="F232">
            <v>-1.271299128453972E-2</v>
          </cell>
          <cell r="G232">
            <v>1.6242192307947768E-4</v>
          </cell>
          <cell r="I232">
            <v>138</v>
          </cell>
          <cell r="K232">
            <v>332.07633706642594</v>
          </cell>
        </row>
        <row r="233">
          <cell r="B233">
            <v>21.444299999999998</v>
          </cell>
          <cell r="D233">
            <v>65529790.177886002</v>
          </cell>
          <cell r="E233">
            <v>1707933333</v>
          </cell>
          <cell r="F233">
            <v>-6.6787289617108916E-3</v>
          </cell>
          <cell r="G233">
            <v>-4.7564535251138646E-3</v>
          </cell>
          <cell r="I233">
            <v>139</v>
          </cell>
          <cell r="K233">
            <v>336.84625478761524</v>
          </cell>
        </row>
        <row r="234">
          <cell r="B234">
            <v>21.392600000000002</v>
          </cell>
          <cell r="D234">
            <v>61367536.694559999</v>
          </cell>
          <cell r="E234">
            <v>1804283333</v>
          </cell>
          <cell r="F234">
            <v>-2.4138079600700981E-3</v>
          </cell>
          <cell r="G234">
            <v>-1.7113382080492271E-3</v>
          </cell>
          <cell r="I234">
            <v>140</v>
          </cell>
          <cell r="K234">
            <v>344.82276350280796</v>
          </cell>
        </row>
        <row r="235">
          <cell r="B235">
            <v>21.6358</v>
          </cell>
          <cell r="D235">
            <v>84167564.547149003</v>
          </cell>
          <cell r="E235">
            <v>2363288889</v>
          </cell>
          <cell r="F235">
            <v>1.1304282279002632E-2</v>
          </cell>
          <cell r="G235">
            <v>1.5836215685260085E-3</v>
          </cell>
          <cell r="I235">
            <v>141</v>
          </cell>
          <cell r="K235">
            <v>342.46404252727262</v>
          </cell>
        </row>
        <row r="236">
          <cell r="B236">
            <v>21.683499999999999</v>
          </cell>
          <cell r="D236">
            <v>48303379.716971003</v>
          </cell>
          <cell r="E236">
            <v>1794277778</v>
          </cell>
          <cell r="F236">
            <v>2.2022525423270973E-3</v>
          </cell>
          <cell r="G236">
            <v>3.3011980873050694E-3</v>
          </cell>
          <cell r="I236">
            <v>142</v>
          </cell>
          <cell r="K236">
            <v>339.62442953096053</v>
          </cell>
        </row>
        <row r="237">
          <cell r="B237">
            <v>21.458600000000001</v>
          </cell>
          <cell r="D237">
            <v>56906244.385035999</v>
          </cell>
          <cell r="E237">
            <v>1736200000</v>
          </cell>
          <cell r="F237">
            <v>-1.0426105232905335E-2</v>
          </cell>
          <cell r="G237">
            <v>2.916658435379544E-3</v>
          </cell>
          <cell r="I237">
            <v>143</v>
          </cell>
          <cell r="K237">
            <v>335.1299291221398</v>
          </cell>
        </row>
        <row r="238">
          <cell r="B238">
            <v>21.8565</v>
          </cell>
          <cell r="D238">
            <v>57977098.692905001</v>
          </cell>
          <cell r="E238">
            <v>1666350000</v>
          </cell>
          <cell r="F238">
            <v>1.8372862716842173E-2</v>
          </cell>
          <cell r="G238">
            <v>3.3843095274054159E-4</v>
          </cell>
          <cell r="I238">
            <v>144</v>
          </cell>
          <cell r="K238">
            <v>322.49361165757915</v>
          </cell>
        </row>
        <row r="239">
          <cell r="B239">
            <v>22.164100000000001</v>
          </cell>
          <cell r="D239">
            <v>64437284.165714003</v>
          </cell>
          <cell r="E239">
            <v>2027905556</v>
          </cell>
          <cell r="F239">
            <v>1.3975502676014053E-2</v>
          </cell>
          <cell r="G239">
            <v>6.52758967448202E-3</v>
          </cell>
          <cell r="I239">
            <v>145</v>
          </cell>
          <cell r="K239">
            <v>334.12227118386585</v>
          </cell>
        </row>
        <row r="240">
          <cell r="B240">
            <v>22.096699999999998</v>
          </cell>
          <cell r="D240">
            <v>54179935.657829002</v>
          </cell>
          <cell r="E240">
            <v>2060583333</v>
          </cell>
          <cell r="F240">
            <v>-3.0455867086875469E-3</v>
          </cell>
          <cell r="G240">
            <v>4.4812906866902318E-4</v>
          </cell>
          <cell r="I240">
            <v>146</v>
          </cell>
          <cell r="K240">
            <v>338.85282520399937</v>
          </cell>
        </row>
        <row r="241">
          <cell r="B241">
            <v>21.993200000000002</v>
          </cell>
          <cell r="D241">
            <v>55565810.591789998</v>
          </cell>
          <cell r="E241">
            <v>1861088889</v>
          </cell>
          <cell r="F241">
            <v>-4.6949614364239943E-3</v>
          </cell>
          <cell r="G241">
            <v>-6.3414692504306803E-3</v>
          </cell>
          <cell r="I241">
            <v>147</v>
          </cell>
          <cell r="K241">
            <v>343.27286610057115</v>
          </cell>
        </row>
        <row r="242">
          <cell r="B242">
            <v>21.747</v>
          </cell>
          <cell r="D242">
            <v>51855461.185176</v>
          </cell>
          <cell r="E242">
            <v>1783427778</v>
          </cell>
          <cell r="F242">
            <v>-1.1257497683934106E-2</v>
          </cell>
          <cell r="G242">
            <v>-4.1439789908631845E-3</v>
          </cell>
          <cell r="I242">
            <v>148</v>
          </cell>
          <cell r="K242">
            <v>352.83058728606034</v>
          </cell>
        </row>
        <row r="243">
          <cell r="B243">
            <v>21.976500000000001</v>
          </cell>
          <cell r="D243">
            <v>51829577.017016999</v>
          </cell>
          <cell r="E243">
            <v>1919783333</v>
          </cell>
          <cell r="F243">
            <v>1.0497883640489963E-2</v>
          </cell>
          <cell r="G243">
            <v>1.1800667190939215E-2</v>
          </cell>
          <cell r="I243">
            <v>149</v>
          </cell>
          <cell r="K243">
            <v>350.16829881621663</v>
          </cell>
        </row>
        <row r="244">
          <cell r="B244">
            <v>22.355499999999999</v>
          </cell>
          <cell r="D244">
            <v>62234875.424918003</v>
          </cell>
          <cell r="E244">
            <v>2390133333</v>
          </cell>
          <cell r="F244">
            <v>1.7098675169473287E-2</v>
          </cell>
          <cell r="G244">
            <v>1.1421148426265303E-2</v>
          </cell>
          <cell r="I244">
            <v>150</v>
          </cell>
          <cell r="K244">
            <v>360.12493017214888</v>
          </cell>
        </row>
        <row r="245">
          <cell r="B245">
            <v>22.1553</v>
          </cell>
          <cell r="D245">
            <v>65972731.751313001</v>
          </cell>
          <cell r="E245">
            <v>2149888889</v>
          </cell>
          <cell r="F245">
            <v>-8.995630275630568E-3</v>
          </cell>
          <cell r="G245">
            <v>-7.6181593722409987E-3</v>
          </cell>
          <cell r="I245">
            <v>151</v>
          </cell>
          <cell r="K245">
            <v>355.87226125295558</v>
          </cell>
        </row>
        <row r="246">
          <cell r="B246">
            <v>22.457999999999998</v>
          </cell>
          <cell r="D246">
            <v>64844924.492480002</v>
          </cell>
          <cell r="E246">
            <v>2048100000</v>
          </cell>
          <cell r="F246">
            <v>1.3570152629163727E-2</v>
          </cell>
          <cell r="G246">
            <v>5.4731860885176876E-3</v>
          </cell>
          <cell r="I246">
            <v>152</v>
          </cell>
          <cell r="K246">
            <v>361.78687272115587</v>
          </cell>
        </row>
        <row r="247">
          <cell r="B247">
            <v>22.270499999999998</v>
          </cell>
          <cell r="D247">
            <v>121760423.16893999</v>
          </cell>
          <cell r="E247">
            <v>2905088889</v>
          </cell>
          <cell r="F247">
            <v>-8.3839654043238124E-3</v>
          </cell>
          <cell r="G247">
            <v>-9.4230021072279815E-3</v>
          </cell>
          <cell r="I247">
            <v>153</v>
          </cell>
          <cell r="K247">
            <v>355.27538562477162</v>
          </cell>
        </row>
        <row r="248">
          <cell r="B248">
            <v>21.9514</v>
          </cell>
          <cell r="D248">
            <v>25691383.217574</v>
          </cell>
          <cell r="E248">
            <v>693866667</v>
          </cell>
          <cell r="F248">
            <v>-1.4432013937600146E-2</v>
          </cell>
          <cell r="G248">
            <v>-2.4432858581227004E-3</v>
          </cell>
          <cell r="I248">
            <v>154</v>
          </cell>
          <cell r="K248">
            <v>355.27789042358575</v>
          </cell>
        </row>
        <row r="249">
          <cell r="B249">
            <v>21.791</v>
          </cell>
          <cell r="D249">
            <v>38995852.817518003</v>
          </cell>
          <cell r="E249">
            <v>1269461111</v>
          </cell>
          <cell r="F249">
            <v>-7.3338782936383864E-3</v>
          </cell>
          <cell r="G249">
            <v>-4.7989018809801616E-3</v>
          </cell>
          <cell r="I249">
            <v>155</v>
          </cell>
          <cell r="K249">
            <v>348.51676833528569</v>
          </cell>
        </row>
        <row r="250">
          <cell r="B250">
            <v>21.873000000000001</v>
          </cell>
          <cell r="D250">
            <v>48538990.966801003</v>
          </cell>
          <cell r="E250">
            <v>1572322222</v>
          </cell>
          <cell r="F250">
            <v>3.7559589776185003E-3</v>
          </cell>
          <cell r="G250">
            <v>-1.2191986513380225E-3</v>
          </cell>
          <cell r="I250">
            <v>156</v>
          </cell>
          <cell r="K250">
            <v>352.17151828553887</v>
          </cell>
        </row>
        <row r="251">
          <cell r="B251">
            <v>21.540099999999999</v>
          </cell>
          <cell r="D251">
            <v>34813582.667327002</v>
          </cell>
          <cell r="E251">
            <v>1348155556</v>
          </cell>
          <cell r="F251">
            <v>-1.5336685249403086E-2</v>
          </cell>
          <cell r="G251">
            <v>-1.11115011894783E-2</v>
          </cell>
          <cell r="I251">
            <v>157</v>
          </cell>
          <cell r="K251">
            <v>349.48960546603445</v>
          </cell>
        </row>
        <row r="252">
          <cell r="B252">
            <v>21.668900000000001</v>
          </cell>
          <cell r="D252">
            <v>52697533.109664001</v>
          </cell>
          <cell r="E252">
            <v>1780183333</v>
          </cell>
          <cell r="F252">
            <v>5.9617385955435002E-3</v>
          </cell>
          <cell r="G252">
            <v>1.6800106652478265E-2</v>
          </cell>
          <cell r="I252">
            <v>158</v>
          </cell>
          <cell r="K252">
            <v>343.67300420279162</v>
          </cell>
        </row>
        <row r="253">
          <cell r="B253">
            <v>22.408100000000001</v>
          </cell>
          <cell r="D253">
            <v>65209983.202368997</v>
          </cell>
          <cell r="E253">
            <v>2334777778</v>
          </cell>
          <cell r="F253">
            <v>3.3544447801201999E-2</v>
          </cell>
          <cell r="G253">
            <v>2.5086044824864026E-2</v>
          </cell>
          <cell r="I253">
            <v>159</v>
          </cell>
          <cell r="K253">
            <v>345.02373131089792</v>
          </cell>
        </row>
        <row r="254">
          <cell r="B254">
            <v>22.1067</v>
          </cell>
          <cell r="D254">
            <v>59531021.075370997</v>
          </cell>
          <cell r="E254">
            <v>2127627778</v>
          </cell>
          <cell r="F254">
            <v>-1.3541770641180329E-2</v>
          </cell>
          <cell r="G254">
            <v>-2.0877620279685176E-3</v>
          </cell>
          <cell r="I254">
            <v>160</v>
          </cell>
          <cell r="K254">
            <v>347.36473087829938</v>
          </cell>
        </row>
        <row r="255">
          <cell r="B255">
            <v>21.690300000000001</v>
          </cell>
          <cell r="D255">
            <v>64733409.205716997</v>
          </cell>
          <cell r="E255">
            <v>1902383333</v>
          </cell>
          <cell r="F255">
            <v>-1.9015573996788417E-2</v>
          </cell>
          <cell r="G255">
            <v>4.8533166109664457E-3</v>
          </cell>
          <cell r="I255">
            <v>161</v>
          </cell>
          <cell r="K255">
            <v>342.87023150999516</v>
          </cell>
        </row>
        <row r="256">
          <cell r="B256">
            <v>21.654199999999999</v>
          </cell>
          <cell r="D256">
            <v>45748704.872927003</v>
          </cell>
          <cell r="E256">
            <v>1836094444</v>
          </cell>
          <cell r="F256">
            <v>-1.6657249868860526E-3</v>
          </cell>
          <cell r="G256">
            <v>-3.1280332571486792E-3</v>
          </cell>
          <cell r="I256">
            <v>162</v>
          </cell>
          <cell r="K256">
            <v>340.37730943301858</v>
          </cell>
        </row>
        <row r="257">
          <cell r="B257">
            <v>21.540099999999999</v>
          </cell>
          <cell r="D257">
            <v>55091277.064526998</v>
          </cell>
          <cell r="E257">
            <v>2000888889</v>
          </cell>
          <cell r="F257">
            <v>-5.2831167718906348E-3</v>
          </cell>
          <cell r="G257">
            <v>-3.2476459151946561E-3</v>
          </cell>
          <cell r="I257">
            <v>163</v>
          </cell>
          <cell r="K257">
            <v>343.52031639583947</v>
          </cell>
        </row>
        <row r="258">
          <cell r="B258">
            <v>21.661100000000001</v>
          </cell>
          <cell r="D258">
            <v>60449724.75773</v>
          </cell>
          <cell r="E258">
            <v>2041327778</v>
          </cell>
          <cell r="F258">
            <v>5.6017108972166692E-3</v>
          </cell>
          <cell r="G258">
            <v>2.6523487451191913E-3</v>
          </cell>
          <cell r="I258">
            <v>164</v>
          </cell>
          <cell r="K258">
            <v>336.23539135823933</v>
          </cell>
        </row>
        <row r="259">
          <cell r="B259">
            <v>21.4666</v>
          </cell>
          <cell r="D259">
            <v>88031107.849875003</v>
          </cell>
          <cell r="E259">
            <v>2267688889</v>
          </cell>
          <cell r="F259">
            <v>-9.0197862929027022E-3</v>
          </cell>
          <cell r="G259">
            <v>7.5687167942973159E-3</v>
          </cell>
          <cell r="I259">
            <v>165</v>
          </cell>
          <cell r="K259">
            <v>334.47563420086175</v>
          </cell>
        </row>
        <row r="260">
          <cell r="B260">
            <v>21.764600000000002</v>
          </cell>
          <cell r="D260">
            <v>68428383.936544001</v>
          </cell>
          <cell r="E260">
            <v>1855916667</v>
          </cell>
          <cell r="F260">
            <v>1.3786557858042029E-2</v>
          </cell>
          <cell r="G260">
            <v>-4.7551601988409018E-5</v>
          </cell>
          <cell r="I260">
            <v>166</v>
          </cell>
          <cell r="K260">
            <v>340.10779089741141</v>
          </cell>
        </row>
        <row r="261">
          <cell r="B261">
            <v>21.8154</v>
          </cell>
          <cell r="D261">
            <v>59553551.215568997</v>
          </cell>
          <cell r="E261">
            <v>1668338889</v>
          </cell>
          <cell r="F261">
            <v>2.3313457094490046E-3</v>
          </cell>
          <cell r="G261">
            <v>-9.3110825592432821E-4</v>
          </cell>
          <cell r="I261">
            <v>167</v>
          </cell>
          <cell r="K261">
            <v>335.92561902672662</v>
          </cell>
        </row>
        <row r="262">
          <cell r="B262">
            <v>22.072199999999999</v>
          </cell>
          <cell r="D262">
            <v>59457848.798721001</v>
          </cell>
          <cell r="E262">
            <v>1741861111</v>
          </cell>
          <cell r="F262">
            <v>1.1702755713204709E-2</v>
          </cell>
          <cell r="G262">
            <v>1.128093030996665E-3</v>
          </cell>
          <cell r="I262">
            <v>168</v>
          </cell>
          <cell r="K262">
            <v>336.69522798349408</v>
          </cell>
        </row>
        <row r="263">
          <cell r="B263">
            <v>21.935500000000001</v>
          </cell>
          <cell r="D263">
            <v>50622764.790054001</v>
          </cell>
          <cell r="E263">
            <v>1880044444</v>
          </cell>
          <cell r="F263">
            <v>-6.2125691491560185E-3</v>
          </cell>
          <cell r="G263">
            <v>1.969459797129973E-4</v>
          </cell>
          <cell r="I263">
            <v>169</v>
          </cell>
          <cell r="K263">
            <v>334.02281661918363</v>
          </cell>
        </row>
        <row r="264">
          <cell r="B264">
            <v>22.1067</v>
          </cell>
          <cell r="D264">
            <v>63700567.214729004</v>
          </cell>
          <cell r="E264">
            <v>2059283333</v>
          </cell>
          <cell r="F264">
            <v>7.7744010197115703E-3</v>
          </cell>
          <cell r="G264">
            <v>5.6271034223067872E-3</v>
          </cell>
          <cell r="I264">
            <v>170</v>
          </cell>
          <cell r="K264">
            <v>333.95503606568587</v>
          </cell>
        </row>
        <row r="265">
          <cell r="B265">
            <v>22.1067</v>
          </cell>
          <cell r="D265">
            <v>64305718.426090002</v>
          </cell>
          <cell r="E265">
            <v>2108744444</v>
          </cell>
          <cell r="F265">
            <v>0</v>
          </cell>
          <cell r="G265">
            <v>3.3974659565910057E-3</v>
          </cell>
          <cell r="I265">
            <v>171</v>
          </cell>
          <cell r="K265">
            <v>336.26898533795526</v>
          </cell>
        </row>
        <row r="266">
          <cell r="B266">
            <v>22.029299999999999</v>
          </cell>
          <cell r="D266">
            <v>72298051.718895003</v>
          </cell>
          <cell r="E266">
            <v>1983861111</v>
          </cell>
          <cell r="F266">
            <v>-3.5073445416185667E-3</v>
          </cell>
          <cell r="G266">
            <v>4.41827922681335E-3</v>
          </cell>
          <cell r="I266">
            <v>172</v>
          </cell>
          <cell r="K266">
            <v>342.41337848291624</v>
          </cell>
        </row>
        <row r="267">
          <cell r="B267">
            <v>22.400300000000001</v>
          </cell>
          <cell r="D267">
            <v>62067778.079571001</v>
          </cell>
          <cell r="E267">
            <v>1973338889</v>
          </cell>
          <cell r="F267">
            <v>1.6700966171507039E-2</v>
          </cell>
          <cell r="G267">
            <v>1.5063419833833689E-3</v>
          </cell>
          <cell r="I267">
            <v>173</v>
          </cell>
          <cell r="K267">
            <v>342.15220134714286</v>
          </cell>
        </row>
        <row r="268">
          <cell r="B268">
            <v>22.417100000000001</v>
          </cell>
          <cell r="D268">
            <v>125320156.65332</v>
          </cell>
          <cell r="E268">
            <v>2055238889</v>
          </cell>
          <cell r="F268">
            <v>7.497088535653231E-4</v>
          </cell>
          <cell r="G268">
            <v>6.689791044299383E-6</v>
          </cell>
          <cell r="I268">
            <v>174</v>
          </cell>
          <cell r="K268">
            <v>351.86627781254219</v>
          </cell>
        </row>
        <row r="269">
          <cell r="B269">
            <v>22.6174</v>
          </cell>
          <cell r="D269">
            <v>100892290.84971</v>
          </cell>
          <cell r="E269">
            <v>1931272222</v>
          </cell>
          <cell r="F269">
            <v>8.8954610708211566E-3</v>
          </cell>
          <cell r="G269">
            <v>5.4306987208722545E-3</v>
          </cell>
          <cell r="I269">
            <v>175</v>
          </cell>
          <cell r="K269">
            <v>354.76847869849814</v>
          </cell>
        </row>
        <row r="270">
          <cell r="B270">
            <v>22.6416</v>
          </cell>
          <cell r="D270">
            <v>69100832.756536007</v>
          </cell>
          <cell r="E270">
            <v>1882522222</v>
          </cell>
          <cell r="F270">
            <v>1.0694006631298814E-3</v>
          </cell>
          <cell r="G270">
            <v>-1.8513960681661246E-3</v>
          </cell>
          <cell r="I270">
            <v>176</v>
          </cell>
          <cell r="K270">
            <v>355.85742517803186</v>
          </cell>
        </row>
        <row r="271">
          <cell r="B271">
            <v>22.721599999999999</v>
          </cell>
          <cell r="D271">
            <v>60703264.085584</v>
          </cell>
          <cell r="E271">
            <v>2194244444</v>
          </cell>
          <cell r="F271">
            <v>3.5270916926415422E-3</v>
          </cell>
          <cell r="G271">
            <v>5.0930622521802886E-3</v>
          </cell>
          <cell r="I271">
            <v>177</v>
          </cell>
          <cell r="K271">
            <v>344.78263148751114</v>
          </cell>
        </row>
        <row r="272">
          <cell r="B272">
            <v>22.593800000000002</v>
          </cell>
          <cell r="D272">
            <v>53721416.692639999</v>
          </cell>
          <cell r="E272">
            <v>2070450000</v>
          </cell>
          <cell r="F272">
            <v>-5.6404815506388584E-3</v>
          </cell>
          <cell r="G272">
            <v>-3.9072413320486547E-3</v>
          </cell>
          <cell r="I272">
            <v>178</v>
          </cell>
          <cell r="K272">
            <v>335.70402860477299</v>
          </cell>
        </row>
        <row r="273">
          <cell r="B273">
            <v>22.270499999999998</v>
          </cell>
          <cell r="D273">
            <v>62287677.817473002</v>
          </cell>
          <cell r="E273">
            <v>2222155556</v>
          </cell>
          <cell r="F273">
            <v>-1.4412599611949628E-2</v>
          </cell>
          <cell r="G273">
            <v>-2.5666081881304615E-3</v>
          </cell>
          <cell r="I273">
            <v>179</v>
          </cell>
          <cell r="K273">
            <v>335.55024394387203</v>
          </cell>
        </row>
        <row r="274">
          <cell r="B274">
            <v>22.657499999999999</v>
          </cell>
          <cell r="D274">
            <v>68493666.671234995</v>
          </cell>
          <cell r="E274">
            <v>2131288889</v>
          </cell>
          <cell r="F274">
            <v>1.7227990200776606E-2</v>
          </cell>
          <cell r="G274">
            <v>1.0002474404177631E-2</v>
          </cell>
          <cell r="I274">
            <v>180</v>
          </cell>
          <cell r="K274">
            <v>325.96829189571127</v>
          </cell>
        </row>
        <row r="275">
          <cell r="B275">
            <v>22.261700000000001</v>
          </cell>
          <cell r="D275">
            <v>62278432.740404002</v>
          </cell>
          <cell r="E275">
            <v>1883333333</v>
          </cell>
          <cell r="F275">
            <v>-1.7623209844744088E-2</v>
          </cell>
          <cell r="G275">
            <v>-1.1605777551404992E-2</v>
          </cell>
          <cell r="I275">
            <v>181</v>
          </cell>
          <cell r="K275">
            <v>331.00343667672058</v>
          </cell>
        </row>
        <row r="276">
          <cell r="B276">
            <v>22.310500000000001</v>
          </cell>
          <cell r="D276">
            <v>43621788.380502</v>
          </cell>
          <cell r="E276">
            <v>2010200000</v>
          </cell>
          <cell r="F276">
            <v>2.1897065659272335E-3</v>
          </cell>
          <cell r="G276">
            <v>1.036258025857612E-2</v>
          </cell>
          <cell r="I276">
            <v>182</v>
          </cell>
          <cell r="K276">
            <v>332.15898328773534</v>
          </cell>
        </row>
        <row r="277">
          <cell r="B277">
            <v>22.178699999999999</v>
          </cell>
          <cell r="D277">
            <v>51627700.572218001</v>
          </cell>
          <cell r="E277">
            <v>2006427778</v>
          </cell>
          <cell r="F277">
            <v>-5.9250508250619531E-3</v>
          </cell>
          <cell r="G277">
            <v>5.4904893537455462E-4</v>
          </cell>
          <cell r="I277">
            <v>183</v>
          </cell>
          <cell r="K277">
            <v>331.46515727803575</v>
          </cell>
        </row>
        <row r="278">
          <cell r="B278">
            <v>22.129799999999999</v>
          </cell>
          <cell r="D278">
            <v>46875664.410407998</v>
          </cell>
          <cell r="E278">
            <v>2008100000</v>
          </cell>
          <cell r="F278">
            <v>-2.2072523264496653E-3</v>
          </cell>
          <cell r="G278">
            <v>-1.807043989846203E-3</v>
          </cell>
          <cell r="I278">
            <v>184</v>
          </cell>
          <cell r="K278">
            <v>327.54757218072194</v>
          </cell>
        </row>
        <row r="279">
          <cell r="B279">
            <v>22.346699999999998</v>
          </cell>
          <cell r="D279">
            <v>41070105.132826</v>
          </cell>
          <cell r="E279">
            <v>1658972222</v>
          </cell>
          <cell r="F279">
            <v>9.7535426349119672E-3</v>
          </cell>
          <cell r="G279">
            <v>5.6419689055853262E-3</v>
          </cell>
          <cell r="I279">
            <v>185</v>
          </cell>
          <cell r="K279">
            <v>337.08639337670832</v>
          </cell>
        </row>
        <row r="280">
          <cell r="B280">
            <v>22.601800000000001</v>
          </cell>
          <cell r="D280">
            <v>39750441.536533996</v>
          </cell>
          <cell r="E280">
            <v>1491166667</v>
          </cell>
          <cell r="F280">
            <v>1.1350889972980199E-2</v>
          </cell>
          <cell r="G280">
            <v>-6.0627230072434325E-4</v>
          </cell>
          <cell r="I280">
            <v>186</v>
          </cell>
          <cell r="K280">
            <v>338.61692105199819</v>
          </cell>
        </row>
        <row r="281">
          <cell r="B281">
            <v>22.6174</v>
          </cell>
          <cell r="D281">
            <v>44364607.287118003</v>
          </cell>
          <cell r="E281">
            <v>1896872222</v>
          </cell>
          <cell r="F281">
            <v>6.8997242847640254E-4</v>
          </cell>
          <cell r="G281">
            <v>1.5939722256221329E-3</v>
          </cell>
          <cell r="I281">
            <v>187</v>
          </cell>
          <cell r="K281">
            <v>334.04968921385768</v>
          </cell>
        </row>
        <row r="282">
          <cell r="B282">
            <v>22.7394</v>
          </cell>
          <cell r="D282">
            <v>51421286.565784</v>
          </cell>
          <cell r="E282">
            <v>1881044444</v>
          </cell>
          <cell r="F282">
            <v>5.3795811971794243E-3</v>
          </cell>
          <cell r="G282">
            <v>5.92152029303837E-4</v>
          </cell>
          <cell r="I282">
            <v>188</v>
          </cell>
          <cell r="K282">
            <v>352.38293834833303</v>
          </cell>
        </row>
        <row r="283">
          <cell r="B283">
            <v>22.748200000000001</v>
          </cell>
          <cell r="D283">
            <v>40262395.613838002</v>
          </cell>
          <cell r="E283">
            <v>2088744444</v>
          </cell>
          <cell r="F283">
            <v>3.8691863759727043E-4</v>
          </cell>
          <cell r="G283">
            <v>6.9040115047624235E-4</v>
          </cell>
          <cell r="I283">
            <v>189</v>
          </cell>
          <cell r="K283">
            <v>348.95391354582887</v>
          </cell>
        </row>
        <row r="284">
          <cell r="B284">
            <v>22.721599999999999</v>
          </cell>
          <cell r="D284">
            <v>61205943.395095997</v>
          </cell>
          <cell r="E284">
            <v>2132505556</v>
          </cell>
          <cell r="F284">
            <v>-1.1700074790051817E-3</v>
          </cell>
          <cell r="G284">
            <v>-1.0456502891147328E-3</v>
          </cell>
          <cell r="I284">
            <v>190</v>
          </cell>
          <cell r="K284">
            <v>338.42281251807788</v>
          </cell>
        </row>
        <row r="285">
          <cell r="B285">
            <v>22.939699999999998</v>
          </cell>
          <cell r="D285">
            <v>47441073.052371003</v>
          </cell>
          <cell r="E285">
            <v>2082727778</v>
          </cell>
          <cell r="F285">
            <v>9.5530201133779014E-3</v>
          </cell>
          <cell r="G285">
            <v>7.3097584169803118E-3</v>
          </cell>
          <cell r="I285">
            <v>191</v>
          </cell>
          <cell r="K285">
            <v>337.59232620254977</v>
          </cell>
        </row>
        <row r="286">
          <cell r="B286">
            <v>22.796099999999999</v>
          </cell>
          <cell r="D286">
            <v>53927661.769093998</v>
          </cell>
          <cell r="E286">
            <v>2355872222</v>
          </cell>
          <cell r="F286">
            <v>-6.2795653243430576E-3</v>
          </cell>
          <cell r="G286">
            <v>-1.248171740825915E-2</v>
          </cell>
          <cell r="I286">
            <v>192</v>
          </cell>
          <cell r="K286">
            <v>340.47447022168069</v>
          </cell>
        </row>
        <row r="287">
          <cell r="B287">
            <v>22.485499999999998</v>
          </cell>
          <cell r="D287">
            <v>60007310.450603999</v>
          </cell>
          <cell r="E287">
            <v>2374777778</v>
          </cell>
          <cell r="F287">
            <v>-1.3718811675294929E-2</v>
          </cell>
          <cell r="G287">
            <v>-6.3230670101523416E-3</v>
          </cell>
          <cell r="I287">
            <v>193</v>
          </cell>
          <cell r="K287">
            <v>349.35562704244893</v>
          </cell>
        </row>
        <row r="288">
          <cell r="B288">
            <v>22.706399999999999</v>
          </cell>
          <cell r="D288">
            <v>38287133.195164002</v>
          </cell>
          <cell r="E288">
            <v>1899622222</v>
          </cell>
          <cell r="F288">
            <v>9.7761660538556467E-3</v>
          </cell>
          <cell r="G288">
            <v>8.7342587449727293E-3</v>
          </cell>
          <cell r="I288">
            <v>194</v>
          </cell>
          <cell r="K288">
            <v>349.70099602439268</v>
          </cell>
        </row>
        <row r="289">
          <cell r="B289">
            <v>22.3888</v>
          </cell>
          <cell r="D289">
            <v>58698851.519144997</v>
          </cell>
          <cell r="E289">
            <v>2228361111</v>
          </cell>
          <cell r="F289">
            <v>-1.4085989256895234E-2</v>
          </cell>
          <cell r="G289">
            <v>-1.8479275284333255E-2</v>
          </cell>
          <cell r="I289">
            <v>195</v>
          </cell>
          <cell r="K289">
            <v>335.47272392572188</v>
          </cell>
        </row>
        <row r="290">
          <cell r="B290">
            <v>22.3888</v>
          </cell>
          <cell r="D290">
            <v>61034615.633529998</v>
          </cell>
          <cell r="E290">
            <v>2208488889</v>
          </cell>
          <cell r="F290">
            <v>0</v>
          </cell>
          <cell r="G290">
            <v>6.0908995959643225E-3</v>
          </cell>
          <cell r="I290">
            <v>196</v>
          </cell>
          <cell r="K290">
            <v>342.98435570360209</v>
          </cell>
        </row>
        <row r="291">
          <cell r="B291">
            <v>22.748200000000001</v>
          </cell>
          <cell r="D291">
            <v>44493677.982129999</v>
          </cell>
          <cell r="E291">
            <v>1973250000</v>
          </cell>
          <cell r="F291">
            <v>1.5925187568304942E-2</v>
          </cell>
          <cell r="G291">
            <v>1.2645666418416045E-2</v>
          </cell>
          <cell r="I291">
            <v>197</v>
          </cell>
          <cell r="K291">
            <v>344.11357852563094</v>
          </cell>
        </row>
        <row r="292">
          <cell r="B292">
            <v>22.7394</v>
          </cell>
          <cell r="D292">
            <v>43816116.214754</v>
          </cell>
          <cell r="E292">
            <v>2173511111</v>
          </cell>
          <cell r="F292">
            <v>-3.8691863759724435E-4</v>
          </cell>
          <cell r="G292">
            <v>-8.644953634581831E-4</v>
          </cell>
          <cell r="I292">
            <v>198</v>
          </cell>
          <cell r="K292">
            <v>350.66218166341639</v>
          </cell>
        </row>
        <row r="293">
          <cell r="B293">
            <v>22.8642</v>
          </cell>
          <cell r="D293">
            <v>42605599.814055003</v>
          </cell>
          <cell r="E293">
            <v>2053116667</v>
          </cell>
          <cell r="F293">
            <v>5.4732657750212787E-3</v>
          </cell>
          <cell r="G293">
            <v>2.3212270716333073E-3</v>
          </cell>
          <cell r="I293">
            <v>199</v>
          </cell>
          <cell r="K293">
            <v>351.57367645677408</v>
          </cell>
        </row>
        <row r="294">
          <cell r="B294">
            <v>23.0245</v>
          </cell>
          <cell r="D294">
            <v>47704756.369549997</v>
          </cell>
          <cell r="E294">
            <v>1896905556</v>
          </cell>
          <cell r="F294">
            <v>6.9864978539426904E-3</v>
          </cell>
          <cell r="G294">
            <v>4.6001264007408333E-3</v>
          </cell>
          <cell r="I294">
            <v>200</v>
          </cell>
          <cell r="K294">
            <v>352.46677648302403</v>
          </cell>
        </row>
        <row r="295">
          <cell r="B295">
            <v>23.189599999999999</v>
          </cell>
          <cell r="D295">
            <v>50653940.049939997</v>
          </cell>
          <cell r="E295">
            <v>2005938889</v>
          </cell>
          <cell r="F295">
            <v>7.1450359255502529E-3</v>
          </cell>
          <cell r="G295">
            <v>9.5204944895365129E-3</v>
          </cell>
          <cell r="I295">
            <v>201</v>
          </cell>
          <cell r="K295">
            <v>354.36690182763363</v>
          </cell>
        </row>
        <row r="296">
          <cell r="B296">
            <v>22.972799999999999</v>
          </cell>
          <cell r="D296">
            <v>62897391.162104003</v>
          </cell>
          <cell r="E296">
            <v>2042716667</v>
          </cell>
          <cell r="F296">
            <v>-9.392994904506919E-3</v>
          </cell>
          <cell r="G296">
            <v>1.0839757653689358E-3</v>
          </cell>
          <cell r="I296">
            <v>202</v>
          </cell>
          <cell r="K296">
            <v>353.85900379155163</v>
          </cell>
        </row>
        <row r="297">
          <cell r="B297">
            <v>23.017600000000002</v>
          </cell>
          <cell r="D297">
            <v>35694138.888823003</v>
          </cell>
          <cell r="E297">
            <v>2019283333</v>
          </cell>
          <cell r="F297">
            <v>1.9482332908733726E-3</v>
          </cell>
          <cell r="G297">
            <v>1.8148119521493281E-3</v>
          </cell>
          <cell r="I297">
            <v>203</v>
          </cell>
          <cell r="K297">
            <v>355.32254273903339</v>
          </cell>
        </row>
        <row r="298">
          <cell r="B298">
            <v>22.9072</v>
          </cell>
          <cell r="D298">
            <v>46053138.196475998</v>
          </cell>
          <cell r="E298">
            <v>2029033333</v>
          </cell>
          <cell r="F298">
            <v>-4.8078690669740463E-3</v>
          </cell>
          <cell r="G298">
            <v>4.4711004109199912E-3</v>
          </cell>
          <cell r="I298">
            <v>204</v>
          </cell>
          <cell r="K298">
            <v>362.82137531671191</v>
          </cell>
        </row>
        <row r="299">
          <cell r="B299">
            <v>22.796099999999999</v>
          </cell>
          <cell r="D299">
            <v>44787993.935622998</v>
          </cell>
          <cell r="E299">
            <v>1717266667</v>
          </cell>
          <cell r="F299">
            <v>-4.8618029262797787E-3</v>
          </cell>
          <cell r="G299">
            <v>3.2438723173948535E-3</v>
          </cell>
          <cell r="I299">
            <v>205</v>
          </cell>
          <cell r="K299">
            <v>360.19363168071317</v>
          </cell>
        </row>
        <row r="300">
          <cell r="B300">
            <v>22.8292</v>
          </cell>
          <cell r="D300">
            <v>47995946.606510997</v>
          </cell>
          <cell r="E300">
            <v>1819394444</v>
          </cell>
          <cell r="F300">
            <v>1.4509496181721721E-3</v>
          </cell>
          <cell r="G300">
            <v>-2.4061516417888235E-3</v>
          </cell>
          <cell r="I300">
            <v>206</v>
          </cell>
          <cell r="K300">
            <v>363.04223698564033</v>
          </cell>
        </row>
        <row r="301">
          <cell r="B301">
            <v>22.836200000000002</v>
          </cell>
          <cell r="D301">
            <v>35579599.243513003</v>
          </cell>
          <cell r="E301">
            <v>1707683333</v>
          </cell>
          <cell r="F301">
            <v>3.0657784908620585E-4</v>
          </cell>
          <cell r="G301">
            <v>1.3131640123256268E-3</v>
          </cell>
          <cell r="I301">
            <v>207</v>
          </cell>
          <cell r="K301">
            <v>368.37992964335496</v>
          </cell>
        </row>
        <row r="302">
          <cell r="B302">
            <v>23.017600000000002</v>
          </cell>
          <cell r="D302">
            <v>68360706.491414994</v>
          </cell>
          <cell r="E302">
            <v>1921811111</v>
          </cell>
          <cell r="F302">
            <v>7.912144525995625E-3</v>
          </cell>
          <cell r="G302">
            <v>5.5873772173025285E-3</v>
          </cell>
          <cell r="I302">
            <v>208</v>
          </cell>
          <cell r="K302">
            <v>376.21359917095128</v>
          </cell>
        </row>
        <row r="303">
          <cell r="B303">
            <v>22.928999999999998</v>
          </cell>
          <cell r="D303">
            <v>113343299.57308</v>
          </cell>
          <cell r="E303">
            <v>2875472222</v>
          </cell>
          <cell r="F303">
            <v>-3.8566557620433807E-3</v>
          </cell>
          <cell r="G303">
            <v>-1.6197549581095975E-3</v>
          </cell>
          <cell r="I303">
            <v>209</v>
          </cell>
          <cell r="K303">
            <v>390.94793204766023</v>
          </cell>
        </row>
        <row r="304">
          <cell r="B304">
            <v>22.982700000000001</v>
          </cell>
          <cell r="D304">
            <v>54803699.881495997</v>
          </cell>
          <cell r="E304">
            <v>1758088889</v>
          </cell>
          <cell r="F304">
            <v>2.3392740625203441E-3</v>
          </cell>
          <cell r="G304">
            <v>-5.5255858913691377E-3</v>
          </cell>
          <cell r="I304">
            <v>210</v>
          </cell>
          <cell r="K304">
            <v>389.71245574955691</v>
          </cell>
        </row>
        <row r="305">
          <cell r="B305">
            <v>23.0501</v>
          </cell>
          <cell r="D305">
            <v>63453049.984695002</v>
          </cell>
          <cell r="E305">
            <v>2109005556</v>
          </cell>
          <cell r="F305">
            <v>2.9283488366635396E-3</v>
          </cell>
          <cell r="G305">
            <v>-2.4254633815200036E-3</v>
          </cell>
          <cell r="I305">
            <v>211</v>
          </cell>
          <cell r="K305">
            <v>390.26196171020325</v>
          </cell>
        </row>
        <row r="306">
          <cell r="B306">
            <v>23.165299999999998</v>
          </cell>
          <cell r="D306">
            <v>43343913.921212003</v>
          </cell>
          <cell r="E306">
            <v>1860605556</v>
          </cell>
          <cell r="F306">
            <v>4.9853615286966678E-3</v>
          </cell>
          <cell r="G306">
            <v>6.6751668015524457E-3</v>
          </cell>
          <cell r="I306">
            <v>212</v>
          </cell>
          <cell r="K306">
            <v>385.34404039923413</v>
          </cell>
        </row>
        <row r="307">
          <cell r="B307">
            <v>22.9925</v>
          </cell>
          <cell r="D307">
            <v>41852863.181906</v>
          </cell>
          <cell r="E307">
            <v>1801816667</v>
          </cell>
          <cell r="F307">
            <v>-7.4873935620217167E-3</v>
          </cell>
          <cell r="G307">
            <v>-8.3169804044007662E-3</v>
          </cell>
          <cell r="I307">
            <v>213</v>
          </cell>
          <cell r="K307">
            <v>389.75397172722899</v>
          </cell>
        </row>
        <row r="308">
          <cell r="B308">
            <v>23.1066</v>
          </cell>
          <cell r="D308">
            <v>35112147.465764001</v>
          </cell>
          <cell r="E308">
            <v>1637988889</v>
          </cell>
          <cell r="F308">
            <v>4.9502152101928397E-3</v>
          </cell>
          <cell r="G308">
            <v>7.1486659821265496E-3</v>
          </cell>
          <cell r="I308">
            <v>214</v>
          </cell>
          <cell r="K308">
            <v>393.2406078818708</v>
          </cell>
        </row>
        <row r="309">
          <cell r="B309">
            <v>23.0335</v>
          </cell>
          <cell r="D309">
            <v>53979596.987754002</v>
          </cell>
          <cell r="E309">
            <v>1765650000</v>
          </cell>
          <cell r="F309">
            <v>-3.168613035558382E-3</v>
          </cell>
          <cell r="G309">
            <v>-3.3455821309178592E-3</v>
          </cell>
          <cell r="I309">
            <v>215</v>
          </cell>
          <cell r="K309">
            <v>395.23922042602339</v>
          </cell>
        </row>
        <row r="310">
          <cell r="B310">
            <v>23.0335</v>
          </cell>
          <cell r="D310">
            <v>34025096.356209002</v>
          </cell>
          <cell r="E310">
            <v>1594033333</v>
          </cell>
          <cell r="F310">
            <v>0</v>
          </cell>
          <cell r="G310">
            <v>7.7549129435386119E-3</v>
          </cell>
          <cell r="I310">
            <v>216</v>
          </cell>
          <cell r="K310">
            <v>395.61452689362068</v>
          </cell>
        </row>
        <row r="311">
          <cell r="B311">
            <v>23.206199999999999</v>
          </cell>
          <cell r="D311">
            <v>44071017.220627002</v>
          </cell>
          <cell r="E311">
            <v>1619005556</v>
          </cell>
          <cell r="F311">
            <v>7.4698063796078068E-3</v>
          </cell>
          <cell r="G311">
            <v>-5.8849494121564802E-4</v>
          </cell>
          <cell r="I311">
            <v>217</v>
          </cell>
          <cell r="K311">
            <v>402.55224162131304</v>
          </cell>
        </row>
        <row r="312">
          <cell r="B312">
            <v>23.390999999999998</v>
          </cell>
          <cell r="D312">
            <v>67796272.524243996</v>
          </cell>
          <cell r="E312">
            <v>1835800000</v>
          </cell>
          <cell r="F312">
            <v>7.9318486466147826E-3</v>
          </cell>
          <cell r="G312">
            <v>4.0484851148155808E-3</v>
          </cell>
          <cell r="I312">
            <v>218</v>
          </cell>
          <cell r="K312">
            <v>406.36100334545335</v>
          </cell>
        </row>
        <row r="313">
          <cell r="B313">
            <v>23.400600000000001</v>
          </cell>
          <cell r="D313">
            <v>35699184.264215998</v>
          </cell>
          <cell r="E313">
            <v>1529505556</v>
          </cell>
          <cell r="F313">
            <v>4.1033006499879751E-4</v>
          </cell>
          <cell r="G313">
            <v>-4.4836823364220995E-3</v>
          </cell>
          <cell r="I313">
            <v>219</v>
          </cell>
          <cell r="K313">
            <v>402.92850271856059</v>
          </cell>
        </row>
        <row r="314">
          <cell r="B314">
            <v>23.558800000000002</v>
          </cell>
          <cell r="D314">
            <v>34790979.836048</v>
          </cell>
          <cell r="E314">
            <v>1840088889</v>
          </cell>
          <cell r="F314">
            <v>6.7377606395673103E-3</v>
          </cell>
          <cell r="G314">
            <v>5.1589620297942326E-3</v>
          </cell>
          <cell r="I314">
            <v>220</v>
          </cell>
          <cell r="K314">
            <v>398.40091640207112</v>
          </cell>
        </row>
        <row r="315">
          <cell r="B315">
            <v>23.3596</v>
          </cell>
          <cell r="D315">
            <v>42865610.695859</v>
          </cell>
          <cell r="E315">
            <v>2255894444</v>
          </cell>
          <cell r="F315">
            <v>-8.4913891743886843E-3</v>
          </cell>
          <cell r="G315">
            <v>-1.0602095506201462E-2</v>
          </cell>
          <cell r="I315">
            <v>221</v>
          </cell>
          <cell r="K315">
            <v>391.04371440800588</v>
          </cell>
        </row>
        <row r="316">
          <cell r="B316">
            <v>23.3841</v>
          </cell>
          <cell r="D316">
            <v>55336167.177423</v>
          </cell>
          <cell r="E316">
            <v>1861483333</v>
          </cell>
          <cell r="F316">
            <v>1.0482697023780308E-3</v>
          </cell>
          <cell r="G316">
            <v>4.0402538202902035E-3</v>
          </cell>
          <cell r="I316">
            <v>222</v>
          </cell>
          <cell r="K316">
            <v>399.05134240806035</v>
          </cell>
        </row>
        <row r="317">
          <cell r="B317">
            <v>23.474900000000002</v>
          </cell>
          <cell r="D317">
            <v>62260211.850414999</v>
          </cell>
          <cell r="E317">
            <v>1953005556</v>
          </cell>
          <cell r="F317">
            <v>3.8754610062201947E-3</v>
          </cell>
          <cell r="G317">
            <v>-4.3041765503969041E-3</v>
          </cell>
          <cell r="I317">
            <v>223</v>
          </cell>
          <cell r="K317">
            <v>404.732970281924</v>
          </cell>
        </row>
        <row r="318">
          <cell r="B318">
            <v>23.3841</v>
          </cell>
          <cell r="D318">
            <v>42494883.105378002</v>
          </cell>
          <cell r="E318">
            <v>1603955556</v>
          </cell>
          <cell r="F318">
            <v>-3.8754610062202762E-3</v>
          </cell>
          <cell r="G318">
            <v>6.2830119890327149E-3</v>
          </cell>
          <cell r="I318">
            <v>224</v>
          </cell>
          <cell r="K318">
            <v>408.22088260248989</v>
          </cell>
        </row>
        <row r="319">
          <cell r="B319">
            <v>24.222100000000001</v>
          </cell>
          <cell r="D319">
            <v>95036669.940511003</v>
          </cell>
          <cell r="E319">
            <v>1807100000</v>
          </cell>
          <cell r="F319">
            <v>3.5209135340451614E-2</v>
          </cell>
          <cell r="G319">
            <v>3.5380407825949659E-3</v>
          </cell>
          <cell r="I319">
            <v>225</v>
          </cell>
          <cell r="K319">
            <v>405.96641807652725</v>
          </cell>
        </row>
        <row r="320">
          <cell r="B320">
            <v>24.767199999999999</v>
          </cell>
          <cell r="D320">
            <v>86914127.467010006</v>
          </cell>
          <cell r="E320">
            <v>1918527778</v>
          </cell>
          <cell r="F320">
            <v>2.2254757575486957E-2</v>
          </cell>
          <cell r="G320">
            <v>1.2115446292433605E-2</v>
          </cell>
          <cell r="I320">
            <v>226</v>
          </cell>
          <cell r="K320">
            <v>400.03444422506686</v>
          </cell>
        </row>
        <row r="321">
          <cell r="B321">
            <v>23.665400000000002</v>
          </cell>
          <cell r="D321">
            <v>160044304.71794999</v>
          </cell>
          <cell r="E321">
            <v>1885527778</v>
          </cell>
          <cell r="F321">
            <v>-4.5506131329927979E-2</v>
          </cell>
          <cell r="G321">
            <v>3.5459469426653589E-3</v>
          </cell>
          <cell r="I321">
            <v>227</v>
          </cell>
          <cell r="K321">
            <v>405.61145615760091</v>
          </cell>
        </row>
        <row r="322">
          <cell r="B322">
            <v>23.549199999999999</v>
          </cell>
          <cell r="D322">
            <v>76880787.278897002</v>
          </cell>
          <cell r="E322">
            <v>1781272222</v>
          </cell>
          <cell r="F322">
            <v>-4.9222162047233321E-3</v>
          </cell>
          <cell r="G322">
            <v>-2.8407860171352811E-3</v>
          </cell>
          <cell r="I322">
            <v>228</v>
          </cell>
          <cell r="K322">
            <v>404.31594437020902</v>
          </cell>
        </row>
        <row r="323">
          <cell r="B323">
            <v>23.468</v>
          </cell>
          <cell r="D323">
            <v>68869043.419517994</v>
          </cell>
          <cell r="E323">
            <v>2588961111</v>
          </cell>
          <cell r="F323">
            <v>-3.4540585458018289E-3</v>
          </cell>
          <cell r="G323">
            <v>-2.3234130479996954E-2</v>
          </cell>
          <cell r="I323">
            <v>229</v>
          </cell>
          <cell r="K323">
            <v>413.03660442112448</v>
          </cell>
        </row>
        <row r="324">
          <cell r="B324">
            <v>23.698399999999999</v>
          </cell>
          <cell r="D324">
            <v>64551256.615817003</v>
          </cell>
          <cell r="E324">
            <v>2030388889</v>
          </cell>
          <cell r="F324">
            <v>9.7697442500092532E-3</v>
          </cell>
          <cell r="G324">
            <v>1.4205865503323178E-2</v>
          </cell>
          <cell r="I324">
            <v>230</v>
          </cell>
          <cell r="K324">
            <v>408.48021240598337</v>
          </cell>
        </row>
        <row r="325">
          <cell r="B325">
            <v>23.5852</v>
          </cell>
          <cell r="D325">
            <v>64600221.738288</v>
          </cell>
          <cell r="E325">
            <v>2361283333</v>
          </cell>
          <cell r="F325">
            <v>-4.7881386472721525E-3</v>
          </cell>
          <cell r="G325">
            <v>-1.4431354089724242E-2</v>
          </cell>
          <cell r="I325">
            <v>231</v>
          </cell>
          <cell r="K325">
            <v>409.09303254495421</v>
          </cell>
        </row>
        <row r="326">
          <cell r="B326">
            <v>23.549199999999999</v>
          </cell>
          <cell r="D326">
            <v>69529787.951462999</v>
          </cell>
          <cell r="E326">
            <v>2161555556</v>
          </cell>
          <cell r="F326">
            <v>-1.5275470569350554E-3</v>
          </cell>
          <cell r="G326">
            <v>-6.7235401752622328E-3</v>
          </cell>
          <cell r="I326">
            <v>232</v>
          </cell>
          <cell r="K326">
            <v>403.02328367026388</v>
          </cell>
        </row>
        <row r="327">
          <cell r="B327">
            <v>24.340199999999999</v>
          </cell>
          <cell r="D327">
            <v>121997244.57172</v>
          </cell>
          <cell r="E327">
            <v>1983261111</v>
          </cell>
          <cell r="F327">
            <v>3.3037454843076269E-2</v>
          </cell>
          <cell r="G327">
            <v>8.8089795490163252E-3</v>
          </cell>
          <cell r="I327">
            <v>233</v>
          </cell>
          <cell r="K327">
            <v>393.62429078784771</v>
          </cell>
        </row>
        <row r="328">
          <cell r="B328">
            <v>25.2163</v>
          </cell>
          <cell r="D328">
            <v>168594147.8964</v>
          </cell>
          <cell r="E328">
            <v>1655488889</v>
          </cell>
          <cell r="F328">
            <v>3.5361306360327534E-2</v>
          </cell>
          <cell r="G328">
            <v>4.6507982154273889E-3</v>
          </cell>
          <cell r="I328">
            <v>234</v>
          </cell>
          <cell r="K328">
            <v>384.33751248982571</v>
          </cell>
        </row>
        <row r="329">
          <cell r="B329">
            <v>25.029800000000002</v>
          </cell>
          <cell r="D329">
            <v>72252477.481833994</v>
          </cell>
          <cell r="E329">
            <v>1980638889</v>
          </cell>
          <cell r="F329">
            <v>-7.4234958125659993E-3</v>
          </cell>
          <cell r="G329">
            <v>1.0365294248898439E-2</v>
          </cell>
          <cell r="I329">
            <v>235</v>
          </cell>
          <cell r="K329">
            <v>376.16401811682107</v>
          </cell>
        </row>
        <row r="330">
          <cell r="B330">
            <v>25.978300000000001</v>
          </cell>
          <cell r="D330">
            <v>111192004.94887</v>
          </cell>
          <cell r="E330">
            <v>1999022222</v>
          </cell>
          <cell r="F330">
            <v>3.7194459151278982E-2</v>
          </cell>
          <cell r="G330">
            <v>6.3339846780946741E-6</v>
          </cell>
          <cell r="I330">
            <v>236</v>
          </cell>
          <cell r="K330">
            <v>381.47863985021155</v>
          </cell>
        </row>
        <row r="331">
          <cell r="B331">
            <v>26.125800000000002</v>
          </cell>
          <cell r="D331">
            <v>135331079.32122001</v>
          </cell>
          <cell r="E331">
            <v>2171433333</v>
          </cell>
          <cell r="F331">
            <v>5.6617576741680555E-3</v>
          </cell>
          <cell r="G331">
            <v>4.0266177447456745E-3</v>
          </cell>
          <cell r="I331">
            <v>237</v>
          </cell>
          <cell r="K331">
            <v>382.3155837248168</v>
          </cell>
        </row>
        <row r="332">
          <cell r="B332">
            <v>26.003499999999999</v>
          </cell>
          <cell r="D332">
            <v>58436775.596317001</v>
          </cell>
          <cell r="E332">
            <v>1777011111</v>
          </cell>
          <cell r="F332">
            <v>-4.6921874794407896E-3</v>
          </cell>
          <cell r="G332">
            <v>-1.8437840671979098E-3</v>
          </cell>
          <cell r="I332">
            <v>238</v>
          </cell>
          <cell r="K332">
            <v>396.65397745735481</v>
          </cell>
        </row>
        <row r="333">
          <cell r="B333">
            <v>26.674700000000001</v>
          </cell>
          <cell r="D333">
            <v>72271852.214775994</v>
          </cell>
          <cell r="E333">
            <v>1606222222</v>
          </cell>
          <cell r="F333">
            <v>2.5484406292842168E-2</v>
          </cell>
          <cell r="G333">
            <v>7.1603183893662135E-3</v>
          </cell>
          <cell r="I333">
            <v>239</v>
          </cell>
          <cell r="K333">
            <v>399.536718146037</v>
          </cell>
        </row>
        <row r="334">
          <cell r="B334">
            <v>27.076899999999998</v>
          </cell>
          <cell r="D334">
            <v>91893187.092775002</v>
          </cell>
          <cell r="E334">
            <v>2080594444</v>
          </cell>
          <cell r="F334">
            <v>1.4965415224368228E-2</v>
          </cell>
          <cell r="G334">
            <v>2.4818418469955725E-3</v>
          </cell>
          <cell r="I334">
            <v>240</v>
          </cell>
          <cell r="K334">
            <v>399.01984326737573</v>
          </cell>
        </row>
        <row r="335">
          <cell r="B335">
            <v>26.763400000000001</v>
          </cell>
          <cell r="D335">
            <v>66423797.321033001</v>
          </cell>
          <cell r="E335">
            <v>1961288889</v>
          </cell>
          <cell r="F335">
            <v>-1.1645683367856454E-2</v>
          </cell>
          <cell r="G335">
            <v>-9.3514754188050771E-3</v>
          </cell>
          <cell r="I335">
            <v>241</v>
          </cell>
          <cell r="K335">
            <v>396.46221021781798</v>
          </cell>
        </row>
        <row r="336">
          <cell r="B336">
            <v>27.125900000000001</v>
          </cell>
          <cell r="D336">
            <v>56316088.012960002</v>
          </cell>
          <cell r="E336">
            <v>1870527778</v>
          </cell>
          <cell r="F336">
            <v>1.3453708538077714E-2</v>
          </cell>
          <cell r="G336">
            <v>9.3639943536941335E-3</v>
          </cell>
          <cell r="I336">
            <v>242</v>
          </cell>
          <cell r="K336">
            <v>396.25594464164368</v>
          </cell>
        </row>
        <row r="337">
          <cell r="B337">
            <v>27.3964</v>
          </cell>
          <cell r="D337">
            <v>57197931.173756003</v>
          </cell>
          <cell r="E337">
            <v>2002172222</v>
          </cell>
          <cell r="F337">
            <v>9.9226268670098167E-3</v>
          </cell>
          <cell r="G337">
            <v>1.04795153331448E-2</v>
          </cell>
          <cell r="I337">
            <v>243</v>
          </cell>
          <cell r="K337">
            <v>393.72025270995204</v>
          </cell>
        </row>
        <row r="338">
          <cell r="B338">
            <v>27.6035</v>
          </cell>
          <cell r="D338">
            <v>50101910.662367001</v>
          </cell>
          <cell r="E338">
            <v>1701244444</v>
          </cell>
          <cell r="F338">
            <v>7.5309583766957813E-3</v>
          </cell>
          <cell r="G338">
            <v>1.9059883489792062E-3</v>
          </cell>
          <cell r="I338">
            <v>244</v>
          </cell>
          <cell r="K338">
            <v>395.29942298846669</v>
          </cell>
        </row>
        <row r="339">
          <cell r="B339">
            <v>27.2471</v>
          </cell>
          <cell r="D339">
            <v>55043063.424511001</v>
          </cell>
          <cell r="E339">
            <v>1838655556</v>
          </cell>
          <cell r="F339">
            <v>-1.2995482849717053E-2</v>
          </cell>
          <cell r="G339">
            <v>5.2166631841068997E-3</v>
          </cell>
          <cell r="I339">
            <v>245</v>
          </cell>
          <cell r="K339">
            <v>393.22796394933027</v>
          </cell>
        </row>
        <row r="340">
          <cell r="B340">
            <v>26.9862</v>
          </cell>
          <cell r="D340">
            <v>63076624.846717998</v>
          </cell>
          <cell r="E340">
            <v>1974833333</v>
          </cell>
          <cell r="F340">
            <v>-9.6214691962693485E-3</v>
          </cell>
          <cell r="G340">
            <v>4.1305507302880854E-3</v>
          </cell>
          <cell r="I340">
            <v>246</v>
          </cell>
          <cell r="K340">
            <v>387.4149684742647</v>
          </cell>
        </row>
        <row r="341">
          <cell r="B341">
            <v>26.713699999999999</v>
          </cell>
          <cell r="D341">
            <v>58730091.279568002</v>
          </cell>
          <cell r="E341">
            <v>1920777778</v>
          </cell>
          <cell r="F341">
            <v>-1.0149081806186162E-2</v>
          </cell>
          <cell r="G341">
            <v>-3.6939809321391258E-3</v>
          </cell>
          <cell r="I341">
            <v>247</v>
          </cell>
          <cell r="K341">
            <v>384.91854247164298</v>
          </cell>
        </row>
        <row r="342">
          <cell r="B342">
            <v>26.740100000000002</v>
          </cell>
          <cell r="D342">
            <v>44494033.246996999</v>
          </cell>
          <cell r="E342">
            <v>1714705556</v>
          </cell>
          <cell r="F342">
            <v>9.8776895736196334E-4</v>
          </cell>
          <cell r="G342">
            <v>4.3124006751514296E-3</v>
          </cell>
          <cell r="I342">
            <v>248</v>
          </cell>
          <cell r="K342">
            <v>385.22879846410285</v>
          </cell>
        </row>
        <row r="343">
          <cell r="B343">
            <v>27.0213</v>
          </cell>
          <cell r="D343">
            <v>44055594.425391003</v>
          </cell>
          <cell r="E343">
            <v>1617000000</v>
          </cell>
          <cell r="F343">
            <v>1.0461132501349562E-2</v>
          </cell>
          <cell r="G343">
            <v>4.2846606096343147E-5</v>
          </cell>
          <cell r="I343">
            <v>249</v>
          </cell>
          <cell r="K343">
            <v>396.89349894531546</v>
          </cell>
        </row>
        <row r="344">
          <cell r="B344">
            <v>27.618099999999998</v>
          </cell>
          <cell r="D344">
            <v>69043352.539270997</v>
          </cell>
          <cell r="E344">
            <v>1920994444</v>
          </cell>
          <cell r="F344">
            <v>2.1845910999665492E-2</v>
          </cell>
          <cell r="G344">
            <v>1.0091099634557102E-2</v>
          </cell>
          <cell r="I344">
            <v>250</v>
          </cell>
          <cell r="K344">
            <v>386.9259449734875</v>
          </cell>
        </row>
        <row r="345">
          <cell r="B345">
            <v>27.884799999999998</v>
          </cell>
          <cell r="D345">
            <v>56218596.985964</v>
          </cell>
          <cell r="E345">
            <v>2031911111</v>
          </cell>
          <cell r="F345">
            <v>9.6103826173301338E-3</v>
          </cell>
          <cell r="G345">
            <v>5.1010651178161831E-3</v>
          </cell>
        </row>
        <row r="346">
          <cell r="B346">
            <v>28.073399999999999</v>
          </cell>
          <cell r="D346">
            <v>72093429.394063994</v>
          </cell>
          <cell r="E346">
            <v>1951738889</v>
          </cell>
          <cell r="F346">
            <v>6.7407712947636089E-3</v>
          </cell>
          <cell r="G346">
            <v>-5.0222965730849136E-3</v>
          </cell>
        </row>
        <row r="347">
          <cell r="B347">
            <v>28.722000000000001</v>
          </cell>
          <cell r="D347">
            <v>73657601.219115004</v>
          </cell>
          <cell r="E347">
            <v>1911505556</v>
          </cell>
          <cell r="F347">
            <v>2.2840870842732217E-2</v>
          </cell>
          <cell r="G347">
            <v>1.0247411805593496E-2</v>
          </cell>
        </row>
        <row r="348">
          <cell r="B348">
            <v>28.895800000000001</v>
          </cell>
          <cell r="D348">
            <v>65586859.844108999</v>
          </cell>
          <cell r="E348">
            <v>1819488889</v>
          </cell>
          <cell r="F348">
            <v>6.032876198994586E-3</v>
          </cell>
          <cell r="G348">
            <v>-7.0790941716164719E-4</v>
          </cell>
        </row>
        <row r="349">
          <cell r="B349">
            <v>28.706199999999999</v>
          </cell>
          <cell r="D349">
            <v>59126821.801101997</v>
          </cell>
          <cell r="E349">
            <v>1951977778</v>
          </cell>
          <cell r="F349">
            <v>-6.5831285279431082E-3</v>
          </cell>
          <cell r="G349">
            <v>1.7209076486218429E-3</v>
          </cell>
        </row>
        <row r="350">
          <cell r="B350">
            <v>28.506</v>
          </cell>
          <cell r="D350">
            <v>80185899.259728998</v>
          </cell>
          <cell r="E350">
            <v>2422788889</v>
          </cell>
          <cell r="F350">
            <v>-6.9985358766393134E-3</v>
          </cell>
          <cell r="G350">
            <v>-8.3080390400197494E-3</v>
          </cell>
        </row>
        <row r="351">
          <cell r="B351">
            <v>28.129100000000001</v>
          </cell>
          <cell r="D351">
            <v>62042837.871661998</v>
          </cell>
          <cell r="E351">
            <v>2191950000</v>
          </cell>
          <cell r="F351">
            <v>-1.3309963755024946E-2</v>
          </cell>
          <cell r="G351">
            <v>-2.928135769918223E-3</v>
          </cell>
        </row>
        <row r="352">
          <cell r="B352">
            <v>28.229600000000001</v>
          </cell>
          <cell r="D352">
            <v>40274244.260231003</v>
          </cell>
          <cell r="E352">
            <v>1532266667</v>
          </cell>
          <cell r="F352">
            <v>3.5664451637831048E-3</v>
          </cell>
          <cell r="G352">
            <v>-5.5149678226770488E-4</v>
          </cell>
        </row>
        <row r="353">
          <cell r="B353">
            <v>28.846</v>
          </cell>
          <cell r="D353">
            <v>58533250.995798998</v>
          </cell>
          <cell r="E353">
            <v>1920777778</v>
          </cell>
          <cell r="F353">
            <v>2.1600262319721193E-2</v>
          </cell>
          <cell r="G353">
            <v>6.3209120130071905E-3</v>
          </cell>
        </row>
        <row r="354">
          <cell r="B354">
            <v>28.729800000000001</v>
          </cell>
          <cell r="D354">
            <v>46633360.461929001</v>
          </cell>
          <cell r="E354">
            <v>1992855556</v>
          </cell>
          <cell r="F354">
            <v>-4.0364235587780732E-3</v>
          </cell>
          <cell r="G354">
            <v>-7.072892060328735E-3</v>
          </cell>
        </row>
        <row r="355">
          <cell r="B355">
            <v>28.854700000000001</v>
          </cell>
          <cell r="D355">
            <v>62076592.129238002</v>
          </cell>
          <cell r="E355">
            <v>1943677778</v>
          </cell>
          <cell r="F355">
            <v>4.3379796946976558E-3</v>
          </cell>
          <cell r="G355">
            <v>3.6635955678957278E-3</v>
          </cell>
        </row>
        <row r="356">
          <cell r="B356">
            <v>28.751999999999999</v>
          </cell>
          <cell r="D356">
            <v>68188545.341950998</v>
          </cell>
          <cell r="E356">
            <v>2277555556</v>
          </cell>
          <cell r="F356">
            <v>-3.5655612560349841E-3</v>
          </cell>
          <cell r="G356">
            <v>-1.4410550273650714E-2</v>
          </cell>
        </row>
        <row r="357">
          <cell r="B357">
            <v>29.3169</v>
          </cell>
          <cell r="D357">
            <v>62224280.955646999</v>
          </cell>
          <cell r="E357">
            <v>2195594444</v>
          </cell>
          <cell r="F357">
            <v>1.9456811510233148E-2</v>
          </cell>
          <cell r="G357">
            <v>5.9184070822181989E-3</v>
          </cell>
        </row>
        <row r="358">
          <cell r="B358">
            <v>28.820399999999999</v>
          </cell>
          <cell r="D358">
            <v>79550910.918684006</v>
          </cell>
          <cell r="E358">
            <v>2029911111</v>
          </cell>
          <cell r="F358">
            <v>-1.7080671825855841E-2</v>
          </cell>
          <cell r="G358">
            <v>-5.5260242096006633E-3</v>
          </cell>
        </row>
        <row r="359">
          <cell r="B359">
            <v>28.647600000000001</v>
          </cell>
          <cell r="D359">
            <v>55876886.446901999</v>
          </cell>
          <cell r="E359">
            <v>2017972222</v>
          </cell>
          <cell r="F359">
            <v>-6.0137997072115977E-3</v>
          </cell>
          <cell r="G359">
            <v>-1.3875566725247141E-2</v>
          </cell>
        </row>
        <row r="360">
          <cell r="B360">
            <v>28.798100000000002</v>
          </cell>
          <cell r="D360">
            <v>45673662.080684997</v>
          </cell>
          <cell r="E360">
            <v>1970766667</v>
          </cell>
          <cell r="F360">
            <v>5.2397427250462933E-3</v>
          </cell>
          <cell r="G360">
            <v>8.4544332066969503E-3</v>
          </cell>
        </row>
        <row r="361">
          <cell r="B361">
            <v>29.3811</v>
          </cell>
          <cell r="D361">
            <v>49480206.360633001</v>
          </cell>
          <cell r="E361">
            <v>1873327778</v>
          </cell>
          <cell r="F361">
            <v>2.004219773711087E-2</v>
          </cell>
          <cell r="G361">
            <v>1.2749947667659597E-2</v>
          </cell>
        </row>
        <row r="362">
          <cell r="B362">
            <v>29.22</v>
          </cell>
          <cell r="D362">
            <v>43698431.400370002</v>
          </cell>
          <cell r="E362">
            <v>1654850000</v>
          </cell>
          <cell r="F362">
            <v>-5.4982041579727629E-3</v>
          </cell>
          <cell r="G362">
            <v>-3.4690629921981507E-4</v>
          </cell>
        </row>
        <row r="363">
          <cell r="B363">
            <v>28.697399999999998</v>
          </cell>
          <cell r="D363">
            <v>47875891.65332</v>
          </cell>
          <cell r="E363">
            <v>1908727778</v>
          </cell>
          <cell r="F363">
            <v>-1.8046879995206148E-2</v>
          </cell>
          <cell r="G363">
            <v>-1.020523152075696E-2</v>
          </cell>
        </row>
        <row r="364">
          <cell r="B364">
            <v>28.830200000000001</v>
          </cell>
          <cell r="D364">
            <v>45370669.269144997</v>
          </cell>
          <cell r="E364">
            <v>1779194444</v>
          </cell>
          <cell r="F364">
            <v>4.6169225170767051E-3</v>
          </cell>
          <cell r="G364">
            <v>-8.404786017584211E-3</v>
          </cell>
        </row>
        <row r="365">
          <cell r="B365">
            <v>28.599799999999998</v>
          </cell>
          <cell r="D365">
            <v>55418338.814808004</v>
          </cell>
          <cell r="E365">
            <v>1877011111</v>
          </cell>
          <cell r="F365">
            <v>-8.0237240500613174E-3</v>
          </cell>
          <cell r="G365">
            <v>1.4676090161454946E-2</v>
          </cell>
        </row>
        <row r="366">
          <cell r="B366">
            <v>28.335999999999999</v>
          </cell>
          <cell r="D366">
            <v>64583526.337205999</v>
          </cell>
          <cell r="E366">
            <v>1633000000</v>
          </cell>
          <cell r="F366">
            <v>-9.2666437538849542E-3</v>
          </cell>
          <cell r="G366">
            <v>-5.902398007852176E-3</v>
          </cell>
        </row>
        <row r="367">
          <cell r="B367">
            <v>28.830200000000001</v>
          </cell>
          <cell r="D367">
            <v>60300938.398360997</v>
          </cell>
          <cell r="E367">
            <v>1742822222</v>
          </cell>
          <cell r="F367">
            <v>1.7290367803946251E-2</v>
          </cell>
          <cell r="G367">
            <v>7.5388397237181716E-3</v>
          </cell>
        </row>
        <row r="368">
          <cell r="B368">
            <v>28.812799999999999</v>
          </cell>
          <cell r="D368">
            <v>34741156.754042</v>
          </cell>
          <cell r="E368">
            <v>1733877778</v>
          </cell>
          <cell r="F368">
            <v>-6.0371599425738129E-4</v>
          </cell>
          <cell r="G368">
            <v>7.7609517888806018E-3</v>
          </cell>
        </row>
        <row r="369">
          <cell r="B369">
            <v>28.493300000000001</v>
          </cell>
          <cell r="D369">
            <v>37415231.307718001</v>
          </cell>
          <cell r="E369">
            <v>1969477778</v>
          </cell>
          <cell r="F369">
            <v>-1.11507609323095E-2</v>
          </cell>
          <cell r="G369">
            <v>-1.3948298829170962E-2</v>
          </cell>
        </row>
        <row r="370">
          <cell r="B370">
            <v>27.587</v>
          </cell>
          <cell r="D370">
            <v>66158116.534822002</v>
          </cell>
          <cell r="E370">
            <v>2699361111</v>
          </cell>
          <cell r="F370">
            <v>-3.2324324649677216E-2</v>
          </cell>
          <cell r="G370">
            <v>-2.532835452574456E-2</v>
          </cell>
        </row>
        <row r="371">
          <cell r="B371">
            <v>27.398299999999999</v>
          </cell>
          <cell r="D371">
            <v>103602343.39377999</v>
          </cell>
          <cell r="E371">
            <v>3220711111</v>
          </cell>
          <cell r="F371">
            <v>-6.86367959457176E-3</v>
          </cell>
          <cell r="G371">
            <v>2.6661484311964016E-3</v>
          </cell>
        </row>
        <row r="372">
          <cell r="B372">
            <v>27.776299999999999</v>
          </cell>
          <cell r="D372">
            <v>68120862.777731001</v>
          </cell>
          <cell r="E372">
            <v>2629811111</v>
          </cell>
          <cell r="F372">
            <v>1.3702171437248667E-2</v>
          </cell>
          <cell r="G372">
            <v>-1.2219313502973374E-2</v>
          </cell>
        </row>
        <row r="373">
          <cell r="B373">
            <v>27.733499999999999</v>
          </cell>
          <cell r="D373">
            <v>53490652.197498001</v>
          </cell>
          <cell r="E373">
            <v>2089538889</v>
          </cell>
          <cell r="F373">
            <v>-1.542070354476709E-3</v>
          </cell>
          <cell r="G373">
            <v>9.4524163829988878E-3</v>
          </cell>
        </row>
        <row r="374">
          <cell r="B374">
            <v>28.293199999999999</v>
          </cell>
          <cell r="D374">
            <v>59081779.949429996</v>
          </cell>
          <cell r="E374">
            <v>1976855556</v>
          </cell>
          <cell r="F374">
            <v>1.9980424334789783E-2</v>
          </cell>
          <cell r="G374">
            <v>9.5448020236501563E-3</v>
          </cell>
        </row>
        <row r="375">
          <cell r="B375">
            <v>28.515899999999998</v>
          </cell>
          <cell r="D375">
            <v>35198598.662634</v>
          </cell>
          <cell r="E375">
            <v>1869188889</v>
          </cell>
          <cell r="F375">
            <v>7.8403333548650866E-3</v>
          </cell>
          <cell r="G375">
            <v>6.1807276592703957E-3</v>
          </cell>
        </row>
        <row r="376">
          <cell r="B376">
            <v>28.4542</v>
          </cell>
          <cell r="D376">
            <v>79574353.280772001</v>
          </cell>
          <cell r="E376">
            <v>2765105556</v>
          </cell>
          <cell r="F376">
            <v>-2.1660493530294891E-3</v>
          </cell>
          <cell r="G376">
            <v>-4.2988374872954703E-3</v>
          </cell>
        </row>
        <row r="377">
          <cell r="B377">
            <v>28.302900000000001</v>
          </cell>
          <cell r="D377">
            <v>37708351.441720001</v>
          </cell>
          <cell r="E377">
            <v>1724827778</v>
          </cell>
          <cell r="F377">
            <v>-5.3315041956304883E-3</v>
          </cell>
          <cell r="G377">
            <v>5.3892420362545825E-3</v>
          </cell>
        </row>
        <row r="378">
          <cell r="B378">
            <v>27.954999999999998</v>
          </cell>
          <cell r="D378">
            <v>45687518.434290998</v>
          </cell>
          <cell r="E378">
            <v>1842850000</v>
          </cell>
          <cell r="F378">
            <v>-1.2368198418766348E-2</v>
          </cell>
          <cell r="G378">
            <v>-5.4505365172693261E-4</v>
          </cell>
        </row>
        <row r="379">
          <cell r="B379">
            <v>28.0138</v>
          </cell>
          <cell r="D379">
            <v>19417486.559620999</v>
          </cell>
          <cell r="E379">
            <v>1092250000</v>
          </cell>
          <cell r="F379">
            <v>2.1011714252624387E-3</v>
          </cell>
          <cell r="G379">
            <v>8.236595098241727E-4</v>
          </cell>
        </row>
        <row r="380">
          <cell r="B380">
            <v>28.180900000000001</v>
          </cell>
          <cell r="D380">
            <v>31668700.260306001</v>
          </cell>
          <cell r="E380">
            <v>1463411111</v>
          </cell>
          <cell r="F380">
            <v>5.9471976010283508E-3</v>
          </cell>
          <cell r="G380">
            <v>1.0150057885384197E-2</v>
          </cell>
        </row>
        <row r="381">
          <cell r="B381">
            <v>28.2745</v>
          </cell>
          <cell r="D381">
            <v>39330632.108323</v>
          </cell>
          <cell r="E381">
            <v>1952550000</v>
          </cell>
          <cell r="F381">
            <v>3.3158948749711205E-3</v>
          </cell>
          <cell r="G381">
            <v>5.2378380021182091E-3</v>
          </cell>
        </row>
        <row r="382">
          <cell r="B382">
            <v>28.293199999999999</v>
          </cell>
          <cell r="D382">
            <v>30738912.723644</v>
          </cell>
          <cell r="E382">
            <v>1752977778</v>
          </cell>
          <cell r="F382">
            <v>6.611547112993217E-4</v>
          </cell>
          <cell r="G382">
            <v>7.2036706293219874E-3</v>
          </cell>
        </row>
        <row r="383">
          <cell r="B383">
            <v>28.583200000000001</v>
          </cell>
          <cell r="D383">
            <v>36260613.325383998</v>
          </cell>
          <cell r="E383">
            <v>1672783333</v>
          </cell>
          <cell r="F383">
            <v>1.0197639552857882E-2</v>
          </cell>
          <cell r="G383">
            <v>1.8154641283901302E-4</v>
          </cell>
        </row>
        <row r="384">
          <cell r="B384">
            <v>29.396000000000001</v>
          </cell>
          <cell r="D384">
            <v>65109044.979970001</v>
          </cell>
          <cell r="E384">
            <v>1914633333</v>
          </cell>
          <cell r="F384">
            <v>2.8039478022597E-2</v>
          </cell>
          <cell r="G384">
            <v>1.3463198150456835E-2</v>
          </cell>
        </row>
        <row r="385">
          <cell r="B385">
            <v>29.3811</v>
          </cell>
          <cell r="D385">
            <v>43099445.621358</v>
          </cell>
          <cell r="E385">
            <v>1688372222</v>
          </cell>
          <cell r="F385">
            <v>-5.070001860987168E-4</v>
          </cell>
          <cell r="G385">
            <v>3.0817767542262128E-3</v>
          </cell>
        </row>
        <row r="386">
          <cell r="B386">
            <v>29.7944</v>
          </cell>
          <cell r="D386">
            <v>41450486.303781003</v>
          </cell>
          <cell r="E386">
            <v>1457333333</v>
          </cell>
          <cell r="F386">
            <v>1.3968845908670665E-2</v>
          </cell>
          <cell r="G386">
            <v>1.3739002782673193E-3</v>
          </cell>
        </row>
        <row r="387">
          <cell r="B387">
            <v>29.874199999999998</v>
          </cell>
          <cell r="D387">
            <v>44164299.331583999</v>
          </cell>
          <cell r="E387">
            <v>1712061111</v>
          </cell>
          <cell r="F387">
            <v>2.6747752612565068E-3</v>
          </cell>
          <cell r="G387">
            <v>-3.7156612435484218E-3</v>
          </cell>
        </row>
        <row r="388">
          <cell r="B388">
            <v>29.4389</v>
          </cell>
          <cell r="D388">
            <v>45267508.337739997</v>
          </cell>
          <cell r="E388">
            <v>1751911111</v>
          </cell>
          <cell r="F388">
            <v>-1.4678302618269115E-2</v>
          </cell>
          <cell r="G388">
            <v>2.7701921402020061E-3</v>
          </cell>
        </row>
        <row r="389">
          <cell r="B389">
            <v>29.192699999999999</v>
          </cell>
          <cell r="D389">
            <v>59988881.725547999</v>
          </cell>
          <cell r="E389">
            <v>1917983333</v>
          </cell>
          <cell r="F389">
            <v>-8.3982510131575035E-3</v>
          </cell>
          <cell r="G389">
            <v>5.0203649363598224E-3</v>
          </cell>
        </row>
        <row r="390">
          <cell r="B390">
            <v>25.8629</v>
          </cell>
          <cell r="D390">
            <v>301555805.08455998</v>
          </cell>
          <cell r="E390">
            <v>1834766667</v>
          </cell>
          <cell r="F390">
            <v>-0.12110916865807582</v>
          </cell>
          <cell r="G390">
            <v>1.6087728890168559E-3</v>
          </cell>
        </row>
        <row r="391">
          <cell r="B391">
            <v>26.367100000000001</v>
          </cell>
          <cell r="D391">
            <v>95944625.58089</v>
          </cell>
          <cell r="E391">
            <v>1543961111</v>
          </cell>
          <cell r="F391">
            <v>1.9307511502037359E-2</v>
          </cell>
          <cell r="G391">
            <v>2.0309250638510861E-3</v>
          </cell>
        </row>
        <row r="392">
          <cell r="B392">
            <v>26.211600000000001</v>
          </cell>
          <cell r="D392">
            <v>79901914.654266</v>
          </cell>
          <cell r="E392">
            <v>1720100000</v>
          </cell>
          <cell r="F392">
            <v>-5.9149599883498508E-3</v>
          </cell>
          <cell r="G392">
            <v>-1.8536452449211241E-3</v>
          </cell>
        </row>
        <row r="393">
          <cell r="B393">
            <v>26.323</v>
          </cell>
          <cell r="D393">
            <v>64110510.108309001</v>
          </cell>
          <cell r="E393">
            <v>1853400000</v>
          </cell>
          <cell r="F393">
            <v>4.2410208499684054E-3</v>
          </cell>
          <cell r="G393">
            <v>-3.8184593198933806E-3</v>
          </cell>
        </row>
        <row r="394">
          <cell r="B394">
            <v>25.853999999999999</v>
          </cell>
          <cell r="D394">
            <v>76749721.162486002</v>
          </cell>
          <cell r="E394">
            <v>1845833333</v>
          </cell>
          <cell r="F394">
            <v>-1.7977753862850946E-2</v>
          </cell>
          <cell r="G394">
            <v>2.5531752308375314E-3</v>
          </cell>
        </row>
        <row r="395">
          <cell r="B395">
            <v>26.046600000000002</v>
          </cell>
          <cell r="D395">
            <v>46905843.495323002</v>
          </cell>
          <cell r="E395">
            <v>1534872222</v>
          </cell>
          <cell r="F395">
            <v>7.4219135852091334E-3</v>
          </cell>
          <cell r="G395">
            <v>8.2793700580897325E-4</v>
          </cell>
        </row>
        <row r="396">
          <cell r="B396">
            <v>25.979299999999999</v>
          </cell>
          <cell r="D396">
            <v>35053817.479510002</v>
          </cell>
          <cell r="E396">
            <v>1578066667</v>
          </cell>
          <cell r="F396">
            <v>-2.5871743704276753E-3</v>
          </cell>
          <cell r="G396">
            <v>-3.7429936680698351E-3</v>
          </cell>
        </row>
        <row r="397">
          <cell r="B397">
            <v>26.234200000000001</v>
          </cell>
          <cell r="D397">
            <v>55603363.214362003</v>
          </cell>
          <cell r="E397">
            <v>1844738889</v>
          </cell>
          <cell r="F397">
            <v>9.763835981798882E-3</v>
          </cell>
          <cell r="G397">
            <v>3.7374417942905253E-4</v>
          </cell>
        </row>
        <row r="398">
          <cell r="B398">
            <v>26.226299999999998</v>
          </cell>
          <cell r="D398">
            <v>53295459.236987002</v>
          </cell>
          <cell r="E398">
            <v>2137438889</v>
          </cell>
          <cell r="F398">
            <v>-3.0117898455862309E-4</v>
          </cell>
          <cell r="G398">
            <v>-1.3643009906418412E-4</v>
          </cell>
        </row>
        <row r="399">
          <cell r="B399">
            <v>26.085799999999999</v>
          </cell>
          <cell r="D399">
            <v>51665166.170254998</v>
          </cell>
          <cell r="E399">
            <v>2097316667</v>
          </cell>
          <cell r="F399">
            <v>-5.3716191028653814E-3</v>
          </cell>
          <cell r="G399">
            <v>1.2462579504871753E-2</v>
          </cell>
        </row>
        <row r="400">
          <cell r="B400">
            <v>26.2685</v>
          </cell>
          <cell r="D400">
            <v>35447917.812449999</v>
          </cell>
          <cell r="E400">
            <v>1742572222</v>
          </cell>
          <cell r="F400">
            <v>6.9793977434323305E-3</v>
          </cell>
          <cell r="G400">
            <v>1.6390855232919159E-3</v>
          </cell>
        </row>
        <row r="401">
          <cell r="B401">
            <v>26.11</v>
          </cell>
          <cell r="D401">
            <v>37618224.738017999</v>
          </cell>
          <cell r="E401">
            <v>1405166667</v>
          </cell>
          <cell r="F401">
            <v>-6.0521200033069236E-3</v>
          </cell>
          <cell r="G401">
            <v>-1.480913754279429E-3</v>
          </cell>
        </row>
        <row r="402">
          <cell r="B402">
            <v>26.014299999999999</v>
          </cell>
          <cell r="D402">
            <v>44109555.779990003</v>
          </cell>
          <cell r="E402">
            <v>1745116667</v>
          </cell>
          <cell r="F402">
            <v>-3.6719958841200193E-3</v>
          </cell>
          <cell r="G402">
            <v>-5.7394613731720544E-3</v>
          </cell>
        </row>
        <row r="403">
          <cell r="B403">
            <v>26.409099999999999</v>
          </cell>
          <cell r="D403">
            <v>46218432.598222002</v>
          </cell>
          <cell r="E403">
            <v>1672350000</v>
          </cell>
          <cell r="F403">
            <v>1.5062260900697691E-2</v>
          </cell>
          <cell r="G403">
            <v>-3.81314875241731E-3</v>
          </cell>
        </row>
        <row r="404">
          <cell r="B404">
            <v>27.093699999999998</v>
          </cell>
          <cell r="D404">
            <v>71672679.077057004</v>
          </cell>
          <cell r="E404">
            <v>1817588889</v>
          </cell>
          <cell r="F404">
            <v>2.5592580807437124E-2</v>
          </cell>
          <cell r="G404">
            <v>3.8779527938558253E-3</v>
          </cell>
        </row>
        <row r="405">
          <cell r="B405">
            <v>26.933399999999999</v>
          </cell>
          <cell r="D405">
            <v>32539956.118556</v>
          </cell>
          <cell r="E405">
            <v>1643150000</v>
          </cell>
          <cell r="F405">
            <v>-5.9340764316511471E-3</v>
          </cell>
          <cell r="G405">
            <v>-3.5763855287662917E-3</v>
          </cell>
        </row>
        <row r="406">
          <cell r="B406">
            <v>27.076899999999998</v>
          </cell>
          <cell r="D406">
            <v>30951136.897562001</v>
          </cell>
          <cell r="E406">
            <v>1549533333</v>
          </cell>
          <cell r="F406">
            <v>5.3138137600685165E-3</v>
          </cell>
          <cell r="G406">
            <v>-1.1535425383448848E-3</v>
          </cell>
        </row>
        <row r="407">
          <cell r="B407">
            <v>26.734300000000001</v>
          </cell>
          <cell r="D407">
            <v>47581450.794023998</v>
          </cell>
          <cell r="E407">
            <v>1686422222</v>
          </cell>
          <cell r="F407">
            <v>-1.2733580711855748E-2</v>
          </cell>
          <cell r="G407">
            <v>2.7721724913956085E-3</v>
          </cell>
        </row>
        <row r="408">
          <cell r="B408">
            <v>26.836600000000001</v>
          </cell>
          <cell r="D408">
            <v>58499194.711897001</v>
          </cell>
          <cell r="E408">
            <v>1595238889</v>
          </cell>
          <cell r="F408">
            <v>3.8192423256221916E-3</v>
          </cell>
          <cell r="G408">
            <v>-5.1900517442756379E-3</v>
          </cell>
        </row>
        <row r="409">
          <cell r="B409">
            <v>26.370999999999999</v>
          </cell>
          <cell r="D409">
            <v>40192937.749105997</v>
          </cell>
          <cell r="E409">
            <v>1903716667</v>
          </cell>
          <cell r="F409">
            <v>-1.7501705950131979E-2</v>
          </cell>
          <cell r="G409">
            <v>-1.4384523926260438E-2</v>
          </cell>
        </row>
        <row r="410">
          <cell r="B410">
            <v>26.378599999999999</v>
          </cell>
          <cell r="D410">
            <v>39619911.900785998</v>
          </cell>
          <cell r="E410">
            <v>1784138889</v>
          </cell>
          <cell r="F410">
            <v>2.8815384581437885E-4</v>
          </cell>
          <cell r="G410">
            <v>-3.3100734140073594E-3</v>
          </cell>
        </row>
        <row r="411">
          <cell r="B411">
            <v>26.040900000000001</v>
          </cell>
          <cell r="D411">
            <v>33644279.038759999</v>
          </cell>
          <cell r="E411">
            <v>1613627778</v>
          </cell>
          <cell r="F411">
            <v>-1.2884696417828035E-2</v>
          </cell>
          <cell r="G411">
            <v>-5.9178400932658947E-3</v>
          </cell>
        </row>
        <row r="412">
          <cell r="B412">
            <v>26.228300000000001</v>
          </cell>
          <cell r="D412">
            <v>27702365.624496002</v>
          </cell>
          <cell r="E412">
            <v>1663383333</v>
          </cell>
          <cell r="F412">
            <v>7.1706015385612585E-3</v>
          </cell>
          <cell r="G412">
            <v>3.8139634700918462E-3</v>
          </cell>
        </row>
        <row r="413">
          <cell r="B413">
            <v>26.220400000000001</v>
          </cell>
          <cell r="D413">
            <v>45087491.432310998</v>
          </cell>
          <cell r="E413">
            <v>1628988889</v>
          </cell>
          <cell r="F413">
            <v>-3.0124674433278076E-4</v>
          </cell>
          <cell r="G413">
            <v>-5.7964139652054766E-3</v>
          </cell>
        </row>
        <row r="414">
          <cell r="B414">
            <v>26.866199999999999</v>
          </cell>
          <cell r="D414">
            <v>37573645.652111001</v>
          </cell>
          <cell r="E414">
            <v>1409700000</v>
          </cell>
          <cell r="F414">
            <v>2.4331257217251274E-2</v>
          </cell>
          <cell r="G414">
            <v>8.5824950407145766E-3</v>
          </cell>
        </row>
        <row r="415">
          <cell r="B415">
            <v>28.825399999999998</v>
          </cell>
          <cell r="D415">
            <v>271820691.70503002</v>
          </cell>
          <cell r="E415">
            <v>1434816667</v>
          </cell>
          <cell r="F415">
            <v>7.0387951935288129E-2</v>
          </cell>
          <cell r="G415">
            <v>3.9392183354132132E-3</v>
          </cell>
        </row>
        <row r="416">
          <cell r="B416">
            <v>28.328399999999998</v>
          </cell>
          <cell r="D416">
            <v>87740075.280894995</v>
          </cell>
          <cell r="E416">
            <v>1350372222</v>
          </cell>
          <cell r="F416">
            <v>-1.7392107886947842E-2</v>
          </cell>
          <cell r="G416">
            <v>-4.047856913079035E-3</v>
          </cell>
        </row>
        <row r="417">
          <cell r="B417">
            <v>27.5899</v>
          </cell>
          <cell r="D417">
            <v>70547473.339911997</v>
          </cell>
          <cell r="E417">
            <v>1788438889</v>
          </cell>
          <cell r="F417">
            <v>-2.6415071293915363E-2</v>
          </cell>
          <cell r="G417">
            <v>-1.6001509567328324E-2</v>
          </cell>
        </row>
        <row r="418">
          <cell r="B418">
            <v>27.3935</v>
          </cell>
          <cell r="D418">
            <v>53358240.784158997</v>
          </cell>
          <cell r="E418">
            <v>1546672222</v>
          </cell>
          <cell r="F418">
            <v>-7.1440047469470717E-3</v>
          </cell>
          <cell r="G418">
            <v>2.7438892221566106E-3</v>
          </cell>
        </row>
        <row r="419">
          <cell r="B419">
            <v>27.830100000000002</v>
          </cell>
          <cell r="D419">
            <v>54588837.328442</v>
          </cell>
          <cell r="E419">
            <v>1404194444</v>
          </cell>
          <cell r="F419">
            <v>1.5812409801995584E-2</v>
          </cell>
          <cell r="G419">
            <v>1.9614259312179068E-3</v>
          </cell>
        </row>
        <row r="420">
          <cell r="B420">
            <v>27.703099999999999</v>
          </cell>
          <cell r="D420">
            <v>51572585.374669001</v>
          </cell>
          <cell r="E420">
            <v>1519055556</v>
          </cell>
          <cell r="F420">
            <v>-4.573848487182868E-3</v>
          </cell>
          <cell r="G420">
            <v>-3.1793224259261555E-3</v>
          </cell>
        </row>
        <row r="421">
          <cell r="B421">
            <v>26.446000000000002</v>
          </cell>
          <cell r="D421">
            <v>186253924.16045001</v>
          </cell>
          <cell r="E421">
            <v>2073116667</v>
          </cell>
          <cell r="F421">
            <v>-4.6439402154229766E-2</v>
          </cell>
          <cell r="G421">
            <v>4.1555453751369511E-3</v>
          </cell>
        </row>
        <row r="422">
          <cell r="B422">
            <v>25.869900000000001</v>
          </cell>
          <cell r="D422">
            <v>171550439.94556999</v>
          </cell>
          <cell r="E422">
            <v>1840083333</v>
          </cell>
          <cell r="F422">
            <v>-2.2024787425416737E-2</v>
          </cell>
          <cell r="G422">
            <v>8.0842264234291927E-3</v>
          </cell>
        </row>
        <row r="423">
          <cell r="B423">
            <v>25.913799999999998</v>
          </cell>
          <cell r="D423">
            <v>86366447.258550003</v>
          </cell>
          <cell r="E423">
            <v>1642838889</v>
          </cell>
          <cell r="F423">
            <v>1.6955146317031006E-3</v>
          </cell>
          <cell r="G423">
            <v>1.2091315073432651E-3</v>
          </cell>
        </row>
        <row r="424">
          <cell r="B424">
            <v>25.8386</v>
          </cell>
          <cell r="D424">
            <v>90940583.770677999</v>
          </cell>
          <cell r="E424">
            <v>1735488889</v>
          </cell>
          <cell r="F424">
            <v>-2.9061474608456954E-3</v>
          </cell>
          <cell r="G424">
            <v>5.4376557675273835E-5</v>
          </cell>
        </row>
        <row r="425">
          <cell r="B425">
            <v>26.263500000000001</v>
          </cell>
          <cell r="D425">
            <v>59827583.285685003</v>
          </cell>
          <cell r="E425">
            <v>1723766667</v>
          </cell>
          <cell r="F425">
            <v>1.6310644672272279E-2</v>
          </cell>
          <cell r="G425">
            <v>9.9433320560937486E-3</v>
          </cell>
        </row>
        <row r="426">
          <cell r="B426">
            <v>26.866199999999999</v>
          </cell>
          <cell r="D426">
            <v>68577187.700819999</v>
          </cell>
          <cell r="E426">
            <v>2051000000</v>
          </cell>
          <cell r="F426">
            <v>2.2688848414226227E-2</v>
          </cell>
          <cell r="G426">
            <v>7.3189229171092005E-3</v>
          </cell>
        </row>
        <row r="427">
          <cell r="B427">
            <v>27.159099999999999</v>
          </cell>
          <cell r="D427">
            <v>47114218.113338001</v>
          </cell>
          <cell r="E427">
            <v>1741922222</v>
          </cell>
          <cell r="F427">
            <v>1.0843174208757071E-2</v>
          </cell>
          <cell r="G427">
            <v>3.0476259239930587E-3</v>
          </cell>
        </row>
        <row r="428">
          <cell r="B428">
            <v>27.1189</v>
          </cell>
          <cell r="D428">
            <v>39619589.398097001</v>
          </cell>
          <cell r="E428">
            <v>1725716667</v>
          </cell>
          <cell r="F428">
            <v>-1.481263397707044E-3</v>
          </cell>
          <cell r="G428">
            <v>-3.3861650418574234E-3</v>
          </cell>
        </row>
        <row r="429">
          <cell r="B429">
            <v>27.400300000000001</v>
          </cell>
          <cell r="D429">
            <v>49312632.939888999</v>
          </cell>
          <cell r="E429">
            <v>1520277778</v>
          </cell>
          <cell r="F429">
            <v>1.0323060461575131E-2</v>
          </cell>
          <cell r="G429">
            <v>2.7110335432424617E-3</v>
          </cell>
        </row>
        <row r="430">
          <cell r="B430">
            <v>27.206900000000001</v>
          </cell>
          <cell r="D430">
            <v>66324309.848825</v>
          </cell>
          <cell r="E430">
            <v>1711000000</v>
          </cell>
          <cell r="F430">
            <v>-7.0833446370907683E-3</v>
          </cell>
          <cell r="G430">
            <v>5.6770168919803715E-3</v>
          </cell>
        </row>
        <row r="431">
          <cell r="B431">
            <v>27.314299999999999</v>
          </cell>
          <cell r="D431">
            <v>102121710.00322001</v>
          </cell>
          <cell r="E431">
            <v>1541244444</v>
          </cell>
          <cell r="F431">
            <v>3.9397569722985706E-3</v>
          </cell>
          <cell r="G431">
            <v>4.2088494865901299E-3</v>
          </cell>
        </row>
        <row r="432">
          <cell r="B432">
            <v>27.639700000000001</v>
          </cell>
          <cell r="D432">
            <v>77276657.793259993</v>
          </cell>
          <cell r="E432">
            <v>2216533333</v>
          </cell>
          <cell r="F432">
            <v>1.1842770431141042E-2</v>
          </cell>
          <cell r="G432">
            <v>1.2104115967809937E-2</v>
          </cell>
        </row>
        <row r="433">
          <cell r="B433">
            <v>27.907299999999999</v>
          </cell>
          <cell r="D433">
            <v>50663684.750220999</v>
          </cell>
          <cell r="E433">
            <v>2077850000</v>
          </cell>
          <cell r="F433">
            <v>9.6351583432321593E-3</v>
          </cell>
          <cell r="G433">
            <v>-1.8446229845168335E-3</v>
          </cell>
        </row>
        <row r="434">
          <cell r="B434">
            <v>27.197399999999998</v>
          </cell>
          <cell r="D434">
            <v>124051218.12275</v>
          </cell>
          <cell r="E434">
            <v>2818905556</v>
          </cell>
          <cell r="F434">
            <v>-2.5766922850965362E-2</v>
          </cell>
          <cell r="G434">
            <v>-7.2430937969337897E-3</v>
          </cell>
        </row>
        <row r="435">
          <cell r="B435">
            <v>27.159099999999999</v>
          </cell>
          <cell r="D435">
            <v>48011537.307907</v>
          </cell>
          <cell r="E435">
            <v>1737194444</v>
          </cell>
          <cell r="F435">
            <v>-1.4092153224836881E-3</v>
          </cell>
          <cell r="G435">
            <v>-4.7307188688171364E-3</v>
          </cell>
        </row>
        <row r="436">
          <cell r="B436">
            <v>26.9237</v>
          </cell>
          <cell r="D436">
            <v>48518056.958956003</v>
          </cell>
          <cell r="E436">
            <v>1816072222</v>
          </cell>
          <cell r="F436">
            <v>-8.70522556405353E-3</v>
          </cell>
          <cell r="G436">
            <v>-2.6005674711671984E-3</v>
          </cell>
        </row>
        <row r="437">
          <cell r="B437">
            <v>26.966899999999999</v>
          </cell>
          <cell r="D437">
            <v>34844662.712131999</v>
          </cell>
          <cell r="E437">
            <v>1749294444</v>
          </cell>
          <cell r="F437">
            <v>1.6032484052305753E-3</v>
          </cell>
          <cell r="G437">
            <v>-2.7432108029442847E-3</v>
          </cell>
        </row>
        <row r="438">
          <cell r="B438">
            <v>27.179600000000001</v>
          </cell>
          <cell r="D438">
            <v>34345658.909451999</v>
          </cell>
          <cell r="E438">
            <v>1563294444</v>
          </cell>
          <cell r="F438">
            <v>7.8565038947433549E-3</v>
          </cell>
          <cell r="G438">
            <v>3.4793515156158698E-3</v>
          </cell>
        </row>
        <row r="439">
          <cell r="B439">
            <v>27.596800000000002</v>
          </cell>
          <cell r="D439">
            <v>66719117.640042998</v>
          </cell>
          <cell r="E439">
            <v>1639833333</v>
          </cell>
          <cell r="F439">
            <v>1.5233132061074673E-2</v>
          </cell>
          <cell r="G439">
            <v>-4.0820957930202389E-3</v>
          </cell>
        </row>
        <row r="440">
          <cell r="B440">
            <v>27.6035</v>
          </cell>
          <cell r="D440">
            <v>48026043.785979003</v>
          </cell>
          <cell r="E440">
            <v>1838127778</v>
          </cell>
          <cell r="F440">
            <v>2.4275230507446086E-4</v>
          </cell>
          <cell r="G440">
            <v>-6.0475090187600816E-3</v>
          </cell>
        </row>
        <row r="441">
          <cell r="B441">
            <v>27.8535</v>
          </cell>
          <cell r="D441">
            <v>44241730.691356003</v>
          </cell>
          <cell r="E441">
            <v>1799272222</v>
          </cell>
          <cell r="F441">
            <v>9.0160554492262155E-3</v>
          </cell>
          <cell r="G441">
            <v>7.9667537209757739E-3</v>
          </cell>
        </row>
        <row r="442">
          <cell r="B442">
            <v>28.136099999999999</v>
          </cell>
          <cell r="D442">
            <v>56578280.651046999</v>
          </cell>
          <cell r="E442">
            <v>1749222222</v>
          </cell>
          <cell r="F442">
            <v>1.0094817604224225E-2</v>
          </cell>
          <cell r="G442">
            <v>-6.6688898770376765E-4</v>
          </cell>
        </row>
        <row r="443">
          <cell r="B443">
            <v>28.088100000000001</v>
          </cell>
          <cell r="D443">
            <v>46661524.672904</v>
          </cell>
          <cell r="E443">
            <v>1822027778</v>
          </cell>
          <cell r="F443">
            <v>-1.7074502318056455E-3</v>
          </cell>
          <cell r="G443">
            <v>-9.0199957444824265E-3</v>
          </cell>
        </row>
        <row r="444">
          <cell r="B444">
            <v>28.1053</v>
          </cell>
          <cell r="D444">
            <v>39772235.551546998</v>
          </cell>
          <cell r="E444">
            <v>1600150000</v>
          </cell>
          <cell r="F444">
            <v>6.1217155527689576E-4</v>
          </cell>
          <cell r="G444">
            <v>7.0284870655762189E-3</v>
          </cell>
        </row>
        <row r="445">
          <cell r="B445">
            <v>27.6221</v>
          </cell>
          <cell r="D445">
            <v>42274972.105476998</v>
          </cell>
          <cell r="E445">
            <v>1488050000</v>
          </cell>
          <cell r="F445">
            <v>-1.7341993702477486E-2</v>
          </cell>
          <cell r="G445">
            <v>-8.5427446236556424E-3</v>
          </cell>
        </row>
        <row r="446">
          <cell r="B446">
            <v>27.384899999999998</v>
          </cell>
          <cell r="D446">
            <v>49394795.362911001</v>
          </cell>
          <cell r="E446">
            <v>1982905556</v>
          </cell>
          <cell r="F446">
            <v>-8.6244103569298302E-3</v>
          </cell>
          <cell r="G446">
            <v>-1.2408723348868085E-2</v>
          </cell>
        </row>
        <row r="447">
          <cell r="B447">
            <v>27.4345</v>
          </cell>
          <cell r="D447">
            <v>43251085.361653998</v>
          </cell>
          <cell r="E447">
            <v>1987688889</v>
          </cell>
          <cell r="F447">
            <v>1.8095788547454231E-3</v>
          </cell>
          <cell r="G447">
            <v>5.7369749599523064E-4</v>
          </cell>
        </row>
        <row r="448">
          <cell r="B448">
            <v>28.003900000000002</v>
          </cell>
          <cell r="D448">
            <v>51680963.682898998</v>
          </cell>
          <cell r="E448">
            <v>1867944444</v>
          </cell>
          <cell r="F448">
            <v>2.0542440740478809E-2</v>
          </cell>
          <cell r="G448">
            <v>2.1595603003649867E-2</v>
          </cell>
        </row>
        <row r="449">
          <cell r="B449">
            <v>28.311599999999999</v>
          </cell>
          <cell r="D449">
            <v>36204672.930480003</v>
          </cell>
          <cell r="E449">
            <v>1635927778</v>
          </cell>
          <cell r="F449">
            <v>1.0927828468395642E-2</v>
          </cell>
          <cell r="G449">
            <v>6.2666589042077387E-3</v>
          </cell>
        </row>
        <row r="450">
          <cell r="B450">
            <v>28.578399999999998</v>
          </cell>
          <cell r="D450">
            <v>33455958.968876</v>
          </cell>
          <cell r="E450">
            <v>1433655556</v>
          </cell>
          <cell r="F450">
            <v>9.3795730710337991E-3</v>
          </cell>
          <cell r="G450">
            <v>4.0664039111895159E-3</v>
          </cell>
        </row>
        <row r="451">
          <cell r="B451">
            <v>28.612300000000001</v>
          </cell>
          <cell r="D451">
            <v>56780685.385963</v>
          </cell>
          <cell r="E451">
            <v>1848744444</v>
          </cell>
          <cell r="F451">
            <v>1.1855075727465105E-3</v>
          </cell>
          <cell r="G451">
            <v>-7.0888155544114413E-3</v>
          </cell>
        </row>
        <row r="452">
          <cell r="B452">
            <v>28.733599999999999</v>
          </cell>
          <cell r="D452">
            <v>42325806.719724</v>
          </cell>
          <cell r="E452">
            <v>1936766667</v>
          </cell>
          <cell r="F452">
            <v>4.2304743986200637E-3</v>
          </cell>
          <cell r="G452">
            <v>1.3732816122981576E-2</v>
          </cell>
        </row>
        <row r="453">
          <cell r="B453">
            <v>28.968</v>
          </cell>
          <cell r="D453">
            <v>37787407.600752003</v>
          </cell>
          <cell r="E453">
            <v>1918661111</v>
          </cell>
          <cell r="F453">
            <v>8.1246027624087315E-3</v>
          </cell>
          <cell r="G453">
            <v>6.7213230176509332E-3</v>
          </cell>
        </row>
        <row r="454">
          <cell r="B454">
            <v>29.000399999999999</v>
          </cell>
          <cell r="D454">
            <v>50401772.638282001</v>
          </cell>
          <cell r="E454">
            <v>2036050000</v>
          </cell>
          <cell r="F454">
            <v>1.117850531458197E-3</v>
          </cell>
          <cell r="G454">
            <v>6.5274195501484516E-3</v>
          </cell>
        </row>
        <row r="455">
          <cell r="B455">
            <v>29.026599999999998</v>
          </cell>
          <cell r="D455">
            <v>33073188.206574</v>
          </cell>
          <cell r="E455">
            <v>1695950000</v>
          </cell>
          <cell r="F455">
            <v>9.0302796217004593E-4</v>
          </cell>
          <cell r="G455">
            <v>9.1712618574313345E-5</v>
          </cell>
        </row>
        <row r="456">
          <cell r="B456">
            <v>28.683900000000001</v>
          </cell>
          <cell r="D456">
            <v>48748240.949258</v>
          </cell>
          <cell r="E456">
            <v>2139355556</v>
          </cell>
          <cell r="F456">
            <v>-1.1876661206836251E-2</v>
          </cell>
          <cell r="G456">
            <v>5.7211107858845976E-3</v>
          </cell>
        </row>
        <row r="457">
          <cell r="B457">
            <v>28.003900000000002</v>
          </cell>
          <cell r="D457">
            <v>70619866.491018996</v>
          </cell>
          <cell r="E457">
            <v>2062988889</v>
          </cell>
          <cell r="F457">
            <v>-2.3992203559996889E-2</v>
          </cell>
          <cell r="G457">
            <v>-4.7357309912257808E-3</v>
          </cell>
        </row>
        <row r="458">
          <cell r="B458">
            <v>27.968900000000001</v>
          </cell>
          <cell r="D458">
            <v>63823970.05297</v>
          </cell>
          <cell r="E458">
            <v>2039833333</v>
          </cell>
          <cell r="F458">
            <v>-1.2506076008962854E-3</v>
          </cell>
          <cell r="G458">
            <v>3.2528719960210105E-3</v>
          </cell>
        </row>
        <row r="459">
          <cell r="B459">
            <v>29.638200000000001</v>
          </cell>
          <cell r="D459">
            <v>136808476.42291</v>
          </cell>
          <cell r="E459">
            <v>1764288889</v>
          </cell>
          <cell r="F459">
            <v>5.7970891249642997E-2</v>
          </cell>
          <cell r="G459">
            <v>4.3851726383198801E-3</v>
          </cell>
        </row>
        <row r="460">
          <cell r="B460">
            <v>29.508199999999999</v>
          </cell>
          <cell r="D460">
            <v>46272279.285196997</v>
          </cell>
          <cell r="E460">
            <v>1823500000</v>
          </cell>
          <cell r="F460">
            <v>-4.3958790168323473E-3</v>
          </cell>
          <cell r="G460">
            <v>1.328835930998072E-3</v>
          </cell>
        </row>
        <row r="461">
          <cell r="B461">
            <v>29.464300000000001</v>
          </cell>
          <cell r="D461">
            <v>38218258.906723998</v>
          </cell>
          <cell r="E461">
            <v>1865811111</v>
          </cell>
          <cell r="F461">
            <v>-1.4888298142053239E-3</v>
          </cell>
          <cell r="G461">
            <v>5.568680457237637E-3</v>
          </cell>
        </row>
        <row r="462">
          <cell r="B462">
            <v>29.4819</v>
          </cell>
          <cell r="D462">
            <v>44605873.084083997</v>
          </cell>
          <cell r="E462">
            <v>1957244444</v>
          </cell>
          <cell r="F462">
            <v>5.9715471134701593E-4</v>
          </cell>
          <cell r="G462">
            <v>-4.8879104801314577E-3</v>
          </cell>
        </row>
        <row r="463">
          <cell r="B463">
            <v>29.368400000000001</v>
          </cell>
          <cell r="D463">
            <v>50257790.033244997</v>
          </cell>
          <cell r="E463">
            <v>2125850000</v>
          </cell>
          <cell r="F463">
            <v>-3.857249350455966E-3</v>
          </cell>
          <cell r="G463">
            <v>-3.846759576849974E-3</v>
          </cell>
        </row>
        <row r="464">
          <cell r="B464">
            <v>29.472999999999999</v>
          </cell>
          <cell r="D464">
            <v>48544785.777011998</v>
          </cell>
          <cell r="E464">
            <v>2047938889</v>
          </cell>
          <cell r="F464">
            <v>3.5553236388489924E-3</v>
          </cell>
          <cell r="G464">
            <v>2.8992283353028092E-3</v>
          </cell>
        </row>
        <row r="465">
          <cell r="B465">
            <v>29.814</v>
          </cell>
          <cell r="D465">
            <v>33829274.771407999</v>
          </cell>
          <cell r="E465">
            <v>1774927778</v>
          </cell>
          <cell r="F465">
            <v>1.1503491840654044E-2</v>
          </cell>
          <cell r="G465">
            <v>3.5641773126337483E-3</v>
          </cell>
        </row>
        <row r="466">
          <cell r="B466">
            <v>30.395</v>
          </cell>
          <cell r="D466">
            <v>62290293.672611997</v>
          </cell>
          <cell r="E466">
            <v>1953711111</v>
          </cell>
          <cell r="F466">
            <v>1.9300039352447364E-2</v>
          </cell>
          <cell r="G466">
            <v>-2.8094838497391963E-3</v>
          </cell>
        </row>
        <row r="467">
          <cell r="B467">
            <v>31.671800000000001</v>
          </cell>
          <cell r="D467">
            <v>107208503.95566</v>
          </cell>
          <cell r="E467">
            <v>1845611111</v>
          </cell>
          <cell r="F467">
            <v>4.1148573857264795E-2</v>
          </cell>
          <cell r="G467">
            <v>4.2564576101536706E-3</v>
          </cell>
        </row>
        <row r="468">
          <cell r="B468">
            <v>31.107099999999999</v>
          </cell>
          <cell r="D468">
            <v>72864658.227987006</v>
          </cell>
          <cell r="E468">
            <v>2301777778</v>
          </cell>
          <cell r="F468">
            <v>-1.7990606108351785E-2</v>
          </cell>
          <cell r="G468">
            <v>-1.327045548901987E-2</v>
          </cell>
        </row>
        <row r="469">
          <cell r="B469">
            <v>31.3385</v>
          </cell>
          <cell r="D469">
            <v>44294526.941003002</v>
          </cell>
          <cell r="E469">
            <v>2131761111</v>
          </cell>
          <cell r="F469">
            <v>7.4112846758582797E-3</v>
          </cell>
          <cell r="G469">
            <v>1.333823103901602E-2</v>
          </cell>
        </row>
        <row r="470">
          <cell r="B470">
            <v>31.182200000000002</v>
          </cell>
          <cell r="D470">
            <v>32395302.912689999</v>
          </cell>
          <cell r="E470">
            <v>1407811111</v>
          </cell>
          <cell r="F470">
            <v>-4.999954434896872E-3</v>
          </cell>
          <cell r="G470">
            <v>7.2265352474504111E-4</v>
          </cell>
        </row>
        <row r="471">
          <cell r="B471">
            <v>30.99</v>
          </cell>
          <cell r="D471">
            <v>38155210.143037997</v>
          </cell>
          <cell r="E471">
            <v>1789461111</v>
          </cell>
          <cell r="F471">
            <v>-6.1828473909036393E-3</v>
          </cell>
          <cell r="G471">
            <v>-2.3731640314203425E-3</v>
          </cell>
        </row>
        <row r="472">
          <cell r="B472">
            <v>31.6462</v>
          </cell>
          <cell r="D472">
            <v>54188292.060823001</v>
          </cell>
          <cell r="E472">
            <v>1848600000</v>
          </cell>
          <cell r="F472">
            <v>2.0953506391213201E-2</v>
          </cell>
          <cell r="G472">
            <v>8.0627195734255634E-3</v>
          </cell>
        </row>
        <row r="473">
          <cell r="B473">
            <v>31.5398</v>
          </cell>
          <cell r="D473">
            <v>55678712.128202997</v>
          </cell>
          <cell r="E473">
            <v>1743922222</v>
          </cell>
          <cell r="F473">
            <v>-3.3678378301729857E-3</v>
          </cell>
          <cell r="G473">
            <v>4.8255995473341796E-3</v>
          </cell>
        </row>
        <row r="474">
          <cell r="B474">
            <v>31.388400000000001</v>
          </cell>
          <cell r="D474">
            <v>61001527.881511003</v>
          </cell>
          <cell r="E474">
            <v>1808233333</v>
          </cell>
          <cell r="F474">
            <v>-4.8118424529547095E-3</v>
          </cell>
          <cell r="G474">
            <v>4.2131136773868576E-3</v>
          </cell>
        </row>
        <row r="475">
          <cell r="B475">
            <v>30.858899999999998</v>
          </cell>
          <cell r="D475">
            <v>64222724.662804998</v>
          </cell>
          <cell r="E475">
            <v>1760288889</v>
          </cell>
          <cell r="F475">
            <v>-1.7013196455719543E-2</v>
          </cell>
          <cell r="G475">
            <v>-3.7050389068854113E-3</v>
          </cell>
        </row>
        <row r="476">
          <cell r="B476">
            <v>30.708500000000001</v>
          </cell>
          <cell r="D476">
            <v>52966983.593967997</v>
          </cell>
          <cell r="E476">
            <v>1791361111</v>
          </cell>
          <cell r="F476">
            <v>-4.8857122169475966E-3</v>
          </cell>
          <cell r="G476">
            <v>-2.0450361935312332E-3</v>
          </cell>
        </row>
        <row r="477">
          <cell r="B477">
            <v>30.9909</v>
          </cell>
          <cell r="D477">
            <v>38563158.639040001</v>
          </cell>
          <cell r="E477">
            <v>1727300000</v>
          </cell>
          <cell r="F477">
            <v>9.1541237692128758E-3</v>
          </cell>
          <cell r="G477">
            <v>-3.642235986195912E-3</v>
          </cell>
        </row>
        <row r="478">
          <cell r="B478">
            <v>31.2605</v>
          </cell>
          <cell r="D478">
            <v>27577566.298423</v>
          </cell>
          <cell r="E478">
            <v>1809238889</v>
          </cell>
          <cell r="F478">
            <v>8.6617067427636838E-3</v>
          </cell>
          <cell r="G478">
            <v>8.0957162744240488E-3</v>
          </cell>
        </row>
        <row r="479">
          <cell r="B479">
            <v>31.401199999999999</v>
          </cell>
          <cell r="D479">
            <v>33478245.440375999</v>
          </cell>
          <cell r="E479">
            <v>1697300000</v>
          </cell>
          <cell r="F479">
            <v>4.4907889974314958E-3</v>
          </cell>
          <cell r="G479">
            <v>4.9491714942796741E-3</v>
          </cell>
        </row>
        <row r="480">
          <cell r="B480">
            <v>31.456700000000001</v>
          </cell>
          <cell r="D480">
            <v>36667437.669156998</v>
          </cell>
          <cell r="E480">
            <v>1665855556</v>
          </cell>
          <cell r="F480">
            <v>1.7658882788772873E-3</v>
          </cell>
          <cell r="G480">
            <v>-1.2641245404365169E-3</v>
          </cell>
        </row>
        <row r="481">
          <cell r="B481">
            <v>31.217500000000001</v>
          </cell>
          <cell r="D481">
            <v>41239141.589575998</v>
          </cell>
          <cell r="E481">
            <v>1903955556</v>
          </cell>
          <cell r="F481">
            <v>-7.6331620161973141E-3</v>
          </cell>
          <cell r="G481">
            <v>1.4978239973848013E-4</v>
          </cell>
        </row>
        <row r="482">
          <cell r="B482">
            <v>31.423400000000001</v>
          </cell>
          <cell r="D482">
            <v>31109768.291382998</v>
          </cell>
          <cell r="E482">
            <v>1451994444</v>
          </cell>
          <cell r="F482">
            <v>6.5740032962512034E-3</v>
          </cell>
          <cell r="G482">
            <v>2.4820094847459511E-3</v>
          </cell>
        </row>
        <row r="483">
          <cell r="B483">
            <v>31.867899999999999</v>
          </cell>
          <cell r="D483">
            <v>26430107.875771999</v>
          </cell>
          <cell r="E483">
            <v>887944444</v>
          </cell>
          <cell r="F483">
            <v>1.4046395265762924E-2</v>
          </cell>
          <cell r="G483">
            <v>-7.8604171175170024E-4</v>
          </cell>
        </row>
        <row r="484">
          <cell r="B484">
            <v>32.137500000000003</v>
          </cell>
          <cell r="D484">
            <v>51386869.897926003</v>
          </cell>
          <cell r="E484">
            <v>1719683333</v>
          </cell>
          <cell r="F484">
            <v>8.4243390228307229E-3</v>
          </cell>
          <cell r="G484">
            <v>-2.7227046439559808E-3</v>
          </cell>
        </row>
        <row r="485">
          <cell r="B485">
            <v>32.019399999999997</v>
          </cell>
          <cell r="D485">
            <v>62345016.747845002</v>
          </cell>
          <cell r="E485">
            <v>1930933333</v>
          </cell>
          <cell r="F485">
            <v>-3.6816034875729207E-3</v>
          </cell>
          <cell r="G485">
            <v>-3.1979560353162999E-3</v>
          </cell>
        </row>
        <row r="486">
          <cell r="B486">
            <v>32.547800000000002</v>
          </cell>
          <cell r="D486">
            <v>62124209.907144003</v>
          </cell>
          <cell r="E486">
            <v>2005855556</v>
          </cell>
          <cell r="F486">
            <v>1.6367808940296706E-2</v>
          </cell>
          <cell r="G486">
            <v>-1.3043625524062031E-3</v>
          </cell>
        </row>
        <row r="487">
          <cell r="B487">
            <v>31.760400000000001</v>
          </cell>
          <cell r="D487">
            <v>139158024.19981</v>
          </cell>
          <cell r="E487">
            <v>1853822222</v>
          </cell>
          <cell r="F487">
            <v>-2.4489547286667867E-2</v>
          </cell>
          <cell r="G487">
            <v>-4.3489995429874546E-3</v>
          </cell>
        </row>
        <row r="488">
          <cell r="B488">
            <v>32.0623</v>
          </cell>
          <cell r="D488">
            <v>43602846.722599</v>
          </cell>
          <cell r="E488">
            <v>1750016667</v>
          </cell>
          <cell r="F488">
            <v>9.4606543367051488E-3</v>
          </cell>
          <cell r="G488">
            <v>1.1175230224585924E-2</v>
          </cell>
        </row>
        <row r="489">
          <cell r="B489">
            <v>32.354100000000003</v>
          </cell>
          <cell r="D489">
            <v>36222423.887979999</v>
          </cell>
          <cell r="E489">
            <v>1738611111</v>
          </cell>
          <cell r="F489">
            <v>9.059866615894193E-3</v>
          </cell>
          <cell r="G489">
            <v>1.8154350128978636E-3</v>
          </cell>
        </row>
        <row r="490">
          <cell r="B490">
            <v>31.851400000000002</v>
          </cell>
          <cell r="D490">
            <v>45255270.640485004</v>
          </cell>
          <cell r="E490">
            <v>1731750000</v>
          </cell>
          <cell r="F490">
            <v>-1.5659414614573163E-2</v>
          </cell>
          <cell r="G490">
            <v>-3.1847248870443094E-3</v>
          </cell>
        </row>
        <row r="491">
          <cell r="B491">
            <v>31.4313</v>
          </cell>
          <cell r="D491">
            <v>47679122.012998998</v>
          </cell>
          <cell r="E491">
            <v>1929022222</v>
          </cell>
          <cell r="F491">
            <v>-1.3277125385703657E-2</v>
          </cell>
          <cell r="G491">
            <v>-1.1381383944921048E-2</v>
          </cell>
        </row>
        <row r="492">
          <cell r="B492">
            <v>31.109000000000002</v>
          </cell>
          <cell r="D492">
            <v>43085525.791031003</v>
          </cell>
          <cell r="E492">
            <v>1837022222</v>
          </cell>
          <cell r="F492">
            <v>-1.0307045322613144E-2</v>
          </cell>
          <cell r="G492">
            <v>-3.777704817573199E-3</v>
          </cell>
        </row>
        <row r="493">
          <cell r="B493">
            <v>30.666699999999999</v>
          </cell>
          <cell r="D493">
            <v>47945603.424932003</v>
          </cell>
          <cell r="E493">
            <v>1700594444</v>
          </cell>
          <cell r="F493">
            <v>-1.4319791050911452E-2</v>
          </cell>
          <cell r="G493">
            <v>-1.0138503227667498E-4</v>
          </cell>
        </row>
        <row r="494">
          <cell r="B494">
            <v>30.825800000000001</v>
          </cell>
          <cell r="D494">
            <v>37968464.705328003</v>
          </cell>
          <cell r="E494">
            <v>1783272222</v>
          </cell>
          <cell r="F494">
            <v>5.1746263370337402E-3</v>
          </cell>
          <cell r="G494">
            <v>6.3001000102775595E-3</v>
          </cell>
        </row>
        <row r="495">
          <cell r="B495">
            <v>30.521100000000001</v>
          </cell>
          <cell r="D495">
            <v>54534174.658473998</v>
          </cell>
          <cell r="E495">
            <v>1816683333</v>
          </cell>
          <cell r="F495">
            <v>-9.9337539674224547E-3</v>
          </cell>
          <cell r="G495">
            <v>-3.1057840714818681E-3</v>
          </cell>
        </row>
        <row r="496">
          <cell r="B496">
            <v>30.571899999999999</v>
          </cell>
          <cell r="D496">
            <v>75605036.262957007</v>
          </cell>
          <cell r="E496">
            <v>2404316667</v>
          </cell>
          <cell r="F496">
            <v>1.6630387019174705E-3</v>
          </cell>
          <cell r="G496">
            <v>1.6510892525584176E-2</v>
          </cell>
        </row>
        <row r="497">
          <cell r="B497">
            <v>30.2974</v>
          </cell>
          <cell r="D497">
            <v>40872551.247870997</v>
          </cell>
          <cell r="E497">
            <v>1942894444</v>
          </cell>
          <cell r="F497">
            <v>-9.0193861556917363E-3</v>
          </cell>
          <cell r="G497">
            <v>-5.8007045338986994E-4</v>
          </cell>
        </row>
        <row r="498">
          <cell r="B498">
            <v>30.7575</v>
          </cell>
          <cell r="D498">
            <v>74957073.075654998</v>
          </cell>
          <cell r="E498">
            <v>2832055556</v>
          </cell>
          <cell r="F498">
            <v>1.5071966699488423E-2</v>
          </cell>
          <cell r="G498">
            <v>4.8071714880478693E-3</v>
          </cell>
        </row>
        <row r="499">
          <cell r="B499">
            <v>30.606000000000002</v>
          </cell>
          <cell r="D499">
            <v>30035023.474890999</v>
          </cell>
          <cell r="E499">
            <v>1584188889</v>
          </cell>
          <cell r="F499">
            <v>-4.9377987833424631E-3</v>
          </cell>
          <cell r="G499">
            <v>5.3040046897099881E-3</v>
          </cell>
        </row>
        <row r="500">
          <cell r="B500">
            <v>30.9909</v>
          </cell>
          <cell r="D500">
            <v>17041042.058493</v>
          </cell>
          <cell r="E500">
            <v>726461111</v>
          </cell>
          <cell r="F500">
            <v>1.2497544835443469E-2</v>
          </cell>
          <cell r="G500">
            <v>2.9115282591196121E-3</v>
          </cell>
        </row>
        <row r="501">
          <cell r="B501">
            <v>31.291699999999999</v>
          </cell>
          <cell r="D501">
            <v>21073445.721262999</v>
          </cell>
          <cell r="E501">
            <v>1101261111</v>
          </cell>
          <cell r="F501">
            <v>9.6592736576718852E-3</v>
          </cell>
          <cell r="G501">
            <v>4.7342647208743665E-3</v>
          </cell>
        </row>
        <row r="502">
          <cell r="B502">
            <v>31.1678</v>
          </cell>
          <cell r="D502">
            <v>17424361.587276999</v>
          </cell>
          <cell r="E502">
            <v>1140511111</v>
          </cell>
          <cell r="F502">
            <v>-3.9673760602057144E-3</v>
          </cell>
          <cell r="G502">
            <v>-3.3664366586225631E-4</v>
          </cell>
        </row>
        <row r="503">
          <cell r="B503">
            <v>31.1678</v>
          </cell>
          <cell r="D503">
            <v>19478152.898683999</v>
          </cell>
          <cell r="E503">
            <v>1274366667</v>
          </cell>
          <cell r="F503">
            <v>0</v>
          </cell>
          <cell r="G503">
            <v>-1.7922752982837381E-4</v>
          </cell>
        </row>
        <row r="504">
          <cell r="B504">
            <v>31.269200000000001</v>
          </cell>
          <cell r="D504">
            <v>20943124.944398999</v>
          </cell>
          <cell r="E504">
            <v>1284911111</v>
          </cell>
          <cell r="F504">
            <v>3.2480769142502006E-3</v>
          </cell>
          <cell r="G504">
            <v>3.9518351004493735E-3</v>
          </cell>
        </row>
        <row r="505">
          <cell r="B505">
            <v>31.060099999999998</v>
          </cell>
          <cell r="D505">
            <v>36663608.589617997</v>
          </cell>
          <cell r="E505">
            <v>1711444444</v>
          </cell>
          <cell r="F505">
            <v>-6.7095502256300631E-3</v>
          </cell>
          <cell r="G505">
            <v>-8.9014102804498407E-3</v>
          </cell>
        </row>
        <row r="506">
          <cell r="B506">
            <v>30.850200000000001</v>
          </cell>
          <cell r="D506">
            <v>37251245.345452003</v>
          </cell>
          <cell r="E506">
            <v>1541261111</v>
          </cell>
          <cell r="F506">
            <v>-6.7808039778200803E-3</v>
          </cell>
          <cell r="G506">
            <v>-3.3302851523223272E-4</v>
          </cell>
        </row>
        <row r="507">
          <cell r="B507">
            <v>30.197900000000001</v>
          </cell>
          <cell r="D507">
            <v>52179125.907135002</v>
          </cell>
          <cell r="E507">
            <v>1830472222</v>
          </cell>
          <cell r="F507">
            <v>-2.1370847773340501E-2</v>
          </cell>
          <cell r="G507">
            <v>-2.514940611652187E-3</v>
          </cell>
        </row>
        <row r="508">
          <cell r="B508">
            <v>30.433199999999999</v>
          </cell>
          <cell r="D508">
            <v>42957190.197384</v>
          </cell>
          <cell r="E508">
            <v>1950972222</v>
          </cell>
          <cell r="F508">
            <v>7.7617322229943048E-3</v>
          </cell>
          <cell r="G508">
            <v>6.0633534103130306E-3</v>
          </cell>
        </row>
        <row r="509">
          <cell r="B509">
            <v>29.886099999999999</v>
          </cell>
          <cell r="D509">
            <v>71760769.406638995</v>
          </cell>
          <cell r="E509">
            <v>2028966667</v>
          </cell>
          <cell r="F509">
            <v>-1.8140628400287816E-2</v>
          </cell>
          <cell r="G509">
            <v>-2.1222353203285233E-4</v>
          </cell>
        </row>
        <row r="510">
          <cell r="B510">
            <v>29.694800000000001</v>
          </cell>
          <cell r="D510">
            <v>43692342.754375003</v>
          </cell>
          <cell r="E510">
            <v>1989527778</v>
          </cell>
          <cell r="F510">
            <v>-6.4215430573739485E-3</v>
          </cell>
          <cell r="G510">
            <v>3.4824057245738698E-4</v>
          </cell>
        </row>
        <row r="511">
          <cell r="B511">
            <v>30.1205</v>
          </cell>
          <cell r="D511">
            <v>48520378.978312999</v>
          </cell>
          <cell r="E511">
            <v>1853172222</v>
          </cell>
          <cell r="F511">
            <v>1.423405675496796E-2</v>
          </cell>
          <cell r="G511">
            <v>2.3040357971461523E-3</v>
          </cell>
        </row>
        <row r="512">
          <cell r="B512">
            <v>29.235600000000002</v>
          </cell>
          <cell r="D512">
            <v>54928621.041918002</v>
          </cell>
          <cell r="E512">
            <v>1995194444</v>
          </cell>
          <cell r="F512">
            <v>-2.9818858297175985E-2</v>
          </cell>
          <cell r="G512">
            <v>-1.2655942268644282E-2</v>
          </cell>
        </row>
        <row r="513">
          <cell r="B513">
            <v>29.9039</v>
          </cell>
          <cell r="D513">
            <v>49803333.578114003</v>
          </cell>
          <cell r="E513">
            <v>1862927778</v>
          </cell>
          <cell r="F513">
            <v>2.2601761911034614E-2</v>
          </cell>
          <cell r="G513">
            <v>1.075984662417709E-2</v>
          </cell>
        </row>
        <row r="514">
          <cell r="B514">
            <v>30.724299999999999</v>
          </cell>
          <cell r="D514">
            <v>53699531.557819001</v>
          </cell>
          <cell r="E514">
            <v>2098777778</v>
          </cell>
          <cell r="F514">
            <v>2.7064965768991454E-2</v>
          </cell>
          <cell r="G514">
            <v>5.1528891483296332E-3</v>
          </cell>
        </row>
        <row r="515">
          <cell r="B515">
            <v>30.8337</v>
          </cell>
          <cell r="D515">
            <v>45490122.217316002</v>
          </cell>
          <cell r="E515">
            <v>1939616667</v>
          </cell>
          <cell r="F515">
            <v>3.5543752290894581E-3</v>
          </cell>
          <cell r="G515">
            <v>-1.3480337804588889E-3</v>
          </cell>
        </row>
        <row r="516">
          <cell r="B516">
            <v>30.407800000000002</v>
          </cell>
          <cell r="D516">
            <v>55393869.563206002</v>
          </cell>
          <cell r="E516">
            <v>2014511111</v>
          </cell>
          <cell r="F516">
            <v>-1.3909093222657992E-2</v>
          </cell>
          <cell r="G516">
            <v>-3.9027458285236156E-3</v>
          </cell>
        </row>
        <row r="517">
          <cell r="B517">
            <v>30.23</v>
          </cell>
          <cell r="D517">
            <v>37779751.489308</v>
          </cell>
          <cell r="E517">
            <v>2101372222</v>
          </cell>
          <cell r="F517">
            <v>-5.8643456574290704E-3</v>
          </cell>
          <cell r="G517">
            <v>2.7698592046981876E-3</v>
          </cell>
        </row>
        <row r="518">
          <cell r="B518">
            <v>30.0288</v>
          </cell>
          <cell r="D518">
            <v>26271129.407628998</v>
          </cell>
          <cell r="E518">
            <v>1874538889</v>
          </cell>
          <cell r="F518">
            <v>-6.6778876345114655E-3</v>
          </cell>
          <cell r="G518">
            <v>5.747344722354488E-4</v>
          </cell>
        </row>
        <row r="519">
          <cell r="B519">
            <v>30.138300000000001</v>
          </cell>
          <cell r="D519">
            <v>53134961.422844999</v>
          </cell>
          <cell r="E519">
            <v>2206805556</v>
          </cell>
          <cell r="F519">
            <v>3.6398670001957069E-3</v>
          </cell>
          <cell r="G519">
            <v>-8.9293113410991373E-3</v>
          </cell>
        </row>
        <row r="520">
          <cell r="B520">
            <v>30.7652</v>
          </cell>
          <cell r="D520">
            <v>92179917.578272</v>
          </cell>
          <cell r="E520">
            <v>2565805556</v>
          </cell>
          <cell r="F520">
            <v>2.0587392908144951E-2</v>
          </cell>
          <cell r="G520">
            <v>-2.109646461003822E-2</v>
          </cell>
        </row>
        <row r="521">
          <cell r="B521">
            <v>30.113600000000002</v>
          </cell>
          <cell r="D521">
            <v>53215165.281921998</v>
          </cell>
          <cell r="E521">
            <v>2247333333</v>
          </cell>
          <cell r="F521">
            <v>-2.1407284111033223E-2</v>
          </cell>
          <cell r="G521">
            <v>-4.8882329232613157E-3</v>
          </cell>
        </row>
        <row r="522">
          <cell r="B522">
            <v>30.315000000000001</v>
          </cell>
          <cell r="D522">
            <v>43341304.208981</v>
          </cell>
          <cell r="E522">
            <v>1909905556</v>
          </cell>
          <cell r="F522">
            <v>6.6657425695314382E-3</v>
          </cell>
          <cell r="G522">
            <v>6.121908511444599E-3</v>
          </cell>
        </row>
        <row r="523">
          <cell r="B523">
            <v>30.639099999999999</v>
          </cell>
          <cell r="D523">
            <v>63154042.896857001</v>
          </cell>
          <cell r="E523">
            <v>2202233333</v>
          </cell>
          <cell r="F523">
            <v>1.0634331549144362E-2</v>
          </cell>
          <cell r="G523">
            <v>-1.0261676387288874E-2</v>
          </cell>
        </row>
        <row r="524">
          <cell r="B524">
            <v>30.808299999999999</v>
          </cell>
          <cell r="D524">
            <v>41991947.841352001</v>
          </cell>
          <cell r="E524">
            <v>1970838889</v>
          </cell>
          <cell r="F524">
            <v>5.5071631228174166E-3</v>
          </cell>
          <cell r="G524">
            <v>1.1204049508506285E-2</v>
          </cell>
        </row>
        <row r="525">
          <cell r="B525">
            <v>31.626799999999999</v>
          </cell>
          <cell r="D525">
            <v>111488262.06139</v>
          </cell>
          <cell r="E525">
            <v>2255383333</v>
          </cell>
          <cell r="F525">
            <v>2.6220728228365062E-2</v>
          </cell>
          <cell r="G525">
            <v>-6.4863036975730442E-3</v>
          </cell>
        </row>
        <row r="526">
          <cell r="B526">
            <v>30.489899999999999</v>
          </cell>
          <cell r="D526">
            <v>76688679.082194999</v>
          </cell>
          <cell r="E526">
            <v>2625577778</v>
          </cell>
          <cell r="F526">
            <v>-3.6609381193092982E-2</v>
          </cell>
          <cell r="G526">
            <v>-2.3096632288166549E-2</v>
          </cell>
        </row>
        <row r="527">
          <cell r="B527">
            <v>30.381399999999999</v>
          </cell>
          <cell r="D527">
            <v>65450548.707783997</v>
          </cell>
          <cell r="E527">
            <v>2260227778</v>
          </cell>
          <cell r="F527">
            <v>-3.5649021757789404E-3</v>
          </cell>
          <cell r="G527">
            <v>7.6120799117127824E-3</v>
          </cell>
        </row>
        <row r="528">
          <cell r="B528">
            <v>29.9389</v>
          </cell>
          <cell r="D528">
            <v>66800214.268466003</v>
          </cell>
          <cell r="E528">
            <v>2213494444</v>
          </cell>
          <cell r="F528">
            <v>-1.467194088556305E-2</v>
          </cell>
          <cell r="G528">
            <v>-2.0303185904787225E-3</v>
          </cell>
        </row>
        <row r="529">
          <cell r="B529">
            <v>30.239000000000001</v>
          </cell>
          <cell r="D529">
            <v>42319481.571758002</v>
          </cell>
          <cell r="E529">
            <v>2125227778</v>
          </cell>
          <cell r="F529">
            <v>9.9738438118932553E-3</v>
          </cell>
          <cell r="G529">
            <v>1.2363032529603139E-2</v>
          </cell>
        </row>
        <row r="530">
          <cell r="B530">
            <v>30.555199999999999</v>
          </cell>
          <cell r="D530">
            <v>39891650.618450999</v>
          </cell>
          <cell r="E530">
            <v>2097772222</v>
          </cell>
          <cell r="F530">
            <v>1.0402401917533357E-2</v>
          </cell>
          <cell r="G530">
            <v>1.3214212922079903E-2</v>
          </cell>
        </row>
        <row r="531">
          <cell r="B531">
            <v>30.7575</v>
          </cell>
          <cell r="D531">
            <v>32043415.622124001</v>
          </cell>
          <cell r="E531">
            <v>1840088889</v>
          </cell>
          <cell r="F531">
            <v>6.5989830531745014E-3</v>
          </cell>
          <cell r="G531">
            <v>1.5680346623456046E-3</v>
          </cell>
        </row>
        <row r="532">
          <cell r="B532">
            <v>31.0671</v>
          </cell>
          <cell r="D532">
            <v>38476020.460253</v>
          </cell>
          <cell r="E532">
            <v>2055211111</v>
          </cell>
          <cell r="F532">
            <v>1.001551447182342E-2</v>
          </cell>
          <cell r="G532">
            <v>1.1001356953851574E-2</v>
          </cell>
        </row>
        <row r="533">
          <cell r="B533">
            <v>31.318100000000001</v>
          </cell>
          <cell r="D533">
            <v>32370462.015133001</v>
          </cell>
          <cell r="E533">
            <v>1847988889</v>
          </cell>
          <cell r="F533">
            <v>8.0468237460619655E-3</v>
          </cell>
          <cell r="G533">
            <v>-2.6930401563143885E-4</v>
          </cell>
        </row>
        <row r="534">
          <cell r="B534">
            <v>31.4313</v>
          </cell>
          <cell r="D534">
            <v>45040753.114116997</v>
          </cell>
          <cell r="E534">
            <v>1827505556</v>
          </cell>
          <cell r="F534">
            <v>3.6080065403137039E-3</v>
          </cell>
          <cell r="G534">
            <v>5.7932413627504236E-3</v>
          </cell>
        </row>
        <row r="535">
          <cell r="B535">
            <v>31.440200000000001</v>
          </cell>
          <cell r="D535">
            <v>51431221.696225002</v>
          </cell>
          <cell r="E535">
            <v>1730416667</v>
          </cell>
          <cell r="F535">
            <v>2.831171535417024E-4</v>
          </cell>
          <cell r="G535">
            <v>4.7976627138052634E-3</v>
          </cell>
        </row>
        <row r="536">
          <cell r="B536">
            <v>31.511299999999999</v>
          </cell>
          <cell r="D536">
            <v>38993219.557471</v>
          </cell>
          <cell r="E536">
            <v>1900616667</v>
          </cell>
          <cell r="F536">
            <v>2.258882798109985E-3</v>
          </cell>
          <cell r="G536">
            <v>1.1578007430249318E-3</v>
          </cell>
        </row>
        <row r="537">
          <cell r="B537">
            <v>31.587800000000001</v>
          </cell>
          <cell r="D537">
            <v>35378926.808752999</v>
          </cell>
          <cell r="E537">
            <v>2034205556</v>
          </cell>
          <cell r="F537">
            <v>2.4247584349543693E-3</v>
          </cell>
          <cell r="G537">
            <v>-6.5458564679824966E-3</v>
          </cell>
        </row>
        <row r="538">
          <cell r="B538">
            <v>31.7879</v>
          </cell>
          <cell r="D538">
            <v>32690996.925289001</v>
          </cell>
          <cell r="E538">
            <v>1891655556</v>
          </cell>
          <cell r="F538">
            <v>6.3147441347944913E-3</v>
          </cell>
          <cell r="G538">
            <v>6.0133259028154577E-3</v>
          </cell>
        </row>
        <row r="539">
          <cell r="B539">
            <v>31.982199999999999</v>
          </cell>
          <cell r="D539">
            <v>45230549.529642001</v>
          </cell>
          <cell r="E539">
            <v>1891044444</v>
          </cell>
          <cell r="F539">
            <v>6.0937838035140263E-3</v>
          </cell>
          <cell r="G539">
            <v>-1.9205507490625245E-3</v>
          </cell>
        </row>
        <row r="540">
          <cell r="B540">
            <v>31.740100000000002</v>
          </cell>
          <cell r="D540">
            <v>38169561.000765003</v>
          </cell>
          <cell r="E540">
            <v>2230294444</v>
          </cell>
          <cell r="F540">
            <v>-7.5986323433871288E-3</v>
          </cell>
          <cell r="G540">
            <v>6.167463480648212E-3</v>
          </cell>
        </row>
        <row r="541">
          <cell r="B541">
            <v>31.6111</v>
          </cell>
          <cell r="D541">
            <v>36649737.902558997</v>
          </cell>
          <cell r="E541">
            <v>1953088889</v>
          </cell>
          <cell r="F541">
            <v>-4.0725409556580175E-3</v>
          </cell>
          <cell r="G541">
            <v>-1.3485959587527492E-3</v>
          </cell>
        </row>
        <row r="542">
          <cell r="B542">
            <v>31.555399999999999</v>
          </cell>
          <cell r="D542">
            <v>48739993.070978001</v>
          </cell>
          <cell r="E542">
            <v>2064850000</v>
          </cell>
          <cell r="F542">
            <v>-1.7635935008841503E-3</v>
          </cell>
          <cell r="G542">
            <v>2.1678571816661324E-5</v>
          </cell>
        </row>
        <row r="543">
          <cell r="B543">
            <v>31.881699999999999</v>
          </cell>
          <cell r="D543">
            <v>40263351.859903999</v>
          </cell>
          <cell r="E543">
            <v>1970811111</v>
          </cell>
          <cell r="F543">
            <v>1.0287446233549586E-2</v>
          </cell>
          <cell r="G543">
            <v>4.9358788663713881E-3</v>
          </cell>
        </row>
        <row r="544">
          <cell r="B544">
            <v>32.258699999999997</v>
          </cell>
          <cell r="D544">
            <v>48945223.543736003</v>
          </cell>
          <cell r="E544">
            <v>2176361111</v>
          </cell>
          <cell r="F544">
            <v>1.1755596834027241E-2</v>
          </cell>
          <cell r="G544">
            <v>2.778871606797594E-3</v>
          </cell>
        </row>
        <row r="545">
          <cell r="B545">
            <v>31.811199999999999</v>
          </cell>
          <cell r="D545">
            <v>35301496.472797997</v>
          </cell>
          <cell r="E545">
            <v>1904566667</v>
          </cell>
          <cell r="F545">
            <v>-1.3969345267259358E-2</v>
          </cell>
          <cell r="G545">
            <v>-7.4058818780435871E-3</v>
          </cell>
        </row>
        <row r="546">
          <cell r="B546">
            <v>32.344900000000003</v>
          </cell>
          <cell r="D546">
            <v>31900968.744174</v>
          </cell>
          <cell r="E546">
            <v>2092094444</v>
          </cell>
          <cell r="F546">
            <v>1.6637928787525937E-2</v>
          </cell>
          <cell r="G546">
            <v>1.5152293854515365E-2</v>
          </cell>
        </row>
        <row r="547">
          <cell r="B547">
            <v>32.092700000000001</v>
          </cell>
          <cell r="D547">
            <v>24368740.310731001</v>
          </cell>
          <cell r="E547">
            <v>1884994444</v>
          </cell>
          <cell r="F547">
            <v>-7.8277678800224935E-3</v>
          </cell>
          <cell r="G547">
            <v>-5.3365779740162576E-5</v>
          </cell>
        </row>
        <row r="548">
          <cell r="B548">
            <v>32.126800000000003</v>
          </cell>
          <cell r="D548">
            <v>28021427.260465998</v>
          </cell>
          <cell r="E548">
            <v>1866916667</v>
          </cell>
          <cell r="F548">
            <v>1.0619828309114156E-3</v>
          </cell>
          <cell r="G548">
            <v>1.716949158601179E-3</v>
          </cell>
        </row>
        <row r="549">
          <cell r="B549">
            <v>31.915800000000001</v>
          </cell>
          <cell r="D549">
            <v>31582225.515620001</v>
          </cell>
          <cell r="E549">
            <v>1980411111</v>
          </cell>
          <cell r="F549">
            <v>-6.5893877971330951E-3</v>
          </cell>
          <cell r="G549">
            <v>5.3793938560730995E-4</v>
          </cell>
        </row>
        <row r="550">
          <cell r="B550">
            <v>31.845500000000001</v>
          </cell>
          <cell r="D550">
            <v>22572690.076490998</v>
          </cell>
          <cell r="E550">
            <v>1678527778</v>
          </cell>
          <cell r="F550">
            <v>-2.205100224931126E-3</v>
          </cell>
          <cell r="G550">
            <v>-4.633562520154853E-4</v>
          </cell>
        </row>
        <row r="551">
          <cell r="B551">
            <v>32.0154</v>
          </cell>
          <cell r="D551">
            <v>29947685.651581999</v>
          </cell>
          <cell r="E551">
            <v>1884666667</v>
          </cell>
          <cell r="F551">
            <v>5.3209522840452442E-3</v>
          </cell>
          <cell r="G551">
            <v>-5.0950761792528144E-3</v>
          </cell>
        </row>
        <row r="552">
          <cell r="B552">
            <v>32.226500000000001</v>
          </cell>
          <cell r="D552">
            <v>36215740.403692998</v>
          </cell>
          <cell r="E552">
            <v>1817144444</v>
          </cell>
          <cell r="F552">
            <v>6.5720584172596786E-3</v>
          </cell>
          <cell r="G552">
            <v>3.0515307410829926E-4</v>
          </cell>
        </row>
        <row r="553">
          <cell r="B553">
            <v>31.9071</v>
          </cell>
          <cell r="D553">
            <v>38202928.255115002</v>
          </cell>
          <cell r="E553">
            <v>2039438889</v>
          </cell>
          <cell r="F553">
            <v>-9.9605398947764569E-3</v>
          </cell>
          <cell r="G553">
            <v>-1.1770099320208021E-2</v>
          </cell>
        </row>
        <row r="554">
          <cell r="B554">
            <v>31.748000000000001</v>
          </cell>
          <cell r="D554">
            <v>32296061.156814002</v>
          </cell>
          <cell r="E554">
            <v>1825255556</v>
          </cell>
          <cell r="F554">
            <v>-4.9988243299386526E-3</v>
          </cell>
          <cell r="G554">
            <v>-2.8257875816496739E-3</v>
          </cell>
        </row>
        <row r="555">
          <cell r="B555">
            <v>32.0398</v>
          </cell>
          <cell r="D555">
            <v>24320469.336902998</v>
          </cell>
          <cell r="E555">
            <v>1589161111</v>
          </cell>
          <cell r="F555">
            <v>9.1491487547931891E-3</v>
          </cell>
          <cell r="G555">
            <v>9.567743988496134E-3</v>
          </cell>
        </row>
        <row r="556">
          <cell r="B556">
            <v>33.302700000000002</v>
          </cell>
          <cell r="D556">
            <v>76078764.045405999</v>
          </cell>
          <cell r="E556">
            <v>1627883333</v>
          </cell>
          <cell r="F556">
            <v>3.8659594797163688E-2</v>
          </cell>
          <cell r="G556">
            <v>7.1936586040894802E-3</v>
          </cell>
        </row>
        <row r="557">
          <cell r="B557">
            <v>33.065399999999997</v>
          </cell>
          <cell r="D557">
            <v>41733301.709022</v>
          </cell>
          <cell r="E557">
            <v>1827338889</v>
          </cell>
          <cell r="F557">
            <v>-7.1510563431925155E-3</v>
          </cell>
          <cell r="G557">
            <v>-6.1505355930613122E-3</v>
          </cell>
        </row>
        <row r="558">
          <cell r="B558">
            <v>33.960099999999997</v>
          </cell>
          <cell r="D558">
            <v>70385604.633388996</v>
          </cell>
          <cell r="E558">
            <v>1848633333</v>
          </cell>
          <cell r="F558">
            <v>2.6698887642171352E-2</v>
          </cell>
          <cell r="G558">
            <v>6.022339367196353E-3</v>
          </cell>
        </row>
        <row r="559">
          <cell r="B559">
            <v>33.818300000000001</v>
          </cell>
          <cell r="D559">
            <v>95872868.220798001</v>
          </cell>
          <cell r="E559">
            <v>2928172222</v>
          </cell>
          <cell r="F559">
            <v>-4.1842299872390772E-3</v>
          </cell>
          <cell r="G559">
            <v>-2.9369853639483641E-3</v>
          </cell>
        </row>
        <row r="560">
          <cell r="B560">
            <v>34.102800000000002</v>
          </cell>
          <cell r="D560">
            <v>54743924.264144003</v>
          </cell>
          <cell r="E560">
            <v>1893888889</v>
          </cell>
          <cell r="F560">
            <v>8.3774162631360706E-3</v>
          </cell>
          <cell r="G560">
            <v>-4.8765389499373611E-3</v>
          </cell>
        </row>
        <row r="561">
          <cell r="B561">
            <v>33.966900000000003</v>
          </cell>
          <cell r="D561">
            <v>51293838.622392997</v>
          </cell>
          <cell r="E561">
            <v>1778088889</v>
          </cell>
          <cell r="F561">
            <v>-3.9929713386048218E-3</v>
          </cell>
          <cell r="G561">
            <v>4.3942419206480258E-3</v>
          </cell>
        </row>
        <row r="562">
          <cell r="B562">
            <v>33.504899999999999</v>
          </cell>
          <cell r="D562">
            <v>49856607.950793996</v>
          </cell>
          <cell r="E562">
            <v>1933805556</v>
          </cell>
          <cell r="F562">
            <v>-1.3694824225336858E-2</v>
          </cell>
          <cell r="G562">
            <v>-7.0249712006657423E-3</v>
          </cell>
        </row>
        <row r="563">
          <cell r="B563">
            <v>33.144599999999997</v>
          </cell>
          <cell r="D563">
            <v>42002504.429353997</v>
          </cell>
          <cell r="E563">
            <v>2074127778</v>
          </cell>
          <cell r="F563">
            <v>-1.0811889356233138E-2</v>
          </cell>
          <cell r="G563">
            <v>-1.9018808412744233E-3</v>
          </cell>
        </row>
        <row r="564">
          <cell r="B564">
            <v>33.936799999999998</v>
          </cell>
          <cell r="D564">
            <v>51625871.009346999</v>
          </cell>
          <cell r="E564">
            <v>1641955556</v>
          </cell>
          <cell r="F564">
            <v>2.3620163895132218E-2</v>
          </cell>
          <cell r="G564">
            <v>4.6295129977681881E-3</v>
          </cell>
        </row>
        <row r="565">
          <cell r="B565">
            <v>34.515799999999999</v>
          </cell>
          <cell r="D565">
            <v>55670703.823348999</v>
          </cell>
          <cell r="E565">
            <v>1819055556</v>
          </cell>
          <cell r="F565">
            <v>1.6917218884669256E-2</v>
          </cell>
          <cell r="G565">
            <v>7.8928870113299885E-3</v>
          </cell>
        </row>
        <row r="566">
          <cell r="B566">
            <v>34.879199999999997</v>
          </cell>
          <cell r="D566">
            <v>38724354.697095998</v>
          </cell>
          <cell r="E566">
            <v>1853438889</v>
          </cell>
          <cell r="F566">
            <v>1.0473472782844679E-2</v>
          </cell>
          <cell r="G566">
            <v>7.0146594306005365E-3</v>
          </cell>
        </row>
        <row r="567">
          <cell r="B567">
            <v>34.816899999999997</v>
          </cell>
          <cell r="D567">
            <v>34039899.741517</v>
          </cell>
          <cell r="E567">
            <v>1739811111</v>
          </cell>
          <cell r="F567">
            <v>-1.7877619147426192E-3</v>
          </cell>
          <cell r="G567">
            <v>2.8492612790418292E-3</v>
          </cell>
        </row>
        <row r="568">
          <cell r="B568">
            <v>34.531500000000001</v>
          </cell>
          <cell r="D568">
            <v>35791984.156865999</v>
          </cell>
          <cell r="E568">
            <v>1697555556</v>
          </cell>
          <cell r="F568">
            <v>-8.2309501382667877E-3</v>
          </cell>
          <cell r="G568">
            <v>-1.1270826423899496E-3</v>
          </cell>
        </row>
        <row r="569">
          <cell r="B569">
            <v>33.574199999999998</v>
          </cell>
          <cell r="D569">
            <v>61048327.628789999</v>
          </cell>
          <cell r="E569">
            <v>1990972222</v>
          </cell>
          <cell r="F569">
            <v>-2.8114036071916104E-2</v>
          </cell>
          <cell r="G569">
            <v>-1.2616514258563742E-2</v>
          </cell>
        </row>
        <row r="570">
          <cell r="B570">
            <v>33.514899999999997</v>
          </cell>
          <cell r="D570">
            <v>44597555.586175002</v>
          </cell>
          <cell r="E570">
            <v>2111966667</v>
          </cell>
          <cell r="F570">
            <v>-1.7677988061626691E-3</v>
          </cell>
          <cell r="G570">
            <v>-1.0808351829803234E-2</v>
          </cell>
        </row>
        <row r="571">
          <cell r="B571">
            <v>33.5321</v>
          </cell>
          <cell r="D571">
            <v>42655776.113289997</v>
          </cell>
          <cell r="E571">
            <v>2067472222</v>
          </cell>
          <cell r="F571">
            <v>5.1307293025253304E-4</v>
          </cell>
          <cell r="G571">
            <v>3.7435802443231501E-3</v>
          </cell>
        </row>
        <row r="572">
          <cell r="B572">
            <v>34.081299999999999</v>
          </cell>
          <cell r="D572">
            <v>32533791.710025001</v>
          </cell>
          <cell r="E572">
            <v>1838138889</v>
          </cell>
          <cell r="F572">
            <v>1.6245657776400812E-2</v>
          </cell>
          <cell r="G572">
            <v>1.085898956046606E-2</v>
          </cell>
        </row>
        <row r="573">
          <cell r="B573">
            <v>33.144599999999997</v>
          </cell>
          <cell r="D573">
            <v>54578505.980411999</v>
          </cell>
          <cell r="E573">
            <v>2088211111</v>
          </cell>
          <cell r="F573">
            <v>-2.7869039338211454E-2</v>
          </cell>
          <cell r="G573">
            <v>-2.1105915074922734E-2</v>
          </cell>
        </row>
        <row r="574">
          <cell r="B574">
            <v>33.0167</v>
          </cell>
          <cell r="D574">
            <v>40769709.747699998</v>
          </cell>
          <cell r="E574">
            <v>2079700000</v>
          </cell>
          <cell r="F574">
            <v>-3.8663133682307737E-3</v>
          </cell>
          <cell r="G574">
            <v>-9.5320514425906184E-3</v>
          </cell>
        </row>
        <row r="575">
          <cell r="B575">
            <v>32.995100000000001</v>
          </cell>
          <cell r="D575">
            <v>38009288.426597998</v>
          </cell>
          <cell r="E575">
            <v>1728633333</v>
          </cell>
          <cell r="F575">
            <v>-6.5442847402724126E-4</v>
          </cell>
          <cell r="G575">
            <v>8.1836838818938485E-3</v>
          </cell>
        </row>
        <row r="576">
          <cell r="B576">
            <v>33.471899999999998</v>
          </cell>
          <cell r="D576">
            <v>40339459.422928996</v>
          </cell>
          <cell r="E576">
            <v>2075800000</v>
          </cell>
          <cell r="F576">
            <v>1.4347215273264177E-2</v>
          </cell>
          <cell r="G576">
            <v>6.7345821134063982E-3</v>
          </cell>
        </row>
        <row r="577">
          <cell r="B577">
            <v>34.017800000000001</v>
          </cell>
          <cell r="D577">
            <v>36357688.682249002</v>
          </cell>
          <cell r="E577">
            <v>1752822222</v>
          </cell>
          <cell r="F577">
            <v>1.6177636167922008E-2</v>
          </cell>
          <cell r="G577">
            <v>1.0433825888179194E-2</v>
          </cell>
        </row>
        <row r="578">
          <cell r="B578">
            <v>33.693399999999997</v>
          </cell>
          <cell r="D578">
            <v>43569151.846472003</v>
          </cell>
          <cell r="E578">
            <v>1856350000</v>
          </cell>
          <cell r="F578">
            <v>-9.5819445535013752E-3</v>
          </cell>
          <cell r="G578">
            <v>1.3629682617378818E-3</v>
          </cell>
        </row>
        <row r="579">
          <cell r="B579">
            <v>33.633000000000003</v>
          </cell>
          <cell r="D579">
            <v>26389425.441394001</v>
          </cell>
          <cell r="E579">
            <v>1468055556</v>
          </cell>
          <cell r="F579">
            <v>-1.7942446411474162E-3</v>
          </cell>
          <cell r="G579">
            <v>3.767994738389568E-3</v>
          </cell>
        </row>
        <row r="580">
          <cell r="B580">
            <v>33.6768</v>
          </cell>
          <cell r="D580">
            <v>32131029.876308002</v>
          </cell>
          <cell r="E580">
            <v>1786355556</v>
          </cell>
          <cell r="F580">
            <v>1.3014451441608606E-3</v>
          </cell>
          <cell r="G580">
            <v>4.0837708429826225E-3</v>
          </cell>
        </row>
        <row r="581">
          <cell r="B581">
            <v>33.421999999999997</v>
          </cell>
          <cell r="D581">
            <v>29202139.29366</v>
          </cell>
          <cell r="E581">
            <v>1714288889</v>
          </cell>
          <cell r="F581">
            <v>-7.5948072025363482E-3</v>
          </cell>
          <cell r="G581">
            <v>-2.2157486947723798E-3</v>
          </cell>
        </row>
        <row r="582">
          <cell r="B582">
            <v>33.564700000000002</v>
          </cell>
          <cell r="D582">
            <v>50307344.874918997</v>
          </cell>
          <cell r="E582">
            <v>1773238889</v>
          </cell>
          <cell r="F582">
            <v>4.260553687858987E-3</v>
          </cell>
          <cell r="G582">
            <v>1.715503883693198E-3</v>
          </cell>
        </row>
        <row r="583">
          <cell r="B583">
            <v>33.604700000000001</v>
          </cell>
          <cell r="D583">
            <v>67545052.144292995</v>
          </cell>
          <cell r="E583">
            <v>1785011111</v>
          </cell>
          <cell r="F583">
            <v>1.1910186700615389E-3</v>
          </cell>
          <cell r="G583">
            <v>-8.1293656428790845E-3</v>
          </cell>
        </row>
        <row r="584">
          <cell r="B584">
            <v>34.414099999999998</v>
          </cell>
          <cell r="D584">
            <v>60095580.972163998</v>
          </cell>
          <cell r="E584">
            <v>2241488889</v>
          </cell>
          <cell r="F584">
            <v>2.3800425981786184E-2</v>
          </cell>
          <cell r="G584">
            <v>3.2307955332088844E-3</v>
          </cell>
        </row>
        <row r="585">
          <cell r="B585">
            <v>34.111499999999999</v>
          </cell>
          <cell r="D585">
            <v>35195607.066266</v>
          </cell>
          <cell r="E585">
            <v>2026566667</v>
          </cell>
          <cell r="F585">
            <v>-8.831793283440921E-3</v>
          </cell>
          <cell r="G585">
            <v>4.7495126317660839E-3</v>
          </cell>
        </row>
        <row r="586">
          <cell r="B586">
            <v>34.017800000000001</v>
          </cell>
          <cell r="D586">
            <v>42108946.697637998</v>
          </cell>
          <cell r="E586">
            <v>2099572222</v>
          </cell>
          <cell r="F586">
            <v>-2.7506538032415566E-3</v>
          </cell>
          <cell r="G586">
            <v>2.9875523247041838E-3</v>
          </cell>
        </row>
        <row r="587">
          <cell r="B587">
            <v>33.684800000000003</v>
          </cell>
          <cell r="D587">
            <v>34187789.236267999</v>
          </cell>
          <cell r="E587">
            <v>1898188889</v>
          </cell>
          <cell r="F587">
            <v>-9.8372200000610959E-3</v>
          </cell>
          <cell r="G587">
            <v>-1.4332617611718807E-4</v>
          </cell>
        </row>
        <row r="588">
          <cell r="B588">
            <v>33.421999999999997</v>
          </cell>
          <cell r="D588">
            <v>51559866.482927002</v>
          </cell>
          <cell r="E588">
            <v>1755311111</v>
          </cell>
          <cell r="F588">
            <v>-7.8323312529631883E-3</v>
          </cell>
          <cell r="G588">
            <v>-1.3493343030381874E-3</v>
          </cell>
        </row>
        <row r="589">
          <cell r="B589">
            <v>33.202199999999998</v>
          </cell>
          <cell r="D589">
            <v>26657951.417991001</v>
          </cell>
          <cell r="E589">
            <v>1518738889</v>
          </cell>
          <cell r="F589">
            <v>-6.5982269939391849E-3</v>
          </cell>
          <cell r="G589">
            <v>1.8694572336087256E-3</v>
          </cell>
        </row>
        <row r="590">
          <cell r="B590">
            <v>32.889699999999998</v>
          </cell>
          <cell r="D590">
            <v>32195288.792939998</v>
          </cell>
          <cell r="E590">
            <v>1848477778</v>
          </cell>
          <cell r="F590">
            <v>-9.4565999413546847E-3</v>
          </cell>
          <cell r="G590">
            <v>-9.0289976403566084E-3</v>
          </cell>
        </row>
        <row r="591">
          <cell r="B591">
            <v>33.194499999999998</v>
          </cell>
          <cell r="D591">
            <v>49578601.418973997</v>
          </cell>
          <cell r="E591">
            <v>2018305556</v>
          </cell>
          <cell r="F591">
            <v>9.2246607023708967E-3</v>
          </cell>
          <cell r="G591">
            <v>5.6007599828579776E-3</v>
          </cell>
        </row>
        <row r="592">
          <cell r="B592">
            <v>33.378</v>
          </cell>
          <cell r="D592">
            <v>38147014.479479</v>
          </cell>
          <cell r="E592">
            <v>1885233333</v>
          </cell>
          <cell r="F592">
            <v>5.5128007729432727E-3</v>
          </cell>
          <cell r="G592">
            <v>-1.3745926338061829E-3</v>
          </cell>
        </row>
        <row r="593">
          <cell r="B593">
            <v>33.297899999999998</v>
          </cell>
          <cell r="D593">
            <v>35207263.234865002</v>
          </cell>
          <cell r="E593">
            <v>1680566667</v>
          </cell>
          <cell r="F593">
            <v>-2.4026683864347195E-3</v>
          </cell>
          <cell r="G593">
            <v>1.5183361955399689E-3</v>
          </cell>
        </row>
        <row r="594">
          <cell r="B594">
            <v>33.660400000000003</v>
          </cell>
          <cell r="D594">
            <v>27056744.932912</v>
          </cell>
          <cell r="E594">
            <v>1669855556</v>
          </cell>
          <cell r="F594">
            <v>1.0827740298570155E-2</v>
          </cell>
          <cell r="G594">
            <v>9.6262329027441348E-3</v>
          </cell>
        </row>
        <row r="595">
          <cell r="B595">
            <v>34.2746</v>
          </cell>
          <cell r="D595">
            <v>31844336.248261001</v>
          </cell>
          <cell r="E595">
            <v>1619822222</v>
          </cell>
          <cell r="F595">
            <v>1.8082482833293161E-2</v>
          </cell>
          <cell r="G595">
            <v>4.2170739403580638E-4</v>
          </cell>
        </row>
        <row r="596">
          <cell r="B596">
            <v>34.1252</v>
          </cell>
          <cell r="D596">
            <v>22190004.291085999</v>
          </cell>
          <cell r="E596">
            <v>1567811111</v>
          </cell>
          <cell r="F596">
            <v>-4.3684407728296123E-3</v>
          </cell>
          <cell r="G596">
            <v>-4.7121308116253539E-3</v>
          </cell>
        </row>
        <row r="597">
          <cell r="B597">
            <v>33.580100000000002</v>
          </cell>
          <cell r="D597">
            <v>44566703.852797002</v>
          </cell>
          <cell r="E597">
            <v>1973688889</v>
          </cell>
          <cell r="F597">
            <v>-1.6102484685776172E-2</v>
          </cell>
          <cell r="G597">
            <v>-9.4058756211604158E-3</v>
          </cell>
        </row>
        <row r="598">
          <cell r="B598">
            <v>33.777299999999997</v>
          </cell>
          <cell r="D598">
            <v>35220110.103863999</v>
          </cell>
          <cell r="E598">
            <v>1763138889</v>
          </cell>
          <cell r="F598">
            <v>5.8553496250884672E-3</v>
          </cell>
          <cell r="G598">
            <v>3.7399575698852106E-3</v>
          </cell>
        </row>
        <row r="599">
          <cell r="B599">
            <v>33.709200000000003</v>
          </cell>
          <cell r="D599">
            <v>28935204.330325998</v>
          </cell>
          <cell r="E599">
            <v>1480138889</v>
          </cell>
          <cell r="F599">
            <v>-2.0181820990747361E-3</v>
          </cell>
          <cell r="G599">
            <v>3.8374297012765974E-3</v>
          </cell>
        </row>
        <row r="600">
          <cell r="B600">
            <v>33.651400000000002</v>
          </cell>
          <cell r="D600">
            <v>25142212.330019001</v>
          </cell>
          <cell r="E600">
            <v>1670944444</v>
          </cell>
          <cell r="F600">
            <v>-1.7161371539355262E-3</v>
          </cell>
          <cell r="G600">
            <v>-6.5196044560605956E-3</v>
          </cell>
        </row>
        <row r="601">
          <cell r="B601">
            <v>34.216999999999999</v>
          </cell>
          <cell r="D601">
            <v>26413183.139444001</v>
          </cell>
          <cell r="E601">
            <v>1542855556</v>
          </cell>
          <cell r="F601">
            <v>1.6667936610477253E-2</v>
          </cell>
          <cell r="G601">
            <v>8.0833015659244594E-3</v>
          </cell>
        </row>
        <row r="602">
          <cell r="B602">
            <v>34.005000000000003</v>
          </cell>
          <cell r="D602">
            <v>23822806.735877998</v>
          </cell>
          <cell r="E602">
            <v>1533222222</v>
          </cell>
          <cell r="F602">
            <v>-6.2150239629873288E-3</v>
          </cell>
          <cell r="G602">
            <v>2.3594648720788379E-3</v>
          </cell>
        </row>
        <row r="603">
          <cell r="B603">
            <v>34.019799999999996</v>
          </cell>
          <cell r="D603">
            <v>21250214.051991999</v>
          </cell>
          <cell r="E603">
            <v>1331266667</v>
          </cell>
          <cell r="F603">
            <v>4.3513542806494109E-4</v>
          </cell>
          <cell r="G603">
            <v>4.2393723425778601E-3</v>
          </cell>
        </row>
        <row r="604">
          <cell r="B604">
            <v>34.084200000000003</v>
          </cell>
          <cell r="D604">
            <v>30849944.768282998</v>
          </cell>
          <cell r="E604">
            <v>1617233333</v>
          </cell>
          <cell r="F604">
            <v>1.8912257487122242E-3</v>
          </cell>
          <cell r="G604">
            <v>5.9699477493898685E-3</v>
          </cell>
        </row>
        <row r="605">
          <cell r="B605">
            <v>33.928899999999999</v>
          </cell>
          <cell r="D605">
            <v>30319758.538991001</v>
          </cell>
          <cell r="E605">
            <v>1653583333</v>
          </cell>
          <cell r="F605">
            <v>-4.5667752213620341E-3</v>
          </cell>
          <cell r="G605">
            <v>-1.1146902132564401E-3</v>
          </cell>
        </row>
        <row r="606">
          <cell r="B606">
            <v>34.2121</v>
          </cell>
          <cell r="D606">
            <v>23459301.157984</v>
          </cell>
          <cell r="E606">
            <v>1505027778</v>
          </cell>
          <cell r="F606">
            <v>8.3122240822575896E-3</v>
          </cell>
          <cell r="G606">
            <v>5.3527587392555058E-3</v>
          </cell>
        </row>
        <row r="607">
          <cell r="B607">
            <v>34.718000000000004</v>
          </cell>
          <cell r="D607">
            <v>40770554.397598997</v>
          </cell>
          <cell r="E607">
            <v>1813050000</v>
          </cell>
          <cell r="F607">
            <v>1.4678901781082823E-2</v>
          </cell>
          <cell r="G607">
            <v>1.8420236241803512E-3</v>
          </cell>
        </row>
        <row r="608">
          <cell r="B608">
            <v>34.590299999999999</v>
          </cell>
          <cell r="D608">
            <v>21820099.850324001</v>
          </cell>
          <cell r="E608">
            <v>1393900000</v>
          </cell>
          <cell r="F608">
            <v>-3.6849885080042374E-3</v>
          </cell>
          <cell r="G608">
            <v>7.2754866092336699E-4</v>
          </cell>
        </row>
        <row r="609">
          <cell r="B609">
            <v>34.168100000000003</v>
          </cell>
          <cell r="D609">
            <v>21308975.065646999</v>
          </cell>
          <cell r="E609">
            <v>1592877778</v>
          </cell>
          <cell r="F609">
            <v>-1.2280835688415533E-2</v>
          </cell>
          <cell r="G609">
            <v>-3.7929861387248808E-4</v>
          </cell>
        </row>
        <row r="610">
          <cell r="B610">
            <v>34.194699999999997</v>
          </cell>
          <cell r="D610">
            <v>27369751.708882999</v>
          </cell>
          <cell r="E610">
            <v>1552177778</v>
          </cell>
          <cell r="F610">
            <v>7.7820104917873504E-4</v>
          </cell>
          <cell r="G610">
            <v>1.8898689985705139E-3</v>
          </cell>
        </row>
        <row r="611">
          <cell r="B611">
            <v>34.947600000000001</v>
          </cell>
          <cell r="D611">
            <v>37574125.822779</v>
          </cell>
          <cell r="E611">
            <v>1729594444</v>
          </cell>
          <cell r="F611">
            <v>2.1779135494945877E-2</v>
          </cell>
          <cell r="G611">
            <v>6.5041047829359376E-3</v>
          </cell>
        </row>
        <row r="612">
          <cell r="B612">
            <v>35.176200000000001</v>
          </cell>
          <cell r="D612">
            <v>28372803.665819999</v>
          </cell>
          <cell r="E612">
            <v>1591277778</v>
          </cell>
          <cell r="F612">
            <v>6.5199207630750027E-3</v>
          </cell>
          <cell r="G612">
            <v>4.6170934741916929E-3</v>
          </cell>
        </row>
        <row r="613">
          <cell r="B613">
            <v>34.997300000000003</v>
          </cell>
          <cell r="D613">
            <v>17702125.474215999</v>
          </cell>
          <cell r="E613">
            <v>1562322222</v>
          </cell>
          <cell r="F613">
            <v>-5.0988019005297229E-3</v>
          </cell>
          <cell r="G613">
            <v>9.3829079027121039E-4</v>
          </cell>
        </row>
        <row r="614">
          <cell r="B614">
            <v>34.862699999999997</v>
          </cell>
          <cell r="D614">
            <v>17825997.221128002</v>
          </cell>
          <cell r="E614">
            <v>1501311111</v>
          </cell>
          <cell r="F614">
            <v>-3.8534258962217524E-3</v>
          </cell>
          <cell r="G614">
            <v>-2.4602389631178353E-4</v>
          </cell>
        </row>
        <row r="615">
          <cell r="B615">
            <v>34.6496</v>
          </cell>
          <cell r="D615">
            <v>21266787.618724</v>
          </cell>
          <cell r="E615">
            <v>1505900000</v>
          </cell>
          <cell r="F615">
            <v>-6.1313082026502553E-3</v>
          </cell>
          <cell r="G615">
            <v>-3.5432986633579717E-3</v>
          </cell>
        </row>
        <row r="616">
          <cell r="B616">
            <v>34.410400000000003</v>
          </cell>
          <cell r="D616">
            <v>35164516.783280998</v>
          </cell>
          <cell r="E616">
            <v>1689155556</v>
          </cell>
          <cell r="F616">
            <v>-6.9273372881572485E-3</v>
          </cell>
          <cell r="G616">
            <v>-7.1141239638480343E-3</v>
          </cell>
        </row>
        <row r="617">
          <cell r="B617">
            <v>34.963299999999997</v>
          </cell>
          <cell r="D617">
            <v>31025841.829845</v>
          </cell>
          <cell r="E617">
            <v>1443461111</v>
          </cell>
          <cell r="F617">
            <v>1.5940095655638732E-2</v>
          </cell>
          <cell r="G617">
            <v>3.1296339563013217E-3</v>
          </cell>
        </row>
        <row r="618">
          <cell r="B618">
            <v>35.192900000000002</v>
          </cell>
          <cell r="D618">
            <v>28543175.181318</v>
          </cell>
          <cell r="E618">
            <v>1625627778</v>
          </cell>
          <cell r="F618">
            <v>6.545417788282026E-3</v>
          </cell>
          <cell r="G618">
            <v>8.3635786534210811E-4</v>
          </cell>
        </row>
        <row r="619">
          <cell r="B619">
            <v>35.344200000000001</v>
          </cell>
          <cell r="D619">
            <v>26554508.936620001</v>
          </cell>
          <cell r="E619">
            <v>1650700000</v>
          </cell>
          <cell r="F619">
            <v>4.2899476173328911E-3</v>
          </cell>
          <cell r="G619">
            <v>2.1702325923407999E-3</v>
          </cell>
        </row>
        <row r="620">
          <cell r="B620">
            <v>35.318800000000003</v>
          </cell>
          <cell r="D620">
            <v>31953537.706211999</v>
          </cell>
          <cell r="E620">
            <v>1702900000</v>
          </cell>
          <cell r="F620">
            <v>-7.1890525717682979E-4</v>
          </cell>
          <cell r="G620">
            <v>7.6892481123617502E-3</v>
          </cell>
        </row>
        <row r="621">
          <cell r="B621">
            <v>35.201500000000003</v>
          </cell>
          <cell r="D621">
            <v>23391713.808844998</v>
          </cell>
          <cell r="E621">
            <v>1640083333</v>
          </cell>
          <cell r="F621">
            <v>-3.3267047411754546E-3</v>
          </cell>
          <cell r="G621">
            <v>1.2766632824317233E-3</v>
          </cell>
        </row>
        <row r="622">
          <cell r="B622">
            <v>35.344200000000001</v>
          </cell>
          <cell r="D622">
            <v>56325668.902351998</v>
          </cell>
          <cell r="E622">
            <v>2409022222</v>
          </cell>
          <cell r="F622">
            <v>4.0456099983523031E-3</v>
          </cell>
          <cell r="G622">
            <v>1.7285560156963271E-3</v>
          </cell>
        </row>
        <row r="623">
          <cell r="B623">
            <v>35.606999999999999</v>
          </cell>
          <cell r="D623">
            <v>22099300.153999999</v>
          </cell>
          <cell r="E623">
            <v>1509794444</v>
          </cell>
          <cell r="F623">
            <v>7.4079424116455352E-3</v>
          </cell>
          <cell r="G623">
            <v>-1.324678767336581E-4</v>
          </cell>
        </row>
        <row r="624">
          <cell r="B624">
            <v>35.395899999999997</v>
          </cell>
          <cell r="D624">
            <v>31269943.602834001</v>
          </cell>
          <cell r="E624">
            <v>1716500000</v>
          </cell>
          <cell r="F624">
            <v>-5.9462535193511535E-3</v>
          </cell>
          <cell r="G624">
            <v>-6.4561039462425959E-3</v>
          </cell>
        </row>
        <row r="625">
          <cell r="B625">
            <v>35.641100000000002</v>
          </cell>
          <cell r="D625">
            <v>23643229.048397001</v>
          </cell>
          <cell r="E625">
            <v>1725950000</v>
          </cell>
          <cell r="F625">
            <v>6.9034721007232855E-3</v>
          </cell>
          <cell r="G625">
            <v>4.8855324556185036E-3</v>
          </cell>
        </row>
        <row r="626">
          <cell r="B626">
            <v>35.378500000000003</v>
          </cell>
          <cell r="D626">
            <v>27834945.967813998</v>
          </cell>
          <cell r="E626">
            <v>1543800000</v>
          </cell>
          <cell r="F626">
            <v>-7.3951753253514796E-3</v>
          </cell>
          <cell r="G626">
            <v>-1.179549508052484E-3</v>
          </cell>
        </row>
        <row r="627">
          <cell r="B627">
            <v>35.828699999999998</v>
          </cell>
          <cell r="D627">
            <v>88017794.119840994</v>
          </cell>
          <cell r="E627">
            <v>2383661111</v>
          </cell>
          <cell r="F627">
            <v>1.2644957215261649E-2</v>
          </cell>
          <cell r="G627">
            <v>1.9090501895577705E-3</v>
          </cell>
        </row>
        <row r="628">
          <cell r="B628">
            <v>35.360700000000001</v>
          </cell>
          <cell r="D628">
            <v>36318874.715827003</v>
          </cell>
          <cell r="E628">
            <v>1687416667</v>
          </cell>
          <cell r="F628">
            <v>-1.3148214260172472E-2</v>
          </cell>
          <cell r="G628">
            <v>-3.7233595333743678E-4</v>
          </cell>
        </row>
        <row r="629">
          <cell r="B629">
            <v>35.507300000000001</v>
          </cell>
          <cell r="D629">
            <v>31745514.257789001</v>
          </cell>
          <cell r="E629">
            <v>1771244444</v>
          </cell>
          <cell r="F629">
            <v>4.1372751908672128E-3</v>
          </cell>
          <cell r="G629">
            <v>6.6555901516330051E-3</v>
          </cell>
        </row>
        <row r="630">
          <cell r="B630">
            <v>35.534599999999998</v>
          </cell>
          <cell r="D630">
            <v>23830400.394419</v>
          </cell>
          <cell r="E630">
            <v>1584155556</v>
          </cell>
          <cell r="F630">
            <v>7.6856056338035935E-4</v>
          </cell>
          <cell r="G630">
            <v>6.5857132934445356E-4</v>
          </cell>
        </row>
        <row r="631">
          <cell r="B631">
            <v>35.447699999999998</v>
          </cell>
          <cell r="D631">
            <v>18831433.650323998</v>
          </cell>
          <cell r="E631">
            <v>1110050000</v>
          </cell>
          <cell r="F631">
            <v>-2.4484989473390981E-3</v>
          </cell>
          <cell r="G631">
            <v>5.464577266607205E-3</v>
          </cell>
        </row>
        <row r="632">
          <cell r="B632">
            <v>35.606999999999999</v>
          </cell>
          <cell r="D632">
            <v>25888266.501699999</v>
          </cell>
          <cell r="E632">
            <v>1489588889</v>
          </cell>
          <cell r="F632">
            <v>4.4838769819820013E-3</v>
          </cell>
          <cell r="G632">
            <v>-3.9312809110307861E-3</v>
          </cell>
        </row>
        <row r="633">
          <cell r="B633">
            <v>35.430100000000003</v>
          </cell>
          <cell r="D633">
            <v>36813340.956872001</v>
          </cell>
          <cell r="E633">
            <v>1834683333</v>
          </cell>
          <cell r="F633">
            <v>-4.980506402244303E-3</v>
          </cell>
          <cell r="G633">
            <v>-7.0737299445003425E-3</v>
          </cell>
        </row>
        <row r="634">
          <cell r="B634">
            <v>35.334499999999998</v>
          </cell>
          <cell r="D634">
            <v>21751908.448531002</v>
          </cell>
          <cell r="E634">
            <v>1588222222</v>
          </cell>
          <cell r="F634">
            <v>-2.7019175734624167E-3</v>
          </cell>
          <cell r="G634">
            <v>4.6335189363311338E-3</v>
          </cell>
        </row>
        <row r="635">
          <cell r="B635">
            <v>35.351900000000001</v>
          </cell>
          <cell r="D635">
            <v>25771661.815366998</v>
          </cell>
          <cell r="E635">
            <v>1758716667</v>
          </cell>
          <cell r="F635">
            <v>4.9231536339217877E-4</v>
          </cell>
          <cell r="G635">
            <v>-4.1396779380016777E-3</v>
          </cell>
        </row>
        <row r="636">
          <cell r="B636">
            <v>35.695</v>
          </cell>
          <cell r="D636">
            <v>28401530.976725999</v>
          </cell>
          <cell r="E636">
            <v>1491461111</v>
          </cell>
          <cell r="F636">
            <v>9.6584838242604384E-3</v>
          </cell>
          <cell r="G636">
            <v>1.4698966344172243E-3</v>
          </cell>
        </row>
        <row r="637">
          <cell r="B637">
            <v>35.734900000000003</v>
          </cell>
          <cell r="D637">
            <v>25803771.821139999</v>
          </cell>
          <cell r="E637">
            <v>1524955556</v>
          </cell>
          <cell r="F637">
            <v>1.1171793366615901E-3</v>
          </cell>
          <cell r="G637">
            <v>4.8318457773097378E-3</v>
          </cell>
        </row>
        <row r="638">
          <cell r="B638">
            <v>35.998699999999999</v>
          </cell>
          <cell r="D638">
            <v>33905055.736469999</v>
          </cell>
          <cell r="E638">
            <v>1849300000</v>
          </cell>
          <cell r="F638">
            <v>7.3550244018916701E-3</v>
          </cell>
          <cell r="G638">
            <v>-1.9339917631568573E-3</v>
          </cell>
        </row>
        <row r="639">
          <cell r="B639">
            <v>37.377699999999997</v>
          </cell>
          <cell r="D639">
            <v>74668116.809698999</v>
          </cell>
          <cell r="E639">
            <v>1883861111</v>
          </cell>
          <cell r="F639">
            <v>3.7591443211307841E-2</v>
          </cell>
          <cell r="G639">
            <v>4.1923269614829216E-3</v>
          </cell>
        </row>
        <row r="640">
          <cell r="B640">
            <v>37.763599999999997</v>
          </cell>
          <cell r="D640">
            <v>96901021.125076994</v>
          </cell>
          <cell r="E640">
            <v>1878711111</v>
          </cell>
          <cell r="F640">
            <v>1.0271405811593755E-2</v>
          </cell>
          <cell r="G640">
            <v>-1.1904630539099268E-2</v>
          </cell>
        </row>
        <row r="641">
          <cell r="B641">
            <v>37.898299999999999</v>
          </cell>
          <cell r="D641">
            <v>51180904.323801003</v>
          </cell>
          <cell r="E641">
            <v>1725588889</v>
          </cell>
          <cell r="F641">
            <v>3.5605804852252539E-3</v>
          </cell>
          <cell r="G641">
            <v>1.0212621215764002E-2</v>
          </cell>
        </row>
        <row r="642">
          <cell r="B642">
            <v>38.018500000000003</v>
          </cell>
          <cell r="D642">
            <v>44338090.399398997</v>
          </cell>
          <cell r="E642">
            <v>1450644444</v>
          </cell>
          <cell r="F642">
            <v>3.1666271613764148E-3</v>
          </cell>
          <cell r="G642">
            <v>-2.322963707646372E-3</v>
          </cell>
        </row>
        <row r="643">
          <cell r="B643">
            <v>38.018500000000003</v>
          </cell>
          <cell r="D643">
            <v>50780936.489565998</v>
          </cell>
          <cell r="E643">
            <v>1605822222</v>
          </cell>
          <cell r="F643">
            <v>0</v>
          </cell>
          <cell r="G643">
            <v>5.0035988712575554E-3</v>
          </cell>
        </row>
        <row r="644">
          <cell r="B644">
            <v>38.053699999999999</v>
          </cell>
          <cell r="D644">
            <v>61748959.088481002</v>
          </cell>
          <cell r="E644">
            <v>1594288889</v>
          </cell>
          <cell r="F644">
            <v>9.2543669072802498E-4</v>
          </cell>
          <cell r="G644">
            <v>1.7529106323480887E-3</v>
          </cell>
        </row>
        <row r="645">
          <cell r="B645">
            <v>37.649099999999997</v>
          </cell>
          <cell r="D645">
            <v>36231955.634104997</v>
          </cell>
          <cell r="E645">
            <v>1779738889</v>
          </cell>
          <cell r="F645">
            <v>-1.0689270475490143E-2</v>
          </cell>
          <cell r="G645">
            <v>4.8805155195559568E-4</v>
          </cell>
        </row>
        <row r="646">
          <cell r="B646">
            <v>37.737099999999998</v>
          </cell>
          <cell r="D646">
            <v>31529600.243590001</v>
          </cell>
          <cell r="E646">
            <v>1466088889</v>
          </cell>
          <cell r="F646">
            <v>2.3346458627932247E-3</v>
          </cell>
          <cell r="G646">
            <v>-4.8609385938271771E-3</v>
          </cell>
        </row>
        <row r="647">
          <cell r="B647">
            <v>37.287999999999997</v>
          </cell>
          <cell r="D647">
            <v>35005900.746730998</v>
          </cell>
          <cell r="E647">
            <v>1557400000</v>
          </cell>
          <cell r="F647">
            <v>-1.1972136370071596E-2</v>
          </cell>
          <cell r="G647">
            <v>2.8807884462303611E-4</v>
          </cell>
        </row>
        <row r="648">
          <cell r="B648">
            <v>37.210700000000003</v>
          </cell>
          <cell r="D648">
            <v>32739165.517310999</v>
          </cell>
          <cell r="E648">
            <v>1768500000</v>
          </cell>
          <cell r="F648">
            <v>-2.075204741582523E-3</v>
          </cell>
          <cell r="G648">
            <v>-4.538026355257783E-3</v>
          </cell>
        </row>
        <row r="649">
          <cell r="B649">
            <v>36.957700000000003</v>
          </cell>
          <cell r="D649">
            <v>37643748.522220999</v>
          </cell>
          <cell r="E649">
            <v>1915694444</v>
          </cell>
          <cell r="F649">
            <v>-6.8223389289348802E-3</v>
          </cell>
          <cell r="G649">
            <v>6.0913396397368385E-5</v>
          </cell>
        </row>
        <row r="650">
          <cell r="B650">
            <v>36.600299999999997</v>
          </cell>
          <cell r="D650">
            <v>37191856.731325001</v>
          </cell>
          <cell r="E650">
            <v>2329444444</v>
          </cell>
          <cell r="F650">
            <v>-9.7175783048833037E-3</v>
          </cell>
          <cell r="G650">
            <v>-2.0201982180386897E-2</v>
          </cell>
        </row>
        <row r="651">
          <cell r="B651">
            <v>36.345300000000002</v>
          </cell>
          <cell r="D651">
            <v>36756942.915296003</v>
          </cell>
          <cell r="E651">
            <v>2105366667</v>
          </cell>
          <cell r="F651">
            <v>-6.9915399622132134E-3</v>
          </cell>
          <cell r="G651">
            <v>-2.8632061512498972E-3</v>
          </cell>
        </row>
        <row r="652">
          <cell r="B652">
            <v>36.777099999999997</v>
          </cell>
          <cell r="D652">
            <v>40417613.598251</v>
          </cell>
          <cell r="E652">
            <v>1707177778</v>
          </cell>
          <cell r="F652">
            <v>1.1810471735180388E-2</v>
          </cell>
          <cell r="G652">
            <v>7.1633321677376247E-3</v>
          </cell>
        </row>
        <row r="653">
          <cell r="B653">
            <v>36.533000000000001</v>
          </cell>
          <cell r="D653">
            <v>30974684.71291</v>
          </cell>
          <cell r="E653">
            <v>1923622222</v>
          </cell>
          <cell r="F653">
            <v>-6.6594071514165876E-3</v>
          </cell>
          <cell r="G653">
            <v>-9.7326638909587745E-3</v>
          </cell>
        </row>
        <row r="654">
          <cell r="B654">
            <v>36.244799999999998</v>
          </cell>
          <cell r="D654">
            <v>29049026.279174998</v>
          </cell>
          <cell r="E654">
            <v>1966194444</v>
          </cell>
          <cell r="F654">
            <v>-7.920038981455841E-3</v>
          </cell>
          <cell r="G654">
            <v>1.5623169160183835E-5</v>
          </cell>
        </row>
        <row r="655">
          <cell r="B655">
            <v>36.660699999999999</v>
          </cell>
          <cell r="D655">
            <v>35748240.506494001</v>
          </cell>
          <cell r="E655">
            <v>1794733333</v>
          </cell>
          <cell r="F655">
            <v>1.1409413874926439E-2</v>
          </cell>
          <cell r="G655">
            <v>-5.5720924051179815E-3</v>
          </cell>
        </row>
        <row r="656">
          <cell r="B656">
            <v>36.633499999999998</v>
          </cell>
          <cell r="D656">
            <v>34130078.659938999</v>
          </cell>
          <cell r="E656">
            <v>1612377778</v>
          </cell>
          <cell r="F656">
            <v>-7.422142884066184E-4</v>
          </cell>
          <cell r="G656">
            <v>1.146541212583467E-2</v>
          </cell>
        </row>
        <row r="657">
          <cell r="B657">
            <v>36.633499999999998</v>
          </cell>
          <cell r="D657">
            <v>23997995.315343998</v>
          </cell>
          <cell r="E657">
            <v>1547161111</v>
          </cell>
          <cell r="F657">
            <v>0</v>
          </cell>
          <cell r="G657">
            <v>2.7555846424938877E-3</v>
          </cell>
        </row>
        <row r="658">
          <cell r="B658">
            <v>36.9041</v>
          </cell>
          <cell r="D658">
            <v>25272920.110109001</v>
          </cell>
          <cell r="E658">
            <v>1450944444</v>
          </cell>
          <cell r="F658">
            <v>7.359533663556914E-3</v>
          </cell>
          <cell r="G658">
            <v>-1.6379596859127999E-3</v>
          </cell>
        </row>
        <row r="659">
          <cell r="B659">
            <v>37.377699999999997</v>
          </cell>
          <cell r="D659">
            <v>26990298.117089</v>
          </cell>
          <cell r="E659">
            <v>1510011111</v>
          </cell>
          <cell r="F659">
            <v>1.2751613919074471E-2</v>
          </cell>
          <cell r="G659">
            <v>6.6847821518630762E-3</v>
          </cell>
        </row>
        <row r="660">
          <cell r="B660">
            <v>37.542000000000002</v>
          </cell>
          <cell r="D660">
            <v>22773961.444816999</v>
          </cell>
          <cell r="E660">
            <v>1449700000</v>
          </cell>
          <cell r="F660">
            <v>4.3860363399966474E-3</v>
          </cell>
          <cell r="G660">
            <v>4.3363557532498454E-3</v>
          </cell>
        </row>
        <row r="661">
          <cell r="B661">
            <v>37.982199999999999</v>
          </cell>
          <cell r="D661">
            <v>49068882.336493</v>
          </cell>
          <cell r="E661">
            <v>1679655556</v>
          </cell>
          <cell r="F661">
            <v>1.1657322686059303E-2</v>
          </cell>
          <cell r="G661">
            <v>-6.1377306783057757E-5</v>
          </cell>
        </row>
        <row r="662">
          <cell r="B662">
            <v>38.253799999999998</v>
          </cell>
          <cell r="D662">
            <v>31714458.784618001</v>
          </cell>
          <cell r="E662">
            <v>1465644444</v>
          </cell>
          <cell r="F662">
            <v>7.1252728129054931E-3</v>
          </cell>
          <cell r="G662">
            <v>8.4955181427630883E-3</v>
          </cell>
        </row>
        <row r="663">
          <cell r="B663">
            <v>38.678800000000003</v>
          </cell>
          <cell r="D663">
            <v>32970016.01317</v>
          </cell>
          <cell r="E663">
            <v>1475794444</v>
          </cell>
          <cell r="F663">
            <v>1.1048744575697957E-2</v>
          </cell>
          <cell r="G663">
            <v>4.9881975467810091E-3</v>
          </cell>
        </row>
        <row r="664">
          <cell r="B664">
            <v>38.356400000000001</v>
          </cell>
          <cell r="D664">
            <v>29005905.110181</v>
          </cell>
          <cell r="E664">
            <v>1433088889</v>
          </cell>
          <cell r="F664">
            <v>-8.370248465764521E-3</v>
          </cell>
          <cell r="G664">
            <v>2.4747310461941839E-3</v>
          </cell>
        </row>
        <row r="665">
          <cell r="B665">
            <v>38.584899999999998</v>
          </cell>
          <cell r="D665">
            <v>26115996.400114</v>
          </cell>
          <cell r="E665">
            <v>1466066667</v>
          </cell>
          <cell r="F665">
            <v>5.9396103723231676E-3</v>
          </cell>
          <cell r="G665">
            <v>2.9455546469971902E-3</v>
          </cell>
        </row>
        <row r="666">
          <cell r="B666">
            <v>38.524500000000003</v>
          </cell>
          <cell r="D666">
            <v>21439434.057950001</v>
          </cell>
          <cell r="E666">
            <v>1278811111</v>
          </cell>
          <cell r="F666">
            <v>-1.5666056888802458E-3</v>
          </cell>
          <cell r="G666">
            <v>-1.9945896478233741E-3</v>
          </cell>
        </row>
        <row r="667">
          <cell r="B667">
            <v>38.540999999999997</v>
          </cell>
          <cell r="D667">
            <v>19813982.626816999</v>
          </cell>
          <cell r="E667">
            <v>1241044444</v>
          </cell>
          <cell r="F667">
            <v>4.282071809595149E-4</v>
          </cell>
          <cell r="G667">
            <v>4.7763441463173689E-3</v>
          </cell>
        </row>
        <row r="668">
          <cell r="B668">
            <v>38.410299999999999</v>
          </cell>
          <cell r="D668">
            <v>17430179.945305001</v>
          </cell>
          <cell r="E668">
            <v>1362194444</v>
          </cell>
          <cell r="F668">
            <v>-3.39695692424585E-3</v>
          </cell>
          <cell r="G668">
            <v>1.050541125247729E-3</v>
          </cell>
        </row>
        <row r="669">
          <cell r="B669">
            <v>38.289099999999998</v>
          </cell>
          <cell r="D669">
            <v>24947341.872198001</v>
          </cell>
          <cell r="E669">
            <v>1302416667</v>
          </cell>
          <cell r="F669">
            <v>-3.1603924119248936E-3</v>
          </cell>
          <cell r="G669">
            <v>4.9998250071612606E-5</v>
          </cell>
        </row>
        <row r="670">
          <cell r="B670">
            <v>38.296700000000001</v>
          </cell>
          <cell r="D670">
            <v>20693114.717393</v>
          </cell>
          <cell r="E670">
            <v>1268000000</v>
          </cell>
          <cell r="F670">
            <v>1.9847021314519294E-4</v>
          </cell>
          <cell r="G670">
            <v>-1.6913280954213741E-3</v>
          </cell>
        </row>
        <row r="671">
          <cell r="B671">
            <v>38.767699999999998</v>
          </cell>
          <cell r="D671">
            <v>25322654.119943999</v>
          </cell>
          <cell r="E671">
            <v>1255072222</v>
          </cell>
          <cell r="F671">
            <v>1.2223695108772335E-2</v>
          </cell>
          <cell r="G671">
            <v>3.3149118755349209E-3</v>
          </cell>
        </row>
        <row r="672">
          <cell r="B672">
            <v>38.477600000000002</v>
          </cell>
          <cell r="D672">
            <v>26921025.563425001</v>
          </cell>
          <cell r="E672">
            <v>1566655556</v>
          </cell>
          <cell r="F672">
            <v>-7.5111719132864739E-3</v>
          </cell>
          <cell r="G672">
            <v>-5.4423128675924639E-4</v>
          </cell>
        </row>
        <row r="673">
          <cell r="B673">
            <v>38.366199999999999</v>
          </cell>
          <cell r="D673">
            <v>39475902.676477998</v>
          </cell>
          <cell r="E673">
            <v>1561100000</v>
          </cell>
          <cell r="F673">
            <v>-2.8993901405186227E-3</v>
          </cell>
          <cell r="G673">
            <v>-7.7941547787828132E-4</v>
          </cell>
        </row>
        <row r="674">
          <cell r="B674">
            <v>38.622100000000003</v>
          </cell>
          <cell r="D674">
            <v>31027450.248013999</v>
          </cell>
          <cell r="E674">
            <v>1706894444</v>
          </cell>
          <cell r="F674">
            <v>6.6477878435244418E-3</v>
          </cell>
          <cell r="G674">
            <v>-1.5356260692695059E-3</v>
          </cell>
        </row>
        <row r="675">
          <cell r="B675">
            <v>39.174900000000001</v>
          </cell>
          <cell r="D675">
            <v>43278016.895687997</v>
          </cell>
          <cell r="E675">
            <v>1565722222</v>
          </cell>
          <cell r="F675">
            <v>1.4211584097405493E-2</v>
          </cell>
          <cell r="G675">
            <v>5.0232793825961582E-3</v>
          </cell>
        </row>
        <row r="676">
          <cell r="B676">
            <v>39.654499999999999</v>
          </cell>
          <cell r="D676">
            <v>53598512.453791</v>
          </cell>
          <cell r="E676">
            <v>1549494444</v>
          </cell>
          <cell r="F676">
            <v>1.2168199114865282E-2</v>
          </cell>
          <cell r="G676">
            <v>-3.0778848267845093E-3</v>
          </cell>
        </row>
        <row r="677">
          <cell r="B677">
            <v>39.902700000000003</v>
          </cell>
          <cell r="D677">
            <v>47227240.460284002</v>
          </cell>
          <cell r="E677">
            <v>1601572222</v>
          </cell>
          <cell r="F677">
            <v>6.2395560739758223E-3</v>
          </cell>
          <cell r="G677">
            <v>-6.5664725492672778E-3</v>
          </cell>
        </row>
        <row r="678">
          <cell r="B678">
            <v>39.968000000000004</v>
          </cell>
          <cell r="D678">
            <v>31997399.095662002</v>
          </cell>
          <cell r="E678">
            <v>1618016667</v>
          </cell>
          <cell r="F678">
            <v>1.6351431638723843E-3</v>
          </cell>
          <cell r="G678">
            <v>3.6394434933185002E-3</v>
          </cell>
        </row>
        <row r="679">
          <cell r="B679">
            <v>40.104799999999997</v>
          </cell>
          <cell r="D679">
            <v>34238858.304851003</v>
          </cell>
          <cell r="E679">
            <v>1634272222</v>
          </cell>
          <cell r="F679">
            <v>3.4168939539229413E-3</v>
          </cell>
          <cell r="G679">
            <v>8.8151184980712178E-4</v>
          </cell>
        </row>
        <row r="680">
          <cell r="B680">
            <v>39.841999999999999</v>
          </cell>
          <cell r="D680">
            <v>44819758.914710999</v>
          </cell>
          <cell r="E680">
            <v>1781427778</v>
          </cell>
          <cell r="F680">
            <v>-6.5743956374980659E-3</v>
          </cell>
          <cell r="G680">
            <v>-5.9804496107261707E-3</v>
          </cell>
        </row>
        <row r="681">
          <cell r="B681">
            <v>39.455100000000002</v>
          </cell>
          <cell r="D681">
            <v>44141214.281997003</v>
          </cell>
          <cell r="E681">
            <v>1542516667</v>
          </cell>
          <cell r="F681">
            <v>-9.7583157567933919E-3</v>
          </cell>
          <cell r="G681">
            <v>-7.103865355538411E-4</v>
          </cell>
        </row>
        <row r="682">
          <cell r="B682">
            <v>39.902700000000003</v>
          </cell>
          <cell r="D682">
            <v>32698853.705072999</v>
          </cell>
          <cell r="E682">
            <v>1755727778</v>
          </cell>
          <cell r="F682">
            <v>1.1280674276496309E-2</v>
          </cell>
          <cell r="G682">
            <v>7.4565195560981042E-3</v>
          </cell>
        </row>
        <row r="683">
          <cell r="B683">
            <v>39.695500000000003</v>
          </cell>
          <cell r="D683">
            <v>44897131.916854002</v>
          </cell>
          <cell r="E683">
            <v>1783011111</v>
          </cell>
          <cell r="F683">
            <v>-5.2061596367057794E-3</v>
          </cell>
          <cell r="G683">
            <v>1.2948221428846019E-3</v>
          </cell>
        </row>
        <row r="684">
          <cell r="B684">
            <v>39.8322</v>
          </cell>
          <cell r="D684">
            <v>41652195.866236001</v>
          </cell>
          <cell r="E684">
            <v>1797411111</v>
          </cell>
          <cell r="F684">
            <v>3.4377992732587256E-3</v>
          </cell>
          <cell r="G684">
            <v>4.8792375757879137E-3</v>
          </cell>
        </row>
        <row r="685">
          <cell r="B685">
            <v>40.549100000000003</v>
          </cell>
          <cell r="D685">
            <v>237339395.33155</v>
          </cell>
          <cell r="E685">
            <v>2711233333</v>
          </cell>
          <cell r="F685">
            <v>1.7837955078056914E-2</v>
          </cell>
          <cell r="G685">
            <v>-4.7740293713845845E-4</v>
          </cell>
        </row>
        <row r="686">
          <cell r="B686">
            <v>40.1586</v>
          </cell>
          <cell r="D686">
            <v>45336503.43671</v>
          </cell>
          <cell r="E686">
            <v>1860927778</v>
          </cell>
          <cell r="F686">
            <v>-9.6769712758434084E-3</v>
          </cell>
          <cell r="G686">
            <v>-8.0456099735066993E-3</v>
          </cell>
        </row>
        <row r="687">
          <cell r="B687">
            <v>39.730699999999999</v>
          </cell>
          <cell r="D687">
            <v>39177298.972956002</v>
          </cell>
          <cell r="E687">
            <v>1821861111</v>
          </cell>
          <cell r="F687">
            <v>-1.0712425619002958E-2</v>
          </cell>
          <cell r="G687">
            <v>-5.7932403429418761E-3</v>
          </cell>
        </row>
        <row r="688">
          <cell r="B688">
            <v>40.174199999999999</v>
          </cell>
          <cell r="D688">
            <v>31152470.718789</v>
          </cell>
          <cell r="E688">
            <v>1841027778</v>
          </cell>
          <cell r="F688">
            <v>1.1100809945108701E-2</v>
          </cell>
          <cell r="G688">
            <v>7.8019621743095095E-3</v>
          </cell>
        </row>
        <row r="689">
          <cell r="B689">
            <v>39.287199999999999</v>
          </cell>
          <cell r="D689">
            <v>38756716.562112004</v>
          </cell>
          <cell r="E689">
            <v>1818361111</v>
          </cell>
          <cell r="F689">
            <v>-2.2326232466180464E-2</v>
          </cell>
          <cell r="G689">
            <v>-1.6300883863057503E-2</v>
          </cell>
        </row>
        <row r="690">
          <cell r="B690">
            <v>39.6008</v>
          </cell>
          <cell r="D690">
            <v>31733161.892912999</v>
          </cell>
          <cell r="E690">
            <v>1627466667</v>
          </cell>
          <cell r="F690">
            <v>7.9505539985921594E-3</v>
          </cell>
          <cell r="G690">
            <v>8.53926846933231E-3</v>
          </cell>
        </row>
        <row r="691">
          <cell r="B691">
            <v>39.630200000000002</v>
          </cell>
          <cell r="D691">
            <v>30576207.557767998</v>
          </cell>
          <cell r="E691">
            <v>1719133333</v>
          </cell>
          <cell r="F691">
            <v>7.4213379483722226E-4</v>
          </cell>
          <cell r="G691">
            <v>-2.5500878576278762E-3</v>
          </cell>
        </row>
        <row r="692">
          <cell r="B692">
            <v>39.559699999999999</v>
          </cell>
          <cell r="D692">
            <v>38711613.281355999</v>
          </cell>
          <cell r="E692">
            <v>2195055556</v>
          </cell>
          <cell r="F692">
            <v>-1.7805305632523508E-3</v>
          </cell>
          <cell r="G692">
            <v>-2.7898116618691174E-3</v>
          </cell>
        </row>
        <row r="693">
          <cell r="B693">
            <v>39.166200000000003</v>
          </cell>
          <cell r="D693">
            <v>44634073.128691003</v>
          </cell>
          <cell r="E693">
            <v>2326994444</v>
          </cell>
          <cell r="F693">
            <v>-9.9967933566595009E-3</v>
          </cell>
          <cell r="G693">
            <v>-1.3337103869609681E-2</v>
          </cell>
        </row>
        <row r="694">
          <cell r="B694">
            <v>39.046900000000001</v>
          </cell>
          <cell r="D694">
            <v>29437608.232779998</v>
          </cell>
          <cell r="E694">
            <v>2229172222</v>
          </cell>
          <cell r="F694">
            <v>-3.0506422203261394E-3</v>
          </cell>
          <cell r="G694">
            <v>5.1383104720751194E-6</v>
          </cell>
        </row>
        <row r="695">
          <cell r="B695">
            <v>39.330199999999998</v>
          </cell>
          <cell r="D695">
            <v>38032209.665293999</v>
          </cell>
          <cell r="E695">
            <v>1978316667</v>
          </cell>
          <cell r="F695">
            <v>7.2291838763206108E-3</v>
          </cell>
          <cell r="G695">
            <v>1.1103645698160249E-2</v>
          </cell>
        </row>
        <row r="696">
          <cell r="B696">
            <v>39.330199999999998</v>
          </cell>
          <cell r="D696">
            <v>24145808.023738001</v>
          </cell>
          <cell r="E696">
            <v>1865677778</v>
          </cell>
          <cell r="F696">
            <v>0</v>
          </cell>
          <cell r="G696">
            <v>-1.5663462589335857E-3</v>
          </cell>
        </row>
        <row r="697">
          <cell r="B697">
            <v>38.852600000000002</v>
          </cell>
          <cell r="D697">
            <v>30145999.209536999</v>
          </cell>
          <cell r="E697">
            <v>2048816667</v>
          </cell>
          <cell r="F697">
            <v>-1.2217672966233425E-2</v>
          </cell>
          <cell r="G697">
            <v>-1.5241633339008961E-2</v>
          </cell>
        </row>
        <row r="698">
          <cell r="B698">
            <v>39.917200000000001</v>
          </cell>
          <cell r="D698">
            <v>38708315.563391</v>
          </cell>
          <cell r="E698">
            <v>2467716667</v>
          </cell>
          <cell r="F698">
            <v>2.7032310061492589E-2</v>
          </cell>
          <cell r="G698">
            <v>1.7310927441677434E-2</v>
          </cell>
        </row>
        <row r="699">
          <cell r="B699">
            <v>39.127000000000002</v>
          </cell>
          <cell r="D699">
            <v>40341726.156111002</v>
          </cell>
          <cell r="E699">
            <v>2413344444</v>
          </cell>
          <cell r="F699">
            <v>-1.9994542938068887E-2</v>
          </cell>
          <cell r="G699">
            <v>-2.0877820755941481E-2</v>
          </cell>
        </row>
        <row r="700">
          <cell r="B700">
            <v>37.569099999999999</v>
          </cell>
          <cell r="D700">
            <v>60909519.400219001</v>
          </cell>
          <cell r="E700">
            <v>2528077778</v>
          </cell>
          <cell r="F700">
            <v>-4.0630861749214521E-2</v>
          </cell>
          <cell r="G700">
            <v>-1.1517102846274005E-2</v>
          </cell>
        </row>
        <row r="701">
          <cell r="B701">
            <v>37.2438</v>
          </cell>
          <cell r="D701">
            <v>43474452.771323003</v>
          </cell>
          <cell r="E701">
            <v>2418100000</v>
          </cell>
          <cell r="F701">
            <v>-8.6964159960913699E-3</v>
          </cell>
          <cell r="G701">
            <v>-1.6605025431830202E-2</v>
          </cell>
        </row>
        <row r="702">
          <cell r="B702">
            <v>37.316099999999999</v>
          </cell>
          <cell r="D702">
            <v>44672648.545502998</v>
          </cell>
          <cell r="E702">
            <v>2673338889</v>
          </cell>
          <cell r="F702">
            <v>1.9393808913696984E-3</v>
          </cell>
          <cell r="G702">
            <v>1.5776404760320126E-3</v>
          </cell>
        </row>
        <row r="703">
          <cell r="B703">
            <v>36.880600000000001</v>
          </cell>
          <cell r="D703">
            <v>70571667.184455007</v>
          </cell>
          <cell r="E703">
            <v>3383777778</v>
          </cell>
          <cell r="F703">
            <v>-1.1739201374220682E-2</v>
          </cell>
          <cell r="G703">
            <v>-8.1333214869814974E-3</v>
          </cell>
        </row>
        <row r="704">
          <cell r="B704">
            <v>36.469299999999997</v>
          </cell>
          <cell r="D704">
            <v>57470747.971835002</v>
          </cell>
          <cell r="E704">
            <v>2818416667</v>
          </cell>
          <cell r="F704">
            <v>-1.1214856758113026E-2</v>
          </cell>
          <cell r="G704">
            <v>1.4495671456831241E-4</v>
          </cell>
        </row>
        <row r="705">
          <cell r="B705">
            <v>37.227499999999999</v>
          </cell>
          <cell r="D705">
            <v>47675368.695995003</v>
          </cell>
          <cell r="E705">
            <v>2490066667</v>
          </cell>
          <cell r="F705">
            <v>2.0576924703804296E-2</v>
          </cell>
          <cell r="G705">
            <v>1.2801813443832692E-2</v>
          </cell>
        </row>
        <row r="706">
          <cell r="B706">
            <v>37.616100000000003</v>
          </cell>
          <cell r="D706">
            <v>40464172.748286001</v>
          </cell>
          <cell r="E706">
            <v>1850672222</v>
          </cell>
          <cell r="F706">
            <v>1.0384414755172653E-2</v>
          </cell>
          <cell r="G706">
            <v>9.101116168173851E-3</v>
          </cell>
        </row>
        <row r="707">
          <cell r="B707">
            <v>38.296700000000001</v>
          </cell>
          <cell r="D707">
            <v>42696941.789789997</v>
          </cell>
          <cell r="E707">
            <v>2215050000</v>
          </cell>
          <cell r="F707">
            <v>1.7931580357160967E-2</v>
          </cell>
          <cell r="G707">
            <v>1.9385360865204253E-2</v>
          </cell>
        </row>
        <row r="708">
          <cell r="B708">
            <v>37.868099999999998</v>
          </cell>
          <cell r="D708">
            <v>39352428.170973003</v>
          </cell>
          <cell r="E708">
            <v>2089961111</v>
          </cell>
          <cell r="F708">
            <v>-1.1254661579312637E-2</v>
          </cell>
          <cell r="G708">
            <v>-7.3260779688414726E-3</v>
          </cell>
        </row>
        <row r="709">
          <cell r="B709">
            <v>38.418900000000001</v>
          </cell>
          <cell r="D709">
            <v>53203999.522174001</v>
          </cell>
          <cell r="E709">
            <v>2105138889</v>
          </cell>
          <cell r="F709">
            <v>1.4440456993898784E-2</v>
          </cell>
          <cell r="G709">
            <v>1.2228325652846546E-2</v>
          </cell>
        </row>
        <row r="710">
          <cell r="B710">
            <v>39.363300000000002</v>
          </cell>
          <cell r="D710">
            <v>71578699.746003002</v>
          </cell>
          <cell r="E710">
            <v>1710211111</v>
          </cell>
          <cell r="F710">
            <v>2.4284384123825383E-2</v>
          </cell>
          <cell r="G710">
            <v>7.0286850120311814E-3</v>
          </cell>
        </row>
        <row r="711">
          <cell r="B711">
            <v>39.174900000000001</v>
          </cell>
          <cell r="D711">
            <v>35592348.849799</v>
          </cell>
          <cell r="E711">
            <v>1966033333</v>
          </cell>
          <cell r="F711">
            <v>-4.7976745425144796E-3</v>
          </cell>
          <cell r="G711">
            <v>-1.502721736806668E-3</v>
          </cell>
        </row>
        <row r="712">
          <cell r="B712">
            <v>39.671300000000002</v>
          </cell>
          <cell r="D712">
            <v>34043608.010527</v>
          </cell>
          <cell r="E712">
            <v>2029588889</v>
          </cell>
          <cell r="F712">
            <v>1.2591768754280834E-2</v>
          </cell>
          <cell r="G712">
            <v>1.1868342458139376E-2</v>
          </cell>
        </row>
        <row r="713">
          <cell r="B713">
            <v>39.780700000000003</v>
          </cell>
          <cell r="D713">
            <v>35489589.255071998</v>
          </cell>
          <cell r="E713">
            <v>2077972222</v>
          </cell>
          <cell r="F713">
            <v>2.7538657085725061E-3</v>
          </cell>
          <cell r="G713">
            <v>-1.3863160247666469E-3</v>
          </cell>
        </row>
        <row r="714">
          <cell r="B714">
            <v>39.296799999999998</v>
          </cell>
          <cell r="D714">
            <v>35243780.777378999</v>
          </cell>
          <cell r="E714">
            <v>1992305556</v>
          </cell>
          <cell r="F714">
            <v>-1.2238779429668655E-2</v>
          </cell>
          <cell r="G714">
            <v>6.2108096401566381E-3</v>
          </cell>
        </row>
        <row r="715">
          <cell r="B715">
            <v>40.062800000000003</v>
          </cell>
          <cell r="D715">
            <v>42012473.345790997</v>
          </cell>
          <cell r="E715">
            <v>2384605556</v>
          </cell>
          <cell r="F715">
            <v>1.9305132328745086E-2</v>
          </cell>
          <cell r="G715">
            <v>1.1663102277224974E-2</v>
          </cell>
        </row>
        <row r="716">
          <cell r="B716">
            <v>40.4818</v>
          </cell>
          <cell r="D716">
            <v>27094662.034713</v>
          </cell>
          <cell r="E716">
            <v>1975244444</v>
          </cell>
          <cell r="F716">
            <v>1.0404267441387177E-2</v>
          </cell>
          <cell r="G716">
            <v>-1.1893375899205164E-4</v>
          </cell>
        </row>
        <row r="717">
          <cell r="B717">
            <v>40.591099999999997</v>
          </cell>
          <cell r="D717">
            <v>25231190.309859</v>
          </cell>
          <cell r="E717">
            <v>2197922222</v>
          </cell>
          <cell r="F717">
            <v>2.6963403608322761E-3</v>
          </cell>
          <cell r="G717">
            <v>-2.8338120807535872E-3</v>
          </cell>
        </row>
        <row r="718">
          <cell r="B718">
            <v>40.8431</v>
          </cell>
          <cell r="D718">
            <v>26306320.081939999</v>
          </cell>
          <cell r="E718">
            <v>2092550000</v>
          </cell>
          <cell r="F718">
            <v>6.1890656356836521E-3</v>
          </cell>
          <cell r="G718">
            <v>5.6843254698454955E-3</v>
          </cell>
        </row>
        <row r="719">
          <cell r="B719">
            <v>41.556199999999997</v>
          </cell>
          <cell r="D719">
            <v>38714871.070419997</v>
          </cell>
          <cell r="E719">
            <v>2038761111</v>
          </cell>
          <cell r="F719">
            <v>1.7308831589167961E-2</v>
          </cell>
          <cell r="G719">
            <v>3.7683963328125326E-3</v>
          </cell>
        </row>
        <row r="720">
          <cell r="B720">
            <v>41.537700000000001</v>
          </cell>
          <cell r="D720">
            <v>32813812.091965999</v>
          </cell>
          <cell r="E720">
            <v>2057933333</v>
          </cell>
          <cell r="F720">
            <v>-4.4527938406235552E-4</v>
          </cell>
          <cell r="G720">
            <v>3.4948426815119868E-4</v>
          </cell>
        </row>
        <row r="721">
          <cell r="B721">
            <v>41.720300000000002</v>
          </cell>
          <cell r="D721">
            <v>42620711.368601002</v>
          </cell>
          <cell r="E721">
            <v>1824966667</v>
          </cell>
          <cell r="F721">
            <v>4.3863723071071595E-3</v>
          </cell>
          <cell r="G721">
            <v>3.1153438558825866E-3</v>
          </cell>
        </row>
        <row r="722">
          <cell r="B722">
            <v>41.7027</v>
          </cell>
          <cell r="D722">
            <v>27475467.066344</v>
          </cell>
          <cell r="E722">
            <v>1643511111</v>
          </cell>
          <cell r="F722">
            <v>-4.21945992379215E-4</v>
          </cell>
          <cell r="G722">
            <v>6.9643008842389554E-4</v>
          </cell>
        </row>
        <row r="723">
          <cell r="B723">
            <v>41.6235</v>
          </cell>
          <cell r="D723">
            <v>26628147.050485998</v>
          </cell>
          <cell r="E723">
            <v>1803694444</v>
          </cell>
          <cell r="F723">
            <v>-1.9009632948619338E-3</v>
          </cell>
          <cell r="G723">
            <v>-7.0133624589671954E-4</v>
          </cell>
        </row>
        <row r="724">
          <cell r="B724">
            <v>42.329799999999999</v>
          </cell>
          <cell r="D724">
            <v>30714513.091672</v>
          </cell>
          <cell r="E724">
            <v>1919594444</v>
          </cell>
          <cell r="F724">
            <v>1.6826418124933417E-2</v>
          </cell>
          <cell r="G724">
            <v>5.2972597729773947E-4</v>
          </cell>
        </row>
        <row r="725">
          <cell r="B725">
            <v>42.306399999999996</v>
          </cell>
          <cell r="D725">
            <v>34080996.822209001</v>
          </cell>
          <cell r="E725">
            <v>1792850000</v>
          </cell>
          <cell r="F725">
            <v>-5.5295489627921635E-4</v>
          </cell>
          <cell r="G725">
            <v>2.4024613086403535E-4</v>
          </cell>
        </row>
        <row r="726">
          <cell r="B726">
            <v>42.206800000000001</v>
          </cell>
          <cell r="D726">
            <v>35528644.842555001</v>
          </cell>
          <cell r="E726">
            <v>1751605556</v>
          </cell>
          <cell r="F726">
            <v>-2.3570293424309344E-3</v>
          </cell>
          <cell r="G726">
            <v>7.3508875830995222E-4</v>
          </cell>
        </row>
        <row r="727">
          <cell r="B727">
            <v>41.852899999999998</v>
          </cell>
          <cell r="D727">
            <v>27991338.271540001</v>
          </cell>
          <cell r="E727">
            <v>1897883333</v>
          </cell>
          <cell r="F727">
            <v>-8.4202558652387207E-3</v>
          </cell>
          <cell r="G727">
            <v>5.1207992441207693E-3</v>
          </cell>
        </row>
        <row r="728">
          <cell r="B728">
            <v>41.405700000000003</v>
          </cell>
          <cell r="D728">
            <v>30485023.250014</v>
          </cell>
          <cell r="E728">
            <v>1883805556</v>
          </cell>
          <cell r="F728">
            <v>-1.0742537122734749E-2</v>
          </cell>
          <cell r="G728">
            <v>-1.5022487778296994E-3</v>
          </cell>
        </row>
        <row r="729">
          <cell r="B729">
            <v>41.817900000000002</v>
          </cell>
          <cell r="D729">
            <v>25046447.460271001</v>
          </cell>
          <cell r="E729">
            <v>1737938889</v>
          </cell>
          <cell r="F729">
            <v>9.9059250181191463E-3</v>
          </cell>
          <cell r="G729">
            <v>1.9651497131154641E-3</v>
          </cell>
        </row>
        <row r="730">
          <cell r="B730">
            <v>41.199800000000003</v>
          </cell>
          <cell r="D730">
            <v>49940788.319210999</v>
          </cell>
          <cell r="E730">
            <v>2175788889</v>
          </cell>
          <cell r="F730">
            <v>-1.4891075556861061E-2</v>
          </cell>
          <cell r="G730">
            <v>5.2232126037382535E-3</v>
          </cell>
        </row>
        <row r="731">
          <cell r="B731">
            <v>40.867600000000003</v>
          </cell>
          <cell r="D731">
            <v>41264281.442005001</v>
          </cell>
          <cell r="E731">
            <v>1737811111</v>
          </cell>
          <cell r="F731">
            <v>-8.0958289023750213E-3</v>
          </cell>
          <cell r="G731">
            <v>2.8599722850845412E-3</v>
          </cell>
        </row>
        <row r="732">
          <cell r="B732">
            <v>40.762099999999997</v>
          </cell>
          <cell r="D732">
            <v>32616928.807838999</v>
          </cell>
          <cell r="E732">
            <v>1884966667</v>
          </cell>
          <cell r="F732">
            <v>-2.5848449459167206E-3</v>
          </cell>
          <cell r="G732">
            <v>-1.1507481131779239E-3</v>
          </cell>
        </row>
        <row r="733">
          <cell r="B733">
            <v>41.002600000000001</v>
          </cell>
          <cell r="D733">
            <v>31634949.074186001</v>
          </cell>
          <cell r="E733">
            <v>1525144444</v>
          </cell>
          <cell r="F733">
            <v>5.8827512013568195E-3</v>
          </cell>
          <cell r="G733">
            <v>2.8020289550014527E-3</v>
          </cell>
        </row>
        <row r="734">
          <cell r="B734">
            <v>41.0533</v>
          </cell>
          <cell r="D734">
            <v>25078172.510453001</v>
          </cell>
          <cell r="E734">
            <v>1391466667</v>
          </cell>
          <cell r="F734">
            <v>1.2357431080966602E-3</v>
          </cell>
          <cell r="G734">
            <v>-2.5456552865591015E-3</v>
          </cell>
        </row>
        <row r="735">
          <cell r="B735">
            <v>41.750700000000002</v>
          </cell>
          <cell r="D735">
            <v>36322069.028171003</v>
          </cell>
          <cell r="E735">
            <v>2310561111</v>
          </cell>
          <cell r="F735">
            <v>1.6844995187446865E-2</v>
          </cell>
          <cell r="G735">
            <v>-6.8527324708350058E-3</v>
          </cell>
        </row>
        <row r="736">
          <cell r="B736">
            <v>41.612900000000003</v>
          </cell>
          <cell r="D736">
            <v>30009294.927076999</v>
          </cell>
          <cell r="E736">
            <v>2048138889</v>
          </cell>
          <cell r="F736">
            <v>-3.306002272186023E-3</v>
          </cell>
          <cell r="G736">
            <v>6.3641145965672059E-3</v>
          </cell>
        </row>
        <row r="737">
          <cell r="B737">
            <v>41.284799999999997</v>
          </cell>
          <cell r="D737">
            <v>27406604.039903</v>
          </cell>
          <cell r="E737">
            <v>2007044444</v>
          </cell>
          <cell r="F737">
            <v>-7.9158218680011293E-3</v>
          </cell>
          <cell r="G737">
            <v>3.7576597991097705E-3</v>
          </cell>
        </row>
        <row r="738">
          <cell r="B738">
            <v>41.938299999999998</v>
          </cell>
          <cell r="D738">
            <v>35338783.926491998</v>
          </cell>
          <cell r="E738">
            <v>1893522222</v>
          </cell>
          <cell r="F738">
            <v>1.570509707272932E-2</v>
          </cell>
          <cell r="G738">
            <v>-1.1624963624507377E-3</v>
          </cell>
        </row>
        <row r="739">
          <cell r="B739">
            <v>41.578600000000002</v>
          </cell>
          <cell r="D739">
            <v>31807034.461114001</v>
          </cell>
          <cell r="E739">
            <v>1899788889</v>
          </cell>
          <cell r="F739">
            <v>-8.6138787265685485E-3</v>
          </cell>
          <cell r="G739">
            <v>1.6637374265151782E-3</v>
          </cell>
        </row>
        <row r="740">
          <cell r="B740">
            <v>40.947699999999998</v>
          </cell>
          <cell r="D740">
            <v>31050044.888750002</v>
          </cell>
          <cell r="E740">
            <v>2111661111</v>
          </cell>
          <cell r="F740">
            <v>-1.5289969163808285E-2</v>
          </cell>
          <cell r="G740">
            <v>-7.2829941231697731E-3</v>
          </cell>
        </row>
        <row r="741">
          <cell r="B741">
            <v>40.867600000000003</v>
          </cell>
          <cell r="D741">
            <v>28329257.612332001</v>
          </cell>
          <cell r="E741">
            <v>2205638889</v>
          </cell>
          <cell r="F741">
            <v>-1.9580695931490839E-3</v>
          </cell>
          <cell r="G741">
            <v>-2.3785657360814608E-4</v>
          </cell>
        </row>
        <row r="742">
          <cell r="B742">
            <v>40.270800000000001</v>
          </cell>
          <cell r="D742">
            <v>35439706.791621</v>
          </cell>
          <cell r="E742">
            <v>2285800000</v>
          </cell>
          <cell r="F742">
            <v>-1.4710932501212529E-2</v>
          </cell>
          <cell r="G742">
            <v>-1.6486095225712944E-2</v>
          </cell>
        </row>
        <row r="743">
          <cell r="B743">
            <v>40.505200000000002</v>
          </cell>
          <cell r="D743">
            <v>33843529.390238002</v>
          </cell>
          <cell r="E743">
            <v>2176638889</v>
          </cell>
          <cell r="F743">
            <v>5.8037203611028482E-3</v>
          </cell>
          <cell r="G743">
            <v>4.5254627925939775E-3</v>
          </cell>
        </row>
        <row r="744">
          <cell r="B744">
            <v>40.3157</v>
          </cell>
          <cell r="D744">
            <v>39884349.771874003</v>
          </cell>
          <cell r="E744">
            <v>2309805556</v>
          </cell>
          <cell r="F744">
            <v>-4.6893896817421631E-3</v>
          </cell>
          <cell r="G744">
            <v>-1.6346465435817352E-2</v>
          </cell>
        </row>
        <row r="745">
          <cell r="B745">
            <v>40.075499999999998</v>
          </cell>
          <cell r="D745">
            <v>34060825.558817998</v>
          </cell>
          <cell r="E745">
            <v>2423327778</v>
          </cell>
          <cell r="F745">
            <v>-5.975796226391869E-3</v>
          </cell>
          <cell r="G745">
            <v>-6.3628106729409261E-3</v>
          </cell>
        </row>
        <row r="746">
          <cell r="B746">
            <v>38.781300000000002</v>
          </cell>
          <cell r="D746">
            <v>55626195.380884998</v>
          </cell>
          <cell r="E746">
            <v>2754822222</v>
          </cell>
          <cell r="F746">
            <v>-3.2827003337261483E-2</v>
          </cell>
          <cell r="G746">
            <v>-8.5252524609650115E-3</v>
          </cell>
        </row>
        <row r="747">
          <cell r="B747">
            <v>39.278599999999997</v>
          </cell>
          <cell r="D747">
            <v>40724299.321528003</v>
          </cell>
          <cell r="E747">
            <v>2745761111</v>
          </cell>
          <cell r="F747">
            <v>1.2741669616342537E-2</v>
          </cell>
          <cell r="G747">
            <v>2.0148061015694455E-2</v>
          </cell>
        </row>
        <row r="748">
          <cell r="B748">
            <v>40.805100000000003</v>
          </cell>
          <cell r="D748">
            <v>46699119.272016004</v>
          </cell>
          <cell r="E748">
            <v>2612988889</v>
          </cell>
          <cell r="F748">
            <v>3.8127232295038463E-2</v>
          </cell>
          <cell r="G748">
            <v>2.3731391638557114E-2</v>
          </cell>
        </row>
        <row r="749">
          <cell r="B749">
            <v>40.920400000000001</v>
          </cell>
          <cell r="D749">
            <v>75172565.276815996</v>
          </cell>
          <cell r="E749">
            <v>3591961111</v>
          </cell>
          <cell r="F749">
            <v>2.8216426084474058E-3</v>
          </cell>
          <cell r="G749">
            <v>4.5596756540114657E-3</v>
          </cell>
        </row>
        <row r="750">
          <cell r="B750">
            <v>41.199800000000003</v>
          </cell>
          <cell r="D750">
            <v>30937036.875257999</v>
          </cell>
          <cell r="E750">
            <v>1871955556</v>
          </cell>
          <cell r="F750">
            <v>6.8046857680516427E-3</v>
          </cell>
          <cell r="G750">
            <v>3.8031565245638006E-3</v>
          </cell>
        </row>
        <row r="751">
          <cell r="B751">
            <v>41.603999999999999</v>
          </cell>
          <cell r="D751">
            <v>27548573.818636999</v>
          </cell>
          <cell r="E751">
            <v>1691083333</v>
          </cell>
          <cell r="F751">
            <v>9.7629145161205015E-3</v>
          </cell>
          <cell r="G751">
            <v>1.7448949438961451E-3</v>
          </cell>
        </row>
        <row r="752">
          <cell r="B752">
            <v>41.336500000000001</v>
          </cell>
          <cell r="D752">
            <v>13325837.706645001</v>
          </cell>
          <cell r="E752">
            <v>787211111</v>
          </cell>
          <cell r="F752">
            <v>-6.4504295853522334E-3</v>
          </cell>
          <cell r="G752">
            <v>-1.3928747275794275E-4</v>
          </cell>
        </row>
        <row r="753">
          <cell r="B753">
            <v>41.115600000000001</v>
          </cell>
          <cell r="D753">
            <v>15369629.387073999</v>
          </cell>
          <cell r="E753">
            <v>964016667</v>
          </cell>
          <cell r="F753">
            <v>-5.358275375000097E-3</v>
          </cell>
          <cell r="G753">
            <v>3.3040443422532773E-3</v>
          </cell>
        </row>
        <row r="754">
          <cell r="B754">
            <v>40.745399999999997</v>
          </cell>
          <cell r="D754">
            <v>16815710.96579</v>
          </cell>
          <cell r="E754">
            <v>1362422222</v>
          </cell>
          <cell r="F754">
            <v>-9.0446616510601024E-3</v>
          </cell>
          <cell r="G754">
            <v>8.6138007977164255E-4</v>
          </cell>
        </row>
        <row r="755">
          <cell r="B755">
            <v>40.377200000000002</v>
          </cell>
          <cell r="D755">
            <v>19080519.369622</v>
          </cell>
          <cell r="E755">
            <v>1355711111</v>
          </cell>
          <cell r="F755">
            <v>-9.0776806570474766E-3</v>
          </cell>
          <cell r="G755">
            <v>-4.9006072778080582E-3</v>
          </cell>
        </row>
        <row r="756">
          <cell r="B756">
            <v>39.886899999999997</v>
          </cell>
          <cell r="D756">
            <v>25098807.563425001</v>
          </cell>
          <cell r="E756">
            <v>1447816667</v>
          </cell>
          <cell r="F756">
            <v>-1.2217320037688537E-2</v>
          </cell>
          <cell r="G756">
            <v>-1.036428918775506E-2</v>
          </cell>
        </row>
        <row r="757">
          <cell r="B757">
            <v>40.153599999999997</v>
          </cell>
          <cell r="D757">
            <v>32501460.559551999</v>
          </cell>
          <cell r="E757">
            <v>1504833333</v>
          </cell>
          <cell r="F757">
            <v>6.664150949374381E-3</v>
          </cell>
          <cell r="G757">
            <v>-3.400451807075162E-4</v>
          </cell>
        </row>
        <row r="758">
          <cell r="B758">
            <v>39.782600000000002</v>
          </cell>
          <cell r="D758">
            <v>46200404.186026998</v>
          </cell>
          <cell r="E758">
            <v>2110622222</v>
          </cell>
          <cell r="F758">
            <v>-9.2824693669997255E-3</v>
          </cell>
          <cell r="G758">
            <v>-1.8447215507429587E-2</v>
          </cell>
        </row>
        <row r="759">
          <cell r="B759">
            <v>39.197200000000002</v>
          </cell>
          <cell r="D759">
            <v>42442433.930054002</v>
          </cell>
          <cell r="E759">
            <v>2477838889</v>
          </cell>
          <cell r="F759">
            <v>-1.482431509326642E-2</v>
          </cell>
          <cell r="G759">
            <v>-8.9332691248878455E-3</v>
          </cell>
        </row>
        <row r="760">
          <cell r="B760">
            <v>39.697499999999998</v>
          </cell>
          <cell r="D760">
            <v>33904918.544850998</v>
          </cell>
          <cell r="E760">
            <v>2114155556</v>
          </cell>
          <cell r="F760">
            <v>1.2682897744268812E-2</v>
          </cell>
          <cell r="G760">
            <v>1.1562716479232132E-2</v>
          </cell>
        </row>
        <row r="761">
          <cell r="B761">
            <v>40.867600000000003</v>
          </cell>
          <cell r="D761">
            <v>34521596.923735999</v>
          </cell>
          <cell r="E761">
            <v>2185561111</v>
          </cell>
          <cell r="F761">
            <v>2.9049359654276071E-2</v>
          </cell>
          <cell r="G761">
            <v>1.7730232270553911E-2</v>
          </cell>
        </row>
        <row r="762">
          <cell r="B762">
            <v>40.521700000000003</v>
          </cell>
          <cell r="D762">
            <v>27884480.333124999</v>
          </cell>
          <cell r="E762">
            <v>1868966667</v>
          </cell>
          <cell r="F762">
            <v>-8.4999399816519869E-3</v>
          </cell>
          <cell r="G762">
            <v>-8.4394028943683176E-3</v>
          </cell>
        </row>
        <row r="763">
          <cell r="B763">
            <v>40.015900000000002</v>
          </cell>
          <cell r="D763">
            <v>27543155.773472</v>
          </cell>
          <cell r="E763">
            <v>1920255556</v>
          </cell>
          <cell r="F763">
            <v>-1.2560757958998315E-2</v>
          </cell>
          <cell r="G763">
            <v>-8.1265930033877221E-3</v>
          </cell>
        </row>
        <row r="764">
          <cell r="B764">
            <v>39.796900000000001</v>
          </cell>
          <cell r="D764">
            <v>41068072.853978999</v>
          </cell>
          <cell r="E764">
            <v>2281833333</v>
          </cell>
          <cell r="F764">
            <v>-5.4878553221256029E-3</v>
          </cell>
          <cell r="G764">
            <v>-2.5818951027174481E-3</v>
          </cell>
        </row>
        <row r="765">
          <cell r="B765">
            <v>39.463999999999999</v>
          </cell>
          <cell r="D765">
            <v>34606652.656590998</v>
          </cell>
          <cell r="E765">
            <v>2432600000</v>
          </cell>
          <cell r="F765">
            <v>-8.400155878178231E-3</v>
          </cell>
          <cell r="G765">
            <v>-5.8300241971988576E-3</v>
          </cell>
        </row>
        <row r="766">
          <cell r="B766">
            <v>39.053699999999999</v>
          </cell>
          <cell r="D766">
            <v>38135292.786526002</v>
          </cell>
          <cell r="E766">
            <v>2375955556</v>
          </cell>
          <cell r="F766">
            <v>-1.0451241814167804E-2</v>
          </cell>
          <cell r="G766">
            <v>-9.2909153471455157E-3</v>
          </cell>
        </row>
        <row r="767">
          <cell r="B767">
            <v>39.707299999999996</v>
          </cell>
          <cell r="D767">
            <v>41568442.429949999</v>
          </cell>
          <cell r="E767">
            <v>2253561111</v>
          </cell>
          <cell r="F767">
            <v>1.6597427765386075E-2</v>
          </cell>
          <cell r="G767">
            <v>1.3334893478396E-2</v>
          </cell>
        </row>
        <row r="768">
          <cell r="B768">
            <v>39.8352</v>
          </cell>
          <cell r="D768">
            <v>32802237.828813002</v>
          </cell>
          <cell r="E768">
            <v>2191300000</v>
          </cell>
          <cell r="F768">
            <v>3.2158936475009479E-3</v>
          </cell>
          <cell r="G768">
            <v>1.5487500528907781E-3</v>
          </cell>
        </row>
        <row r="769">
          <cell r="B769">
            <v>39.430999999999997</v>
          </cell>
          <cell r="D769">
            <v>44484193.331635997</v>
          </cell>
          <cell r="E769">
            <v>2072261111</v>
          </cell>
          <cell r="F769">
            <v>-1.0198634562266058E-2</v>
          </cell>
          <cell r="G769">
            <v>4.7204915668688828E-3</v>
          </cell>
        </row>
        <row r="770">
          <cell r="B770">
            <v>40.4709</v>
          </cell>
          <cell r="D770">
            <v>36168297.698674001</v>
          </cell>
          <cell r="E770">
            <v>2320027778</v>
          </cell>
          <cell r="F770">
            <v>2.6030888367937804E-2</v>
          </cell>
          <cell r="G770">
            <v>1.5154358001382194E-2</v>
          </cell>
        </row>
        <row r="771">
          <cell r="B771">
            <v>40.512999999999998</v>
          </cell>
          <cell r="D771">
            <v>26996608.931603</v>
          </cell>
          <cell r="E771">
            <v>1985311111</v>
          </cell>
          <cell r="F771">
            <v>1.0397129254707262E-3</v>
          </cell>
          <cell r="G771">
            <v>-5.5067369293280901E-3</v>
          </cell>
        </row>
        <row r="772">
          <cell r="B772">
            <v>40.368600000000001</v>
          </cell>
          <cell r="D772">
            <v>49281821.135415003</v>
          </cell>
          <cell r="E772">
            <v>1925422222</v>
          </cell>
          <cell r="F772">
            <v>-3.5706552150277836E-3</v>
          </cell>
          <cell r="G772">
            <v>2.565158589374469E-3</v>
          </cell>
        </row>
        <row r="773">
          <cell r="B773">
            <v>36.630600000000001</v>
          </cell>
          <cell r="D773">
            <v>196988551.05181</v>
          </cell>
          <cell r="E773">
            <v>1849894444</v>
          </cell>
          <cell r="F773">
            <v>-9.7168298373318931E-2</v>
          </cell>
          <cell r="G773">
            <v>-1.347826914874784E-2</v>
          </cell>
        </row>
        <row r="774">
          <cell r="B774">
            <v>35.368699999999997</v>
          </cell>
          <cell r="D774">
            <v>102573840.34373</v>
          </cell>
          <cell r="E774">
            <v>2259738889</v>
          </cell>
          <cell r="F774">
            <v>-3.5056708442582664E-2</v>
          </cell>
          <cell r="G774">
            <v>-1.3587495823831957E-2</v>
          </cell>
        </row>
        <row r="775">
          <cell r="B775">
            <v>36.072899999999997</v>
          </cell>
          <cell r="D775">
            <v>74042617.214422002</v>
          </cell>
          <cell r="E775">
            <v>2292855556</v>
          </cell>
          <cell r="F775">
            <v>1.9714642676965429E-2</v>
          </cell>
          <cell r="G775">
            <v>9.4895341296701297E-3</v>
          </cell>
        </row>
        <row r="776">
          <cell r="B776">
            <v>34.694699999999997</v>
          </cell>
          <cell r="D776">
            <v>90833533.354468003</v>
          </cell>
          <cell r="E776">
            <v>2538138889</v>
          </cell>
          <cell r="F776">
            <v>-3.895495337228113E-2</v>
          </cell>
          <cell r="G776">
            <v>-1.3077094111243876E-2</v>
          </cell>
        </row>
        <row r="777">
          <cell r="B777">
            <v>35.4467</v>
          </cell>
          <cell r="D777">
            <v>58632139.534446001</v>
          </cell>
          <cell r="E777">
            <v>2226850000</v>
          </cell>
          <cell r="F777">
            <v>2.1443222252500387E-2</v>
          </cell>
          <cell r="G777">
            <v>1.2879177186226798E-2</v>
          </cell>
        </row>
        <row r="778">
          <cell r="B778">
            <v>35.721299999999999</v>
          </cell>
          <cell r="D778">
            <v>60649948.760182001</v>
          </cell>
          <cell r="E778">
            <v>2564388889</v>
          </cell>
          <cell r="F778">
            <v>7.716989735423967E-3</v>
          </cell>
          <cell r="G778">
            <v>1.4336212205417897E-2</v>
          </cell>
        </row>
        <row r="779">
          <cell r="B779">
            <v>35.927300000000002</v>
          </cell>
          <cell r="D779">
            <v>48460824.505662002</v>
          </cell>
          <cell r="E779">
            <v>2301066667</v>
          </cell>
          <cell r="F779">
            <v>5.7503026613879779E-3</v>
          </cell>
          <cell r="G779">
            <v>-4.164697065034053E-3</v>
          </cell>
        </row>
        <row r="780">
          <cell r="B780">
            <v>36.450800000000001</v>
          </cell>
          <cell r="D780">
            <v>42560489.366576001</v>
          </cell>
          <cell r="E780">
            <v>2123327778</v>
          </cell>
          <cell r="F780">
            <v>1.4465953903249961E-2</v>
          </cell>
          <cell r="G780">
            <v>1.0238806024834353E-2</v>
          </cell>
        </row>
        <row r="781">
          <cell r="B781">
            <v>36.417700000000004</v>
          </cell>
          <cell r="D781">
            <v>40312630.270701997</v>
          </cell>
          <cell r="E781">
            <v>2351650000</v>
          </cell>
          <cell r="F781">
            <v>-9.0848589655552752E-4</v>
          </cell>
          <cell r="G781">
            <v>-3.424003889146327E-3</v>
          </cell>
        </row>
        <row r="782">
          <cell r="B782">
            <v>36.374699999999997</v>
          </cell>
          <cell r="D782">
            <v>36541479.381042004</v>
          </cell>
          <cell r="E782">
            <v>1971966667</v>
          </cell>
          <cell r="F782">
            <v>-1.1814421560943751E-3</v>
          </cell>
          <cell r="G782">
            <v>-4.2562487923016503E-3</v>
          </cell>
        </row>
        <row r="783">
          <cell r="B783">
            <v>36.578800000000001</v>
          </cell>
          <cell r="D783">
            <v>34550879.144029997</v>
          </cell>
          <cell r="E783">
            <v>2038805556</v>
          </cell>
          <cell r="F783">
            <v>5.5953595782919233E-3</v>
          </cell>
          <cell r="G783">
            <v>1.0618932294575799E-2</v>
          </cell>
        </row>
        <row r="784">
          <cell r="B784">
            <v>36.391300000000001</v>
          </cell>
          <cell r="D784">
            <v>44556454.410213001</v>
          </cell>
          <cell r="E784">
            <v>1998255556</v>
          </cell>
          <cell r="F784">
            <v>-5.1391025272521876E-3</v>
          </cell>
          <cell r="G784">
            <v>-2.900568511630124E-5</v>
          </cell>
        </row>
        <row r="785">
          <cell r="B785">
            <v>37.001600000000003</v>
          </cell>
          <cell r="D785">
            <v>38740678.452224001</v>
          </cell>
          <cell r="E785">
            <v>2104638889</v>
          </cell>
          <cell r="F785">
            <v>1.6631419866500206E-2</v>
          </cell>
          <cell r="G785">
            <v>9.5983185809504629E-3</v>
          </cell>
        </row>
        <row r="786">
          <cell r="B786">
            <v>37.669800000000002</v>
          </cell>
          <cell r="D786">
            <v>46729053.664414003</v>
          </cell>
          <cell r="E786">
            <v>1959694444</v>
          </cell>
          <cell r="F786">
            <v>1.7897557472683043E-2</v>
          </cell>
          <cell r="G786">
            <v>4.0664545328546334E-3</v>
          </cell>
        </row>
        <row r="787">
          <cell r="B787">
            <v>37.685499999999998</v>
          </cell>
          <cell r="D787">
            <v>38961550.817281</v>
          </cell>
          <cell r="E787">
            <v>1867638889</v>
          </cell>
          <cell r="F787">
            <v>4.1669266069307368E-4</v>
          </cell>
          <cell r="G787">
            <v>1.5962531949234387E-3</v>
          </cell>
        </row>
        <row r="788">
          <cell r="B788">
            <v>37.643300000000004</v>
          </cell>
          <cell r="D788">
            <v>31349028.428771999</v>
          </cell>
          <cell r="E788">
            <v>1872233333</v>
          </cell>
          <cell r="F788">
            <v>-1.1204215230992997E-3</v>
          </cell>
          <cell r="G788">
            <v>-3.1428422028125343E-4</v>
          </cell>
        </row>
        <row r="789">
          <cell r="B789">
            <v>37.621000000000002</v>
          </cell>
          <cell r="D789">
            <v>31914598.833988</v>
          </cell>
          <cell r="E789">
            <v>1803944444</v>
          </cell>
          <cell r="F789">
            <v>-5.9257843765383349E-4</v>
          </cell>
          <cell r="G789">
            <v>-1.0626309930072469E-3</v>
          </cell>
        </row>
        <row r="790">
          <cell r="B790">
            <v>37.922800000000002</v>
          </cell>
          <cell r="D790">
            <v>34365074.595117003</v>
          </cell>
          <cell r="E790">
            <v>1823111111</v>
          </cell>
          <cell r="F790">
            <v>7.9901091981258426E-3</v>
          </cell>
          <cell r="G790">
            <v>6.1077963032981041E-3</v>
          </cell>
        </row>
        <row r="791">
          <cell r="B791">
            <v>38.177799999999998</v>
          </cell>
          <cell r="D791">
            <v>37602217.342673004</v>
          </cell>
          <cell r="E791">
            <v>1718711111</v>
          </cell>
          <cell r="F791">
            <v>6.7016805226336766E-3</v>
          </cell>
          <cell r="G791">
            <v>-3.0332041294573771E-4</v>
          </cell>
        </row>
        <row r="792">
          <cell r="B792">
            <v>38.127899999999997</v>
          </cell>
          <cell r="D792">
            <v>29221130.094829001</v>
          </cell>
          <cell r="E792">
            <v>1777688889</v>
          </cell>
          <cell r="F792">
            <v>-1.3078972373814029E-3</v>
          </cell>
          <cell r="G792">
            <v>2.7549400403308333E-3</v>
          </cell>
        </row>
        <row r="793">
          <cell r="B793">
            <v>38.0458</v>
          </cell>
          <cell r="D793">
            <v>34410291.519675002</v>
          </cell>
          <cell r="E793">
            <v>1840188889</v>
          </cell>
          <cell r="F793">
            <v>-2.1556004707812756E-3</v>
          </cell>
          <cell r="G793">
            <v>-7.6607701401540612E-4</v>
          </cell>
        </row>
        <row r="794">
          <cell r="B794">
            <v>38.101500000000001</v>
          </cell>
          <cell r="D794">
            <v>33483582.603916001</v>
          </cell>
          <cell r="E794">
            <v>1893716667</v>
          </cell>
          <cell r="F794">
            <v>1.4629542986883879E-3</v>
          </cell>
          <cell r="G794">
            <v>-1.477063185743682E-3</v>
          </cell>
        </row>
        <row r="795">
          <cell r="B795">
            <v>37.922800000000002</v>
          </cell>
          <cell r="D795">
            <v>39088204.277859002</v>
          </cell>
          <cell r="E795">
            <v>1970766667</v>
          </cell>
          <cell r="F795">
            <v>-4.701137113159528E-3</v>
          </cell>
          <cell r="G795">
            <v>-2.9606876752680299E-3</v>
          </cell>
        </row>
        <row r="796">
          <cell r="B796">
            <v>37.947099999999999</v>
          </cell>
          <cell r="D796">
            <v>36914768.564304002</v>
          </cell>
          <cell r="E796">
            <v>1894161111</v>
          </cell>
          <cell r="F796">
            <v>6.4057026122125386E-4</v>
          </cell>
          <cell r="G796">
            <v>6.1062889142892368E-3</v>
          </cell>
        </row>
        <row r="797">
          <cell r="B797">
            <v>37.428600000000003</v>
          </cell>
          <cell r="D797">
            <v>36711945.087801002</v>
          </cell>
          <cell r="E797">
            <v>1812388889</v>
          </cell>
          <cell r="F797">
            <v>-1.3757966520205098E-2</v>
          </cell>
          <cell r="G797">
            <v>-4.5489372363725104E-3</v>
          </cell>
        </row>
        <row r="798">
          <cell r="B798">
            <v>37.236199999999997</v>
          </cell>
          <cell r="D798">
            <v>29773948.846126001</v>
          </cell>
          <cell r="E798">
            <v>1900616667</v>
          </cell>
          <cell r="F798">
            <v>-5.1537116782495243E-3</v>
          </cell>
          <cell r="G798">
            <v>-4.3981612914209805E-3</v>
          </cell>
        </row>
        <row r="799">
          <cell r="B799">
            <v>37.283000000000001</v>
          </cell>
          <cell r="D799">
            <v>26819402.406745002</v>
          </cell>
          <cell r="E799">
            <v>1723905556</v>
          </cell>
          <cell r="F799">
            <v>1.2560522966674026E-3</v>
          </cell>
          <cell r="G799">
            <v>1.1953606197183842E-3</v>
          </cell>
        </row>
        <row r="800">
          <cell r="B800">
            <v>36.631599999999999</v>
          </cell>
          <cell r="D800">
            <v>41915559.752180003</v>
          </cell>
          <cell r="E800">
            <v>2140872222</v>
          </cell>
          <cell r="F800">
            <v>-1.7626202802231122E-2</v>
          </cell>
          <cell r="G800">
            <v>-1.4275342485307393E-2</v>
          </cell>
        </row>
        <row r="801">
          <cell r="B801">
            <v>37.057299999999998</v>
          </cell>
          <cell r="D801">
            <v>37127417.622714996</v>
          </cell>
          <cell r="E801">
            <v>1860605556</v>
          </cell>
          <cell r="F801">
            <v>1.1554107492708529E-2</v>
          </cell>
          <cell r="G801">
            <v>3.9366999468925627E-3</v>
          </cell>
        </row>
        <row r="802">
          <cell r="B802">
            <v>36.347299999999997</v>
          </cell>
          <cell r="D802">
            <v>45281642.14604</v>
          </cell>
          <cell r="E802">
            <v>2038277778</v>
          </cell>
          <cell r="F802">
            <v>-1.9345440006569709E-2</v>
          </cell>
          <cell r="G802">
            <v>-1.7106870531886451E-2</v>
          </cell>
        </row>
        <row r="803">
          <cell r="B803">
            <v>36.308199999999999</v>
          </cell>
          <cell r="D803">
            <v>37251604.705590002</v>
          </cell>
          <cell r="E803">
            <v>1892538889</v>
          </cell>
          <cell r="F803">
            <v>-1.0763122894923947E-3</v>
          </cell>
          <cell r="G803">
            <v>-1.9194991693251124E-3</v>
          </cell>
        </row>
        <row r="804">
          <cell r="B804">
            <v>35.629199999999997</v>
          </cell>
          <cell r="D804">
            <v>69407379.240557</v>
          </cell>
          <cell r="E804">
            <v>1892144444</v>
          </cell>
          <cell r="F804">
            <v>-1.8878084700485836E-2</v>
          </cell>
          <cell r="G804">
            <v>1.2522721054237218E-2</v>
          </cell>
        </row>
        <row r="805">
          <cell r="B805">
            <v>35.784799999999997</v>
          </cell>
          <cell r="D805">
            <v>67076199.783437997</v>
          </cell>
          <cell r="E805">
            <v>1943644444</v>
          </cell>
          <cell r="F805">
            <v>4.3576958644134713E-3</v>
          </cell>
          <cell r="G805">
            <v>-6.0932131665859804E-3</v>
          </cell>
        </row>
        <row r="806">
          <cell r="B806">
            <v>35.941899999999997</v>
          </cell>
          <cell r="D806">
            <v>40787786.279344998</v>
          </cell>
          <cell r="E806">
            <v>1830888889</v>
          </cell>
          <cell r="F806">
            <v>4.3805236046198315E-3</v>
          </cell>
          <cell r="G806">
            <v>1.3442889619502027E-2</v>
          </cell>
        </row>
        <row r="807">
          <cell r="B807">
            <v>36.054200000000002</v>
          </cell>
          <cell r="D807">
            <v>36624989.148630001</v>
          </cell>
          <cell r="E807">
            <v>1789911111</v>
          </cell>
          <cell r="F807">
            <v>3.1196159535120528E-3</v>
          </cell>
          <cell r="G807">
            <v>-3.3257399856237396E-3</v>
          </cell>
        </row>
        <row r="808">
          <cell r="B808">
            <v>36.757399999999997</v>
          </cell>
          <cell r="D808">
            <v>51103779.085626997</v>
          </cell>
          <cell r="E808">
            <v>2293450000</v>
          </cell>
          <cell r="F808">
            <v>1.9316204133586451E-2</v>
          </cell>
          <cell r="G808">
            <v>1.2085115625505266E-2</v>
          </cell>
        </row>
        <row r="809">
          <cell r="B809">
            <v>36.562199999999997</v>
          </cell>
          <cell r="D809">
            <v>39175397.742821999</v>
          </cell>
          <cell r="E809">
            <v>1836233333</v>
          </cell>
          <cell r="F809">
            <v>-5.3246461025421221E-3</v>
          </cell>
          <cell r="G809">
            <v>-4.8844984753110381E-3</v>
          </cell>
        </row>
        <row r="810">
          <cell r="B810">
            <v>37.082799999999999</v>
          </cell>
          <cell r="D810">
            <v>83145521.789042994</v>
          </cell>
          <cell r="E810">
            <v>3085622222</v>
          </cell>
          <cell r="F810">
            <v>1.4138330422137853E-2</v>
          </cell>
          <cell r="G810">
            <v>8.9723452173247273E-3</v>
          </cell>
        </row>
        <row r="811">
          <cell r="B811">
            <v>37.057299999999998</v>
          </cell>
          <cell r="D811">
            <v>30349107.307459</v>
          </cell>
          <cell r="E811">
            <v>1815533333</v>
          </cell>
          <cell r="F811">
            <v>-6.8788687917948851E-4</v>
          </cell>
          <cell r="G811">
            <v>-1.7471731581735757E-3</v>
          </cell>
        </row>
        <row r="812">
          <cell r="B812">
            <v>37.099200000000003</v>
          </cell>
          <cell r="D812">
            <v>29501750.434151001</v>
          </cell>
          <cell r="E812">
            <v>1772122222</v>
          </cell>
          <cell r="F812">
            <v>1.1300426654129408E-3</v>
          </cell>
          <cell r="G812">
            <v>-6.1583828258348948E-3</v>
          </cell>
        </row>
        <row r="813">
          <cell r="B813">
            <v>35.855899999999998</v>
          </cell>
          <cell r="D813">
            <v>50265671.384660996</v>
          </cell>
          <cell r="E813">
            <v>1956188889</v>
          </cell>
          <cell r="F813">
            <v>-3.4087277917409085E-2</v>
          </cell>
          <cell r="G813">
            <v>-1.4665950218136469E-2</v>
          </cell>
        </row>
        <row r="814">
          <cell r="B814">
            <v>35.639099999999999</v>
          </cell>
          <cell r="D814">
            <v>43357393.509772003</v>
          </cell>
          <cell r="E814">
            <v>1950372222</v>
          </cell>
          <cell r="F814">
            <v>-6.0647783626645744E-3</v>
          </cell>
          <cell r="G814">
            <v>-2.380259551864185E-3</v>
          </cell>
        </row>
        <row r="815">
          <cell r="B815">
            <v>35.430100000000003</v>
          </cell>
          <cell r="D815">
            <v>39779465.754676998</v>
          </cell>
          <cell r="E815">
            <v>1671416667</v>
          </cell>
          <cell r="F815">
            <v>-5.8816084182720402E-3</v>
          </cell>
          <cell r="G815">
            <v>2.3657037582941712E-3</v>
          </cell>
        </row>
        <row r="816">
          <cell r="B816">
            <v>35.4223</v>
          </cell>
          <cell r="D816">
            <v>40528998.860120997</v>
          </cell>
          <cell r="E816">
            <v>1620938889</v>
          </cell>
          <cell r="F816">
            <v>-2.2017602880109412E-4</v>
          </cell>
          <cell r="G816">
            <v>1.2162396804615399E-2</v>
          </cell>
        </row>
        <row r="817">
          <cell r="B817">
            <v>35.157499999999999</v>
          </cell>
          <cell r="D817">
            <v>40341231.651988998</v>
          </cell>
          <cell r="E817">
            <v>1875861111</v>
          </cell>
          <cell r="F817">
            <v>-7.5035985491668259E-3</v>
          </cell>
          <cell r="G817">
            <v>-8.8346389509214723E-3</v>
          </cell>
        </row>
        <row r="818">
          <cell r="B818">
            <v>35.216099999999997</v>
          </cell>
          <cell r="D818">
            <v>42628551.767293997</v>
          </cell>
          <cell r="E818">
            <v>1968483333</v>
          </cell>
          <cell r="F818">
            <v>1.6653976361636594E-3</v>
          </cell>
          <cell r="G818">
            <v>-3.9732777015764314E-3</v>
          </cell>
        </row>
        <row r="819">
          <cell r="B819">
            <v>34.842100000000002</v>
          </cell>
          <cell r="D819">
            <v>43347909.883092999</v>
          </cell>
          <cell r="E819">
            <v>1719977778</v>
          </cell>
          <cell r="F819">
            <v>-1.0676938685274797E-2</v>
          </cell>
          <cell r="G819">
            <v>3.5234427543923289E-3</v>
          </cell>
        </row>
        <row r="820">
          <cell r="B820">
            <v>35.924399999999999</v>
          </cell>
          <cell r="D820">
            <v>45355531.09533</v>
          </cell>
          <cell r="E820">
            <v>1834983333</v>
          </cell>
          <cell r="F820">
            <v>3.059030465108525E-2</v>
          </cell>
          <cell r="G820">
            <v>6.586997425284128E-3</v>
          </cell>
        </row>
        <row r="821">
          <cell r="B821">
            <v>35.916600000000003</v>
          </cell>
          <cell r="D821">
            <v>33312956.157721002</v>
          </cell>
          <cell r="E821">
            <v>1703061111</v>
          </cell>
          <cell r="F821">
            <v>-2.1714619870668182E-4</v>
          </cell>
          <cell r="G821">
            <v>-2.0640140117176337E-3</v>
          </cell>
        </row>
        <row r="822">
          <cell r="B822">
            <v>35.820799999999998</v>
          </cell>
          <cell r="D822">
            <v>28623166.086238001</v>
          </cell>
          <cell r="E822">
            <v>1814072222</v>
          </cell>
          <cell r="F822">
            <v>-2.6708538906844055E-3</v>
          </cell>
          <cell r="G822">
            <v>2.6790260911049436E-3</v>
          </cell>
        </row>
        <row r="823">
          <cell r="B823">
            <v>35.874499999999998</v>
          </cell>
          <cell r="D823">
            <v>29744442.409674998</v>
          </cell>
          <cell r="E823">
            <v>1762422222</v>
          </cell>
          <cell r="F823">
            <v>1.4980064255817145E-3</v>
          </cell>
          <cell r="G823">
            <v>4.4475616557317519E-3</v>
          </cell>
        </row>
        <row r="824">
          <cell r="B824">
            <v>36.0777</v>
          </cell>
          <cell r="D824">
            <v>32402756.308157001</v>
          </cell>
          <cell r="E824">
            <v>1753444444</v>
          </cell>
          <cell r="F824">
            <v>5.6482092336703534E-3</v>
          </cell>
          <cell r="G824">
            <v>5.1893163356351961E-3</v>
          </cell>
        </row>
        <row r="825">
          <cell r="B825">
            <v>36.112900000000003</v>
          </cell>
          <cell r="D825">
            <v>35009819.922259003</v>
          </cell>
          <cell r="E825">
            <v>1615788889</v>
          </cell>
          <cell r="F825">
            <v>9.7519629396703757E-4</v>
          </cell>
          <cell r="G825">
            <v>-4.5917462766684588E-3</v>
          </cell>
        </row>
        <row r="826">
          <cell r="B826">
            <v>36.018000000000001</v>
          </cell>
          <cell r="D826">
            <v>28034478.893077001</v>
          </cell>
          <cell r="E826">
            <v>1834038889</v>
          </cell>
          <cell r="F826">
            <v>-2.6313287303065566E-3</v>
          </cell>
          <cell r="G826">
            <v>1.6283576529126241E-3</v>
          </cell>
        </row>
        <row r="827">
          <cell r="B827">
            <v>36.547499999999999</v>
          </cell>
          <cell r="D827">
            <v>31588467.734324001</v>
          </cell>
          <cell r="E827">
            <v>2229866667</v>
          </cell>
          <cell r="F827">
            <v>1.4593970905872698E-2</v>
          </cell>
          <cell r="G827">
            <v>5.1350866086935787E-3</v>
          </cell>
        </row>
        <row r="828">
          <cell r="B828">
            <v>36.459699999999998</v>
          </cell>
          <cell r="D828">
            <v>26028644.243353002</v>
          </cell>
          <cell r="E828">
            <v>1907844444</v>
          </cell>
          <cell r="F828">
            <v>-2.4052433822512663E-3</v>
          </cell>
          <cell r="G828">
            <v>-7.7879774665911791E-4</v>
          </cell>
        </row>
        <row r="829">
          <cell r="B829">
            <v>35.992800000000003</v>
          </cell>
          <cell r="D829">
            <v>49014168.475620002</v>
          </cell>
          <cell r="E829">
            <v>2015333333</v>
          </cell>
          <cell r="F829">
            <v>-1.2888622567939625E-2</v>
          </cell>
          <cell r="G829">
            <v>-1.1375675981876396E-2</v>
          </cell>
        </row>
        <row r="830">
          <cell r="B830">
            <v>37.099200000000003</v>
          </cell>
          <cell r="D830">
            <v>53257919.924048997</v>
          </cell>
          <cell r="E830">
            <v>1666755556</v>
          </cell>
          <cell r="F830">
            <v>3.0276487585136368E-2</v>
          </cell>
          <cell r="G830">
            <v>9.1927622342074314E-3</v>
          </cell>
        </row>
        <row r="831">
          <cell r="B831">
            <v>36.870800000000003</v>
          </cell>
          <cell r="D831">
            <v>30079989.564025</v>
          </cell>
          <cell r="E831">
            <v>1801894444</v>
          </cell>
          <cell r="F831">
            <v>-6.1754961705846132E-3</v>
          </cell>
          <cell r="G831">
            <v>-1.4817676241149391E-3</v>
          </cell>
        </row>
        <row r="832">
          <cell r="B832">
            <v>37.178699999999999</v>
          </cell>
          <cell r="D832">
            <v>28980308.634897999</v>
          </cell>
          <cell r="E832">
            <v>1860266667</v>
          </cell>
          <cell r="F832">
            <v>8.3161067790470996E-3</v>
          </cell>
          <cell r="G832">
            <v>5.0746200095614369E-3</v>
          </cell>
        </row>
        <row r="833">
          <cell r="B833">
            <v>37.480200000000004</v>
          </cell>
          <cell r="D833">
            <v>53549188.994999997</v>
          </cell>
          <cell r="E833">
            <v>2020372222</v>
          </cell>
          <cell r="F833">
            <v>8.0767768882380776E-3</v>
          </cell>
          <cell r="G833">
            <v>2.3549546644853884E-3</v>
          </cell>
        </row>
        <row r="834">
          <cell r="B834">
            <v>41.396799999999999</v>
          </cell>
          <cell r="D834">
            <v>151402882.03799</v>
          </cell>
          <cell r="E834">
            <v>1875433333</v>
          </cell>
          <cell r="F834">
            <v>9.9390789622610373E-2</v>
          </cell>
          <cell r="G834">
            <v>2.2502621405813723E-3</v>
          </cell>
        </row>
        <row r="835">
          <cell r="B835">
            <v>41.535699999999999</v>
          </cell>
          <cell r="D835">
            <v>68510519.740297005</v>
          </cell>
          <cell r="E835">
            <v>1910416667</v>
          </cell>
          <cell r="F835">
            <v>3.3497152474200329E-3</v>
          </cell>
          <cell r="G835">
            <v>-4.1499038644162989E-3</v>
          </cell>
        </row>
        <row r="836">
          <cell r="B836">
            <v>42.508400000000002</v>
          </cell>
          <cell r="D836">
            <v>70224986.008717999</v>
          </cell>
          <cell r="E836">
            <v>1970150000</v>
          </cell>
          <cell r="F836">
            <v>2.3148405054277829E-2</v>
          </cell>
          <cell r="G836">
            <v>2.7653627744773542E-3</v>
          </cell>
        </row>
        <row r="837">
          <cell r="B837">
            <v>42.428600000000003</v>
          </cell>
          <cell r="D837">
            <v>55277907.834615</v>
          </cell>
          <cell r="E837">
            <v>2263872222</v>
          </cell>
          <cell r="F837">
            <v>-1.8790403117549979E-3</v>
          </cell>
          <cell r="G837">
            <v>-3.7473898615125326E-3</v>
          </cell>
        </row>
        <row r="838">
          <cell r="B838">
            <v>42.063099999999999</v>
          </cell>
          <cell r="D838">
            <v>74844096.800522998</v>
          </cell>
          <cell r="E838">
            <v>2505377778</v>
          </cell>
          <cell r="F838">
            <v>-8.6517913572533803E-3</v>
          </cell>
          <cell r="G838">
            <v>-1.0180511364075624E-2</v>
          </cell>
        </row>
        <row r="839">
          <cell r="B839">
            <v>42.071100000000001</v>
          </cell>
          <cell r="D839">
            <v>45024475.430802003</v>
          </cell>
          <cell r="E839">
            <v>1877438889</v>
          </cell>
          <cell r="F839">
            <v>1.901723680527691E-4</v>
          </cell>
          <cell r="G839">
            <v>1.0863762718014008E-2</v>
          </cell>
        </row>
        <row r="840">
          <cell r="B840">
            <v>41.719299999999997</v>
          </cell>
          <cell r="D840">
            <v>39360873.646137998</v>
          </cell>
          <cell r="E840">
            <v>1717544444</v>
          </cell>
          <cell r="F840">
            <v>-8.3971926903117864E-3</v>
          </cell>
          <cell r="G840">
            <v>2.9364562942421689E-3</v>
          </cell>
        </row>
        <row r="841">
          <cell r="B841">
            <v>41.1646</v>
          </cell>
          <cell r="D841">
            <v>58243440.865580998</v>
          </cell>
          <cell r="E841">
            <v>2107750000</v>
          </cell>
          <cell r="F841">
            <v>-1.3385187757732385E-2</v>
          </cell>
          <cell r="G841">
            <v>-1.1907989281938557E-2</v>
          </cell>
        </row>
        <row r="842">
          <cell r="B842">
            <v>40.024900000000002</v>
          </cell>
          <cell r="D842">
            <v>60627680.717407003</v>
          </cell>
          <cell r="E842">
            <v>2106783333</v>
          </cell>
          <cell r="F842">
            <v>-2.8076903269406903E-2</v>
          </cell>
          <cell r="G842">
            <v>-4.4656528892180703E-3</v>
          </cell>
        </row>
        <row r="843">
          <cell r="B843">
            <v>40.387099999999997</v>
          </cell>
          <cell r="D843">
            <v>38125741.587857001</v>
          </cell>
          <cell r="E843">
            <v>2042577778</v>
          </cell>
          <cell r="F843">
            <v>9.0086666059173599E-3</v>
          </cell>
          <cell r="G843">
            <v>3.7666635227395196E-3</v>
          </cell>
        </row>
        <row r="844">
          <cell r="B844">
            <v>41.293399999999998</v>
          </cell>
          <cell r="D844">
            <v>40893590.708976001</v>
          </cell>
          <cell r="E844">
            <v>1888577778</v>
          </cell>
          <cell r="F844">
            <v>2.2192253854102065E-2</v>
          </cell>
          <cell r="G844">
            <v>1.336810183819619E-2</v>
          </cell>
        </row>
        <row r="845">
          <cell r="B845">
            <v>40.964199999999998</v>
          </cell>
          <cell r="D845">
            <v>28456652.317184001</v>
          </cell>
          <cell r="E845">
            <v>1662594444</v>
          </cell>
          <cell r="F845">
            <v>-8.0041663642189138E-3</v>
          </cell>
          <cell r="G845">
            <v>-5.102547415113407E-3</v>
          </cell>
        </row>
        <row r="846">
          <cell r="B846">
            <v>40.944800000000001</v>
          </cell>
          <cell r="D846">
            <v>34606914.754014</v>
          </cell>
          <cell r="E846">
            <v>1744177778</v>
          </cell>
          <cell r="F846">
            <v>-4.7369642805456181E-4</v>
          </cell>
          <cell r="G846">
            <v>-2.9540151581351707E-3</v>
          </cell>
        </row>
        <row r="847">
          <cell r="B847">
            <v>41.186</v>
          </cell>
          <cell r="D847">
            <v>39528787.998297997</v>
          </cell>
          <cell r="E847">
            <v>1874588889</v>
          </cell>
          <cell r="F847">
            <v>5.8735746742289456E-3</v>
          </cell>
          <cell r="G847">
            <v>-3.0493615635559612E-4</v>
          </cell>
        </row>
        <row r="848">
          <cell r="B848">
            <v>42.133299999999998</v>
          </cell>
          <cell r="D848">
            <v>38136779.370347001</v>
          </cell>
          <cell r="E848">
            <v>1792077778</v>
          </cell>
          <cell r="F848">
            <v>2.2740009121937466E-2</v>
          </cell>
          <cell r="G848">
            <v>1.0721548914049037E-2</v>
          </cell>
        </row>
        <row r="849">
          <cell r="B849">
            <v>41.762099999999997</v>
          </cell>
          <cell r="D849">
            <v>33120423.076524999</v>
          </cell>
          <cell r="E849">
            <v>1717822222</v>
          </cell>
          <cell r="F849">
            <v>-8.8491722387555004E-3</v>
          </cell>
          <cell r="G849">
            <v>7.6817406925065615E-4</v>
          </cell>
        </row>
        <row r="850">
          <cell r="B850">
            <v>41.520200000000003</v>
          </cell>
          <cell r="D850">
            <v>27900535.847922001</v>
          </cell>
          <cell r="E850">
            <v>1604550000</v>
          </cell>
          <cell r="F850">
            <v>-5.8091738646225662E-3</v>
          </cell>
          <cell r="G850">
            <v>3.0433262041808752E-3</v>
          </cell>
        </row>
        <row r="851">
          <cell r="B851">
            <v>41.4146</v>
          </cell>
          <cell r="D851">
            <v>32828642.096544001</v>
          </cell>
          <cell r="E851">
            <v>1831127778</v>
          </cell>
          <cell r="F851">
            <v>-2.5465801344819175E-3</v>
          </cell>
          <cell r="G851">
            <v>-6.4364124626619236E-4</v>
          </cell>
        </row>
        <row r="852">
          <cell r="B852">
            <v>41.4146</v>
          </cell>
          <cell r="D852">
            <v>28776708.080488998</v>
          </cell>
          <cell r="E852">
            <v>1681044444</v>
          </cell>
          <cell r="F852">
            <v>0</v>
          </cell>
          <cell r="G852">
            <v>-9.3095867249196713E-4</v>
          </cell>
        </row>
        <row r="853">
          <cell r="B853">
            <v>41.276000000000003</v>
          </cell>
          <cell r="D853">
            <v>25746782.012726001</v>
          </cell>
          <cell r="E853">
            <v>1705811111</v>
          </cell>
          <cell r="F853">
            <v>-3.3522584137658982E-3</v>
          </cell>
          <cell r="G853">
            <v>2.3351597649989828E-3</v>
          </cell>
        </row>
        <row r="854">
          <cell r="B854">
            <v>40.825699999999998</v>
          </cell>
          <cell r="D854">
            <v>29549416.331507001</v>
          </cell>
          <cell r="E854">
            <v>1428811111</v>
          </cell>
          <cell r="F854">
            <v>-1.0969432187537102E-2</v>
          </cell>
          <cell r="G854">
            <v>-2.2363806280129898E-3</v>
          </cell>
        </row>
        <row r="855">
          <cell r="B855">
            <v>40.554099999999998</v>
          </cell>
          <cell r="D855">
            <v>33964656.280936003</v>
          </cell>
          <cell r="E855">
            <v>1856738889</v>
          </cell>
          <cell r="F855">
            <v>-6.674899874693923E-3</v>
          </cell>
          <cell r="G855">
            <v>-1.0335154142642595E-2</v>
          </cell>
        </row>
        <row r="856">
          <cell r="B856">
            <v>41.439100000000003</v>
          </cell>
          <cell r="D856">
            <v>31404949.371134002</v>
          </cell>
          <cell r="E856">
            <v>1737755556</v>
          </cell>
          <cell r="F856">
            <v>2.1587994377430166E-2</v>
          </cell>
          <cell r="G856">
            <v>9.1209049217876367E-3</v>
          </cell>
        </row>
        <row r="857">
          <cell r="B857">
            <v>41.301099999999998</v>
          </cell>
          <cell r="D857">
            <v>22154294.541019</v>
          </cell>
          <cell r="E857">
            <v>1655750000</v>
          </cell>
          <cell r="F857">
            <v>-3.3357455738024372E-3</v>
          </cell>
          <cell r="G857">
            <v>-1.2675915340863882E-3</v>
          </cell>
        </row>
        <row r="858">
          <cell r="B858">
            <v>40.789400000000001</v>
          </cell>
          <cell r="D858">
            <v>41956023.089493997</v>
          </cell>
          <cell r="E858">
            <v>2181883333</v>
          </cell>
          <cell r="F858">
            <v>-1.2466890261202707E-2</v>
          </cell>
          <cell r="G858">
            <v>-6.3384457913584413E-3</v>
          </cell>
        </row>
        <row r="859">
          <cell r="B859">
            <v>41.111800000000002</v>
          </cell>
          <cell r="D859">
            <v>33130239.44407</v>
          </cell>
          <cell r="E859">
            <v>1673172222</v>
          </cell>
          <cell r="F859">
            <v>7.8729411847526902E-3</v>
          </cell>
          <cell r="G859">
            <v>2.0573017741854285E-3</v>
          </cell>
        </row>
        <row r="860">
          <cell r="B860">
            <v>40.844000000000001</v>
          </cell>
          <cell r="D860">
            <v>24697668.481332</v>
          </cell>
          <cell r="E860">
            <v>1694083333</v>
          </cell>
          <cell r="F860">
            <v>-6.5352532251231141E-3</v>
          </cell>
          <cell r="G860">
            <v>-1.0091607056388198E-3</v>
          </cell>
        </row>
        <row r="861">
          <cell r="B861">
            <v>40.779800000000002</v>
          </cell>
          <cell r="D861">
            <v>32170670.063903</v>
          </cell>
          <cell r="E861">
            <v>1722211111</v>
          </cell>
          <cell r="F861">
            <v>-1.5730709238936345E-3</v>
          </cell>
          <cell r="G861">
            <v>2.1166434256780875E-3</v>
          </cell>
        </row>
        <row r="862">
          <cell r="B862">
            <v>40.354799999999997</v>
          </cell>
          <cell r="D862">
            <v>31875869.844466999</v>
          </cell>
          <cell r="E862">
            <v>1777805556</v>
          </cell>
          <cell r="F862">
            <v>-1.0476514020707168E-2</v>
          </cell>
          <cell r="G862">
            <v>-8.6605718154161154E-3</v>
          </cell>
        </row>
        <row r="863">
          <cell r="B863">
            <v>40.162599999999998</v>
          </cell>
          <cell r="D863">
            <v>29224861.911653001</v>
          </cell>
          <cell r="E863">
            <v>1802050000</v>
          </cell>
          <cell r="F863">
            <v>-4.7741324249709893E-3</v>
          </cell>
          <cell r="G863">
            <v>-1.4372106268171129E-3</v>
          </cell>
        </row>
        <row r="864">
          <cell r="B864">
            <v>39.801900000000003</v>
          </cell>
          <cell r="D864">
            <v>25414761.911587</v>
          </cell>
          <cell r="E864">
            <v>1620638889</v>
          </cell>
          <cell r="F864">
            <v>-9.0215644793155674E-3</v>
          </cell>
          <cell r="G864">
            <v>-6.4955370983836944E-3</v>
          </cell>
        </row>
        <row r="865">
          <cell r="B865">
            <v>39.735599999999998</v>
          </cell>
          <cell r="D865">
            <v>28039146.479605999</v>
          </cell>
          <cell r="E865">
            <v>1685877778</v>
          </cell>
          <cell r="F865">
            <v>-1.6671385285159897E-3</v>
          </cell>
          <cell r="G865">
            <v>4.1832655565178788E-4</v>
          </cell>
        </row>
        <row r="866">
          <cell r="B866">
            <v>40.5717</v>
          </cell>
          <cell r="D866">
            <v>32647417.085806001</v>
          </cell>
          <cell r="E866">
            <v>1896844444</v>
          </cell>
          <cell r="F866">
            <v>2.0823267908470545E-2</v>
          </cell>
          <cell r="G866">
            <v>1.1970467999834084E-2</v>
          </cell>
        </row>
        <row r="867">
          <cell r="B867">
            <v>40.423000000000002</v>
          </cell>
          <cell r="D867">
            <v>31418915.273270998</v>
          </cell>
          <cell r="E867">
            <v>1738111111</v>
          </cell>
          <cell r="F867">
            <v>-3.671849320272228E-3</v>
          </cell>
          <cell r="G867">
            <v>1.7370426241117387E-3</v>
          </cell>
        </row>
        <row r="868">
          <cell r="B868">
            <v>40.014000000000003</v>
          </cell>
          <cell r="D868">
            <v>27476286.120790001</v>
          </cell>
          <cell r="E868">
            <v>1510777778</v>
          </cell>
          <cell r="F868">
            <v>-1.0169537025862435E-2</v>
          </cell>
          <cell r="G868">
            <v>-7.018875011890289E-3</v>
          </cell>
        </row>
        <row r="869">
          <cell r="B869">
            <v>39.579300000000003</v>
          </cell>
          <cell r="D869">
            <v>38204972.819776997</v>
          </cell>
          <cell r="E869">
            <v>1700872222</v>
          </cell>
          <cell r="F869">
            <v>-1.0923138560046801E-2</v>
          </cell>
          <cell r="G869">
            <v>-4.6332055293856079E-3</v>
          </cell>
        </row>
        <row r="870">
          <cell r="B870">
            <v>39.892800000000001</v>
          </cell>
          <cell r="D870">
            <v>31100154.639812</v>
          </cell>
          <cell r="E870">
            <v>1622166667</v>
          </cell>
          <cell r="F870">
            <v>7.8896021665571629E-3</v>
          </cell>
          <cell r="G870">
            <v>5.6736790864062693E-3</v>
          </cell>
        </row>
        <row r="871">
          <cell r="B871">
            <v>40.014000000000003</v>
          </cell>
          <cell r="D871">
            <v>32977057.833776001</v>
          </cell>
          <cell r="E871">
            <v>1790133333</v>
          </cell>
          <cell r="F871">
            <v>3.0335363934897185E-3</v>
          </cell>
          <cell r="G871">
            <v>1.9777309251246271E-3</v>
          </cell>
        </row>
        <row r="872">
          <cell r="B872">
            <v>40.666499999999999</v>
          </cell>
          <cell r="D872">
            <v>37520020.109834999</v>
          </cell>
          <cell r="E872">
            <v>1955755556</v>
          </cell>
          <cell r="F872">
            <v>1.6175264817868459E-2</v>
          </cell>
          <cell r="G872">
            <v>9.853976761801558E-3</v>
          </cell>
        </row>
        <row r="873">
          <cell r="B873">
            <v>40.126199999999997</v>
          </cell>
          <cell r="D873">
            <v>73340175.644402996</v>
          </cell>
          <cell r="E873">
            <v>2472116667</v>
          </cell>
          <cell r="F873">
            <v>-1.3375170151048573E-2</v>
          </cell>
          <cell r="G873">
            <v>-5.3176152134035261E-3</v>
          </cell>
        </row>
        <row r="874">
          <cell r="B874">
            <v>40.2348</v>
          </cell>
          <cell r="D874">
            <v>23342668.828565001</v>
          </cell>
          <cell r="E874">
            <v>1683344444</v>
          </cell>
          <cell r="F874">
            <v>2.7028052441273507E-3</v>
          </cell>
          <cell r="G874">
            <v>6.0763173508369944E-3</v>
          </cell>
        </row>
        <row r="875">
          <cell r="B875">
            <v>39.959099999999999</v>
          </cell>
          <cell r="D875">
            <v>29751583.540633999</v>
          </cell>
          <cell r="E875">
            <v>1717327778</v>
          </cell>
          <cell r="F875">
            <v>-6.8758617849771827E-3</v>
          </cell>
          <cell r="G875">
            <v>6.3573541421357567E-4</v>
          </cell>
        </row>
        <row r="876">
          <cell r="B876">
            <v>39.716999999999999</v>
          </cell>
          <cell r="D876">
            <v>40084981.253913999</v>
          </cell>
          <cell r="E876">
            <v>1723600000</v>
          </cell>
          <cell r="F876">
            <v>-6.0771233805648637E-3</v>
          </cell>
          <cell r="G876">
            <v>-7.3805257559009111E-3</v>
          </cell>
        </row>
        <row r="877">
          <cell r="B877">
            <v>39.735599999999998</v>
          </cell>
          <cell r="D877">
            <v>23684913.800655</v>
          </cell>
          <cell r="E877">
            <v>1785894444</v>
          </cell>
          <cell r="F877">
            <v>4.6820369225890487E-4</v>
          </cell>
          <cell r="G877">
            <v>-2.977994976722945E-3</v>
          </cell>
        </row>
        <row r="878">
          <cell r="B878">
            <v>39.3919</v>
          </cell>
          <cell r="D878">
            <v>57253980.093373999</v>
          </cell>
          <cell r="E878">
            <v>2791927778</v>
          </cell>
          <cell r="F878">
            <v>-8.6872999035825377E-3</v>
          </cell>
          <cell r="G878">
            <v>-3.9012322679491675E-4</v>
          </cell>
        </row>
        <row r="879">
          <cell r="B879">
            <v>38.622100000000003</v>
          </cell>
          <cell r="D879">
            <v>39155315.551601999</v>
          </cell>
          <cell r="E879">
            <v>2043866667</v>
          </cell>
          <cell r="F879">
            <v>-1.9735559919257319E-2</v>
          </cell>
          <cell r="G879">
            <v>-2.1086921949260151E-2</v>
          </cell>
        </row>
        <row r="880">
          <cell r="B880">
            <v>38.431699999999999</v>
          </cell>
          <cell r="D880">
            <v>41296438.543408997</v>
          </cell>
          <cell r="E880">
            <v>2265855556</v>
          </cell>
          <cell r="F880">
            <v>-4.9420116209465282E-3</v>
          </cell>
          <cell r="G880">
            <v>2.654858078183291E-3</v>
          </cell>
        </row>
        <row r="881">
          <cell r="B881">
            <v>38.6798</v>
          </cell>
          <cell r="D881">
            <v>32563349.337377999</v>
          </cell>
          <cell r="E881">
            <v>2070700000</v>
          </cell>
          <cell r="F881">
            <v>6.4348600688069937E-3</v>
          </cell>
          <cell r="G881">
            <v>6.9121861093133178E-3</v>
          </cell>
        </row>
        <row r="882">
          <cell r="B882">
            <v>38.647500000000001</v>
          </cell>
          <cell r="D882">
            <v>24990140.538500998</v>
          </cell>
          <cell r="E882">
            <v>1664744444</v>
          </cell>
          <cell r="F882">
            <v>-8.3541005255683884E-4</v>
          </cell>
          <cell r="G882">
            <v>-3.0812190316463852E-4</v>
          </cell>
        </row>
        <row r="883">
          <cell r="B883">
            <v>38.637700000000002</v>
          </cell>
          <cell r="D883">
            <v>26462869.029828999</v>
          </cell>
          <cell r="E883">
            <v>1936866667</v>
          </cell>
          <cell r="F883">
            <v>-2.536061251707457E-4</v>
          </cell>
          <cell r="G883">
            <v>-3.8692233125439636E-3</v>
          </cell>
        </row>
        <row r="884">
          <cell r="B884">
            <v>38.558799999999998</v>
          </cell>
          <cell r="D884">
            <v>41859863.025973998</v>
          </cell>
          <cell r="E884">
            <v>2477033333</v>
          </cell>
          <cell r="F884">
            <v>-2.0441348370341711E-3</v>
          </cell>
          <cell r="G884">
            <v>6.0625230864869576E-3</v>
          </cell>
        </row>
        <row r="885">
          <cell r="B885">
            <v>38.503900000000002</v>
          </cell>
          <cell r="D885">
            <v>45708679.729742996</v>
          </cell>
          <cell r="E885">
            <v>2004877778</v>
          </cell>
          <cell r="F885">
            <v>-1.4248140614767067E-3</v>
          </cell>
          <cell r="G885">
            <v>-1.6792948927196509E-2</v>
          </cell>
        </row>
        <row r="886">
          <cell r="B886">
            <v>38.750999999999998</v>
          </cell>
          <cell r="D886">
            <v>37251529.966871001</v>
          </cell>
          <cell r="E886">
            <v>1914894444</v>
          </cell>
          <cell r="F886">
            <v>6.3970270533178575E-3</v>
          </cell>
          <cell r="G886">
            <v>2.2596453237141356E-3</v>
          </cell>
        </row>
        <row r="887">
          <cell r="B887">
            <v>38.8322</v>
          </cell>
          <cell r="D887">
            <v>29256685.248369001</v>
          </cell>
          <cell r="E887">
            <v>1702816667</v>
          </cell>
          <cell r="F887">
            <v>2.0932374444239624E-3</v>
          </cell>
          <cell r="G887">
            <v>1.2262958517226932E-2</v>
          </cell>
        </row>
        <row r="888">
          <cell r="B888">
            <v>39.640799999999999</v>
          </cell>
          <cell r="D888">
            <v>32373099.370453</v>
          </cell>
          <cell r="E888">
            <v>1720405556</v>
          </cell>
          <cell r="F888">
            <v>2.0609091530441079E-2</v>
          </cell>
          <cell r="G888">
            <v>1.1005278427365045E-2</v>
          </cell>
        </row>
        <row r="889">
          <cell r="B889">
            <v>39.710299999999997</v>
          </cell>
          <cell r="D889">
            <v>26286349.486889001</v>
          </cell>
          <cell r="E889">
            <v>1667844444</v>
          </cell>
          <cell r="F889">
            <v>1.7517089938673687E-3</v>
          </cell>
          <cell r="G889">
            <v>4.4433429011478572E-3</v>
          </cell>
        </row>
        <row r="890">
          <cell r="B890">
            <v>39.830399999999997</v>
          </cell>
          <cell r="D890">
            <v>30589294.000193998</v>
          </cell>
          <cell r="E890">
            <v>1812116667</v>
          </cell>
          <cell r="F890">
            <v>3.0198399378008238E-3</v>
          </cell>
          <cell r="G890">
            <v>-7.3523311386536176E-4</v>
          </cell>
        </row>
        <row r="891">
          <cell r="B891">
            <v>40.612900000000003</v>
          </cell>
          <cell r="D891">
            <v>30182557.704774</v>
          </cell>
          <cell r="E891">
            <v>1792822222</v>
          </cell>
          <cell r="F891">
            <v>1.9455310306559042E-2</v>
          </cell>
          <cell r="G891">
            <v>7.9826687162939235E-3</v>
          </cell>
        </row>
        <row r="892">
          <cell r="B892">
            <v>40.579599999999999</v>
          </cell>
          <cell r="D892">
            <v>33853760.404099002</v>
          </cell>
          <cell r="E892">
            <v>1868194444</v>
          </cell>
          <cell r="F892">
            <v>-8.2027285444242245E-4</v>
          </cell>
          <cell r="G892">
            <v>1.1056405254354067E-3</v>
          </cell>
        </row>
        <row r="893">
          <cell r="B893">
            <v>40.844000000000001</v>
          </cell>
          <cell r="D893">
            <v>35191959.202523001</v>
          </cell>
          <cell r="E893">
            <v>1803261111</v>
          </cell>
          <cell r="F893">
            <v>6.4944544166535504E-3</v>
          </cell>
          <cell r="G893">
            <v>7.7087234599653289E-4</v>
          </cell>
        </row>
        <row r="894">
          <cell r="B894">
            <v>41.151899999999998</v>
          </cell>
          <cell r="D894">
            <v>49150685.399374999</v>
          </cell>
          <cell r="E894">
            <v>1857605556</v>
          </cell>
          <cell r="F894">
            <v>7.5101669033579704E-3</v>
          </cell>
          <cell r="G894">
            <v>-4.2707640446294944E-3</v>
          </cell>
        </row>
        <row r="895">
          <cell r="B895">
            <v>39.640799999999999</v>
          </cell>
          <cell r="D895">
            <v>67958197.540759996</v>
          </cell>
          <cell r="E895">
            <v>2052261111</v>
          </cell>
          <cell r="F895">
            <v>-3.7411207703796363E-2</v>
          </cell>
          <cell r="G895">
            <v>-2.3905372610337479E-3</v>
          </cell>
        </row>
        <row r="896">
          <cell r="B896">
            <v>40.134999999999998</v>
          </cell>
          <cell r="D896">
            <v>38985628.970384002</v>
          </cell>
          <cell r="E896">
            <v>2096005556</v>
          </cell>
          <cell r="F896">
            <v>1.2389880690686968E-2</v>
          </cell>
          <cell r="G896">
            <v>-5.6922099476966175E-3</v>
          </cell>
        </row>
        <row r="897">
          <cell r="B897">
            <v>39.986699999999999</v>
          </cell>
          <cell r="D897">
            <v>37146523.091508001</v>
          </cell>
          <cell r="E897">
            <v>2150022222</v>
          </cell>
          <cell r="F897">
            <v>-3.701872759985206E-3</v>
          </cell>
          <cell r="G897">
            <v>-1.0761020194054139E-2</v>
          </cell>
        </row>
        <row r="898">
          <cell r="B898">
            <v>39.473799999999997</v>
          </cell>
          <cell r="D898">
            <v>45611602.325244002</v>
          </cell>
          <cell r="E898">
            <v>2131527778</v>
          </cell>
          <cell r="F898">
            <v>-1.2909738130608221E-2</v>
          </cell>
          <cell r="G898">
            <v>-5.7917500692277806E-3</v>
          </cell>
        </row>
        <row r="899">
          <cell r="B899">
            <v>39.463999999999999</v>
          </cell>
          <cell r="D899">
            <v>39439318.585790001</v>
          </cell>
          <cell r="E899">
            <v>2287633333</v>
          </cell>
          <cell r="F899">
            <v>-2.4829676150961129E-4</v>
          </cell>
          <cell r="G899">
            <v>1.231002184803006E-2</v>
          </cell>
        </row>
        <row r="900">
          <cell r="B900">
            <v>40.2913</v>
          </cell>
          <cell r="D900">
            <v>47041322.267564997</v>
          </cell>
          <cell r="E900">
            <v>2243833333</v>
          </cell>
          <cell r="F900">
            <v>2.0746700822265641E-2</v>
          </cell>
          <cell r="G900">
            <v>7.2921105076044846E-3</v>
          </cell>
        </row>
        <row r="901">
          <cell r="B901">
            <v>40.806100000000001</v>
          </cell>
          <cell r="D901">
            <v>45699372.199772</v>
          </cell>
          <cell r="E901">
            <v>1988561111</v>
          </cell>
          <cell r="F901">
            <v>1.2696015284857956E-2</v>
          </cell>
          <cell r="G901">
            <v>2.8454898986964683E-5</v>
          </cell>
        </row>
        <row r="902">
          <cell r="B902">
            <v>40.648899999999998</v>
          </cell>
          <cell r="D902">
            <v>35846235.251973003</v>
          </cell>
          <cell r="E902">
            <v>2045188889</v>
          </cell>
          <cell r="F902">
            <v>-3.8598046814796354E-3</v>
          </cell>
          <cell r="G902">
            <v>-2.274201152523918E-3</v>
          </cell>
        </row>
        <row r="903">
          <cell r="B903">
            <v>40.744399999999999</v>
          </cell>
          <cell r="D903">
            <v>27717350.225600999</v>
          </cell>
          <cell r="E903">
            <v>1931538889</v>
          </cell>
          <cell r="F903">
            <v>2.346631573458418E-3</v>
          </cell>
          <cell r="G903">
            <v>-2.7606707871855756E-3</v>
          </cell>
        </row>
        <row r="904">
          <cell r="B904">
            <v>41.379600000000003</v>
          </cell>
          <cell r="D904">
            <v>38376613.869668998</v>
          </cell>
          <cell r="E904">
            <v>1970394444</v>
          </cell>
          <cell r="F904">
            <v>1.5469598834578314E-2</v>
          </cell>
          <cell r="G904">
            <v>-2.2522532043250201E-3</v>
          </cell>
        </row>
        <row r="905">
          <cell r="B905">
            <v>41.4146</v>
          </cell>
          <cell r="D905">
            <v>30972975.960569002</v>
          </cell>
          <cell r="E905">
            <v>2204822222</v>
          </cell>
          <cell r="F905">
            <v>8.454699021159947E-4</v>
          </cell>
          <cell r="G905">
            <v>3.1098289855839203E-3</v>
          </cell>
        </row>
        <row r="906">
          <cell r="B906">
            <v>40.579599999999999</v>
          </cell>
          <cell r="D906">
            <v>31441109.601146001</v>
          </cell>
          <cell r="E906">
            <v>2359205556</v>
          </cell>
          <cell r="F906">
            <v>-2.0367998390595901E-2</v>
          </cell>
          <cell r="G906">
            <v>-7.7831821886354671E-3</v>
          </cell>
        </row>
        <row r="907">
          <cell r="B907">
            <v>40.681899999999999</v>
          </cell>
          <cell r="D907">
            <v>22015726.909694001</v>
          </cell>
          <cell r="E907">
            <v>2001288889</v>
          </cell>
          <cell r="F907">
            <v>2.5177988110635769E-3</v>
          </cell>
          <cell r="G907">
            <v>-2.8790276379214528E-3</v>
          </cell>
        </row>
        <row r="908">
          <cell r="B908">
            <v>41.196800000000003</v>
          </cell>
          <cell r="D908">
            <v>26515600.778939001</v>
          </cell>
          <cell r="E908">
            <v>1952477778</v>
          </cell>
          <cell r="F908">
            <v>1.2577307348403576E-2</v>
          </cell>
          <cell r="G908">
            <v>1.2726901022967103E-2</v>
          </cell>
        </row>
        <row r="909">
          <cell r="B909">
            <v>40.396900000000002</v>
          </cell>
          <cell r="D909">
            <v>33586545.938435003</v>
          </cell>
          <cell r="E909">
            <v>2060488889</v>
          </cell>
          <cell r="F909">
            <v>-1.9607534086370126E-2</v>
          </cell>
          <cell r="G909">
            <v>-9.6031299685016367E-3</v>
          </cell>
        </row>
        <row r="910">
          <cell r="B910">
            <v>40.681899999999999</v>
          </cell>
          <cell r="D910">
            <v>34694036.551712997</v>
          </cell>
          <cell r="E910">
            <v>2371738889</v>
          </cell>
          <cell r="F910">
            <v>7.0302267379664385E-3</v>
          </cell>
          <cell r="G910">
            <v>9.4961303213885308E-4</v>
          </cell>
        </row>
        <row r="911">
          <cell r="B911">
            <v>40.675199999999997</v>
          </cell>
          <cell r="D911">
            <v>25995625.087145001</v>
          </cell>
          <cell r="E911">
            <v>1789611111</v>
          </cell>
          <cell r="F911">
            <v>-1.6470596948884461E-4</v>
          </cell>
          <cell r="G911">
            <v>-1.275950900305485E-3</v>
          </cell>
        </row>
        <row r="912">
          <cell r="B912">
            <v>40.908499999999997</v>
          </cell>
          <cell r="D912">
            <v>24670064.298834998</v>
          </cell>
          <cell r="E912">
            <v>1553105556</v>
          </cell>
          <cell r="F912">
            <v>5.7192952990158018E-3</v>
          </cell>
          <cell r="G912">
            <v>3.9042620368306804E-3</v>
          </cell>
        </row>
        <row r="913">
          <cell r="B913">
            <v>41.189</v>
          </cell>
          <cell r="D913">
            <v>24240737.457952</v>
          </cell>
          <cell r="E913">
            <v>1593161111</v>
          </cell>
          <cell r="F913">
            <v>6.8333649987370642E-3</v>
          </cell>
          <cell r="G913">
            <v>5.1979382552371483E-3</v>
          </cell>
        </row>
        <row r="914">
          <cell r="B914">
            <v>41.416600000000003</v>
          </cell>
          <cell r="D914">
            <v>26906062.462498002</v>
          </cell>
          <cell r="E914">
            <v>1638883333</v>
          </cell>
          <cell r="F914">
            <v>5.5105362334198875E-3</v>
          </cell>
          <cell r="G914">
            <v>-2.6289735480122659E-3</v>
          </cell>
        </row>
        <row r="915">
          <cell r="B915">
            <v>40.841299999999997</v>
          </cell>
          <cell r="D915">
            <v>35935656.545033</v>
          </cell>
          <cell r="E915">
            <v>1951622222</v>
          </cell>
          <cell r="F915">
            <v>-1.398794232182504E-2</v>
          </cell>
          <cell r="G915">
            <v>-8.2892253214384998E-3</v>
          </cell>
        </row>
        <row r="916">
          <cell r="B916">
            <v>40.006</v>
          </cell>
          <cell r="D916">
            <v>41360104.669384003</v>
          </cell>
          <cell r="E916">
            <v>2179150000</v>
          </cell>
          <cell r="F916">
            <v>-2.066438146249901E-2</v>
          </cell>
          <cell r="G916">
            <v>-2.1325899205105869E-2</v>
          </cell>
        </row>
        <row r="917">
          <cell r="B917">
            <v>37.737099999999998</v>
          </cell>
          <cell r="D917">
            <v>79954281.924145997</v>
          </cell>
          <cell r="E917">
            <v>2787911111</v>
          </cell>
          <cell r="F917">
            <v>-5.8385747424549855E-2</v>
          </cell>
          <cell r="G917">
            <v>-3.2369259548499681E-2</v>
          </cell>
        </row>
        <row r="918">
          <cell r="B918">
            <v>36.517099999999999</v>
          </cell>
          <cell r="D918">
            <v>101296083.66821</v>
          </cell>
          <cell r="E918">
            <v>3673716667</v>
          </cell>
          <cell r="F918">
            <v>-3.2863051410032929E-2</v>
          </cell>
          <cell r="G918">
            <v>-4.0211416281175603E-2</v>
          </cell>
        </row>
        <row r="919">
          <cell r="B919">
            <v>35.457500000000003</v>
          </cell>
          <cell r="D919">
            <v>80597428.047480002</v>
          </cell>
          <cell r="E919">
            <v>2879755556</v>
          </cell>
          <cell r="F919">
            <v>-2.9445847843852787E-2</v>
          </cell>
          <cell r="G919">
            <v>-1.3614262532188859E-2</v>
          </cell>
        </row>
        <row r="920">
          <cell r="B920">
            <v>37.4206</v>
          </cell>
          <cell r="D920">
            <v>72370080.390773997</v>
          </cell>
          <cell r="E920">
            <v>2965694444</v>
          </cell>
          <cell r="F920">
            <v>5.3886558737078247E-2</v>
          </cell>
          <cell r="G920">
            <v>3.8291286558614003E-2</v>
          </cell>
        </row>
        <row r="921">
          <cell r="B921">
            <v>38.465800000000002</v>
          </cell>
          <cell r="D921">
            <v>58143505.98488</v>
          </cell>
          <cell r="E921">
            <v>2781327778</v>
          </cell>
          <cell r="F921">
            <v>2.7548179899084653E-2</v>
          </cell>
          <cell r="G921">
            <v>2.400724232625184E-2</v>
          </cell>
        </row>
        <row r="922">
          <cell r="B922">
            <v>38.490200000000002</v>
          </cell>
          <cell r="D922">
            <v>32239086.705669001</v>
          </cell>
          <cell r="E922">
            <v>2193933333</v>
          </cell>
          <cell r="F922">
            <v>6.3412861421179934E-4</v>
          </cell>
          <cell r="G922">
            <v>6.0857080788743101E-4</v>
          </cell>
        </row>
        <row r="923">
          <cell r="B923">
            <v>38.129899999999999</v>
          </cell>
          <cell r="D923">
            <v>39309572.170856997</v>
          </cell>
          <cell r="E923">
            <v>2175055556</v>
          </cell>
          <cell r="F923">
            <v>-9.4049121778381085E-3</v>
          </cell>
          <cell r="G923">
            <v>-8.4271083533501261E-3</v>
          </cell>
        </row>
        <row r="924">
          <cell r="B924">
            <v>36.641399999999997</v>
          </cell>
          <cell r="D924">
            <v>56711811.097524002</v>
          </cell>
          <cell r="E924">
            <v>2428805556</v>
          </cell>
          <cell r="F924">
            <v>-3.9820002576214222E-2</v>
          </cell>
          <cell r="G924">
            <v>-3.00226098516122E-2</v>
          </cell>
        </row>
        <row r="925">
          <cell r="B925">
            <v>37.992100000000001</v>
          </cell>
          <cell r="D925">
            <v>42995987.782715</v>
          </cell>
          <cell r="E925">
            <v>2079233333</v>
          </cell>
          <cell r="F925">
            <v>3.6199494693489334E-2</v>
          </cell>
          <cell r="G925">
            <v>1.8127666183109615E-2</v>
          </cell>
        </row>
        <row r="926">
          <cell r="B926">
            <v>38.112099999999998</v>
          </cell>
          <cell r="D926">
            <v>32283030.000562999</v>
          </cell>
          <cell r="E926">
            <v>1955944444</v>
          </cell>
          <cell r="F926">
            <v>3.1535736385178499E-3</v>
          </cell>
          <cell r="G926">
            <v>1.164105680449443E-3</v>
          </cell>
        </row>
        <row r="927">
          <cell r="B927">
            <v>37.3369</v>
          </cell>
          <cell r="D927">
            <v>42387879.784799002</v>
          </cell>
          <cell r="E927">
            <v>1759494444</v>
          </cell>
          <cell r="F927">
            <v>-2.0549703236930422E-2</v>
          </cell>
          <cell r="G927">
            <v>-1.5448291002620419E-2</v>
          </cell>
        </row>
        <row r="928">
          <cell r="B928">
            <v>38.456000000000003</v>
          </cell>
          <cell r="D928">
            <v>37058964.123498</v>
          </cell>
          <cell r="E928">
            <v>1971472222</v>
          </cell>
          <cell r="F928">
            <v>2.9532616813634758E-2</v>
          </cell>
          <cell r="G928">
            <v>2.4773604592646017E-2</v>
          </cell>
        </row>
        <row r="929">
          <cell r="B929">
            <v>37.737099999999998</v>
          </cell>
          <cell r="D929">
            <v>38199962.254198998</v>
          </cell>
          <cell r="E929">
            <v>2028955556</v>
          </cell>
          <cell r="F929">
            <v>-1.8871035151148227E-2</v>
          </cell>
          <cell r="G929">
            <v>-1.3995038527950136E-2</v>
          </cell>
        </row>
        <row r="930">
          <cell r="B930">
            <v>37.927599999999998</v>
          </cell>
          <cell r="D930">
            <v>35799985.294993997</v>
          </cell>
          <cell r="E930">
            <v>2014622222</v>
          </cell>
          <cell r="F930">
            <v>5.0353838054438653E-3</v>
          </cell>
          <cell r="G930">
            <v>5.2640755505400285E-3</v>
          </cell>
        </row>
        <row r="931">
          <cell r="B931">
            <v>38.094799999999999</v>
          </cell>
          <cell r="D931">
            <v>30967405.366512001</v>
          </cell>
          <cell r="E931">
            <v>1788105556</v>
          </cell>
          <cell r="F931">
            <v>4.398710632423415E-3</v>
          </cell>
          <cell r="G931">
            <v>4.4770015545705895E-3</v>
          </cell>
        </row>
        <row r="932">
          <cell r="B932">
            <v>37.708799999999997</v>
          </cell>
          <cell r="D932">
            <v>26999539.098887</v>
          </cell>
          <cell r="E932">
            <v>1666777778</v>
          </cell>
          <cell r="F932">
            <v>-1.0184300912368867E-2</v>
          </cell>
          <cell r="G932">
            <v>-4.0980313248036339E-3</v>
          </cell>
        </row>
        <row r="933">
          <cell r="B933">
            <v>38.531100000000002</v>
          </cell>
          <cell r="D933">
            <v>32964406.514024999</v>
          </cell>
          <cell r="E933">
            <v>1799922222</v>
          </cell>
          <cell r="F933">
            <v>2.1572218446991455E-2</v>
          </cell>
          <cell r="G933">
            <v>1.2749719911298718E-2</v>
          </cell>
        </row>
        <row r="934">
          <cell r="B934">
            <v>38.815399999999997</v>
          </cell>
          <cell r="D934">
            <v>26675511.945331</v>
          </cell>
          <cell r="E934">
            <v>2017044444</v>
          </cell>
          <cell r="F934">
            <v>7.3513676858879126E-3</v>
          </cell>
          <cell r="G934">
            <v>8.6676940705017226E-3</v>
          </cell>
        </row>
        <row r="935">
          <cell r="B935">
            <v>38.772500000000001</v>
          </cell>
          <cell r="D935">
            <v>37399606.820326</v>
          </cell>
          <cell r="E935">
            <v>2324327778</v>
          </cell>
          <cell r="F935">
            <v>-1.1058426474185102E-3</v>
          </cell>
          <cell r="G935">
            <v>-2.5642905425419791E-3</v>
          </cell>
        </row>
        <row r="936">
          <cell r="B936">
            <v>38.094799999999999</v>
          </cell>
          <cell r="D936">
            <v>72068310.017995998</v>
          </cell>
          <cell r="E936">
            <v>3345133333</v>
          </cell>
          <cell r="F936">
            <v>-1.7633442573092142E-2</v>
          </cell>
          <cell r="G936">
            <v>-1.6296270451088189E-2</v>
          </cell>
        </row>
        <row r="937">
          <cell r="B937">
            <v>38.648499999999999</v>
          </cell>
          <cell r="D937">
            <v>29877084.182078999</v>
          </cell>
          <cell r="E937">
            <v>1816305556</v>
          </cell>
          <cell r="F937">
            <v>1.4430174570107155E-2</v>
          </cell>
          <cell r="G937">
            <v>4.5554218905156504E-3</v>
          </cell>
        </row>
        <row r="938">
          <cell r="B938">
            <v>38.465800000000002</v>
          </cell>
          <cell r="D938">
            <v>32055557.080481</v>
          </cell>
          <cell r="E938">
            <v>2115700000</v>
          </cell>
          <cell r="F938">
            <v>-4.7384296256973973E-3</v>
          </cell>
          <cell r="G938">
            <v>-1.2394939887069493E-2</v>
          </cell>
        </row>
        <row r="939">
          <cell r="B939">
            <v>38.438499999999998</v>
          </cell>
          <cell r="D939">
            <v>19568544.771260999</v>
          </cell>
          <cell r="E939">
            <v>1772516667</v>
          </cell>
          <cell r="F939">
            <v>-7.0997333430624699E-4</v>
          </cell>
          <cell r="G939">
            <v>-2.0507542933684945E-3</v>
          </cell>
        </row>
        <row r="940">
          <cell r="B940">
            <v>38.474699999999999</v>
          </cell>
          <cell r="D940">
            <v>31849768.626881</v>
          </cell>
          <cell r="E940">
            <v>2273072222</v>
          </cell>
          <cell r="F940">
            <v>9.4132093510675781E-4</v>
          </cell>
          <cell r="G940">
            <v>-3.3686417802160917E-3</v>
          </cell>
        </row>
        <row r="941">
          <cell r="B941">
            <v>38.499000000000002</v>
          </cell>
          <cell r="D941">
            <v>33537816.294116002</v>
          </cell>
          <cell r="E941">
            <v>2067705556</v>
          </cell>
          <cell r="F941">
            <v>6.3138450684479576E-4</v>
          </cell>
          <cell r="G941">
            <v>-4.6588915786858695E-4</v>
          </cell>
        </row>
        <row r="942">
          <cell r="B942">
            <v>37.927599999999998</v>
          </cell>
          <cell r="D942">
            <v>31516258.870467</v>
          </cell>
          <cell r="E942">
            <v>2403700000</v>
          </cell>
          <cell r="F942">
            <v>-1.4953187684478449E-2</v>
          </cell>
          <cell r="G942">
            <v>-2.6001239239395291E-2</v>
          </cell>
        </row>
        <row r="943">
          <cell r="B943">
            <v>38.061500000000002</v>
          </cell>
          <cell r="D943">
            <v>37394293.204600997</v>
          </cell>
          <cell r="E943">
            <v>2295772222</v>
          </cell>
          <cell r="F943">
            <v>3.5241933010335675E-3</v>
          </cell>
          <cell r="G943">
            <v>1.2321224333906237E-3</v>
          </cell>
        </row>
        <row r="944">
          <cell r="B944">
            <v>38.781300000000002</v>
          </cell>
          <cell r="D944">
            <v>39899871.877462</v>
          </cell>
          <cell r="E944">
            <v>2513927778</v>
          </cell>
          <cell r="F944">
            <v>1.8734899139897104E-2</v>
          </cell>
          <cell r="G944">
            <v>1.8895865203796398E-2</v>
          </cell>
        </row>
        <row r="945">
          <cell r="B945">
            <v>39.085999999999999</v>
          </cell>
          <cell r="D945">
            <v>32708291.259934999</v>
          </cell>
          <cell r="E945">
            <v>2213111111</v>
          </cell>
          <cell r="F945">
            <v>7.8261749209990756E-3</v>
          </cell>
          <cell r="G945">
            <v>1.9719818557877231E-3</v>
          </cell>
        </row>
        <row r="946">
          <cell r="B946">
            <v>39.926099999999998</v>
          </cell>
          <cell r="D946">
            <v>47752523.624893002</v>
          </cell>
          <cell r="E946">
            <v>2432538889</v>
          </cell>
          <cell r="F946">
            <v>2.1265898773012396E-2</v>
          </cell>
          <cell r="G946">
            <v>1.421377260428928E-2</v>
          </cell>
        </row>
        <row r="947">
          <cell r="B947">
            <v>40.858800000000002</v>
          </cell>
          <cell r="D947">
            <v>39226026.569637999</v>
          </cell>
          <cell r="E947">
            <v>2408050000</v>
          </cell>
          <cell r="F947">
            <v>2.3091975001689573E-2</v>
          </cell>
          <cell r="G947">
            <v>1.8124561438544923E-2</v>
          </cell>
        </row>
        <row r="948">
          <cell r="B948">
            <v>40.958399999999997</v>
          </cell>
          <cell r="D948">
            <v>31399175.037285</v>
          </cell>
          <cell r="E948">
            <v>2334666667</v>
          </cell>
          <cell r="F948">
            <v>2.4346970857060083E-3</v>
          </cell>
          <cell r="G948">
            <v>-3.5946869664685399E-3</v>
          </cell>
        </row>
        <row r="949">
          <cell r="B949">
            <v>41.003399999999999</v>
          </cell>
          <cell r="D949">
            <v>31628231.803902999</v>
          </cell>
          <cell r="E949">
            <v>2592483333</v>
          </cell>
          <cell r="F949">
            <v>1.0980726270437889E-3</v>
          </cell>
          <cell r="G949">
            <v>8.0035640716168491E-3</v>
          </cell>
        </row>
        <row r="950">
          <cell r="B950">
            <v>41.573799999999999</v>
          </cell>
          <cell r="D950">
            <v>38546130.497088</v>
          </cell>
          <cell r="E950">
            <v>2188411111</v>
          </cell>
          <cell r="F950">
            <v>1.3815171067396523E-2</v>
          </cell>
          <cell r="G950">
            <v>8.7797314496566338E-3</v>
          </cell>
        </row>
        <row r="951">
          <cell r="B951">
            <v>41.277000000000001</v>
          </cell>
          <cell r="D951">
            <v>32639353.494778</v>
          </cell>
          <cell r="E951">
            <v>2059388889</v>
          </cell>
          <cell r="F951">
            <v>-7.1647170489440469E-3</v>
          </cell>
          <cell r="G951">
            <v>7.2486796675928192E-4</v>
          </cell>
        </row>
        <row r="952">
          <cell r="B952">
            <v>41.18</v>
          </cell>
          <cell r="D952">
            <v>22562310.609012999</v>
          </cell>
          <cell r="E952">
            <v>1607361111</v>
          </cell>
          <cell r="F952">
            <v>-2.3527425141457222E-3</v>
          </cell>
          <cell r="G952">
            <v>1.2746911096436508E-3</v>
          </cell>
        </row>
        <row r="953">
          <cell r="B953">
            <v>41.085500000000003</v>
          </cell>
          <cell r="D953">
            <v>22812873.697771002</v>
          </cell>
          <cell r="E953">
            <v>1889955556</v>
          </cell>
          <cell r="F953">
            <v>-2.2974403988567523E-3</v>
          </cell>
          <cell r="G953">
            <v>-6.8488138094229302E-3</v>
          </cell>
        </row>
        <row r="954">
          <cell r="B954">
            <v>40.898600000000002</v>
          </cell>
          <cell r="D954">
            <v>28188549.177444998</v>
          </cell>
          <cell r="E954">
            <v>2024772222</v>
          </cell>
          <cell r="F954">
            <v>-4.5594285667353539E-3</v>
          </cell>
          <cell r="G954">
            <v>-4.7274552579458298E-3</v>
          </cell>
        </row>
        <row r="955">
          <cell r="B955">
            <v>41.189</v>
          </cell>
          <cell r="D955">
            <v>31032235.573621001</v>
          </cell>
          <cell r="E955">
            <v>2081272222</v>
          </cell>
          <cell r="F955">
            <v>7.0753977819141053E-3</v>
          </cell>
          <cell r="G955">
            <v>1.4743553692310356E-2</v>
          </cell>
        </row>
        <row r="956">
          <cell r="B956">
            <v>41.6265</v>
          </cell>
          <cell r="D956">
            <v>30188785.590023998</v>
          </cell>
          <cell r="E956">
            <v>1997461111</v>
          </cell>
          <cell r="F956">
            <v>1.0565753271396026E-2</v>
          </cell>
          <cell r="G956">
            <v>4.5600613407668789E-3</v>
          </cell>
        </row>
        <row r="957">
          <cell r="B957">
            <v>41.7241</v>
          </cell>
          <cell r="D957">
            <v>33541219.465344001</v>
          </cell>
          <cell r="E957">
            <v>1826288889</v>
          </cell>
          <cell r="F957">
            <v>2.3419158256289267E-3</v>
          </cell>
          <cell r="G957">
            <v>2.7048493195005823E-4</v>
          </cell>
        </row>
        <row r="958">
          <cell r="B958">
            <v>41.853900000000003</v>
          </cell>
          <cell r="D958">
            <v>35155819.448872998</v>
          </cell>
          <cell r="E958">
            <v>1850833333</v>
          </cell>
          <cell r="F958">
            <v>3.1060830447367199E-3</v>
          </cell>
          <cell r="G958">
            <v>-1.4220938665690213E-3</v>
          </cell>
        </row>
        <row r="959">
          <cell r="B959">
            <v>41.3538</v>
          </cell>
          <cell r="D959">
            <v>28835611.404856</v>
          </cell>
          <cell r="E959">
            <v>2015438889</v>
          </cell>
          <cell r="F959">
            <v>-1.2020666882375526E-2</v>
          </cell>
          <cell r="G959">
            <v>-5.8424102714401318E-3</v>
          </cell>
        </row>
        <row r="960">
          <cell r="B960">
            <v>42.080800000000004</v>
          </cell>
          <cell r="D960">
            <v>64642068.253798001</v>
          </cell>
          <cell r="E960">
            <v>2461583333</v>
          </cell>
          <cell r="F960">
            <v>1.7427263980232376E-2</v>
          </cell>
          <cell r="G960">
            <v>1.6490813232663316E-2</v>
          </cell>
        </row>
        <row r="961">
          <cell r="B961">
            <v>46.323799999999999</v>
          </cell>
          <cell r="D961">
            <v>154339979.54618999</v>
          </cell>
          <cell r="E961">
            <v>2282477778</v>
          </cell>
          <cell r="F961">
            <v>9.6064288240768958E-2</v>
          </cell>
          <cell r="G961">
            <v>1.0970005786788946E-2</v>
          </cell>
        </row>
        <row r="962">
          <cell r="B962">
            <v>47.5319</v>
          </cell>
          <cell r="D962">
            <v>73768566.715581998</v>
          </cell>
          <cell r="E962">
            <v>1881000000</v>
          </cell>
          <cell r="F962">
            <v>2.5745196683383518E-2</v>
          </cell>
          <cell r="G962">
            <v>-1.9149470559137484E-3</v>
          </cell>
        </row>
        <row r="963">
          <cell r="B963">
            <v>47.040500000000002</v>
          </cell>
          <cell r="D963">
            <v>58208221.524365999</v>
          </cell>
          <cell r="E963">
            <v>2342711111</v>
          </cell>
          <cell r="F963">
            <v>-1.0392131794154508E-2</v>
          </cell>
          <cell r="G963">
            <v>-2.5573668722574231E-3</v>
          </cell>
        </row>
        <row r="964">
          <cell r="B964">
            <v>47.297499999999999</v>
          </cell>
          <cell r="D964">
            <v>53643775.450163998</v>
          </cell>
          <cell r="E964">
            <v>2610061111</v>
          </cell>
          <cell r="F964">
            <v>5.4485071928553289E-3</v>
          </cell>
          <cell r="G964">
            <v>1.177038977262058E-2</v>
          </cell>
        </row>
        <row r="965">
          <cell r="B965">
            <v>46.753500000000003</v>
          </cell>
          <cell r="D965">
            <v>34470747.976037003</v>
          </cell>
          <cell r="E965">
            <v>2227188889</v>
          </cell>
          <cell r="F965">
            <v>-1.1568320735923144E-2</v>
          </cell>
          <cell r="G965">
            <v>-4.4978659820061288E-4</v>
          </cell>
        </row>
        <row r="966">
          <cell r="B966">
            <v>46.118499999999997</v>
          </cell>
          <cell r="D966">
            <v>53208925.110854998</v>
          </cell>
          <cell r="E966">
            <v>2364555556</v>
          </cell>
          <cell r="F966">
            <v>-1.3674948221391755E-2</v>
          </cell>
          <cell r="G966">
            <v>-4.8215754142581276E-3</v>
          </cell>
        </row>
        <row r="967">
          <cell r="B967">
            <v>46.6449</v>
          </cell>
          <cell r="D967">
            <v>34564773.378903002</v>
          </cell>
          <cell r="E967">
            <v>2088900000</v>
          </cell>
          <cell r="F967">
            <v>1.1349425537000961E-2</v>
          </cell>
          <cell r="G967">
            <v>1.1803904793109323E-2</v>
          </cell>
        </row>
        <row r="968">
          <cell r="B968">
            <v>47.445</v>
          </cell>
          <cell r="D968">
            <v>41769534.630116001</v>
          </cell>
          <cell r="E968">
            <v>2373366667</v>
          </cell>
          <cell r="F968">
            <v>1.7007548867598594E-2</v>
          </cell>
          <cell r="G968">
            <v>2.7243576169235862E-3</v>
          </cell>
        </row>
        <row r="969">
          <cell r="B969">
            <v>47.663800000000002</v>
          </cell>
          <cell r="D969">
            <v>42327289.208273001</v>
          </cell>
          <cell r="E969">
            <v>2266038889</v>
          </cell>
          <cell r="F969">
            <v>4.6010544974620727E-3</v>
          </cell>
          <cell r="G969">
            <v>-3.5516762958985523E-3</v>
          </cell>
        </row>
        <row r="970">
          <cell r="B970">
            <v>47.646999999999998</v>
          </cell>
          <cell r="D970">
            <v>35916142.572834998</v>
          </cell>
          <cell r="E970">
            <v>2251050000</v>
          </cell>
          <cell r="F970">
            <v>-3.5253088157884279E-4</v>
          </cell>
          <cell r="G970">
            <v>-1.1327293322022361E-3</v>
          </cell>
        </row>
        <row r="971">
          <cell r="B971">
            <v>48.12</v>
          </cell>
          <cell r="D971">
            <v>37494384.729466997</v>
          </cell>
          <cell r="E971">
            <v>2427233333</v>
          </cell>
          <cell r="F971">
            <v>9.878222064873066E-3</v>
          </cell>
          <cell r="G971">
            <v>-3.4769107284318419E-4</v>
          </cell>
        </row>
        <row r="972">
          <cell r="B972">
            <v>47.451900000000002</v>
          </cell>
          <cell r="D972">
            <v>37108463.678997003</v>
          </cell>
          <cell r="E972">
            <v>2156861111</v>
          </cell>
          <cell r="F972">
            <v>-1.3981324702575496E-2</v>
          </cell>
          <cell r="G972">
            <v>-9.8713515026068524E-3</v>
          </cell>
        </row>
        <row r="973">
          <cell r="B973">
            <v>46.882300000000001</v>
          </cell>
          <cell r="D973">
            <v>63097377.638766997</v>
          </cell>
          <cell r="E973">
            <v>2123022222</v>
          </cell>
          <cell r="F973">
            <v>-1.207636090517107E-2</v>
          </cell>
          <cell r="G973">
            <v>1.5095068126030056E-3</v>
          </cell>
        </row>
        <row r="974">
          <cell r="B974">
            <v>47.006399999999999</v>
          </cell>
          <cell r="D974">
            <v>41677400.219203003</v>
          </cell>
          <cell r="E974">
            <v>2051338889</v>
          </cell>
          <cell r="F974">
            <v>2.6435571537711984E-3</v>
          </cell>
          <cell r="G974">
            <v>-3.2333213949674142E-3</v>
          </cell>
        </row>
        <row r="975">
          <cell r="B975">
            <v>46.7164</v>
          </cell>
          <cell r="D975">
            <v>40358923.228040002</v>
          </cell>
          <cell r="E975">
            <v>2231316667</v>
          </cell>
          <cell r="F975">
            <v>-6.188481895924771E-3</v>
          </cell>
          <cell r="G975">
            <v>-1.4089149017324396E-2</v>
          </cell>
        </row>
        <row r="976">
          <cell r="B976">
            <v>46.295299999999997</v>
          </cell>
          <cell r="D976">
            <v>42056207.781801</v>
          </cell>
          <cell r="E976">
            <v>2377083333</v>
          </cell>
          <cell r="F976">
            <v>-9.0548366961187704E-3</v>
          </cell>
          <cell r="G976">
            <v>-1.1270674060276152E-2</v>
          </cell>
        </row>
        <row r="977">
          <cell r="B977">
            <v>47.101999999999997</v>
          </cell>
          <cell r="D977">
            <v>36711313.392058998</v>
          </cell>
          <cell r="E977">
            <v>2078466667</v>
          </cell>
          <cell r="F977">
            <v>1.7275018905402364E-2</v>
          </cell>
          <cell r="G977">
            <v>1.4793350640956328E-2</v>
          </cell>
        </row>
        <row r="978">
          <cell r="B978">
            <v>46.723100000000002</v>
          </cell>
          <cell r="D978">
            <v>35769502.136116996</v>
          </cell>
          <cell r="E978">
            <v>2459638889</v>
          </cell>
          <cell r="F978">
            <v>-8.0767739074094694E-3</v>
          </cell>
          <cell r="G978">
            <v>-1.3402769799722193E-3</v>
          </cell>
        </row>
        <row r="979">
          <cell r="B979">
            <v>47.498699999999999</v>
          </cell>
          <cell r="D979">
            <v>33682136.759112999</v>
          </cell>
          <cell r="E979">
            <v>2181327778</v>
          </cell>
          <cell r="F979">
            <v>1.6463653186568842E-2</v>
          </cell>
          <cell r="G979">
            <v>1.6033163805428428E-2</v>
          </cell>
        </row>
        <row r="980">
          <cell r="B980">
            <v>47.579900000000002</v>
          </cell>
          <cell r="D980">
            <v>31912660.746404</v>
          </cell>
          <cell r="E980">
            <v>2015616667</v>
          </cell>
          <cell r="F980">
            <v>1.7080609041690272E-3</v>
          </cell>
          <cell r="G980">
            <v>-1.1236981412047731E-3</v>
          </cell>
        </row>
        <row r="981">
          <cell r="B981">
            <v>47.799599999999998</v>
          </cell>
          <cell r="D981">
            <v>42114124.145561002</v>
          </cell>
          <cell r="E981">
            <v>2183111111</v>
          </cell>
          <cell r="F981">
            <v>4.606868112369991E-3</v>
          </cell>
          <cell r="G981">
            <v>3.8029879831690382E-3</v>
          </cell>
        </row>
        <row r="982">
          <cell r="B982">
            <v>47.799599999999998</v>
          </cell>
          <cell r="D982">
            <v>32010956.494394001</v>
          </cell>
          <cell r="E982">
            <v>1993322222</v>
          </cell>
          <cell r="F982">
            <v>0</v>
          </cell>
          <cell r="G982">
            <v>-1.2357033585728208E-3</v>
          </cell>
        </row>
        <row r="983">
          <cell r="B983">
            <v>47.853299999999997</v>
          </cell>
          <cell r="D983">
            <v>25434938.294068001</v>
          </cell>
          <cell r="E983">
            <v>2158294444</v>
          </cell>
          <cell r="F983">
            <v>1.1228097766327629E-3</v>
          </cell>
          <cell r="G983">
            <v>1.2213434858008502E-3</v>
          </cell>
        </row>
        <row r="984">
          <cell r="B984">
            <v>47.356999999999999</v>
          </cell>
          <cell r="D984">
            <v>23813417.300464001</v>
          </cell>
          <cell r="E984">
            <v>1584966667</v>
          </cell>
          <cell r="F984">
            <v>-1.0425437063390566E-2</v>
          </cell>
          <cell r="G984">
            <v>-1.2924813505752467E-4</v>
          </cell>
        </row>
        <row r="985">
          <cell r="B985">
            <v>47.570900000000002</v>
          </cell>
          <cell r="D985">
            <v>10213588.476423999</v>
          </cell>
          <cell r="E985">
            <v>814911111</v>
          </cell>
          <cell r="F985">
            <v>4.5065857774884196E-3</v>
          </cell>
          <cell r="G985">
            <v>5.9344626506564215E-4</v>
          </cell>
        </row>
        <row r="986">
          <cell r="B986">
            <v>47.940100000000001</v>
          </cell>
          <cell r="D986">
            <v>63760704.239855997</v>
          </cell>
          <cell r="E986">
            <v>2375016667</v>
          </cell>
          <cell r="F986">
            <v>7.7310851925313983E-3</v>
          </cell>
          <cell r="G986">
            <v>-4.651706497517027E-3</v>
          </cell>
        </row>
        <row r="987">
          <cell r="B987">
            <v>48.706800000000001</v>
          </cell>
          <cell r="D987">
            <v>45294232.036706999</v>
          </cell>
          <cell r="E987">
            <v>2062288889</v>
          </cell>
          <cell r="F987">
            <v>1.5866335786450345E-2</v>
          </cell>
          <cell r="G987">
            <v>1.0623952433730842E-2</v>
          </cell>
        </row>
        <row r="988">
          <cell r="B988">
            <v>48.697899999999997</v>
          </cell>
          <cell r="D988">
            <v>53592742.215213999</v>
          </cell>
          <cell r="E988">
            <v>2194800000</v>
          </cell>
          <cell r="F988">
            <v>-1.827427223690551E-4</v>
          </cell>
          <cell r="G988">
            <v>-1.1056653069340215E-2</v>
          </cell>
        </row>
        <row r="989">
          <cell r="B989">
            <v>47.809399999999997</v>
          </cell>
          <cell r="D989">
            <v>43791615.224793002</v>
          </cell>
          <cell r="E989">
            <v>2392494444</v>
          </cell>
          <cell r="F989">
            <v>-1.841363512543915E-2</v>
          </cell>
          <cell r="G989">
            <v>-1.4477878923262813E-2</v>
          </cell>
        </row>
        <row r="990">
          <cell r="B990">
            <v>49.316400000000002</v>
          </cell>
          <cell r="D990">
            <v>49841402.204988003</v>
          </cell>
          <cell r="E990">
            <v>2341616667</v>
          </cell>
          <cell r="F990">
            <v>3.1034410047852724E-2</v>
          </cell>
          <cell r="G990">
            <v>2.0317941551718299E-2</v>
          </cell>
        </row>
        <row r="991">
          <cell r="B991">
            <v>49.2286</v>
          </cell>
          <cell r="D991">
            <v>34815494.135642</v>
          </cell>
          <cell r="E991">
            <v>2246566667</v>
          </cell>
          <cell r="F991">
            <v>-1.7819275099165194E-3</v>
          </cell>
          <cell r="G991">
            <v>-7.014104884478266E-3</v>
          </cell>
        </row>
        <row r="992">
          <cell r="B992">
            <v>49.210799999999999</v>
          </cell>
          <cell r="D992">
            <v>37273719.175655</v>
          </cell>
          <cell r="E992">
            <v>2318650000</v>
          </cell>
          <cell r="F992">
            <v>-3.6164381729264652E-4</v>
          </cell>
          <cell r="G992">
            <v>-6.5110623052767533E-3</v>
          </cell>
        </row>
        <row r="993">
          <cell r="B993">
            <v>48.496699999999997</v>
          </cell>
          <cell r="D993">
            <v>41236190.945931002</v>
          </cell>
          <cell r="E993">
            <v>2436250000</v>
          </cell>
          <cell r="F993">
            <v>-1.4617357212693595E-2</v>
          </cell>
          <cell r="G993">
            <v>-7.7690413899379369E-3</v>
          </cell>
        </row>
        <row r="994">
          <cell r="B994">
            <v>48.752800000000001</v>
          </cell>
          <cell r="D994">
            <v>36024127.734931998</v>
          </cell>
          <cell r="E994">
            <v>2063972222</v>
          </cell>
          <cell r="F994">
            <v>5.2668773005001227E-3</v>
          </cell>
          <cell r="G994">
            <v>2.2488637110527291E-3</v>
          </cell>
        </row>
        <row r="995">
          <cell r="B995">
            <v>47.683300000000003</v>
          </cell>
          <cell r="D995">
            <v>44837038.915903002</v>
          </cell>
          <cell r="E995">
            <v>2389477778</v>
          </cell>
          <cell r="F995">
            <v>-2.2181399920422885E-2</v>
          </cell>
          <cell r="G995">
            <v>-1.9613874846502764E-2</v>
          </cell>
        </row>
        <row r="996">
          <cell r="B996">
            <v>48.636499999999998</v>
          </cell>
          <cell r="D996">
            <v>53286905.237108</v>
          </cell>
          <cell r="E996">
            <v>2562466667</v>
          </cell>
          <cell r="F996">
            <v>1.9793046060531935E-2</v>
          </cell>
          <cell r="G996">
            <v>4.7443146166453133E-3</v>
          </cell>
        </row>
        <row r="997">
          <cell r="B997">
            <v>48.688299999999998</v>
          </cell>
          <cell r="D997">
            <v>45169774.665863998</v>
          </cell>
          <cell r="E997">
            <v>2418633333</v>
          </cell>
          <cell r="F997">
            <v>1.0644769861590726E-3</v>
          </cell>
          <cell r="G997">
            <v>1.0562534400149612E-2</v>
          </cell>
        </row>
        <row r="998">
          <cell r="B998">
            <v>49.511899999999997</v>
          </cell>
          <cell r="D998">
            <v>42517379.459581003</v>
          </cell>
          <cell r="E998">
            <v>2575250000</v>
          </cell>
          <cell r="F998">
            <v>1.6774289904445582E-2</v>
          </cell>
          <cell r="G998">
            <v>1.4410619402612932E-2</v>
          </cell>
        </row>
        <row r="999">
          <cell r="B999">
            <v>49.131700000000002</v>
          </cell>
          <cell r="D999">
            <v>46800032.922780998</v>
          </cell>
          <cell r="E999">
            <v>2404105556</v>
          </cell>
          <cell r="F999">
            <v>-7.7085970645843476E-3</v>
          </cell>
          <cell r="G999">
            <v>-1.515475083488926E-2</v>
          </cell>
        </row>
        <row r="1000">
          <cell r="B1000">
            <v>47.745899999999999</v>
          </cell>
          <cell r="D1000">
            <v>96006106.879128993</v>
          </cell>
          <cell r="E1000">
            <v>3712816667</v>
          </cell>
          <cell r="F1000">
            <v>-2.8611248292163292E-2</v>
          </cell>
          <cell r="G1000">
            <v>-1.7957512179647538E-2</v>
          </cell>
        </row>
        <row r="1001">
          <cell r="B1001">
            <v>48.364100000000001</v>
          </cell>
          <cell r="D1001">
            <v>42226019.268821999</v>
          </cell>
          <cell r="E1001">
            <v>2089044444</v>
          </cell>
          <cell r="F1001">
            <v>1.2864603597609228E-2</v>
          </cell>
          <cell r="G1001">
            <v>7.748318994364429E-3</v>
          </cell>
        </row>
        <row r="1002">
          <cell r="B1002">
            <v>48.823</v>
          </cell>
          <cell r="D1002">
            <v>32107511.751683999</v>
          </cell>
          <cell r="E1002">
            <v>1956033333</v>
          </cell>
          <cell r="F1002">
            <v>9.4437103386543781E-3</v>
          </cell>
          <cell r="G1002">
            <v>8.7781220393295094E-3</v>
          </cell>
        </row>
        <row r="1003">
          <cell r="B1003">
            <v>49.238399999999999</v>
          </cell>
          <cell r="D1003">
            <v>30927025.982280001</v>
          </cell>
          <cell r="E1003">
            <v>1935605556</v>
          </cell>
          <cell r="F1003">
            <v>8.4722935787782672E-3</v>
          </cell>
          <cell r="G1003">
            <v>1.2341563236114893E-2</v>
          </cell>
        </row>
        <row r="1004">
          <cell r="B1004">
            <v>49.102499999999999</v>
          </cell>
          <cell r="D1004">
            <v>10849484.944088001</v>
          </cell>
          <cell r="E1004">
            <v>784366667</v>
          </cell>
          <cell r="F1004">
            <v>-2.7638568797028196E-3</v>
          </cell>
          <cell r="G1004">
            <v>-1.599891742574954E-3</v>
          </cell>
        </row>
        <row r="1005">
          <cell r="B1005">
            <v>49.351500000000001</v>
          </cell>
          <cell r="D1005">
            <v>25460898.224762999</v>
          </cell>
          <cell r="E1005">
            <v>1384727778</v>
          </cell>
          <cell r="F1005">
            <v>5.0582105531269579E-3</v>
          </cell>
          <cell r="G1005">
            <v>-2.1809411946235105E-3</v>
          </cell>
        </row>
        <row r="1006">
          <cell r="B1006">
            <v>49.880899999999997</v>
          </cell>
          <cell r="D1006">
            <v>31439008.726491001</v>
          </cell>
          <cell r="E1006">
            <v>1412222222</v>
          </cell>
          <cell r="F1006">
            <v>1.0670003398640691E-2</v>
          </cell>
          <cell r="G1006">
            <v>1.0573612487139963E-2</v>
          </cell>
        </row>
        <row r="1007">
          <cell r="B1007">
            <v>49.668900000000001</v>
          </cell>
          <cell r="D1007">
            <v>17966497.820948999</v>
          </cell>
          <cell r="E1007">
            <v>1315238889</v>
          </cell>
          <cell r="F1007">
            <v>-4.2591812436443225E-3</v>
          </cell>
          <cell r="G1007">
            <v>-7.2433991595191854E-3</v>
          </cell>
        </row>
        <row r="1008">
          <cell r="B1008">
            <v>48.935299999999998</v>
          </cell>
          <cell r="D1008">
            <v>27669721.185695998</v>
          </cell>
          <cell r="E1008">
            <v>1475183333</v>
          </cell>
          <cell r="F1008">
            <v>-1.4879965268967956E-2</v>
          </cell>
          <cell r="G1008">
            <v>-9.4564043127839722E-3</v>
          </cell>
        </row>
        <row r="1009">
          <cell r="B1009">
            <v>48.337600000000002</v>
          </cell>
          <cell r="D1009">
            <v>55952581.411247998</v>
          </cell>
          <cell r="E1009">
            <v>2391600000</v>
          </cell>
          <cell r="F1009">
            <v>-1.2289291721925281E-2</v>
          </cell>
          <cell r="G1009">
            <v>-1.5422087447211375E-2</v>
          </cell>
        </row>
        <row r="1010">
          <cell r="B1010">
            <v>48.556399999999996</v>
          </cell>
          <cell r="D1010">
            <v>36803727.305303</v>
          </cell>
          <cell r="E1010">
            <v>2059233333</v>
          </cell>
          <cell r="F1010">
            <v>4.5162831940424187E-3</v>
          </cell>
          <cell r="G1010">
            <v>2.0102404911239561E-3</v>
          </cell>
        </row>
        <row r="1011">
          <cell r="B1011">
            <v>47.6755</v>
          </cell>
          <cell r="D1011">
            <v>41797111.169523999</v>
          </cell>
          <cell r="E1011">
            <v>2409255556</v>
          </cell>
          <cell r="F1011">
            <v>-1.8308369804024515E-2</v>
          </cell>
          <cell r="G1011">
            <v>-1.3202187278752919E-2</v>
          </cell>
        </row>
        <row r="1012">
          <cell r="B1012">
            <v>46.017800000000001</v>
          </cell>
          <cell r="D1012">
            <v>60030126.236040004</v>
          </cell>
          <cell r="E1012">
            <v>2820327778</v>
          </cell>
          <cell r="F1012">
            <v>-3.5389360945999648E-2</v>
          </cell>
          <cell r="G1012">
            <v>-2.3985794022258523E-2</v>
          </cell>
        </row>
        <row r="1013">
          <cell r="B1013">
            <v>46.156500000000001</v>
          </cell>
          <cell r="D1013">
            <v>51670937.432651997</v>
          </cell>
          <cell r="E1013">
            <v>2591633333</v>
          </cell>
          <cell r="F1013">
            <v>3.0095179390807417E-3</v>
          </cell>
          <cell r="G1013">
            <v>-1.0897570278899054E-2</v>
          </cell>
        </row>
        <row r="1014">
          <cell r="B1014">
            <v>46.130499999999998</v>
          </cell>
          <cell r="D1014">
            <v>41883025.885733001</v>
          </cell>
          <cell r="E1014">
            <v>2559605556</v>
          </cell>
          <cell r="F1014">
            <v>-5.6345965711081735E-4</v>
          </cell>
          <cell r="G1014">
            <v>8.5290069397867538E-4</v>
          </cell>
        </row>
        <row r="1015">
          <cell r="B1015">
            <v>46.554000000000002</v>
          </cell>
          <cell r="D1015">
            <v>39233109.342968002</v>
          </cell>
          <cell r="E1015">
            <v>2715144444</v>
          </cell>
          <cell r="F1015">
            <v>9.1385926954300877E-3</v>
          </cell>
          <cell r="G1015">
            <v>7.7725092573912389E-3</v>
          </cell>
        </row>
        <row r="1016">
          <cell r="B1016">
            <v>45.550899999999999</v>
          </cell>
          <cell r="D1016">
            <v>71657733.381037995</v>
          </cell>
          <cell r="E1016">
            <v>2826127778</v>
          </cell>
          <cell r="F1016">
            <v>-2.1782547121961687E-2</v>
          </cell>
          <cell r="G1016">
            <v>-2.5282362871704309E-2</v>
          </cell>
        </row>
        <row r="1017">
          <cell r="B1017">
            <v>46.848100000000002</v>
          </cell>
          <cell r="D1017">
            <v>54243816.785595998</v>
          </cell>
          <cell r="E1017">
            <v>2911727778</v>
          </cell>
          <cell r="F1017">
            <v>2.8080070881504139E-2</v>
          </cell>
          <cell r="G1017">
            <v>1.6558094217956527E-2</v>
          </cell>
        </row>
        <row r="1018">
          <cell r="B1018">
            <v>44.978900000000003</v>
          </cell>
          <cell r="D1018">
            <v>78653907.060076997</v>
          </cell>
          <cell r="E1018">
            <v>3038033333</v>
          </cell>
          <cell r="F1018">
            <v>-4.0716961980748811E-2</v>
          </cell>
          <cell r="G1018">
            <v>-2.1835767111975091E-2</v>
          </cell>
        </row>
        <row r="1019">
          <cell r="B1019">
            <v>44.595999999999997</v>
          </cell>
          <cell r="D1019">
            <v>49388944.242705002</v>
          </cell>
          <cell r="E1019">
            <v>2737972222</v>
          </cell>
          <cell r="F1019">
            <v>-8.5493220133359849E-3</v>
          </cell>
          <cell r="G1019">
            <v>5.316801750062664E-4</v>
          </cell>
        </row>
        <row r="1020">
          <cell r="B1020">
            <v>44.799900000000001</v>
          </cell>
          <cell r="D1020">
            <v>70542202.724546</v>
          </cell>
          <cell r="E1020">
            <v>3564483333</v>
          </cell>
          <cell r="F1020">
            <v>4.5617383702661364E-3</v>
          </cell>
          <cell r="G1020">
            <v>-1.1762765749513873E-2</v>
          </cell>
        </row>
        <row r="1021">
          <cell r="B1021">
            <v>44.526600000000002</v>
          </cell>
          <cell r="D1021">
            <v>42765236.597208999</v>
          </cell>
          <cell r="E1021">
            <v>2821561111</v>
          </cell>
          <cell r="F1021">
            <v>-6.1191438774560302E-3</v>
          </cell>
          <cell r="G1021">
            <v>5.181970226003676E-3</v>
          </cell>
        </row>
        <row r="1022">
          <cell r="B1022">
            <v>46.1205</v>
          </cell>
          <cell r="D1022">
            <v>38339081.723458</v>
          </cell>
          <cell r="E1022">
            <v>2723200000</v>
          </cell>
          <cell r="F1022">
            <v>3.517077322756483E-2</v>
          </cell>
          <cell r="G1022">
            <v>2.0080708854120791E-2</v>
          </cell>
        </row>
        <row r="1023">
          <cell r="B1023">
            <v>45.679200000000002</v>
          </cell>
          <cell r="D1023">
            <v>36849119.302748002</v>
          </cell>
          <cell r="E1023">
            <v>2445211111</v>
          </cell>
          <cell r="F1023">
            <v>-9.614484566152999E-3</v>
          </cell>
          <cell r="G1023">
            <v>-1.5761508958281073E-2</v>
          </cell>
        </row>
        <row r="1024">
          <cell r="B1024">
            <v>46.017800000000001</v>
          </cell>
          <cell r="D1024">
            <v>31895966.369139999</v>
          </cell>
          <cell r="E1024">
            <v>2421077778</v>
          </cell>
          <cell r="F1024">
            <v>7.3852261029203597E-3</v>
          </cell>
          <cell r="G1024">
            <v>1.4045211853838186E-2</v>
          </cell>
        </row>
        <row r="1025">
          <cell r="B1025">
            <v>45.180900000000001</v>
          </cell>
          <cell r="D1025">
            <v>38428645.327225998</v>
          </cell>
          <cell r="E1025">
            <v>2641133333</v>
          </cell>
          <cell r="F1025">
            <v>-1.8353847002291965E-2</v>
          </cell>
          <cell r="G1025">
            <v>-1.0922893803811026E-2</v>
          </cell>
        </row>
        <row r="1026">
          <cell r="B1026">
            <v>45.919499999999999</v>
          </cell>
          <cell r="D1026">
            <v>59911762.630282998</v>
          </cell>
          <cell r="E1026">
            <v>2607227778</v>
          </cell>
          <cell r="F1026">
            <v>1.6215432290113116E-2</v>
          </cell>
          <cell r="G1026">
            <v>5.5133325226166194E-3</v>
          </cell>
        </row>
        <row r="1027">
          <cell r="B1027">
            <v>48.548499999999997</v>
          </cell>
          <cell r="D1027">
            <v>77501612.120919004</v>
          </cell>
          <cell r="E1027">
            <v>3054205556</v>
          </cell>
          <cell r="F1027">
            <v>5.5673434826232389E-2</v>
          </cell>
          <cell r="G1027">
            <v>2.4458648291019413E-2</v>
          </cell>
        </row>
        <row r="1028">
          <cell r="B1028">
            <v>48.254800000000003</v>
          </cell>
          <cell r="D1028">
            <v>46443881.430001996</v>
          </cell>
          <cell r="E1028">
            <v>2401405556</v>
          </cell>
          <cell r="F1028">
            <v>-6.067993574233611E-3</v>
          </cell>
          <cell r="G1028">
            <v>-4.4334239646468779E-4</v>
          </cell>
        </row>
        <row r="1029">
          <cell r="B1029">
            <v>46.750700000000002</v>
          </cell>
          <cell r="D1029">
            <v>58016548.450338997</v>
          </cell>
          <cell r="E1029">
            <v>2479550000</v>
          </cell>
          <cell r="F1029">
            <v>-3.1666075817657395E-2</v>
          </cell>
          <cell r="G1029">
            <v>-1.8920981595370201E-2</v>
          </cell>
        </row>
        <row r="1030">
          <cell r="B1030">
            <v>46.008099999999999</v>
          </cell>
          <cell r="D1030">
            <v>62876819.585853003</v>
          </cell>
          <cell r="E1030">
            <v>2873861111</v>
          </cell>
          <cell r="F1030">
            <v>-1.6011760940501611E-2</v>
          </cell>
          <cell r="G1030">
            <v>4.9796200980441394E-3</v>
          </cell>
        </row>
        <row r="1031">
          <cell r="B1031">
            <v>45.866700000000002</v>
          </cell>
          <cell r="D1031">
            <v>48094364.188849002</v>
          </cell>
          <cell r="E1031">
            <v>2885177778</v>
          </cell>
          <cell r="F1031">
            <v>-3.078104369072748E-3</v>
          </cell>
          <cell r="G1031">
            <v>1.525609102635925E-3</v>
          </cell>
        </row>
        <row r="1032">
          <cell r="B1032">
            <v>44.244100000000003</v>
          </cell>
          <cell r="D1032">
            <v>66137531.648936003</v>
          </cell>
          <cell r="E1032">
            <v>2738855556</v>
          </cell>
          <cell r="F1032">
            <v>-3.6017334344129404E-2</v>
          </cell>
          <cell r="G1032">
            <v>-1.8654209739793221E-2</v>
          </cell>
        </row>
        <row r="1033">
          <cell r="B1033">
            <v>43.582000000000001</v>
          </cell>
          <cell r="D1033">
            <v>63050502.128953002</v>
          </cell>
          <cell r="E1033">
            <v>3131366667</v>
          </cell>
          <cell r="F1033">
            <v>-1.5077808156196453E-2</v>
          </cell>
          <cell r="G1033">
            <v>-1.4255000337827674E-2</v>
          </cell>
        </row>
        <row r="1034">
          <cell r="B1034">
            <v>43.467799999999997</v>
          </cell>
          <cell r="D1034">
            <v>47557506.761087999</v>
          </cell>
          <cell r="E1034">
            <v>2879566667</v>
          </cell>
          <cell r="F1034">
            <v>-2.6237869705659838E-3</v>
          </cell>
          <cell r="G1034">
            <v>-6.638511706025009E-4</v>
          </cell>
        </row>
        <row r="1035">
          <cell r="B1035">
            <v>43.8476</v>
          </cell>
          <cell r="D1035">
            <v>40304754.038377002</v>
          </cell>
          <cell r="E1035">
            <v>2483983333</v>
          </cell>
          <cell r="F1035">
            <v>8.6995511751264687E-3</v>
          </cell>
          <cell r="G1035">
            <v>-1.8898131031094855E-4</v>
          </cell>
        </row>
        <row r="1036">
          <cell r="B1036">
            <v>43.830100000000002</v>
          </cell>
          <cell r="D1036">
            <v>50972036.225479998</v>
          </cell>
          <cell r="E1036">
            <v>3056000000</v>
          </cell>
          <cell r="F1036">
            <v>-3.9918930885244057E-4</v>
          </cell>
          <cell r="G1036">
            <v>-1.2377431213466798E-2</v>
          </cell>
        </row>
        <row r="1037">
          <cell r="B1037">
            <v>44.543999999999997</v>
          </cell>
          <cell r="D1037">
            <v>35286712.540031001</v>
          </cell>
          <cell r="E1037">
            <v>2609400000</v>
          </cell>
          <cell r="F1037">
            <v>1.6156668741516597E-2</v>
          </cell>
          <cell r="G1037">
            <v>1.9329975470501772E-2</v>
          </cell>
        </row>
        <row r="1038">
          <cell r="B1038">
            <v>45.389800000000001</v>
          </cell>
          <cell r="D1038">
            <v>37069309.804980002</v>
          </cell>
          <cell r="E1038">
            <v>2539261111</v>
          </cell>
          <cell r="F1038">
            <v>1.8809945489827604E-2</v>
          </cell>
          <cell r="G1038">
            <v>1.6381776635361386E-2</v>
          </cell>
        </row>
        <row r="1039">
          <cell r="B1039">
            <v>46.569800000000001</v>
          </cell>
          <cell r="D1039">
            <v>42831645.531764001</v>
          </cell>
          <cell r="E1039">
            <v>2784188889</v>
          </cell>
          <cell r="F1039">
            <v>2.5664852173017984E-2</v>
          </cell>
          <cell r="G1039">
            <v>1.634611531802933E-2</v>
          </cell>
        </row>
        <row r="1040">
          <cell r="B1040">
            <v>46.365900000000003</v>
          </cell>
          <cell r="D1040">
            <v>28459423.792668998</v>
          </cell>
          <cell r="E1040">
            <v>2464716667</v>
          </cell>
          <cell r="F1040">
            <v>-4.3879871172168719E-3</v>
          </cell>
          <cell r="G1040">
            <v>-4.6766370852842467E-3</v>
          </cell>
        </row>
        <row r="1041">
          <cell r="B1041">
            <v>46.038499999999999</v>
          </cell>
          <cell r="D1041">
            <v>30263446.498130001</v>
          </cell>
          <cell r="E1041">
            <v>2301583333</v>
          </cell>
          <cell r="F1041">
            <v>-7.0862722995528081E-3</v>
          </cell>
          <cell r="G1041">
            <v>-2.607147233575974E-5</v>
          </cell>
        </row>
        <row r="1042">
          <cell r="B1042">
            <v>46.7759</v>
          </cell>
          <cell r="D1042">
            <v>26307607.02124</v>
          </cell>
          <cell r="E1042">
            <v>2252616667</v>
          </cell>
          <cell r="F1042">
            <v>1.5890110064584684E-2</v>
          </cell>
          <cell r="G1042">
            <v>1.4350746375528583E-2</v>
          </cell>
        </row>
        <row r="1043">
          <cell r="B1043">
            <v>45.471800000000002</v>
          </cell>
          <cell r="D1043">
            <v>29054547.729965001</v>
          </cell>
          <cell r="E1043">
            <v>2161472222</v>
          </cell>
          <cell r="F1043">
            <v>-2.8275759428645866E-2</v>
          </cell>
          <cell r="G1043">
            <v>-1.2532587736590248E-2</v>
          </cell>
        </row>
        <row r="1044">
          <cell r="B1044">
            <v>45.628300000000003</v>
          </cell>
          <cell r="D1044">
            <v>34993529.953128003</v>
          </cell>
          <cell r="E1044">
            <v>2398472222</v>
          </cell>
          <cell r="F1044">
            <v>3.4357844602108572E-3</v>
          </cell>
          <cell r="G1044">
            <v>4.429944898265448E-3</v>
          </cell>
        </row>
        <row r="1045">
          <cell r="B1045">
            <v>46.284700000000001</v>
          </cell>
          <cell r="D1045">
            <v>29320702.543938</v>
          </cell>
          <cell r="E1045">
            <v>2287894444</v>
          </cell>
          <cell r="F1045">
            <v>1.4283314862483324E-2</v>
          </cell>
          <cell r="G1045">
            <v>1.1284417050872818E-2</v>
          </cell>
        </row>
        <row r="1046">
          <cell r="B1046">
            <v>45.575600000000001</v>
          </cell>
          <cell r="D1046">
            <v>37552551.928648002</v>
          </cell>
          <cell r="E1046">
            <v>2415838889</v>
          </cell>
          <cell r="F1046">
            <v>-1.5438967326143744E-2</v>
          </cell>
          <cell r="G1046">
            <v>-1.8719154129472615E-3</v>
          </cell>
        </row>
        <row r="1047">
          <cell r="B1047">
            <v>45.202399999999997</v>
          </cell>
          <cell r="D1047">
            <v>29395317.380231999</v>
          </cell>
          <cell r="E1047">
            <v>2548988889</v>
          </cell>
          <cell r="F1047">
            <v>-8.2223028168153921E-3</v>
          </cell>
          <cell r="G1047">
            <v>-8.1540959183034733E-3</v>
          </cell>
        </row>
        <row r="1048">
          <cell r="B1048">
            <v>46.711399999999998</v>
          </cell>
          <cell r="D1048">
            <v>34001871.043549001</v>
          </cell>
          <cell r="E1048">
            <v>2677638889</v>
          </cell>
          <cell r="F1048">
            <v>3.2838063459856563E-2</v>
          </cell>
          <cell r="G1048">
            <v>2.3588387634097943E-2</v>
          </cell>
        </row>
        <row r="1049">
          <cell r="B1049">
            <v>47.040500000000002</v>
          </cell>
          <cell r="D1049">
            <v>30011162.371215999</v>
          </cell>
          <cell r="E1049">
            <v>2592561111</v>
          </cell>
          <cell r="F1049">
            <v>7.0206865520214207E-3</v>
          </cell>
          <cell r="G1049">
            <v>4.0859621010796536E-3</v>
          </cell>
        </row>
        <row r="1050">
          <cell r="B1050">
            <v>46.506300000000003</v>
          </cell>
          <cell r="D1050">
            <v>26104080.181731001</v>
          </cell>
          <cell r="E1050">
            <v>2823166667</v>
          </cell>
          <cell r="F1050">
            <v>-1.1421145498414463E-2</v>
          </cell>
          <cell r="G1050">
            <v>3.4925974922729325E-3</v>
          </cell>
        </row>
        <row r="1051">
          <cell r="B1051">
            <v>46.222999999999999</v>
          </cell>
          <cell r="D1051">
            <v>35663069.082197003</v>
          </cell>
          <cell r="E1051">
            <v>3361072222</v>
          </cell>
          <cell r="F1051">
            <v>-6.1102775806179122E-3</v>
          </cell>
          <cell r="G1051">
            <v>3.3004569962263434E-3</v>
          </cell>
        </row>
        <row r="1052">
          <cell r="B1052">
            <v>45.335099999999997</v>
          </cell>
          <cell r="D1052">
            <v>42427195.422068998</v>
          </cell>
          <cell r="E1052">
            <v>2760100000</v>
          </cell>
          <cell r="F1052">
            <v>-1.9395942809705788E-2</v>
          </cell>
          <cell r="G1052">
            <v>8.8461303950758267E-4</v>
          </cell>
        </row>
        <row r="1053">
          <cell r="B1053">
            <v>45.886099999999999</v>
          </cell>
          <cell r="D1053">
            <v>36409779.521251999</v>
          </cell>
          <cell r="E1053">
            <v>2578694444</v>
          </cell>
          <cell r="F1053">
            <v>1.2080672062703343E-2</v>
          </cell>
          <cell r="G1053">
            <v>-1.1303756111464681E-2</v>
          </cell>
        </row>
        <row r="1054">
          <cell r="B1054">
            <v>46.943800000000003</v>
          </cell>
          <cell r="D1054">
            <v>28462792.154082</v>
          </cell>
          <cell r="E1054">
            <v>2243400000</v>
          </cell>
          <cell r="F1054">
            <v>2.2788902596583741E-2</v>
          </cell>
          <cell r="G1054">
            <v>5.0396728076172173E-3</v>
          </cell>
        </row>
        <row r="1055">
          <cell r="B1055">
            <v>46.239600000000003</v>
          </cell>
          <cell r="D1055">
            <v>43209897.161156997</v>
          </cell>
          <cell r="E1055">
            <v>2431550000</v>
          </cell>
          <cell r="F1055">
            <v>-1.5114567748456044E-2</v>
          </cell>
          <cell r="G1055">
            <v>1.5582470255186083E-4</v>
          </cell>
        </row>
        <row r="1056">
          <cell r="B1056">
            <v>47.146999999999998</v>
          </cell>
          <cell r="D1056">
            <v>34101174.228509001</v>
          </cell>
          <cell r="E1056">
            <v>2265900000</v>
          </cell>
          <cell r="F1056">
            <v>1.9433806524301808E-2</v>
          </cell>
          <cell r="G1056">
            <v>1.6262547567990299E-2</v>
          </cell>
        </row>
        <row r="1057">
          <cell r="B1057">
            <v>47.236800000000002</v>
          </cell>
          <cell r="D1057">
            <v>27108887.986637998</v>
          </cell>
          <cell r="E1057">
            <v>1937694444</v>
          </cell>
          <cell r="F1057">
            <v>1.9028694987169351E-3</v>
          </cell>
          <cell r="G1057">
            <v>-1.2618048449994732E-3</v>
          </cell>
        </row>
        <row r="1058">
          <cell r="B1058">
            <v>47.609900000000003</v>
          </cell>
          <cell r="D1058">
            <v>23755839.820482999</v>
          </cell>
          <cell r="E1058">
            <v>1977933333</v>
          </cell>
          <cell r="F1058">
            <v>7.8674729744519674E-3</v>
          </cell>
          <cell r="G1058">
            <v>-1.8386503245784805E-3</v>
          </cell>
        </row>
        <row r="1059">
          <cell r="B1059">
            <v>48.281999999999996</v>
          </cell>
          <cell r="D1059">
            <v>35672707.305402003</v>
          </cell>
          <cell r="E1059">
            <v>2253900000</v>
          </cell>
          <cell r="F1059">
            <v>1.4018097586904945E-2</v>
          </cell>
          <cell r="G1059">
            <v>5.5847689767839007E-3</v>
          </cell>
        </row>
        <row r="1060">
          <cell r="B1060">
            <v>48.558399999999999</v>
          </cell>
          <cell r="D1060">
            <v>31769303.694200002</v>
          </cell>
          <cell r="E1060">
            <v>2516933333</v>
          </cell>
          <cell r="F1060">
            <v>5.7083768872044022E-3</v>
          </cell>
          <cell r="G1060">
            <v>6.5735853667514303E-3</v>
          </cell>
        </row>
        <row r="1061">
          <cell r="B1061">
            <v>47.519199999999998</v>
          </cell>
          <cell r="D1061">
            <v>76120311.606042996</v>
          </cell>
          <cell r="E1061">
            <v>3612855556</v>
          </cell>
          <cell r="F1061">
            <v>-2.1633357383411173E-2</v>
          </cell>
          <cell r="G1061">
            <v>4.3959123835568669E-3</v>
          </cell>
        </row>
        <row r="1062">
          <cell r="B1062">
            <v>47.8504</v>
          </cell>
          <cell r="D1062">
            <v>26931150.100205999</v>
          </cell>
          <cell r="E1062">
            <v>1875888889</v>
          </cell>
          <cell r="F1062">
            <v>6.9456374248145041E-3</v>
          </cell>
          <cell r="G1062">
            <v>9.8508242181442169E-4</v>
          </cell>
        </row>
        <row r="1063">
          <cell r="B1063">
            <v>48.035800000000002</v>
          </cell>
          <cell r="D1063">
            <v>26028885.864415001</v>
          </cell>
          <cell r="E1063">
            <v>1899144444</v>
          </cell>
          <cell r="F1063">
            <v>3.8670889251022195E-3</v>
          </cell>
          <cell r="G1063">
            <v>-8.7774911765066258E-4</v>
          </cell>
        </row>
        <row r="1064">
          <cell r="B1064">
            <v>47.945999999999998</v>
          </cell>
          <cell r="D1064">
            <v>22657526.712281</v>
          </cell>
          <cell r="E1064">
            <v>2021950000</v>
          </cell>
          <cell r="F1064">
            <v>-1.8711886253799709E-3</v>
          </cell>
          <cell r="G1064">
            <v>-6.4064665305301419E-3</v>
          </cell>
        </row>
        <row r="1065">
          <cell r="B1065">
            <v>48.162799999999997</v>
          </cell>
          <cell r="D1065">
            <v>22455992.222715002</v>
          </cell>
          <cell r="E1065">
            <v>1893177778</v>
          </cell>
          <cell r="F1065">
            <v>4.5115612250312253E-3</v>
          </cell>
          <cell r="G1065">
            <v>-3.7813217888834326E-4</v>
          </cell>
        </row>
        <row r="1066">
          <cell r="B1066">
            <v>47.564999999999998</v>
          </cell>
          <cell r="D1066">
            <v>17250269.516952999</v>
          </cell>
          <cell r="E1066">
            <v>1560605556</v>
          </cell>
          <cell r="F1066">
            <v>-1.2489742186991721E-2</v>
          </cell>
          <cell r="G1066">
            <v>5.4505413835056777E-4</v>
          </cell>
        </row>
        <row r="1067">
          <cell r="B1067">
            <v>48.604300000000002</v>
          </cell>
          <cell r="D1067">
            <v>24873522.542534001</v>
          </cell>
          <cell r="E1067">
            <v>2123516667</v>
          </cell>
          <cell r="F1067">
            <v>2.1614807700391751E-2</v>
          </cell>
          <cell r="G1067">
            <v>8.7780312721493121E-3</v>
          </cell>
        </row>
        <row r="1068">
          <cell r="B1068">
            <v>48.904299999999999</v>
          </cell>
          <cell r="D1068">
            <v>24236992.331494</v>
          </cell>
          <cell r="E1068">
            <v>1994616667</v>
          </cell>
          <cell r="F1068">
            <v>6.153322816324718E-3</v>
          </cell>
          <cell r="G1068">
            <v>4.3409084032825307E-3</v>
          </cell>
        </row>
        <row r="1069">
          <cell r="B1069">
            <v>49.064500000000002</v>
          </cell>
          <cell r="D1069">
            <v>26410923.572988998</v>
          </cell>
          <cell r="E1069">
            <v>2064044444</v>
          </cell>
          <cell r="F1069">
            <v>3.2704318678579872E-3</v>
          </cell>
          <cell r="G1069">
            <v>-2.041861276038347E-3</v>
          </cell>
        </row>
        <row r="1070">
          <cell r="B1070">
            <v>49.368200000000002</v>
          </cell>
          <cell r="D1070">
            <v>25695836.826127999</v>
          </cell>
          <cell r="E1070">
            <v>2083327778</v>
          </cell>
          <cell r="F1070">
            <v>6.1707331748246863E-3</v>
          </cell>
          <cell r="G1070">
            <v>6.3109401913092533E-3</v>
          </cell>
        </row>
        <row r="1071">
          <cell r="B1071">
            <v>49.244900000000001</v>
          </cell>
          <cell r="D1071">
            <v>19380850.254209999</v>
          </cell>
          <cell r="E1071">
            <v>1936505556</v>
          </cell>
          <cell r="F1071">
            <v>-2.5006832612269915E-3</v>
          </cell>
          <cell r="G1071">
            <v>-3.2134091933979764E-3</v>
          </cell>
        </row>
        <row r="1072">
          <cell r="B1072">
            <v>48.471600000000002</v>
          </cell>
          <cell r="D1072">
            <v>19400813.682535</v>
          </cell>
          <cell r="E1072">
            <v>2308288889</v>
          </cell>
          <cell r="F1072">
            <v>-1.5827749534783494E-2</v>
          </cell>
          <cell r="G1072">
            <v>-1.0196376617517549E-2</v>
          </cell>
        </row>
        <row r="1073">
          <cell r="B1073">
            <v>48.9696</v>
          </cell>
          <cell r="D1073">
            <v>22202132.439808998</v>
          </cell>
          <cell r="E1073">
            <v>2083777778</v>
          </cell>
          <cell r="F1073">
            <v>1.0221637992771157E-2</v>
          </cell>
          <cell r="G1073">
            <v>1.0452861947236771E-2</v>
          </cell>
        </row>
        <row r="1074">
          <cell r="B1074">
            <v>48.383600000000001</v>
          </cell>
          <cell r="D1074">
            <v>18623156.295022</v>
          </cell>
          <cell r="E1074">
            <v>2111805556</v>
          </cell>
          <cell r="F1074">
            <v>-1.2038784087452846E-2</v>
          </cell>
          <cell r="G1074">
            <v>-1.2048133236940891E-2</v>
          </cell>
        </row>
        <row r="1075">
          <cell r="B1075">
            <v>48.348500000000001</v>
          </cell>
          <cell r="D1075">
            <v>24306494.220403001</v>
          </cell>
          <cell r="E1075">
            <v>1866405556</v>
          </cell>
          <cell r="F1075">
            <v>-7.2571569397311176E-4</v>
          </cell>
          <cell r="G1075">
            <v>2.782731266950438E-3</v>
          </cell>
        </row>
        <row r="1076">
          <cell r="B1076">
            <v>48.245800000000003</v>
          </cell>
          <cell r="D1076">
            <v>22243874.525876001</v>
          </cell>
          <cell r="E1076">
            <v>1982133333</v>
          </cell>
          <cell r="F1076">
            <v>-2.1264202690613326E-3</v>
          </cell>
          <cell r="G1076">
            <v>-2.7435530304558238E-3</v>
          </cell>
        </row>
        <row r="1077">
          <cell r="B1077">
            <v>48.5505</v>
          </cell>
          <cell r="D1077">
            <v>26780233.175457999</v>
          </cell>
          <cell r="E1077">
            <v>2355411111</v>
          </cell>
          <cell r="F1077">
            <v>6.295715981384383E-3</v>
          </cell>
          <cell r="G1077">
            <v>9.6157633089034942E-3</v>
          </cell>
        </row>
        <row r="1078">
          <cell r="B1078">
            <v>49.173699999999997</v>
          </cell>
          <cell r="D1078">
            <v>20540674.351372</v>
          </cell>
          <cell r="E1078">
            <v>2328794444</v>
          </cell>
          <cell r="F1078">
            <v>1.2754434382948474E-2</v>
          </cell>
          <cell r="G1078">
            <v>9.9900930750864061E-3</v>
          </cell>
        </row>
        <row r="1079">
          <cell r="B1079">
            <v>49.181600000000003</v>
          </cell>
          <cell r="D1079">
            <v>21654361.111542001</v>
          </cell>
          <cell r="E1079">
            <v>2092150000</v>
          </cell>
          <cell r="F1079">
            <v>1.6064208064010992E-4</v>
          </cell>
          <cell r="G1079">
            <v>1.7286084744860797E-4</v>
          </cell>
        </row>
        <row r="1080">
          <cell r="B1080">
            <v>49.436500000000002</v>
          </cell>
          <cell r="D1080">
            <v>28810878.008195002</v>
          </cell>
          <cell r="E1080">
            <v>2056361111</v>
          </cell>
          <cell r="F1080">
            <v>5.1694479541764694E-3</v>
          </cell>
          <cell r="G1080">
            <v>-9.8474612318046658E-4</v>
          </cell>
        </row>
        <row r="1081">
          <cell r="B1081">
            <v>50.159300000000002</v>
          </cell>
          <cell r="D1081">
            <v>24907624.898247998</v>
          </cell>
          <cell r="E1081">
            <v>1842711111</v>
          </cell>
          <cell r="F1081">
            <v>1.4514923121143527E-2</v>
          </cell>
          <cell r="G1081">
            <v>6.5196742612829879E-3</v>
          </cell>
        </row>
        <row r="1082">
          <cell r="B1082">
            <v>50.095700000000001</v>
          </cell>
          <cell r="D1082">
            <v>29397125.442922998</v>
          </cell>
          <cell r="E1082">
            <v>2164905556</v>
          </cell>
          <cell r="F1082">
            <v>-1.2687648203431731E-3</v>
          </cell>
          <cell r="G1082">
            <v>3.0797566260183499E-3</v>
          </cell>
        </row>
        <row r="1083">
          <cell r="B1083">
            <v>49.3857</v>
          </cell>
          <cell r="D1083">
            <v>38672045.784846</v>
          </cell>
          <cell r="E1083">
            <v>2324933333</v>
          </cell>
          <cell r="F1083">
            <v>-1.4274267459970584E-2</v>
          </cell>
          <cell r="G1083">
            <v>7.6132474175960086E-4</v>
          </cell>
        </row>
        <row r="1084">
          <cell r="B1084">
            <v>49.5548</v>
          </cell>
          <cell r="D1084">
            <v>38386180.425609</v>
          </cell>
          <cell r="E1084">
            <v>2319605556</v>
          </cell>
          <cell r="F1084">
            <v>3.4182193267700534E-3</v>
          </cell>
          <cell r="G1084">
            <v>-5.207599968700849E-3</v>
          </cell>
        </row>
        <row r="1085">
          <cell r="B1085">
            <v>46.001399999999997</v>
          </cell>
          <cell r="D1085">
            <v>136942908.85308999</v>
          </cell>
          <cell r="E1085">
            <v>2105877778</v>
          </cell>
          <cell r="F1085">
            <v>-7.4407297122267235E-2</v>
          </cell>
          <cell r="G1085">
            <v>4.7811888913341718E-5</v>
          </cell>
        </row>
        <row r="1086">
          <cell r="B1086">
            <v>46.293300000000002</v>
          </cell>
          <cell r="D1086">
            <v>35129646.564023003</v>
          </cell>
          <cell r="E1086">
            <v>1844300000</v>
          </cell>
          <cell r="F1086">
            <v>6.3254113890131953E-3</v>
          </cell>
          <cell r="G1086">
            <v>-1.8136709785938731E-3</v>
          </cell>
        </row>
        <row r="1087">
          <cell r="B1087">
            <v>45.697600000000001</v>
          </cell>
          <cell r="D1087">
            <v>36670209.144640997</v>
          </cell>
          <cell r="E1087">
            <v>1976216667</v>
          </cell>
          <cell r="F1087">
            <v>-1.2951462087842786E-2</v>
          </cell>
          <cell r="G1087">
            <v>1.8710422279640288E-3</v>
          </cell>
        </row>
        <row r="1088">
          <cell r="B1088">
            <v>45.255200000000002</v>
          </cell>
          <cell r="D1088">
            <v>45246828.236773998</v>
          </cell>
          <cell r="E1088">
            <v>2277838889</v>
          </cell>
          <cell r="F1088">
            <v>-9.7281994392057168E-3</v>
          </cell>
          <cell r="G1088">
            <v>1.6480173786207935E-3</v>
          </cell>
        </row>
        <row r="1089">
          <cell r="B1089">
            <v>44.332000000000001</v>
          </cell>
          <cell r="D1089">
            <v>43907457.166671999</v>
          </cell>
          <cell r="E1089">
            <v>2394355556</v>
          </cell>
          <cell r="F1089">
            <v>-2.061081675713318E-2</v>
          </cell>
          <cell r="G1089">
            <v>-9.2737108991200311E-3</v>
          </cell>
        </row>
        <row r="1090">
          <cell r="B1090">
            <v>44.314700000000002</v>
          </cell>
          <cell r="D1090">
            <v>48717033.951012999</v>
          </cell>
          <cell r="E1090">
            <v>2613733333</v>
          </cell>
          <cell r="F1090">
            <v>-3.9031346276012594E-4</v>
          </cell>
          <cell r="G1090">
            <v>-5.0759446457705557E-3</v>
          </cell>
        </row>
        <row r="1091">
          <cell r="B1091">
            <v>44.963099999999997</v>
          </cell>
          <cell r="D1091">
            <v>35978868.833832003</v>
          </cell>
          <cell r="E1091">
            <v>2133950000</v>
          </cell>
          <cell r="F1091">
            <v>1.4525702935770692E-2</v>
          </cell>
          <cell r="G1091">
            <v>7.779663181895582E-3</v>
          </cell>
        </row>
        <row r="1092">
          <cell r="B1092">
            <v>44.224699999999999</v>
          </cell>
          <cell r="D1092">
            <v>27555785.593043</v>
          </cell>
          <cell r="E1092">
            <v>2318550000</v>
          </cell>
          <cell r="F1092">
            <v>-1.6558696857075506E-2</v>
          </cell>
          <cell r="G1092">
            <v>-8.7145890251247322E-3</v>
          </cell>
        </row>
        <row r="1093">
          <cell r="B1093">
            <v>44.304699999999997</v>
          </cell>
          <cell r="D1093">
            <v>25495042.557018001</v>
          </cell>
          <cell r="E1093">
            <v>2254755556</v>
          </cell>
          <cell r="F1093">
            <v>1.8073097022184906E-3</v>
          </cell>
          <cell r="G1093">
            <v>-5.9545830446672615E-3</v>
          </cell>
        </row>
        <row r="1094">
          <cell r="B1094">
            <v>44.369300000000003</v>
          </cell>
          <cell r="D1094">
            <v>26127579.877629999</v>
          </cell>
          <cell r="E1094">
            <v>2226961111</v>
          </cell>
          <cell r="F1094">
            <v>1.4570226092962258E-3</v>
          </cell>
          <cell r="G1094">
            <v>-2.3892241230235656E-4</v>
          </cell>
        </row>
        <row r="1095">
          <cell r="B1095">
            <v>44.766800000000003</v>
          </cell>
          <cell r="D1095">
            <v>26101339.420788001</v>
          </cell>
          <cell r="E1095">
            <v>2109083333</v>
          </cell>
          <cell r="F1095">
            <v>8.919004422342957E-3</v>
          </cell>
          <cell r="G1095">
            <v>3.1696056255198523E-3</v>
          </cell>
        </row>
        <row r="1096">
          <cell r="B1096">
            <v>44.482599999999998</v>
          </cell>
          <cell r="D1096">
            <v>18229441.941489998</v>
          </cell>
          <cell r="E1096">
            <v>2104788889</v>
          </cell>
          <cell r="F1096">
            <v>-6.3686917917862374E-3</v>
          </cell>
          <cell r="G1096">
            <v>7.5318955023680417E-4</v>
          </cell>
        </row>
        <row r="1097">
          <cell r="B1097">
            <v>45.325400000000002</v>
          </cell>
          <cell r="D1097">
            <v>24059188.920706999</v>
          </cell>
          <cell r="E1097">
            <v>2000111111</v>
          </cell>
          <cell r="F1097">
            <v>1.8769480282242717E-2</v>
          </cell>
          <cell r="G1097">
            <v>1.2406388310731433E-2</v>
          </cell>
        </row>
        <row r="1098">
          <cell r="B1098">
            <v>45.352899999999998</v>
          </cell>
          <cell r="D1098">
            <v>21427974.462419</v>
          </cell>
          <cell r="E1098">
            <v>2123322222</v>
          </cell>
          <cell r="F1098">
            <v>6.0653984124275418E-4</v>
          </cell>
          <cell r="G1098">
            <v>-9.6075554928176481E-3</v>
          </cell>
        </row>
        <row r="1099">
          <cell r="B1099">
            <v>45.761000000000003</v>
          </cell>
          <cell r="D1099">
            <v>25707714.139426999</v>
          </cell>
          <cell r="E1099">
            <v>2101327778</v>
          </cell>
          <cell r="F1099">
            <v>8.9580783847208641E-3</v>
          </cell>
          <cell r="G1099">
            <v>-1.6955023208444766E-4</v>
          </cell>
        </row>
        <row r="1100">
          <cell r="B1100">
            <v>45.38</v>
          </cell>
          <cell r="D1100">
            <v>22971859.332639001</v>
          </cell>
          <cell r="E1100">
            <v>1988822222</v>
          </cell>
          <cell r="F1100">
            <v>-8.3607206279234358E-3</v>
          </cell>
          <cell r="G1100">
            <v>-8.5143749616302909E-3</v>
          </cell>
        </row>
        <row r="1101">
          <cell r="B1101">
            <v>46.048299999999998</v>
          </cell>
          <cell r="D1101">
            <v>16339922.237589</v>
          </cell>
          <cell r="E1101">
            <v>1945200000</v>
          </cell>
          <cell r="F1101">
            <v>1.4619366272970691E-2</v>
          </cell>
          <cell r="G1101">
            <v>9.7490117600573523E-3</v>
          </cell>
        </row>
        <row r="1102">
          <cell r="B1102">
            <v>45.188699999999997</v>
          </cell>
          <cell r="D1102">
            <v>27764893.264789999</v>
          </cell>
          <cell r="E1102">
            <v>2282755556</v>
          </cell>
          <cell r="F1102">
            <v>-1.8843790041690154E-2</v>
          </cell>
          <cell r="G1102">
            <v>-9.4558869991757388E-3</v>
          </cell>
        </row>
        <row r="1103">
          <cell r="B1103">
            <v>45.4574</v>
          </cell>
          <cell r="D1103">
            <v>21236982.227403</v>
          </cell>
          <cell r="E1103">
            <v>2278511111</v>
          </cell>
          <cell r="F1103">
            <v>5.9285680690075301E-3</v>
          </cell>
          <cell r="G1103">
            <v>2.0513622093808805E-4</v>
          </cell>
        </row>
        <row r="1104">
          <cell r="B1104">
            <v>45.018700000000003</v>
          </cell>
          <cell r="D1104">
            <v>25938154.084242001</v>
          </cell>
          <cell r="E1104">
            <v>2137094444</v>
          </cell>
          <cell r="F1104">
            <v>-9.6976646454054356E-3</v>
          </cell>
          <cell r="G1104">
            <v>-3.7136112860127355E-3</v>
          </cell>
        </row>
        <row r="1105">
          <cell r="B1105">
            <v>45.283499999999997</v>
          </cell>
          <cell r="D1105">
            <v>24128860.763413999</v>
          </cell>
          <cell r="E1105">
            <v>1948694444</v>
          </cell>
          <cell r="F1105">
            <v>5.8647687208918066E-3</v>
          </cell>
          <cell r="G1105">
            <v>6.0014450623727053E-3</v>
          </cell>
        </row>
        <row r="1106">
          <cell r="B1106">
            <v>44.758000000000003</v>
          </cell>
          <cell r="D1106">
            <v>25105054.901218999</v>
          </cell>
          <cell r="E1106">
            <v>1697488889</v>
          </cell>
          <cell r="F1106">
            <v>-1.1672528034507046E-2</v>
          </cell>
          <cell r="G1106">
            <v>-2.0876223328746188E-3</v>
          </cell>
        </row>
        <row r="1107">
          <cell r="B1107">
            <v>46.151600000000002</v>
          </cell>
          <cell r="D1107">
            <v>35140602.441067003</v>
          </cell>
          <cell r="E1107">
            <v>2015188889</v>
          </cell>
          <cell r="F1107">
            <v>3.066143021071922E-2</v>
          </cell>
          <cell r="G1107">
            <v>1.3588628383570183E-2</v>
          </cell>
        </row>
        <row r="1108">
          <cell r="B1108">
            <v>46.643999999999998</v>
          </cell>
          <cell r="D1108">
            <v>23188112.230618</v>
          </cell>
          <cell r="E1108">
            <v>2143977778</v>
          </cell>
          <cell r="F1108">
            <v>1.0612671754404078E-2</v>
          </cell>
          <cell r="G1108">
            <v>6.9505391897537305E-3</v>
          </cell>
        </row>
        <row r="1109">
          <cell r="B1109">
            <v>46.425400000000003</v>
          </cell>
          <cell r="D1109">
            <v>25589639.250362001</v>
          </cell>
          <cell r="E1109">
            <v>1794994444</v>
          </cell>
          <cell r="F1109">
            <v>-4.6975784090464321E-3</v>
          </cell>
          <cell r="G1109">
            <v>-2.1049408780701167E-4</v>
          </cell>
        </row>
        <row r="1110">
          <cell r="B1110">
            <v>46.799399999999999</v>
          </cell>
          <cell r="D1110">
            <v>15546606.576686</v>
          </cell>
          <cell r="E1110">
            <v>1710638889</v>
          </cell>
          <cell r="F1110">
            <v>8.0236590795571064E-3</v>
          </cell>
          <cell r="G1110">
            <v>4.2777137484011473E-3</v>
          </cell>
        </row>
        <row r="1111">
          <cell r="B1111">
            <v>47.416600000000003</v>
          </cell>
          <cell r="D1111">
            <v>35996459.051898003</v>
          </cell>
          <cell r="E1111">
            <v>2508005556</v>
          </cell>
          <cell r="F1111">
            <v>1.3101996033349895E-2</v>
          </cell>
          <cell r="G1111">
            <v>-1.0057174210022859E-3</v>
          </cell>
        </row>
        <row r="1112">
          <cell r="B1112">
            <v>47.290599999999998</v>
          </cell>
          <cell r="D1112">
            <v>24342155.851020999</v>
          </cell>
          <cell r="E1112">
            <v>1958427778</v>
          </cell>
          <cell r="F1112">
            <v>-2.6608341148380865E-3</v>
          </cell>
          <cell r="G1112">
            <v>1.1343381543654862E-3</v>
          </cell>
        </row>
        <row r="1113">
          <cell r="B1113">
            <v>46.949800000000003</v>
          </cell>
          <cell r="D1113">
            <v>24779586.211838</v>
          </cell>
          <cell r="E1113">
            <v>2018177778</v>
          </cell>
          <cell r="F1113">
            <v>-7.2325984528151385E-3</v>
          </cell>
          <cell r="G1113">
            <v>2.8207287425610055E-3</v>
          </cell>
        </row>
        <row r="1114">
          <cell r="B1114">
            <v>46.332500000000003</v>
          </cell>
          <cell r="D1114">
            <v>24100025.951611999</v>
          </cell>
          <cell r="E1114">
            <v>2015433333</v>
          </cell>
          <cell r="F1114">
            <v>-1.323528710496529E-2</v>
          </cell>
          <cell r="G1114">
            <v>-2.916001771314822E-3</v>
          </cell>
        </row>
        <row r="1115">
          <cell r="B1115">
            <v>46.634399999999999</v>
          </cell>
          <cell r="D1115">
            <v>18511818.128784001</v>
          </cell>
          <cell r="E1115">
            <v>1912233333</v>
          </cell>
          <cell r="F1115">
            <v>6.4948075334612049E-3</v>
          </cell>
          <cell r="G1115">
            <v>4.8853143586385676E-3</v>
          </cell>
        </row>
        <row r="1116">
          <cell r="B1116">
            <v>46.608800000000002</v>
          </cell>
          <cell r="D1116">
            <v>20306996.070037</v>
          </cell>
          <cell r="E1116">
            <v>1963738889</v>
          </cell>
          <cell r="F1116">
            <v>-5.4910171772792448E-4</v>
          </cell>
          <cell r="G1116">
            <v>1.2886294463136218E-3</v>
          </cell>
        </row>
        <row r="1117">
          <cell r="B1117">
            <v>46.554000000000002</v>
          </cell>
          <cell r="D1117">
            <v>22413354.295846</v>
          </cell>
          <cell r="E1117">
            <v>1978922222</v>
          </cell>
          <cell r="F1117">
            <v>-1.1764353651944072E-3</v>
          </cell>
          <cell r="G1117">
            <v>3.3039911887868061E-3</v>
          </cell>
        </row>
        <row r="1118">
          <cell r="B1118">
            <v>46.179099999999998</v>
          </cell>
          <cell r="D1118">
            <v>21211620.206454001</v>
          </cell>
          <cell r="E1118">
            <v>1827955556</v>
          </cell>
          <cell r="F1118">
            <v>-8.0856143596883031E-3</v>
          </cell>
          <cell r="G1118">
            <v>-1.7191710652795132E-3</v>
          </cell>
        </row>
        <row r="1119">
          <cell r="B1119">
            <v>46.055999999999997</v>
          </cell>
          <cell r="D1119">
            <v>26880675.869917002</v>
          </cell>
          <cell r="E1119">
            <v>1952783333</v>
          </cell>
          <cell r="F1119">
            <v>-2.6692674066704993E-3</v>
          </cell>
          <cell r="G1119">
            <v>-9.2175742558201733E-3</v>
          </cell>
        </row>
        <row r="1120">
          <cell r="B1120">
            <v>44.856699999999996</v>
          </cell>
          <cell r="D1120">
            <v>89262068.873385996</v>
          </cell>
          <cell r="E1120">
            <v>1884461111</v>
          </cell>
          <cell r="F1120">
            <v>-2.6385083180767932E-2</v>
          </cell>
          <cell r="G1120">
            <v>-8.1482943594018125E-3</v>
          </cell>
        </row>
        <row r="1121">
          <cell r="B1121">
            <v>44.576300000000003</v>
          </cell>
          <cell r="D1121">
            <v>46591118.752649002</v>
          </cell>
          <cell r="E1121">
            <v>2088761111</v>
          </cell>
          <cell r="F1121">
            <v>-6.2706365390257663E-3</v>
          </cell>
          <cell r="G1121">
            <v>-1.80050982836035E-3</v>
          </cell>
        </row>
        <row r="1122">
          <cell r="B1122">
            <v>44.454099999999997</v>
          </cell>
          <cell r="D1122">
            <v>31747693.966435999</v>
          </cell>
          <cell r="E1122">
            <v>1969288889</v>
          </cell>
          <cell r="F1122">
            <v>-2.7451314773160275E-3</v>
          </cell>
          <cell r="G1122">
            <v>-1.8423761246134855E-3</v>
          </cell>
        </row>
        <row r="1123">
          <cell r="B1123">
            <v>45.080399999999997</v>
          </cell>
          <cell r="D1123">
            <v>32274964.361898001</v>
          </cell>
          <cell r="E1123">
            <v>2015711111</v>
          </cell>
          <cell r="F1123">
            <v>1.3990366070274155E-2</v>
          </cell>
          <cell r="G1123">
            <v>3.1280978105988734E-3</v>
          </cell>
        </row>
        <row r="1124">
          <cell r="B1124">
            <v>44.846699999999998</v>
          </cell>
          <cell r="D1124">
            <v>46673982.491039999</v>
          </cell>
          <cell r="E1124">
            <v>2751461111</v>
          </cell>
          <cell r="F1124">
            <v>-5.1975550442230969E-3</v>
          </cell>
          <cell r="G1124">
            <v>-3.2632746994190635E-3</v>
          </cell>
        </row>
        <row r="1125">
          <cell r="B1125">
            <v>44.793100000000003</v>
          </cell>
          <cell r="D1125">
            <v>37285208.461910002</v>
          </cell>
          <cell r="E1125">
            <v>1926355556</v>
          </cell>
          <cell r="F1125">
            <v>-1.1958975006211799E-3</v>
          </cell>
          <cell r="G1125">
            <v>5.7913686336797431E-3</v>
          </cell>
        </row>
        <row r="1126">
          <cell r="B1126">
            <v>45.795200000000001</v>
          </cell>
          <cell r="D1126">
            <v>34979231.310122997</v>
          </cell>
          <cell r="E1126">
            <v>1796044444</v>
          </cell>
          <cell r="F1126">
            <v>2.2125172432591073E-2</v>
          </cell>
          <cell r="G1126">
            <v>2.7084373542945453E-3</v>
          </cell>
        </row>
        <row r="1127">
          <cell r="B1127">
            <v>45.626399999999997</v>
          </cell>
          <cell r="D1127">
            <v>27656812.887614001</v>
          </cell>
          <cell r="E1127">
            <v>1760088889</v>
          </cell>
          <cell r="F1127">
            <v>-3.6927857710301604E-3</v>
          </cell>
          <cell r="G1127">
            <v>-1.6529523329488472E-3</v>
          </cell>
        </row>
        <row r="1128">
          <cell r="B1128">
            <v>46.442700000000002</v>
          </cell>
          <cell r="D1128">
            <v>29273973.440106999</v>
          </cell>
          <cell r="E1128">
            <v>1832188889</v>
          </cell>
          <cell r="F1128">
            <v>1.7732798311147852E-2</v>
          </cell>
          <cell r="G1128">
            <v>1.3275511311332405E-2</v>
          </cell>
        </row>
        <row r="1129">
          <cell r="B1129">
            <v>44.576300000000003</v>
          </cell>
          <cell r="D1129">
            <v>70376549.986479998</v>
          </cell>
          <cell r="E1129">
            <v>4220805556</v>
          </cell>
          <cell r="F1129">
            <v>-4.1016967020822637E-2</v>
          </cell>
          <cell r="G1129">
            <v>-3.6580777234719343E-2</v>
          </cell>
        </row>
        <row r="1130">
          <cell r="B1130">
            <v>43.327199999999998</v>
          </cell>
          <cell r="D1130">
            <v>55375957.866270997</v>
          </cell>
          <cell r="E1130">
            <v>3017344444</v>
          </cell>
          <cell r="F1130">
            <v>-2.8421714345293735E-2</v>
          </cell>
          <cell r="G1130">
            <v>-1.826224926163297E-2</v>
          </cell>
        </row>
        <row r="1131">
          <cell r="B1131">
            <v>44.229599999999998</v>
          </cell>
          <cell r="D1131">
            <v>39743905.482047997</v>
          </cell>
          <cell r="E1131">
            <v>2436561111</v>
          </cell>
          <cell r="F1131">
            <v>2.0613634895379089E-2</v>
          </cell>
          <cell r="G1131">
            <v>1.76141579169895E-2</v>
          </cell>
        </row>
        <row r="1132">
          <cell r="B1132">
            <v>45.213999999999999</v>
          </cell>
          <cell r="D1132">
            <v>30555985.103475001</v>
          </cell>
          <cell r="E1132">
            <v>2356522222</v>
          </cell>
          <cell r="F1132">
            <v>2.2012525189827985E-2</v>
          </cell>
          <cell r="G1132">
            <v>1.6889216752452151E-2</v>
          </cell>
        </row>
        <row r="1133">
          <cell r="B1133">
            <v>45.776899999999998</v>
          </cell>
          <cell r="D1133">
            <v>29226586.021262001</v>
          </cell>
          <cell r="E1133">
            <v>2568233333</v>
          </cell>
          <cell r="F1133">
            <v>1.2372823678559474E-2</v>
          </cell>
          <cell r="G1133">
            <v>1.3473821400287618E-2</v>
          </cell>
        </row>
        <row r="1134">
          <cell r="B1134">
            <v>45.767899999999997</v>
          </cell>
          <cell r="D1134">
            <v>22258546.862475</v>
          </cell>
          <cell r="E1134">
            <v>1921605556</v>
          </cell>
          <cell r="F1134">
            <v>-1.966250410508745E-4</v>
          </cell>
          <cell r="G1134">
            <v>1.9467806929598444E-3</v>
          </cell>
        </row>
        <row r="1135">
          <cell r="B1135">
            <v>45.776899999999998</v>
          </cell>
          <cell r="D1135">
            <v>26343690.464896999</v>
          </cell>
          <cell r="E1135">
            <v>2032433333</v>
          </cell>
          <cell r="F1135">
            <v>1.9662504105083542E-4</v>
          </cell>
          <cell r="G1135">
            <v>-6.8710755834286629E-3</v>
          </cell>
        </row>
        <row r="1136">
          <cell r="B1136">
            <v>45.967100000000002</v>
          </cell>
          <cell r="D1136">
            <v>29344697.767779</v>
          </cell>
          <cell r="E1136">
            <v>2171877778</v>
          </cell>
          <cell r="F1136">
            <v>4.1463261356263232E-3</v>
          </cell>
          <cell r="G1136">
            <v>5.3387197390260708E-3</v>
          </cell>
        </row>
        <row r="1137">
          <cell r="B1137">
            <v>45.967100000000002</v>
          </cell>
          <cell r="D1137">
            <v>20051713.180029001</v>
          </cell>
          <cell r="E1137">
            <v>2002527778</v>
          </cell>
          <cell r="F1137">
            <v>0</v>
          </cell>
          <cell r="G1137">
            <v>-8.7192063899741768E-4</v>
          </cell>
        </row>
        <row r="1138">
          <cell r="B1138">
            <v>46.791600000000003</v>
          </cell>
          <cell r="D1138">
            <v>30127754.771731999</v>
          </cell>
          <cell r="E1138">
            <v>2004166667</v>
          </cell>
          <cell r="F1138">
            <v>1.7777776426548819E-2</v>
          </cell>
          <cell r="G1138">
            <v>1.5138185866623861E-2</v>
          </cell>
        </row>
        <row r="1139">
          <cell r="B1139">
            <v>47.048200000000001</v>
          </cell>
          <cell r="D1139">
            <v>20278341.450213</v>
          </cell>
          <cell r="E1139">
            <v>1807411111</v>
          </cell>
          <cell r="F1139">
            <v>5.4689084919819853E-3</v>
          </cell>
          <cell r="G1139">
            <v>3.4028145868032489E-3</v>
          </cell>
        </row>
        <row r="1140">
          <cell r="B1140">
            <v>47.602200000000003</v>
          </cell>
          <cell r="D1140">
            <v>29119277.602903001</v>
          </cell>
          <cell r="E1140">
            <v>2276566667</v>
          </cell>
          <cell r="F1140">
            <v>1.1706370530383597E-2</v>
          </cell>
          <cell r="G1140">
            <v>6.9848510963644384E-3</v>
          </cell>
        </row>
        <row r="1141">
          <cell r="B1141">
            <v>47.871699999999997</v>
          </cell>
          <cell r="D1141">
            <v>26698568.328012001</v>
          </cell>
          <cell r="E1141">
            <v>1945733333</v>
          </cell>
          <cell r="F1141">
            <v>5.6455369644181205E-3</v>
          </cell>
          <cell r="G1141">
            <v>1.3474052016275426E-4</v>
          </cell>
        </row>
        <row r="1142">
          <cell r="B1142">
            <v>48.076000000000001</v>
          </cell>
          <cell r="D1142">
            <v>24229211.314249001</v>
          </cell>
          <cell r="E1142">
            <v>1925338889</v>
          </cell>
          <cell r="F1142">
            <v>4.2585764693963638E-3</v>
          </cell>
          <cell r="G1142">
            <v>5.2453910425336123E-3</v>
          </cell>
        </row>
        <row r="1143">
          <cell r="B1143">
            <v>48.041800000000002</v>
          </cell>
          <cell r="D1143">
            <v>33253194.873819999</v>
          </cell>
          <cell r="E1143">
            <v>1734777778</v>
          </cell>
          <cell r="F1143">
            <v>-7.1162680467670074E-4</v>
          </cell>
          <cell r="G1143">
            <v>-9.2937454238768344E-4</v>
          </cell>
        </row>
        <row r="1144">
          <cell r="B1144">
            <v>48.2712</v>
          </cell>
          <cell r="D1144">
            <v>30775427.194704998</v>
          </cell>
          <cell r="E1144">
            <v>1671838889</v>
          </cell>
          <cell r="F1144">
            <v>4.7636442391181966E-3</v>
          </cell>
          <cell r="G1144">
            <v>2.3795068786033225E-3</v>
          </cell>
        </row>
        <row r="1145">
          <cell r="B1145">
            <v>47.494799999999998</v>
          </cell>
          <cell r="D1145">
            <v>51093982.170625001</v>
          </cell>
          <cell r="E1145">
            <v>1649077778</v>
          </cell>
          <cell r="F1145">
            <v>-1.6214878161280033E-2</v>
          </cell>
          <cell r="G1145">
            <v>-1.4362676143070065E-3</v>
          </cell>
        </row>
        <row r="1146">
          <cell r="B1146">
            <v>50.018700000000003</v>
          </cell>
          <cell r="D1146">
            <v>95651717.377228007</v>
          </cell>
          <cell r="E1146">
            <v>1784366667</v>
          </cell>
          <cell r="F1146">
            <v>5.1776704143875203E-2</v>
          </cell>
          <cell r="G1146">
            <v>4.2612128673701335E-3</v>
          </cell>
        </row>
        <row r="1147">
          <cell r="B1147">
            <v>49.917900000000003</v>
          </cell>
          <cell r="D1147">
            <v>34622279.19162</v>
          </cell>
          <cell r="E1147">
            <v>1910500000</v>
          </cell>
          <cell r="F1147">
            <v>-2.0172796389531706E-3</v>
          </cell>
          <cell r="G1147">
            <v>-3.6190247858399653E-3</v>
          </cell>
        </row>
        <row r="1148">
          <cell r="B1148">
            <v>50.6096</v>
          </cell>
          <cell r="D1148">
            <v>33243779.842953999</v>
          </cell>
          <cell r="E1148">
            <v>1679600000</v>
          </cell>
          <cell r="F1148">
            <v>1.3761625749758919E-2</v>
          </cell>
          <cell r="G1148">
            <v>4.5435772372509073E-3</v>
          </cell>
        </row>
        <row r="1149">
          <cell r="B1149">
            <v>50.753100000000003</v>
          </cell>
          <cell r="D1149">
            <v>25368871.314746998</v>
          </cell>
          <cell r="E1149">
            <v>1698466667</v>
          </cell>
          <cell r="F1149">
            <v>2.8314181818182393E-3</v>
          </cell>
          <cell r="G1149">
            <v>-3.0159962634030003E-3</v>
          </cell>
        </row>
        <row r="1150">
          <cell r="B1150">
            <v>50.778700000000001</v>
          </cell>
          <cell r="D1150">
            <v>28730620.910580002</v>
          </cell>
          <cell r="E1150">
            <v>1912416667</v>
          </cell>
          <cell r="F1150">
            <v>5.0427551845815466E-4</v>
          </cell>
          <cell r="G1150">
            <v>3.2275466775932843E-4</v>
          </cell>
        </row>
        <row r="1151">
          <cell r="B1151">
            <v>50.267600000000002</v>
          </cell>
          <cell r="D1151">
            <v>34155114.082925998</v>
          </cell>
          <cell r="E1151">
            <v>2219722222</v>
          </cell>
          <cell r="F1151">
            <v>-1.0116240946034402E-2</v>
          </cell>
          <cell r="G1151">
            <v>-1.1993285198676762E-3</v>
          </cell>
        </row>
        <row r="1152">
          <cell r="B1152">
            <v>50.2864</v>
          </cell>
          <cell r="D1152">
            <v>40503553.909910001</v>
          </cell>
          <cell r="E1152">
            <v>2035688889</v>
          </cell>
          <cell r="F1152">
            <v>3.7392844081894519E-4</v>
          </cell>
          <cell r="G1152">
            <v>1.6049295062452703E-3</v>
          </cell>
        </row>
        <row r="1153">
          <cell r="B1153">
            <v>50.707299999999996</v>
          </cell>
          <cell r="D1153">
            <v>31655423.387722</v>
          </cell>
          <cell r="E1153">
            <v>2243800000</v>
          </cell>
          <cell r="F1153">
            <v>8.3352216398659262E-3</v>
          </cell>
          <cell r="G1153">
            <v>1.6299621902952422E-3</v>
          </cell>
        </row>
        <row r="1154">
          <cell r="B1154">
            <v>50.618600000000001</v>
          </cell>
          <cell r="D1154">
            <v>27458551.544379</v>
          </cell>
          <cell r="E1154">
            <v>1947772222</v>
          </cell>
          <cell r="F1154">
            <v>-1.7507867713453527E-3</v>
          </cell>
          <cell r="G1154">
            <v>-1.2705897060663312E-3</v>
          </cell>
        </row>
        <row r="1155">
          <cell r="B1155">
            <v>50.618600000000001</v>
          </cell>
          <cell r="D1155">
            <v>35314018.791472003</v>
          </cell>
          <cell r="E1155">
            <v>2138194444</v>
          </cell>
          <cell r="F1155">
            <v>0</v>
          </cell>
          <cell r="G1155">
            <v>-6.3819139077918741E-3</v>
          </cell>
        </row>
        <row r="1156">
          <cell r="B1156">
            <v>50.965200000000003</v>
          </cell>
          <cell r="D1156">
            <v>23166361.215961002</v>
          </cell>
          <cell r="E1156">
            <v>2103627778</v>
          </cell>
          <cell r="F1156">
            <v>6.8239491924582509E-3</v>
          </cell>
          <cell r="G1156">
            <v>3.1290382452996857E-3</v>
          </cell>
        </row>
        <row r="1157">
          <cell r="B1157">
            <v>51.342100000000002</v>
          </cell>
          <cell r="D1157">
            <v>28074350.463550001</v>
          </cell>
          <cell r="E1157">
            <v>2060666667</v>
          </cell>
          <cell r="F1157">
            <v>7.3680315107631927E-3</v>
          </cell>
          <cell r="G1157">
            <v>2.1256735230357668E-4</v>
          </cell>
        </row>
        <row r="1158">
          <cell r="B1158">
            <v>51.851999999999997</v>
          </cell>
          <cell r="D1158">
            <v>29641059.309751</v>
          </cell>
          <cell r="E1158">
            <v>2035038889</v>
          </cell>
          <cell r="F1158">
            <v>9.8824283526087915E-3</v>
          </cell>
          <cell r="G1158">
            <v>8.5666436043246308E-3</v>
          </cell>
        </row>
        <row r="1159">
          <cell r="B1159">
            <v>51.942799999999998</v>
          </cell>
          <cell r="D1159">
            <v>19939590.769157</v>
          </cell>
          <cell r="E1159">
            <v>1848638889</v>
          </cell>
          <cell r="F1159">
            <v>1.7496063995979837E-3</v>
          </cell>
          <cell r="G1159">
            <v>-9.0747435050471642E-4</v>
          </cell>
        </row>
        <row r="1160">
          <cell r="B1160">
            <v>52.067</v>
          </cell>
          <cell r="D1160">
            <v>18436705.716913</v>
          </cell>
          <cell r="E1160">
            <v>1852388889</v>
          </cell>
          <cell r="F1160">
            <v>2.3882376282440471E-3</v>
          </cell>
          <cell r="G1160">
            <v>3.8967320664632022E-4</v>
          </cell>
        </row>
        <row r="1161">
          <cell r="B1161">
            <v>51.907800000000002</v>
          </cell>
          <cell r="D1161">
            <v>16407342.704383999</v>
          </cell>
          <cell r="E1161">
            <v>1808305556</v>
          </cell>
          <cell r="F1161">
            <v>-3.0622828687173749E-3</v>
          </cell>
          <cell r="G1161">
            <v>-2.8687970506289257E-3</v>
          </cell>
        </row>
        <row r="1162">
          <cell r="B1162">
            <v>52.155799999999999</v>
          </cell>
          <cell r="D1162">
            <v>17774612.816585999</v>
          </cell>
          <cell r="E1162">
            <v>1901755556</v>
          </cell>
          <cell r="F1162">
            <v>4.7663250070559748E-3</v>
          </cell>
          <cell r="G1162">
            <v>4.7233927423996338E-3</v>
          </cell>
        </row>
        <row r="1163">
          <cell r="B1163">
            <v>51.833500000000001</v>
          </cell>
          <cell r="D1163">
            <v>22549791.361791998</v>
          </cell>
          <cell r="E1163">
            <v>1667033333</v>
          </cell>
          <cell r="F1163">
            <v>-6.1987345238838053E-3</v>
          </cell>
          <cell r="G1163">
            <v>-7.9636787248911652E-4</v>
          </cell>
        </row>
        <row r="1164">
          <cell r="B1164">
            <v>51.993699999999997</v>
          </cell>
          <cell r="D1164">
            <v>19102911.294383001</v>
          </cell>
          <cell r="E1164">
            <v>1710294444</v>
          </cell>
          <cell r="F1164">
            <v>3.0858990154601358E-3</v>
          </cell>
          <cell r="G1164">
            <v>2.7890832400516256E-3</v>
          </cell>
        </row>
        <row r="1165">
          <cell r="B1165">
            <v>51.7074</v>
          </cell>
          <cell r="D1165">
            <v>19349355.563090999</v>
          </cell>
          <cell r="E1165">
            <v>1775777778</v>
          </cell>
          <cell r="F1165">
            <v>-5.5216526615042578E-3</v>
          </cell>
          <cell r="G1165">
            <v>-5.4941419708265955E-3</v>
          </cell>
        </row>
        <row r="1166">
          <cell r="B1166">
            <v>51.816699999999997</v>
          </cell>
          <cell r="D1166">
            <v>19460831.944766998</v>
          </cell>
          <cell r="E1166">
            <v>1882727778</v>
          </cell>
          <cell r="F1166">
            <v>2.1115863960605003E-3</v>
          </cell>
          <cell r="G1166">
            <v>1.8668145969237696E-3</v>
          </cell>
        </row>
        <row r="1167">
          <cell r="B1167">
            <v>51.850999999999999</v>
          </cell>
          <cell r="D1167">
            <v>13688242.680128001</v>
          </cell>
          <cell r="E1167">
            <v>1833650000</v>
          </cell>
          <cell r="F1167">
            <v>6.6172976253215364E-4</v>
          </cell>
          <cell r="G1167">
            <v>2.1971793405895896E-3</v>
          </cell>
        </row>
        <row r="1168">
          <cell r="B1168">
            <v>51.869500000000002</v>
          </cell>
          <cell r="D1168">
            <v>17570693.854758002</v>
          </cell>
          <cell r="E1168">
            <v>1713777778</v>
          </cell>
          <cell r="F1168">
            <v>3.5672794088330002E-4</v>
          </cell>
          <cell r="G1168">
            <v>-1.4413542987100584E-3</v>
          </cell>
        </row>
        <row r="1169">
          <cell r="B1169">
            <v>51.915500000000002</v>
          </cell>
          <cell r="D1169">
            <v>15761577.654455001</v>
          </cell>
          <cell r="E1169">
            <v>1543083333</v>
          </cell>
          <cell r="F1169">
            <v>8.8644800331819985E-4</v>
          </cell>
          <cell r="G1169">
            <v>-5.6337900636122971E-4</v>
          </cell>
        </row>
        <row r="1170">
          <cell r="B1170">
            <v>52.111800000000002</v>
          </cell>
          <cell r="D1170">
            <v>18739277.739231002</v>
          </cell>
          <cell r="E1170">
            <v>1689716667</v>
          </cell>
          <cell r="F1170">
            <v>3.7740138020429942E-3</v>
          </cell>
          <cell r="G1170">
            <v>1.9498626169790064E-3</v>
          </cell>
        </row>
        <row r="1171">
          <cell r="B1171">
            <v>52.166400000000003</v>
          </cell>
          <cell r="D1171">
            <v>18224564.472258002</v>
          </cell>
          <cell r="E1171">
            <v>1749044444</v>
          </cell>
          <cell r="F1171">
            <v>1.0471988390601437E-3</v>
          </cell>
          <cell r="G1171">
            <v>-5.254072980571481E-3</v>
          </cell>
        </row>
        <row r="1172">
          <cell r="B1172">
            <v>52.364699999999999</v>
          </cell>
          <cell r="D1172">
            <v>17832291.654553</v>
          </cell>
          <cell r="E1172">
            <v>1649616667</v>
          </cell>
          <cell r="F1172">
            <v>3.794090713277961E-3</v>
          </cell>
          <cell r="G1172">
            <v>-1.3661738453380294E-3</v>
          </cell>
        </row>
        <row r="1173">
          <cell r="B1173">
            <v>52.246499999999997</v>
          </cell>
          <cell r="D1173">
            <v>20903457.113717001</v>
          </cell>
          <cell r="E1173">
            <v>1856855556</v>
          </cell>
          <cell r="F1173">
            <v>-2.259797235875841E-3</v>
          </cell>
          <cell r="G1173">
            <v>-1.5800957333464785E-3</v>
          </cell>
        </row>
        <row r="1174">
          <cell r="B1174">
            <v>52.302199999999999</v>
          </cell>
          <cell r="D1174">
            <v>14124039.027323</v>
          </cell>
          <cell r="E1174">
            <v>1474877778</v>
          </cell>
          <cell r="F1174">
            <v>1.0655322403809973E-3</v>
          </cell>
          <cell r="G1174">
            <v>5.2145001841601589E-3</v>
          </cell>
        </row>
        <row r="1175">
          <cell r="B1175">
            <v>52.111800000000002</v>
          </cell>
          <cell r="D1175">
            <v>17765126.118454002</v>
          </cell>
          <cell r="E1175">
            <v>1670444444</v>
          </cell>
          <cell r="F1175">
            <v>-3.6470245568433978E-3</v>
          </cell>
          <cell r="G1175">
            <v>-1.9556990050680497E-3</v>
          </cell>
        </row>
        <row r="1176">
          <cell r="B1176">
            <v>51.724800000000002</v>
          </cell>
          <cell r="D1176">
            <v>21248166.415874001</v>
          </cell>
          <cell r="E1176">
            <v>2092438889</v>
          </cell>
          <cell r="F1176">
            <v>-7.4540536169782736E-3</v>
          </cell>
          <cell r="G1176">
            <v>-2.3786147623904054E-3</v>
          </cell>
        </row>
        <row r="1177">
          <cell r="B1177">
            <v>51.832500000000003</v>
          </cell>
          <cell r="D1177">
            <v>25970151.470028002</v>
          </cell>
          <cell r="E1177">
            <v>1884511111</v>
          </cell>
          <cell r="F1177">
            <v>2.0800086296138484E-3</v>
          </cell>
          <cell r="G1177">
            <v>-4.1457364561137788E-5</v>
          </cell>
        </row>
        <row r="1178">
          <cell r="B1178">
            <v>51.915500000000002</v>
          </cell>
          <cell r="D1178">
            <v>19764023.377011001</v>
          </cell>
          <cell r="E1178">
            <v>1717288889</v>
          </cell>
          <cell r="F1178">
            <v>1.6000311853211406E-3</v>
          </cell>
          <cell r="G1178">
            <v>4.1923000419618493E-3</v>
          </cell>
        </row>
        <row r="1179">
          <cell r="B1179">
            <v>51.860799999999998</v>
          </cell>
          <cell r="D1179">
            <v>16646716.485579999</v>
          </cell>
          <cell r="E1179">
            <v>1915361111</v>
          </cell>
          <cell r="F1179">
            <v>-1.054190697987129E-3</v>
          </cell>
          <cell r="G1179">
            <v>2.9772423433708003E-3</v>
          </cell>
        </row>
        <row r="1180">
          <cell r="B1180">
            <v>51.906799999999997</v>
          </cell>
          <cell r="D1180">
            <v>18298765.686057001</v>
          </cell>
          <cell r="E1180">
            <v>1844122222</v>
          </cell>
          <cell r="F1180">
            <v>8.8659664506455756E-4</v>
          </cell>
          <cell r="G1180">
            <v>-1.4636466783063686E-4</v>
          </cell>
        </row>
        <row r="1181">
          <cell r="B1181">
            <v>51.697600000000001</v>
          </cell>
          <cell r="D1181">
            <v>20015467.973118</v>
          </cell>
          <cell r="E1181">
            <v>2071022222</v>
          </cell>
          <cell r="F1181">
            <v>-4.0384440104990742E-3</v>
          </cell>
          <cell r="G1181">
            <v>-2.2255507805430696E-3</v>
          </cell>
        </row>
        <row r="1182">
          <cell r="B1182">
            <v>50.601700000000001</v>
          </cell>
          <cell r="D1182">
            <v>34698131.823948003</v>
          </cell>
          <cell r="E1182">
            <v>2352200000</v>
          </cell>
          <cell r="F1182">
            <v>-2.1426186206418299E-2</v>
          </cell>
          <cell r="G1182">
            <v>-2.4827747563078314E-2</v>
          </cell>
        </row>
        <row r="1183">
          <cell r="B1183">
            <v>51.356699999999996</v>
          </cell>
          <cell r="D1183">
            <v>27425159.718398001</v>
          </cell>
          <cell r="E1183">
            <v>2228044444</v>
          </cell>
          <cell r="F1183">
            <v>1.4810232413983849E-2</v>
          </cell>
          <cell r="G1183">
            <v>1.4570396678017971E-2</v>
          </cell>
        </row>
        <row r="1184">
          <cell r="B1184">
            <v>50.886899999999997</v>
          </cell>
          <cell r="D1184">
            <v>31768307.519228</v>
          </cell>
          <cell r="E1184">
            <v>2300927778</v>
          </cell>
          <cell r="F1184">
            <v>-9.189881936213248E-3</v>
          </cell>
          <cell r="G1184">
            <v>-1.4941739368126835E-2</v>
          </cell>
        </row>
        <row r="1185">
          <cell r="B1185">
            <v>50.643599999999999</v>
          </cell>
          <cell r="D1185">
            <v>22569407.715794999</v>
          </cell>
          <cell r="E1185">
            <v>2035611111</v>
          </cell>
          <cell r="F1185">
            <v>-4.7926576882376479E-3</v>
          </cell>
          <cell r="G1185">
            <v>-5.8784940521235899E-4</v>
          </cell>
        </row>
        <row r="1186">
          <cell r="B1186">
            <v>51.4818</v>
          </cell>
          <cell r="D1186">
            <v>23301243.102277</v>
          </cell>
          <cell r="E1186">
            <v>1874288889</v>
          </cell>
          <cell r="F1186">
            <v>1.6415481795091887E-2</v>
          </cell>
          <cell r="G1186">
            <v>1.0058521089340135E-2</v>
          </cell>
        </row>
        <row r="1187">
          <cell r="B1187">
            <v>51.535499999999999</v>
          </cell>
          <cell r="D1187">
            <v>43793093.618069001</v>
          </cell>
          <cell r="E1187">
            <v>2785755556</v>
          </cell>
          <cell r="F1187">
            <v>1.0425434342360982E-3</v>
          </cell>
          <cell r="G1187">
            <v>-3.7793821611113664E-3</v>
          </cell>
        </row>
        <row r="1188">
          <cell r="B1188">
            <v>51.248399999999997</v>
          </cell>
          <cell r="D1188">
            <v>21695070.165188</v>
          </cell>
          <cell r="E1188">
            <v>1757222222</v>
          </cell>
          <cell r="F1188">
            <v>-5.5864925668811473E-3</v>
          </cell>
          <cell r="G1188">
            <v>-1.869910337847447E-5</v>
          </cell>
        </row>
        <row r="1189">
          <cell r="B1189">
            <v>51.137799999999999</v>
          </cell>
          <cell r="D1189">
            <v>17815353.608591001</v>
          </cell>
          <cell r="E1189">
            <v>1744850000</v>
          </cell>
          <cell r="F1189">
            <v>-2.160448244375183E-3</v>
          </cell>
          <cell r="G1189">
            <v>2.991437033863788E-4</v>
          </cell>
        </row>
        <row r="1190">
          <cell r="B1190">
            <v>51.993699999999997</v>
          </cell>
          <cell r="D1190">
            <v>35659016.810322002</v>
          </cell>
          <cell r="E1190">
            <v>2062272222</v>
          </cell>
          <cell r="F1190">
            <v>1.6598607620945342E-2</v>
          </cell>
          <cell r="G1190">
            <v>1.0857950722306076E-2</v>
          </cell>
        </row>
        <row r="1191">
          <cell r="B1191">
            <v>52.048400000000001</v>
          </cell>
          <cell r="D1191">
            <v>20511226.272553001</v>
          </cell>
          <cell r="E1191">
            <v>1973794444</v>
          </cell>
          <cell r="F1191">
            <v>1.051497519560105E-3</v>
          </cell>
          <cell r="G1191">
            <v>6.4788374909876233E-3</v>
          </cell>
        </row>
        <row r="1192">
          <cell r="B1192">
            <v>51.697600000000001</v>
          </cell>
          <cell r="D1192">
            <v>20918212.379578002</v>
          </cell>
          <cell r="E1192">
            <v>1842883333</v>
          </cell>
          <cell r="F1192">
            <v>-6.7626961416917142E-3</v>
          </cell>
          <cell r="G1192">
            <v>-5.7532972898826128E-3</v>
          </cell>
        </row>
        <row r="1193">
          <cell r="B1193">
            <v>51.220999999999997</v>
          </cell>
          <cell r="D1193">
            <v>22205518.206129</v>
          </cell>
          <cell r="E1193">
            <v>1786761111</v>
          </cell>
          <cell r="F1193">
            <v>-9.2617545690415384E-3</v>
          </cell>
          <cell r="G1193">
            <v>-8.624922689932854E-3</v>
          </cell>
        </row>
        <row r="1194">
          <cell r="B1194">
            <v>52.166400000000003</v>
          </cell>
          <cell r="D1194">
            <v>26348722.530655999</v>
          </cell>
          <cell r="E1194">
            <v>1909872222</v>
          </cell>
          <cell r="F1194">
            <v>1.8289005273566316E-2</v>
          </cell>
          <cell r="G1194">
            <v>6.4235723182359062E-3</v>
          </cell>
        </row>
        <row r="1195">
          <cell r="B1195">
            <v>52.238799999999998</v>
          </cell>
          <cell r="D1195">
            <v>20857732.375402998</v>
          </cell>
          <cell r="E1195">
            <v>2161922222</v>
          </cell>
          <cell r="F1195">
            <v>1.3869043228714887E-3</v>
          </cell>
          <cell r="G1195">
            <v>5.2824909853757054E-3</v>
          </cell>
        </row>
        <row r="1196">
          <cell r="B1196">
            <v>51.6693</v>
          </cell>
          <cell r="D1196">
            <v>26737129.411371998</v>
          </cell>
          <cell r="E1196">
            <v>2360677778</v>
          </cell>
          <cell r="F1196">
            <v>-1.0961719106556939E-2</v>
          </cell>
          <cell r="G1196">
            <v>-9.365019283515956E-3</v>
          </cell>
        </row>
        <row r="1197">
          <cell r="B1197">
            <v>51.850999999999999</v>
          </cell>
          <cell r="D1197">
            <v>22039693.466628</v>
          </cell>
          <cell r="E1197">
            <v>2318522222</v>
          </cell>
          <cell r="F1197">
            <v>3.5104261983806896E-3</v>
          </cell>
          <cell r="G1197">
            <v>7.9363291030870517E-3</v>
          </cell>
        </row>
        <row r="1198">
          <cell r="B1198">
            <v>51.687800000000003</v>
          </cell>
          <cell r="D1198">
            <v>20716645.127834</v>
          </cell>
          <cell r="E1198">
            <v>1743083333</v>
          </cell>
          <cell r="F1198">
            <v>-3.1524440143300414E-3</v>
          </cell>
          <cell r="G1198">
            <v>-3.2659915807079186E-3</v>
          </cell>
        </row>
        <row r="1199">
          <cell r="B1199">
            <v>51.5276</v>
          </cell>
          <cell r="D1199">
            <v>21321948.888085999</v>
          </cell>
          <cell r="E1199">
            <v>2083827778</v>
          </cell>
          <cell r="F1199">
            <v>-3.1041904336089228E-3</v>
          </cell>
          <cell r="G1199">
            <v>-4.9678998383077579E-3</v>
          </cell>
        </row>
        <row r="1200">
          <cell r="B1200">
            <v>51.887099999999997</v>
          </cell>
          <cell r="D1200">
            <v>16846345.649739999</v>
          </cell>
          <cell r="E1200">
            <v>2170305556</v>
          </cell>
          <cell r="F1200">
            <v>6.9526179189533304E-3</v>
          </cell>
          <cell r="G1200">
            <v>4.2874907334568115E-3</v>
          </cell>
        </row>
        <row r="1201">
          <cell r="B1201">
            <v>51.975000000000001</v>
          </cell>
          <cell r="D1201">
            <v>17175659.799749002</v>
          </cell>
          <cell r="E1201">
            <v>1923083333</v>
          </cell>
          <cell r="F1201">
            <v>1.6926293804205295E-3</v>
          </cell>
          <cell r="G1201">
            <v>4.8142577020570391E-4</v>
          </cell>
        </row>
        <row r="1202">
          <cell r="B1202">
            <v>52.030700000000003</v>
          </cell>
          <cell r="D1202">
            <v>21077370.015880998</v>
          </cell>
          <cell r="E1202">
            <v>2011050000</v>
          </cell>
          <cell r="F1202">
            <v>1.0710952443015187E-3</v>
          </cell>
          <cell r="G1202">
            <v>-3.2587738683275704E-3</v>
          </cell>
        </row>
        <row r="1203">
          <cell r="B1203">
            <v>52.246499999999997</v>
          </cell>
          <cell r="D1203">
            <v>18888419.363465998</v>
          </cell>
          <cell r="E1203">
            <v>1620305556</v>
          </cell>
          <cell r="F1203">
            <v>4.1389739669705841E-3</v>
          </cell>
          <cell r="G1203">
            <v>4.5953664043352545E-3</v>
          </cell>
        </row>
        <row r="1204">
          <cell r="B1204">
            <v>51.4818</v>
          </cell>
          <cell r="D1204">
            <v>26662395.812183</v>
          </cell>
          <cell r="E1204">
            <v>1910150000</v>
          </cell>
          <cell r="F1204">
            <v>-1.4744555803720406E-2</v>
          </cell>
          <cell r="G1204">
            <v>-1.252460917831065E-2</v>
          </cell>
        </row>
        <row r="1205">
          <cell r="B1205">
            <v>51.411499999999997</v>
          </cell>
          <cell r="D1205">
            <v>23152386.099461999</v>
          </cell>
          <cell r="E1205">
            <v>1653944444</v>
          </cell>
          <cell r="F1205">
            <v>-1.3664643069826287E-3</v>
          </cell>
          <cell r="G1205">
            <v>1.1459550215575632E-3</v>
          </cell>
        </row>
        <row r="1206">
          <cell r="B1206">
            <v>51.238500000000002</v>
          </cell>
          <cell r="D1206">
            <v>25952347.273988999</v>
          </cell>
          <cell r="E1206">
            <v>1989138889</v>
          </cell>
          <cell r="F1206">
            <v>-3.3706802492880429E-3</v>
          </cell>
          <cell r="G1206">
            <v>-3.1041312647029852E-3</v>
          </cell>
        </row>
        <row r="1207">
          <cell r="B1207">
            <v>51.687800000000003</v>
          </cell>
          <cell r="D1207">
            <v>28706781.307085</v>
          </cell>
          <cell r="E1207">
            <v>1793416667</v>
          </cell>
          <cell r="F1207">
            <v>8.7305742829540869E-3</v>
          </cell>
          <cell r="G1207">
            <v>2.0161621250175643E-4</v>
          </cell>
        </row>
        <row r="1208">
          <cell r="B1208">
            <v>51.510300000000001</v>
          </cell>
          <cell r="D1208">
            <v>24139080.515276</v>
          </cell>
          <cell r="E1208">
            <v>1572438889</v>
          </cell>
          <cell r="F1208">
            <v>-3.4399892059550326E-3</v>
          </cell>
          <cell r="G1208">
            <v>-3.0426272686303788E-3</v>
          </cell>
        </row>
        <row r="1209">
          <cell r="B1209">
            <v>51.906799999999997</v>
          </cell>
          <cell r="D1209">
            <v>20277864.350997999</v>
          </cell>
          <cell r="E1209">
            <v>1761111111</v>
          </cell>
          <cell r="F1209">
            <v>7.6680151115639953E-3</v>
          </cell>
          <cell r="G1209">
            <v>6.1414599634068111E-3</v>
          </cell>
        </row>
        <row r="1210">
          <cell r="B1210">
            <v>51.7896</v>
          </cell>
          <cell r="D1210">
            <v>23925499.782430999</v>
          </cell>
          <cell r="E1210">
            <v>1868150000</v>
          </cell>
          <cell r="F1210">
            <v>-2.2604458766920322E-3</v>
          </cell>
          <cell r="G1210">
            <v>2.1895995806570281E-3</v>
          </cell>
        </row>
        <row r="1211">
          <cell r="B1211">
            <v>51.535499999999999</v>
          </cell>
          <cell r="D1211">
            <v>46793446.701210998</v>
          </cell>
          <cell r="E1211">
            <v>1853983333</v>
          </cell>
          <cell r="F1211">
            <v>-4.9184663213644253E-3</v>
          </cell>
          <cell r="G1211">
            <v>-1.3766939590792353E-3</v>
          </cell>
        </row>
        <row r="1212">
          <cell r="B1212">
            <v>53.704799999999999</v>
          </cell>
          <cell r="D1212">
            <v>85275893.667418003</v>
          </cell>
          <cell r="E1212">
            <v>1916027778</v>
          </cell>
          <cell r="F1212">
            <v>4.1231492409171372E-2</v>
          </cell>
          <cell r="G1212">
            <v>-8.4063047335106874E-5</v>
          </cell>
        </row>
        <row r="1213">
          <cell r="B1213">
            <v>54.911200000000001</v>
          </cell>
          <cell r="D1213">
            <v>56480862.315132998</v>
          </cell>
          <cell r="E1213">
            <v>1865177778</v>
          </cell>
          <cell r="F1213">
            <v>2.2214951999767155E-2</v>
          </cell>
          <cell r="G1213">
            <v>4.7385172845472385E-3</v>
          </cell>
        </row>
        <row r="1214">
          <cell r="B1214">
            <v>54.901299999999999</v>
          </cell>
          <cell r="D1214">
            <v>37083752.806332998</v>
          </cell>
          <cell r="E1214">
            <v>2084077778</v>
          </cell>
          <cell r="F1214">
            <v>-1.8030734254881488E-4</v>
          </cell>
          <cell r="G1214">
            <v>-3.8048801401324552E-3</v>
          </cell>
        </row>
        <row r="1215">
          <cell r="B1215">
            <v>54.579099999999997</v>
          </cell>
          <cell r="D1215">
            <v>31026170.475442</v>
          </cell>
          <cell r="E1215">
            <v>2097333333</v>
          </cell>
          <cell r="F1215">
            <v>-5.8860020646300092E-3</v>
          </cell>
          <cell r="G1215">
            <v>-1.7419369788728072E-3</v>
          </cell>
        </row>
        <row r="1216">
          <cell r="B1216">
            <v>54.099499999999999</v>
          </cell>
          <cell r="D1216">
            <v>30381170.217602</v>
          </cell>
          <cell r="E1216">
            <v>2336016667</v>
          </cell>
          <cell r="F1216">
            <v>-8.8260819220745065E-3</v>
          </cell>
          <cell r="G1216">
            <v>-2.9912461712177669E-3</v>
          </cell>
        </row>
        <row r="1217">
          <cell r="B1217">
            <v>53.896299999999997</v>
          </cell>
          <cell r="D1217">
            <v>35322106.954135001</v>
          </cell>
          <cell r="E1217">
            <v>2233061111</v>
          </cell>
          <cell r="F1217">
            <v>-3.7631137468920523E-3</v>
          </cell>
          <cell r="G1217">
            <v>-3.1130804936909326E-3</v>
          </cell>
        </row>
        <row r="1218">
          <cell r="B1218">
            <v>53.9422</v>
          </cell>
          <cell r="D1218">
            <v>29365596.965808</v>
          </cell>
          <cell r="E1218">
            <v>2179111111</v>
          </cell>
          <cell r="F1218">
            <v>8.5127301978132528E-4</v>
          </cell>
          <cell r="G1218">
            <v>-1.2227928604123579E-4</v>
          </cell>
        </row>
        <row r="1219">
          <cell r="B1219">
            <v>53.829799999999999</v>
          </cell>
          <cell r="D1219">
            <v>27253037.474018</v>
          </cell>
          <cell r="E1219">
            <v>2517866667</v>
          </cell>
          <cell r="F1219">
            <v>-2.0858857728094224E-3</v>
          </cell>
          <cell r="G1219">
            <v>-6.8100511662960534E-3</v>
          </cell>
        </row>
        <row r="1220">
          <cell r="B1220">
            <v>53.5015</v>
          </cell>
          <cell r="D1220">
            <v>24602513.807145</v>
          </cell>
          <cell r="E1220">
            <v>2360322222</v>
          </cell>
          <cell r="F1220">
            <v>-6.117526273531025E-3</v>
          </cell>
          <cell r="G1220">
            <v>-6.5468703977364399E-3</v>
          </cell>
        </row>
        <row r="1221">
          <cell r="B1221">
            <v>53.300400000000003</v>
          </cell>
          <cell r="D1221">
            <v>23995335.436028</v>
          </cell>
          <cell r="E1221">
            <v>2159300000</v>
          </cell>
          <cell r="F1221">
            <v>-3.7658550580279126E-3</v>
          </cell>
          <cell r="G1221">
            <v>-4.4331988718818317E-3</v>
          </cell>
        </row>
        <row r="1222">
          <cell r="B1222">
            <v>52.850200000000001</v>
          </cell>
          <cell r="D1222">
            <v>31878745.749393001</v>
          </cell>
          <cell r="E1222">
            <v>2132144444</v>
          </cell>
          <cell r="F1222">
            <v>-8.4823392298091736E-3</v>
          </cell>
          <cell r="G1222">
            <v>-1.6675295681625661E-3</v>
          </cell>
        </row>
        <row r="1223">
          <cell r="B1223">
            <v>54.392400000000002</v>
          </cell>
          <cell r="D1223">
            <v>31627438.344907999</v>
          </cell>
          <cell r="E1223">
            <v>2075588889</v>
          </cell>
          <cell r="F1223">
            <v>2.87629416155071E-2</v>
          </cell>
          <cell r="G1223">
            <v>2.1980157782961814E-2</v>
          </cell>
        </row>
        <row r="1224">
          <cell r="B1224">
            <v>54.436399999999999</v>
          </cell>
          <cell r="D1224">
            <v>23922479.519157998</v>
          </cell>
          <cell r="E1224">
            <v>2176072222</v>
          </cell>
          <cell r="F1224">
            <v>8.0860952978338205E-4</v>
          </cell>
          <cell r="G1224">
            <v>3.7648601743320194E-3</v>
          </cell>
        </row>
        <row r="1225">
          <cell r="B1225">
            <v>54.1629</v>
          </cell>
          <cell r="D1225">
            <v>52020136.176996998</v>
          </cell>
          <cell r="E1225">
            <v>3480083333</v>
          </cell>
          <cell r="F1225">
            <v>-5.0368755273184785E-3</v>
          </cell>
          <cell r="G1225">
            <v>1.1016142751234132E-2</v>
          </cell>
        </row>
        <row r="1226">
          <cell r="B1226">
            <v>52.842300000000002</v>
          </cell>
          <cell r="D1226">
            <v>61757968.687397003</v>
          </cell>
          <cell r="E1226">
            <v>3584244444</v>
          </cell>
          <cell r="F1226">
            <v>-2.4684165884825419E-2</v>
          </cell>
          <cell r="G1226">
            <v>1.9488592414451842E-3</v>
          </cell>
        </row>
        <row r="1227">
          <cell r="B1227">
            <v>53.129600000000003</v>
          </cell>
          <cell r="D1227">
            <v>38704589.889475003</v>
          </cell>
          <cell r="E1227">
            <v>2771138889</v>
          </cell>
          <cell r="F1227">
            <v>5.4222053939224869E-3</v>
          </cell>
          <cell r="G1227">
            <v>-1.398914799700448E-3</v>
          </cell>
        </row>
        <row r="1228">
          <cell r="B1228">
            <v>52.317799999999998</v>
          </cell>
          <cell r="D1228">
            <v>45910639.103804998</v>
          </cell>
          <cell r="E1228">
            <v>2981777778</v>
          </cell>
          <cell r="F1228">
            <v>-1.5397554396131623E-2</v>
          </cell>
          <cell r="G1228">
            <v>-1.155094545772426E-4</v>
          </cell>
        </row>
        <row r="1229">
          <cell r="B1229">
            <v>53.3523</v>
          </cell>
          <cell r="D1229">
            <v>39617292.974192999</v>
          </cell>
          <cell r="E1229">
            <v>2524366667</v>
          </cell>
          <cell r="F1229">
            <v>1.9580431010936088E-2</v>
          </cell>
          <cell r="G1229">
            <v>7.4529817276226176E-3</v>
          </cell>
        </row>
        <row r="1230">
          <cell r="B1230">
            <v>54.058500000000002</v>
          </cell>
          <cell r="D1230">
            <v>27847806.146448001</v>
          </cell>
          <cell r="E1230">
            <v>2128105556</v>
          </cell>
          <cell r="F1230">
            <v>1.314970516937735E-2</v>
          </cell>
          <cell r="G1230">
            <v>-1.5835388740046499E-3</v>
          </cell>
        </row>
        <row r="1231">
          <cell r="B1231">
            <v>54.955100000000002</v>
          </cell>
          <cell r="D1231">
            <v>33522939.193906002</v>
          </cell>
          <cell r="E1231">
            <v>2116200000</v>
          </cell>
          <cell r="F1231">
            <v>1.6449694674335463E-2</v>
          </cell>
          <cell r="G1231">
            <v>4.6653888648148147E-3</v>
          </cell>
        </row>
        <row r="1232">
          <cell r="B1232">
            <v>54.692300000000003</v>
          </cell>
          <cell r="D1232">
            <v>29121517.716814999</v>
          </cell>
          <cell r="E1232">
            <v>1984666667</v>
          </cell>
          <cell r="F1232">
            <v>-4.7935564951294904E-3</v>
          </cell>
          <cell r="G1232">
            <v>-2.3895530273762948E-3</v>
          </cell>
        </row>
        <row r="1233">
          <cell r="B1233">
            <v>55.154200000000003</v>
          </cell>
          <cell r="D1233">
            <v>20105131.911056001</v>
          </cell>
          <cell r="E1233">
            <v>2003894444</v>
          </cell>
          <cell r="F1233">
            <v>8.4099670434269504E-3</v>
          </cell>
          <cell r="G1233">
            <v>7.4336884116068527E-3</v>
          </cell>
        </row>
        <row r="1234">
          <cell r="B1234">
            <v>55.382899999999999</v>
          </cell>
          <cell r="D1234">
            <v>18722069.405301999</v>
          </cell>
          <cell r="E1234">
            <v>2198855556</v>
          </cell>
          <cell r="F1234">
            <v>4.1379831085477225E-3</v>
          </cell>
          <cell r="G1234">
            <v>2.1630866034014736E-3</v>
          </cell>
        </row>
        <row r="1235">
          <cell r="B1235">
            <v>54.739199999999997</v>
          </cell>
          <cell r="D1235">
            <v>22933549.084704001</v>
          </cell>
          <cell r="E1235">
            <v>1899244444</v>
          </cell>
          <cell r="F1235">
            <v>-1.1690792882422078E-2</v>
          </cell>
          <cell r="G1235">
            <v>8.0768484718235598E-4</v>
          </cell>
        </row>
        <row r="1236">
          <cell r="B1236">
            <v>54.856499999999997</v>
          </cell>
          <cell r="D1236">
            <v>8768157.0221753996</v>
          </cell>
          <cell r="E1236">
            <v>880333333</v>
          </cell>
          <cell r="F1236">
            <v>2.1405957494777601E-3</v>
          </cell>
          <cell r="G1236">
            <v>3.9066882037051285E-3</v>
          </cell>
        </row>
        <row r="1237">
          <cell r="B1237">
            <v>54.9298</v>
          </cell>
          <cell r="D1237">
            <v>21470223.338427</v>
          </cell>
          <cell r="E1237">
            <v>1947583333</v>
          </cell>
          <cell r="F1237">
            <v>1.3353216365188424E-3</v>
          </cell>
          <cell r="G1237">
            <v>-5.2683318269105429E-3</v>
          </cell>
        </row>
        <row r="1238">
          <cell r="B1238">
            <v>55.363399999999999</v>
          </cell>
          <cell r="D1238">
            <v>23148777.140804999</v>
          </cell>
          <cell r="E1238">
            <v>2059200000</v>
          </cell>
          <cell r="F1238">
            <v>7.8627192582213373E-3</v>
          </cell>
          <cell r="G1238">
            <v>1.3344289127455414E-3</v>
          </cell>
        </row>
        <row r="1239">
          <cell r="B1239">
            <v>54.611199999999997</v>
          </cell>
          <cell r="D1239">
            <v>33590298.231619</v>
          </cell>
          <cell r="E1239">
            <v>3074433333</v>
          </cell>
          <cell r="F1239">
            <v>-1.3679735688414617E-2</v>
          </cell>
          <cell r="G1239">
            <v>-2.6569970689346348E-3</v>
          </cell>
        </row>
        <row r="1240">
          <cell r="B1240">
            <v>53.6492</v>
          </cell>
          <cell r="D1240">
            <v>35025373.766204998</v>
          </cell>
          <cell r="E1240">
            <v>2813188889</v>
          </cell>
          <cell r="F1240">
            <v>-1.7772432417730702E-2</v>
          </cell>
          <cell r="G1240">
            <v>-3.5217319747589582E-3</v>
          </cell>
        </row>
        <row r="1241">
          <cell r="B1241">
            <v>53.695900000000002</v>
          </cell>
          <cell r="D1241">
            <v>26600609.416164</v>
          </cell>
          <cell r="E1241">
            <v>2099722222</v>
          </cell>
          <cell r="F1241">
            <v>8.7009100454928123E-4</v>
          </cell>
          <cell r="G1241">
            <v>3.969856521291979E-4</v>
          </cell>
        </row>
        <row r="1242">
          <cell r="B1242">
            <v>54.5762</v>
          </cell>
          <cell r="D1242">
            <v>24836505.376807</v>
          </cell>
          <cell r="E1242">
            <v>2164016667</v>
          </cell>
          <cell r="F1242">
            <v>1.6261241777165251E-2</v>
          </cell>
          <cell r="G1242">
            <v>5.8044223683808216E-3</v>
          </cell>
        </row>
        <row r="1243">
          <cell r="B1243">
            <v>54.331899999999997</v>
          </cell>
          <cell r="D1243">
            <v>20163952.306159001</v>
          </cell>
          <cell r="E1243">
            <v>2141844444</v>
          </cell>
          <cell r="F1243">
            <v>-4.4863588614714282E-3</v>
          </cell>
          <cell r="G1243">
            <v>3.4050755798857375E-3</v>
          </cell>
        </row>
        <row r="1244">
          <cell r="B1244">
            <v>55.619500000000002</v>
          </cell>
          <cell r="D1244">
            <v>31282250.919716999</v>
          </cell>
          <cell r="E1244">
            <v>2501011111</v>
          </cell>
          <cell r="F1244">
            <v>2.3422327770729563E-2</v>
          </cell>
          <cell r="G1244">
            <v>1.3077306345682039E-2</v>
          </cell>
        </row>
        <row r="1245">
          <cell r="B1245">
            <v>55.292000000000002</v>
          </cell>
          <cell r="D1245">
            <v>22913642.990189999</v>
          </cell>
          <cell r="E1245">
            <v>2333655556</v>
          </cell>
          <cell r="F1245">
            <v>-5.9056265912051809E-3</v>
          </cell>
          <cell r="G1245">
            <v>2.1570846729904334E-3</v>
          </cell>
        </row>
        <row r="1246">
          <cell r="B1246">
            <v>56.162500000000001</v>
          </cell>
          <cell r="D1246">
            <v>27847765.193725999</v>
          </cell>
          <cell r="E1246">
            <v>2158044444</v>
          </cell>
          <cell r="F1246">
            <v>1.5621041794167529E-2</v>
          </cell>
          <cell r="G1246">
            <v>5.9213794812155249E-3</v>
          </cell>
        </row>
        <row r="1247">
          <cell r="B1247">
            <v>56.344000000000001</v>
          </cell>
          <cell r="D1247">
            <v>21800159.969815001</v>
          </cell>
          <cell r="E1247">
            <v>2241394444</v>
          </cell>
          <cell r="F1247">
            <v>3.226483046830814E-3</v>
          </cell>
          <cell r="G1247">
            <v>-1.1380520171109239E-3</v>
          </cell>
        </row>
        <row r="1248">
          <cell r="B1248">
            <v>57.075699999999998</v>
          </cell>
          <cell r="D1248">
            <v>36863208.063054003</v>
          </cell>
          <cell r="E1248">
            <v>2143105556</v>
          </cell>
          <cell r="F1248">
            <v>1.290269946171063E-2</v>
          </cell>
          <cell r="G1248">
            <v>6.5184787900044779E-3</v>
          </cell>
        </row>
        <row r="1249">
          <cell r="B1249">
            <v>56.8157</v>
          </cell>
          <cell r="D1249">
            <v>28204570.906245999</v>
          </cell>
          <cell r="E1249">
            <v>2448316667</v>
          </cell>
          <cell r="F1249">
            <v>-4.5657609207880555E-3</v>
          </cell>
          <cell r="G1249">
            <v>-8.1503213600785333E-3</v>
          </cell>
        </row>
        <row r="1250">
          <cell r="B1250">
            <v>56.713200000000001</v>
          </cell>
          <cell r="D1250">
            <v>28481367.285119001</v>
          </cell>
          <cell r="E1250">
            <v>2315666667</v>
          </cell>
          <cell r="F1250">
            <v>-1.805708112221635E-3</v>
          </cell>
          <cell r="G1250">
            <v>3.8757077378476596E-3</v>
          </cell>
        </row>
        <row r="1251">
          <cell r="B1251">
            <v>56.460099999999997</v>
          </cell>
          <cell r="D1251">
            <v>41968934.459031001</v>
          </cell>
          <cell r="E1251">
            <v>3289077778</v>
          </cell>
          <cell r="F1251">
            <v>-4.4727938826087613E-3</v>
          </cell>
          <cell r="G1251">
            <v>-1.7521740727583343E-3</v>
          </cell>
        </row>
        <row r="1252">
          <cell r="B1252">
            <v>57.659799999999997</v>
          </cell>
          <cell r="D1252">
            <v>31431023.969452001</v>
          </cell>
          <cell r="E1252">
            <v>1804650000</v>
          </cell>
          <cell r="F1252">
            <v>2.1026029605951162E-2</v>
          </cell>
          <cell r="G1252">
            <v>1.9731900398514256E-3</v>
          </cell>
        </row>
        <row r="1253">
          <cell r="B1253">
            <v>57.584299999999999</v>
          </cell>
          <cell r="D1253">
            <v>23992231.219673</v>
          </cell>
          <cell r="E1253">
            <v>1832655556</v>
          </cell>
          <cell r="F1253">
            <v>-1.3102624915540418E-3</v>
          </cell>
          <cell r="G1253">
            <v>3.6309210492785509E-3</v>
          </cell>
        </row>
        <row r="1254">
          <cell r="B1254">
            <v>57.594099999999997</v>
          </cell>
          <cell r="D1254">
            <v>16762557.40364</v>
          </cell>
          <cell r="E1254">
            <v>1584572222</v>
          </cell>
          <cell r="F1254">
            <v>1.701707963237567E-4</v>
          </cell>
          <cell r="G1254">
            <v>-2.4603512457385653E-3</v>
          </cell>
        </row>
        <row r="1255">
          <cell r="B1255">
            <v>57.594099999999997</v>
          </cell>
          <cell r="D1255">
            <v>23530827.135196999</v>
          </cell>
          <cell r="E1255">
            <v>1597955556</v>
          </cell>
          <cell r="F1255">
            <v>0</v>
          </cell>
          <cell r="G1255">
            <v>-1.8647241237848297E-3</v>
          </cell>
        </row>
        <row r="1256">
          <cell r="B1256">
            <v>57.312899999999999</v>
          </cell>
          <cell r="D1256">
            <v>13248737.040105</v>
          </cell>
          <cell r="E1256">
            <v>1122527778</v>
          </cell>
          <cell r="F1256">
            <v>-4.8944026273321003E-3</v>
          </cell>
          <cell r="G1256">
            <v>1.2508980027710417E-3</v>
          </cell>
        </row>
        <row r="1257">
          <cell r="B1257">
            <v>57.351999999999997</v>
          </cell>
          <cell r="D1257">
            <v>12319172.695781</v>
          </cell>
          <cell r="E1257">
            <v>1103933333</v>
          </cell>
          <cell r="F1257">
            <v>6.819872779807877E-4</v>
          </cell>
          <cell r="G1257">
            <v>2.2459178098379177E-3</v>
          </cell>
        </row>
        <row r="1258">
          <cell r="B1258">
            <v>57.085299999999997</v>
          </cell>
          <cell r="D1258">
            <v>14785140.871771</v>
          </cell>
          <cell r="E1258">
            <v>1329088889</v>
          </cell>
          <cell r="F1258">
            <v>-4.6610761150772517E-3</v>
          </cell>
          <cell r="G1258">
            <v>-8.3916576362484015E-3</v>
          </cell>
        </row>
        <row r="1259">
          <cell r="B1259">
            <v>57.005200000000002</v>
          </cell>
          <cell r="D1259">
            <v>10910608.929822</v>
          </cell>
          <cell r="E1259">
            <v>1297983333</v>
          </cell>
          <cell r="F1259">
            <v>-1.4041486917954812E-3</v>
          </cell>
          <cell r="G1259">
            <v>-2.9338679703151362E-4</v>
          </cell>
        </row>
        <row r="1260">
          <cell r="B1260">
            <v>56.317599999999999</v>
          </cell>
          <cell r="D1260">
            <v>28225356.460471001</v>
          </cell>
          <cell r="E1260">
            <v>1483833333</v>
          </cell>
          <cell r="F1260">
            <v>-1.2135394438261771E-2</v>
          </cell>
          <cell r="G1260">
            <v>-4.6478652506068445E-3</v>
          </cell>
        </row>
        <row r="1261">
          <cell r="B1261">
            <v>56.713200000000001</v>
          </cell>
          <cell r="D1261">
            <v>21858595.409327999</v>
          </cell>
          <cell r="E1261">
            <v>2094738889</v>
          </cell>
          <cell r="F1261">
            <v>6.9998905663737464E-3</v>
          </cell>
          <cell r="G1261">
            <v>8.4507670468079114E-3</v>
          </cell>
        </row>
        <row r="1262">
          <cell r="B1262">
            <v>56.460099999999997</v>
          </cell>
          <cell r="D1262">
            <v>18612206.560883999</v>
          </cell>
          <cell r="E1262">
            <v>2091605556</v>
          </cell>
          <cell r="F1262">
            <v>-4.4727938826087613E-3</v>
          </cell>
          <cell r="G1262">
            <v>5.7059983723568549E-3</v>
          </cell>
        </row>
        <row r="1263">
          <cell r="B1263">
            <v>56.460099999999997</v>
          </cell>
          <cell r="D1263">
            <v>23564004.983203001</v>
          </cell>
          <cell r="E1263">
            <v>2089900000</v>
          </cell>
          <cell r="F1263">
            <v>0</v>
          </cell>
          <cell r="G1263">
            <v>-7.7096760248118474E-4</v>
          </cell>
        </row>
        <row r="1264">
          <cell r="B1264">
            <v>56.949599999999997</v>
          </cell>
          <cell r="D1264">
            <v>19392406.088638999</v>
          </cell>
          <cell r="E1264">
            <v>1855494444</v>
          </cell>
          <cell r="F1264">
            <v>8.6324721743188775E-3</v>
          </cell>
          <cell r="G1264">
            <v>3.5107977582784673E-3</v>
          </cell>
        </row>
        <row r="1265">
          <cell r="B1265">
            <v>56.769799999999996</v>
          </cell>
          <cell r="D1265">
            <v>20516586.983906999</v>
          </cell>
          <cell r="E1265">
            <v>1787561111</v>
          </cell>
          <cell r="F1265">
            <v>-3.1621719745846791E-3</v>
          </cell>
          <cell r="G1265">
            <v>-3.5548710080266039E-3</v>
          </cell>
        </row>
        <row r="1266">
          <cell r="B1266">
            <v>56.750300000000003</v>
          </cell>
          <cell r="D1266">
            <v>18798105.301061001</v>
          </cell>
          <cell r="E1266">
            <v>2021550000</v>
          </cell>
          <cell r="F1266">
            <v>-3.4355149778392784E-4</v>
          </cell>
          <cell r="G1266">
            <v>0</v>
          </cell>
        </row>
        <row r="1267">
          <cell r="B1267">
            <v>57.268099999999997</v>
          </cell>
          <cell r="D1267">
            <v>22545184.180528998</v>
          </cell>
          <cell r="E1267">
            <v>2011338889</v>
          </cell>
          <cell r="F1267">
            <v>9.0828069812795859E-3</v>
          </cell>
          <cell r="G1267">
            <v>2.8255693040190599E-3</v>
          </cell>
        </row>
        <row r="1268">
          <cell r="B1268">
            <v>56.741500000000002</v>
          </cell>
          <cell r="D1268">
            <v>22774744.665631998</v>
          </cell>
          <cell r="E1268">
            <v>1923405556</v>
          </cell>
          <cell r="F1268">
            <v>-9.237884264706793E-3</v>
          </cell>
          <cell r="G1268">
            <v>-2.1470565426564801E-3</v>
          </cell>
        </row>
        <row r="1269">
          <cell r="B1269">
            <v>56.8245</v>
          </cell>
          <cell r="D1269">
            <v>20383293.039402001</v>
          </cell>
          <cell r="E1269">
            <v>1711816667</v>
          </cell>
          <cell r="F1269">
            <v>1.4617053480448651E-3</v>
          </cell>
          <cell r="G1269">
            <v>1.8481528138047062E-3</v>
          </cell>
        </row>
        <row r="1270">
          <cell r="B1270">
            <v>56.668399999999998</v>
          </cell>
          <cell r="D1270">
            <v>20204765.789248001</v>
          </cell>
          <cell r="E1270">
            <v>1991661111</v>
          </cell>
          <cell r="F1270">
            <v>-2.750834606133604E-3</v>
          </cell>
          <cell r="G1270">
            <v>-2.9719143156583245E-3</v>
          </cell>
        </row>
        <row r="1271">
          <cell r="B1271">
            <v>56.640999999999998</v>
          </cell>
          <cell r="D1271">
            <v>19699738.864929002</v>
          </cell>
          <cell r="E1271">
            <v>1841805556</v>
          </cell>
          <cell r="F1271">
            <v>-4.8363155279383647E-4</v>
          </cell>
          <cell r="G1271">
            <v>1.7622003864136812E-3</v>
          </cell>
        </row>
        <row r="1272">
          <cell r="B1272">
            <v>56.460099999999997</v>
          </cell>
          <cell r="D1272">
            <v>19988791.369782001</v>
          </cell>
          <cell r="E1272">
            <v>1758872222</v>
          </cell>
          <cell r="F1272">
            <v>-3.198910607640233E-3</v>
          </cell>
          <cell r="G1272">
            <v>-3.6158590231882884E-3</v>
          </cell>
        </row>
        <row r="1273">
          <cell r="B1273">
            <v>56.857799999999997</v>
          </cell>
          <cell r="D1273">
            <v>30122177.010947999</v>
          </cell>
          <cell r="E1273">
            <v>1958316667</v>
          </cell>
          <cell r="F1273">
            <v>7.0192199620767465E-3</v>
          </cell>
          <cell r="G1273">
            <v>3.3605323797867037E-3</v>
          </cell>
        </row>
        <row r="1274">
          <cell r="B1274">
            <v>57.059100000000001</v>
          </cell>
          <cell r="D1274">
            <v>23791777.881976001</v>
          </cell>
          <cell r="E1274">
            <v>1751505556</v>
          </cell>
          <cell r="F1274">
            <v>3.5341588390200513E-3</v>
          </cell>
          <cell r="G1274">
            <v>-2.6937022929649501E-3</v>
          </cell>
        </row>
        <row r="1275">
          <cell r="B1275">
            <v>57.561100000000003</v>
          </cell>
          <cell r="D1275">
            <v>23224298.056081001</v>
          </cell>
          <cell r="E1275">
            <v>2117200000</v>
          </cell>
          <cell r="F1275">
            <v>8.7594195396636307E-3</v>
          </cell>
          <cell r="G1275">
            <v>6.5430889919335022E-3</v>
          </cell>
        </row>
        <row r="1276">
          <cell r="B1276">
            <v>57.710500000000003</v>
          </cell>
          <cell r="D1276">
            <v>24959005.207520999</v>
          </cell>
          <cell r="E1276">
            <v>2136677778</v>
          </cell>
          <cell r="F1276">
            <v>2.5921403650843132E-3</v>
          </cell>
          <cell r="G1276">
            <v>7.9940317900096345E-3</v>
          </cell>
        </row>
        <row r="1277">
          <cell r="B1277">
            <v>58.245699999999999</v>
          </cell>
          <cell r="D1277">
            <v>41194416.097686</v>
          </cell>
          <cell r="E1277">
            <v>2005755556</v>
          </cell>
          <cell r="F1277">
            <v>9.2311372834628386E-3</v>
          </cell>
          <cell r="G1277">
            <v>-7.355741836108801E-4</v>
          </cell>
        </row>
        <row r="1278">
          <cell r="B1278">
            <v>59.616100000000003</v>
          </cell>
          <cell r="D1278">
            <v>47992476.887110002</v>
          </cell>
          <cell r="E1278">
            <v>1742161111</v>
          </cell>
          <cell r="F1278">
            <v>2.3255401841301464E-2</v>
          </cell>
          <cell r="G1278">
            <v>-8.6684371967846608E-4</v>
          </cell>
        </row>
        <row r="1279">
          <cell r="B1279">
            <v>59.0261</v>
          </cell>
          <cell r="D1279">
            <v>33783384.174566001</v>
          </cell>
          <cell r="E1279">
            <v>1995150000</v>
          </cell>
          <cell r="F1279">
            <v>-9.9459528507716138E-3</v>
          </cell>
          <cell r="G1279">
            <v>-6.027656215802972E-3</v>
          </cell>
        </row>
        <row r="1280">
          <cell r="B1280">
            <v>58.589399999999998</v>
          </cell>
          <cell r="D1280">
            <v>23784759.609184999</v>
          </cell>
          <cell r="E1280">
            <v>2270805556</v>
          </cell>
          <cell r="F1280">
            <v>-7.4259261201798819E-3</v>
          </cell>
          <cell r="G1280">
            <v>-8.9039584633273847E-4</v>
          </cell>
        </row>
        <row r="1281">
          <cell r="B1281">
            <v>57.622500000000002</v>
          </cell>
          <cell r="D1281">
            <v>41845283.856818996</v>
          </cell>
          <cell r="E1281">
            <v>2175894444</v>
          </cell>
          <cell r="F1281">
            <v>-1.6640676421096776E-2</v>
          </cell>
          <cell r="G1281">
            <v>2.983489915560355E-4</v>
          </cell>
        </row>
        <row r="1282">
          <cell r="B1282">
            <v>57.249200000000002</v>
          </cell>
          <cell r="D1282">
            <v>47500932.622804001</v>
          </cell>
          <cell r="E1282">
            <v>2115394444</v>
          </cell>
          <cell r="F1282">
            <v>-6.4994478901746608E-3</v>
          </cell>
          <cell r="G1282">
            <v>5.7012544303699489E-4</v>
          </cell>
        </row>
        <row r="1283">
          <cell r="B1283">
            <v>57.710500000000003</v>
          </cell>
          <cell r="D1283">
            <v>33435534.822423998</v>
          </cell>
          <cell r="E1283">
            <v>1998872222</v>
          </cell>
          <cell r="F1283">
            <v>8.0254641574585388E-3</v>
          </cell>
          <cell r="G1283">
            <v>7.2385736758165571E-3</v>
          </cell>
        </row>
        <row r="1284">
          <cell r="B1284">
            <v>57.678100000000001</v>
          </cell>
          <cell r="D1284">
            <v>19182981.033294</v>
          </cell>
          <cell r="E1284">
            <v>1727250000</v>
          </cell>
          <cell r="F1284">
            <v>-5.6158062150874247E-4</v>
          </cell>
          <cell r="G1284">
            <v>-2.1176570774647531E-3</v>
          </cell>
        </row>
        <row r="1285">
          <cell r="B1285">
            <v>57.483699999999999</v>
          </cell>
          <cell r="D1285">
            <v>21063192.183405999</v>
          </cell>
          <cell r="E1285">
            <v>1915938889</v>
          </cell>
          <cell r="F1285">
            <v>-3.376122718659827E-3</v>
          </cell>
          <cell r="G1285">
            <v>2.267949521675034E-4</v>
          </cell>
        </row>
        <row r="1286">
          <cell r="B1286">
            <v>57.403599999999997</v>
          </cell>
          <cell r="D1286">
            <v>18787738.119399</v>
          </cell>
          <cell r="E1286">
            <v>2005411111</v>
          </cell>
          <cell r="F1286">
            <v>-1.3944102259995333E-3</v>
          </cell>
          <cell r="G1286">
            <v>6.9315026479685557E-4</v>
          </cell>
        </row>
        <row r="1287">
          <cell r="B1287">
            <v>58.055300000000003</v>
          </cell>
          <cell r="D1287">
            <v>23995847.345056001</v>
          </cell>
          <cell r="E1287">
            <v>2043300000</v>
          </cell>
          <cell r="F1287">
            <v>1.1288985450304365E-2</v>
          </cell>
          <cell r="G1287">
            <v>5.7359789123306989E-3</v>
          </cell>
        </row>
        <row r="1288">
          <cell r="B1288">
            <v>58.000500000000002</v>
          </cell>
          <cell r="D1288">
            <v>18865666.030931</v>
          </cell>
          <cell r="E1288">
            <v>1930566667</v>
          </cell>
          <cell r="F1288">
            <v>-9.4437338026610331E-4</v>
          </cell>
          <cell r="G1288">
            <v>3.559715435258431E-3</v>
          </cell>
        </row>
        <row r="1289">
          <cell r="B1289">
            <v>58.653100000000002</v>
          </cell>
          <cell r="D1289">
            <v>23782075.158234999</v>
          </cell>
          <cell r="E1289">
            <v>1860961111</v>
          </cell>
          <cell r="F1289">
            <v>1.1188798428721421E-2</v>
          </cell>
          <cell r="G1289">
            <v>5.2321757481008707E-3</v>
          </cell>
        </row>
        <row r="1290">
          <cell r="B1290">
            <v>58.872799999999998</v>
          </cell>
          <cell r="D1290">
            <v>20323536.874591999</v>
          </cell>
          <cell r="E1290">
            <v>1956061111</v>
          </cell>
          <cell r="F1290">
            <v>3.7387547071594564E-3</v>
          </cell>
          <cell r="G1290">
            <v>3.9992937743571818E-3</v>
          </cell>
        </row>
        <row r="1291">
          <cell r="B1291">
            <v>58.835599999999999</v>
          </cell>
          <cell r="D1291">
            <v>17253845.713431999</v>
          </cell>
          <cell r="E1291">
            <v>2097550000</v>
          </cell>
          <cell r="F1291">
            <v>-6.320704595166902E-4</v>
          </cell>
          <cell r="G1291">
            <v>4.9799220870501608E-3</v>
          </cell>
        </row>
        <row r="1292">
          <cell r="B1292">
            <v>58.827800000000003</v>
          </cell>
          <cell r="D1292">
            <v>22030125.886870001</v>
          </cell>
          <cell r="E1292">
            <v>2040205556</v>
          </cell>
          <cell r="F1292">
            <v>-1.3258158461204299E-4</v>
          </cell>
          <cell r="G1292">
            <v>-8.644791200295176E-4</v>
          </cell>
        </row>
        <row r="1293">
          <cell r="B1293">
            <v>58.915599999999998</v>
          </cell>
          <cell r="D1293">
            <v>21760045.75446</v>
          </cell>
          <cell r="E1293">
            <v>1951700000</v>
          </cell>
          <cell r="F1293">
            <v>1.4913789864027256E-3</v>
          </cell>
          <cell r="G1293">
            <v>1.6771742275309119E-3</v>
          </cell>
        </row>
        <row r="1294">
          <cell r="B1294">
            <v>58.801600000000001</v>
          </cell>
          <cell r="D1294">
            <v>20325388.961461</v>
          </cell>
          <cell r="E1294">
            <v>1988766667</v>
          </cell>
          <cell r="F1294">
            <v>-1.9368458583457595E-3</v>
          </cell>
          <cell r="G1294">
            <v>6.0298621810357042E-3</v>
          </cell>
        </row>
        <row r="1295">
          <cell r="B1295">
            <v>58.6813</v>
          </cell>
          <cell r="D1295">
            <v>20043444.825387999</v>
          </cell>
          <cell r="E1295">
            <v>1927038889</v>
          </cell>
          <cell r="F1295">
            <v>-2.0479583334456698E-3</v>
          </cell>
          <cell r="G1295">
            <v>-1.0828646208509895E-3</v>
          </cell>
        </row>
        <row r="1296">
          <cell r="B1296">
            <v>58.915599999999998</v>
          </cell>
          <cell r="D1296">
            <v>21231084.011567</v>
          </cell>
          <cell r="E1296">
            <v>2230700000</v>
          </cell>
          <cell r="F1296">
            <v>3.9848041917913664E-3</v>
          </cell>
          <cell r="G1296">
            <v>4.1890311468295642E-4</v>
          </cell>
        </row>
        <row r="1297">
          <cell r="B1297">
            <v>58.915599999999998</v>
          </cell>
          <cell r="D1297">
            <v>23458050.052315999</v>
          </cell>
          <cell r="E1297">
            <v>2128650000</v>
          </cell>
          <cell r="F1297">
            <v>0</v>
          </cell>
          <cell r="G1297">
            <v>1.4922378935534736E-3</v>
          </cell>
        </row>
        <row r="1298">
          <cell r="B1298">
            <v>58.563099999999999</v>
          </cell>
          <cell r="D1298">
            <v>17055167.676247999</v>
          </cell>
          <cell r="E1298">
            <v>1990338889</v>
          </cell>
          <cell r="F1298">
            <v>-6.0011058666671778E-3</v>
          </cell>
          <cell r="G1298">
            <v>1.0175023940541276E-3</v>
          </cell>
        </row>
        <row r="1299">
          <cell r="B1299">
            <v>58.336500000000001</v>
          </cell>
          <cell r="D1299">
            <v>23794167.473324999</v>
          </cell>
          <cell r="E1299">
            <v>2338966667</v>
          </cell>
          <cell r="F1299">
            <v>-3.8768359141300906E-3</v>
          </cell>
          <cell r="G1299">
            <v>-2.5816606675474183E-3</v>
          </cell>
        </row>
        <row r="1300">
          <cell r="B1300">
            <v>59.182299999999998</v>
          </cell>
          <cell r="D1300">
            <v>24507040.725542001</v>
          </cell>
          <cell r="E1300">
            <v>2413988889</v>
          </cell>
          <cell r="F1300">
            <v>1.4394541201828912E-2</v>
          </cell>
          <cell r="G1300">
            <v>1.3581181939563836E-2</v>
          </cell>
        </row>
        <row r="1301">
          <cell r="B1301">
            <v>58.362000000000002</v>
          </cell>
          <cell r="D1301">
            <v>26210397.544210002</v>
          </cell>
          <cell r="E1301">
            <v>2122955556</v>
          </cell>
          <cell r="F1301">
            <v>-1.395751758274448E-2</v>
          </cell>
          <cell r="G1301">
            <v>-5.8771004764202996E-3</v>
          </cell>
        </row>
        <row r="1302">
          <cell r="B1302">
            <v>58.580599999999997</v>
          </cell>
          <cell r="D1302">
            <v>19577549.251084998</v>
          </cell>
          <cell r="E1302">
            <v>1975144444</v>
          </cell>
          <cell r="F1302">
            <v>3.7385906353267998E-3</v>
          </cell>
          <cell r="G1302">
            <v>5.0366839538305158E-4</v>
          </cell>
        </row>
        <row r="1303">
          <cell r="B1303">
            <v>58.599299999999999</v>
          </cell>
          <cell r="D1303">
            <v>18562158.238908</v>
          </cell>
          <cell r="E1303">
            <v>1795944444</v>
          </cell>
          <cell r="F1303">
            <v>3.1916736844359169E-4</v>
          </cell>
          <cell r="G1303">
            <v>-3.2825982574175411E-3</v>
          </cell>
        </row>
        <row r="1304">
          <cell r="B1304">
            <v>58.718499999999999</v>
          </cell>
          <cell r="D1304">
            <v>18287363.424338002</v>
          </cell>
          <cell r="E1304">
            <v>1954661111</v>
          </cell>
          <cell r="F1304">
            <v>2.032087901725447E-3</v>
          </cell>
          <cell r="G1304">
            <v>-2.9175558777588639E-3</v>
          </cell>
        </row>
        <row r="1305">
          <cell r="B1305">
            <v>59.255600000000001</v>
          </cell>
          <cell r="D1305">
            <v>22348787.209979001</v>
          </cell>
          <cell r="E1305">
            <v>2117833333</v>
          </cell>
          <cell r="F1305">
            <v>9.1054512960797862E-3</v>
          </cell>
          <cell r="G1305">
            <v>-2.2868650550458714E-3</v>
          </cell>
        </row>
        <row r="1306">
          <cell r="B1306">
            <v>59.0182</v>
          </cell>
          <cell r="D1306">
            <v>21056358.197865002</v>
          </cell>
          <cell r="E1306">
            <v>2064633333</v>
          </cell>
          <cell r="F1306">
            <v>-4.0144194034430905E-3</v>
          </cell>
          <cell r="G1306">
            <v>7.9951779378723649E-4</v>
          </cell>
        </row>
        <row r="1307">
          <cell r="B1307">
            <v>59.201999999999998</v>
          </cell>
          <cell r="D1307">
            <v>20083165.894607998</v>
          </cell>
          <cell r="E1307">
            <v>1907194444</v>
          </cell>
          <cell r="F1307">
            <v>3.109454189593941E-3</v>
          </cell>
          <cell r="G1307">
            <v>3.2633480993077457E-3</v>
          </cell>
        </row>
        <row r="1308">
          <cell r="B1308">
            <v>58.9998</v>
          </cell>
          <cell r="D1308">
            <v>22045111.511794001</v>
          </cell>
          <cell r="E1308">
            <v>1741055556</v>
          </cell>
          <cell r="F1308">
            <v>-3.4212710336190407E-3</v>
          </cell>
          <cell r="G1308">
            <v>3.6661912266134326E-4</v>
          </cell>
        </row>
        <row r="1309">
          <cell r="B1309">
            <v>58.728200000000001</v>
          </cell>
          <cell r="D1309">
            <v>15662093.253699001</v>
          </cell>
          <cell r="E1309">
            <v>1762572222</v>
          </cell>
          <cell r="F1309">
            <v>-4.614033736202337E-3</v>
          </cell>
          <cell r="G1309">
            <v>-3.3847406821550332E-3</v>
          </cell>
        </row>
        <row r="1310">
          <cell r="B1310">
            <v>59.037799999999997</v>
          </cell>
          <cell r="D1310">
            <v>27236972.744860999</v>
          </cell>
          <cell r="E1310">
            <v>2170466667</v>
          </cell>
          <cell r="F1310">
            <v>5.2578963920471376E-3</v>
          </cell>
          <cell r="G1310">
            <v>8.3398543883171257E-3</v>
          </cell>
        </row>
        <row r="1311">
          <cell r="B1311">
            <v>58.935299999999998</v>
          </cell>
          <cell r="D1311">
            <v>22674942.881276999</v>
          </cell>
          <cell r="E1311">
            <v>1869811111</v>
          </cell>
          <cell r="F1311">
            <v>-1.7376847059536978E-3</v>
          </cell>
          <cell r="G1311">
            <v>-1.6279814951152382E-3</v>
          </cell>
        </row>
        <row r="1312">
          <cell r="B1312">
            <v>59.147300000000001</v>
          </cell>
          <cell r="D1312">
            <v>47531521.234941997</v>
          </cell>
          <cell r="E1312">
            <v>2876688889</v>
          </cell>
          <cell r="F1312">
            <v>3.590710702167503E-3</v>
          </cell>
          <cell r="G1312">
            <v>-1.315228474144621E-3</v>
          </cell>
        </row>
        <row r="1313">
          <cell r="B1313">
            <v>59.201999999999998</v>
          </cell>
          <cell r="D1313">
            <v>16010735.041019</v>
          </cell>
          <cell r="E1313">
            <v>1697183333</v>
          </cell>
          <cell r="F1313">
            <v>9.2438238156059276E-4</v>
          </cell>
          <cell r="G1313">
            <v>-2.0119037369022092E-3</v>
          </cell>
        </row>
        <row r="1314">
          <cell r="B1314">
            <v>58.545499999999997</v>
          </cell>
          <cell r="D1314">
            <v>29218476.358419999</v>
          </cell>
          <cell r="E1314">
            <v>2369772222</v>
          </cell>
          <cell r="F1314">
            <v>-1.1151095399887468E-2</v>
          </cell>
          <cell r="G1314">
            <v>-1.2485615265953647E-2</v>
          </cell>
        </row>
        <row r="1315">
          <cell r="B1315">
            <v>59.2898</v>
          </cell>
          <cell r="D1315">
            <v>22681214.790704001</v>
          </cell>
          <cell r="E1315">
            <v>1984850000</v>
          </cell>
          <cell r="F1315">
            <v>1.2633054760263294E-2</v>
          </cell>
          <cell r="G1315">
            <v>1.8881319714754499E-3</v>
          </cell>
        </row>
        <row r="1316">
          <cell r="B1316">
            <v>59.147300000000001</v>
          </cell>
          <cell r="D1316">
            <v>21133882.725081999</v>
          </cell>
          <cell r="E1316">
            <v>1811444444</v>
          </cell>
          <cell r="F1316">
            <v>-2.4063417419364175E-3</v>
          </cell>
          <cell r="G1316">
            <v>-1.0608362855033045E-3</v>
          </cell>
        </row>
        <row r="1317">
          <cell r="B1317">
            <v>59.245899999999999</v>
          </cell>
          <cell r="D1317">
            <v>23935048.933463998</v>
          </cell>
          <cell r="E1317">
            <v>1652850000</v>
          </cell>
          <cell r="F1317">
            <v>1.6656365871665539E-3</v>
          </cell>
          <cell r="G1317">
            <v>-8.4436053238891068E-4</v>
          </cell>
        </row>
        <row r="1318">
          <cell r="B1318">
            <v>59.356200000000001</v>
          </cell>
          <cell r="D1318">
            <v>18805765.507776</v>
          </cell>
          <cell r="E1318">
            <v>1800127778</v>
          </cell>
          <cell r="F1318">
            <v>1.8600013288050203E-3</v>
          </cell>
          <cell r="G1318">
            <v>-1.0201534529525073E-3</v>
          </cell>
        </row>
        <row r="1319">
          <cell r="B1319">
            <v>59.528100000000002</v>
          </cell>
          <cell r="D1319">
            <v>20556683.794356</v>
          </cell>
          <cell r="E1319">
            <v>1870988889</v>
          </cell>
          <cell r="F1319">
            <v>2.8918893377899105E-3</v>
          </cell>
          <cell r="G1319">
            <v>7.2253173808166449E-3</v>
          </cell>
        </row>
        <row r="1320">
          <cell r="B1320">
            <v>59.6922</v>
          </cell>
          <cell r="D1320">
            <v>14096172.747403</v>
          </cell>
          <cell r="E1320">
            <v>1726077778</v>
          </cell>
          <cell r="F1320">
            <v>2.7528886210576847E-3</v>
          </cell>
          <cell r="G1320">
            <v>1.0848148191858569E-3</v>
          </cell>
        </row>
        <row r="1321">
          <cell r="B1321">
            <v>59.914999999999999</v>
          </cell>
          <cell r="D1321">
            <v>16328753.406386999</v>
          </cell>
          <cell r="E1321">
            <v>1754677778</v>
          </cell>
          <cell r="F1321">
            <v>3.7255325381367515E-3</v>
          </cell>
          <cell r="G1321">
            <v>2.9307365363928895E-3</v>
          </cell>
        </row>
        <row r="1322">
          <cell r="B1322">
            <v>60.0488</v>
          </cell>
          <cell r="D1322">
            <v>21910024.861868002</v>
          </cell>
          <cell r="E1322">
            <v>1863394444</v>
          </cell>
          <cell r="F1322">
            <v>2.2306738446321831E-3</v>
          </cell>
          <cell r="G1322">
            <v>-2.2575567952728324E-3</v>
          </cell>
        </row>
        <row r="1323">
          <cell r="B1323">
            <v>59.764600000000002</v>
          </cell>
          <cell r="D1323">
            <v>22375059.405182</v>
          </cell>
          <cell r="E1323">
            <v>1898000000</v>
          </cell>
          <cell r="F1323">
            <v>-4.7440525520136868E-3</v>
          </cell>
          <cell r="G1323">
            <v>-1.6435249677560892E-3</v>
          </cell>
        </row>
        <row r="1324">
          <cell r="B1324">
            <v>59.931399999999996</v>
          </cell>
          <cell r="D1324">
            <v>13858853.769052001</v>
          </cell>
          <cell r="E1324">
            <v>1781244444</v>
          </cell>
          <cell r="F1324">
            <v>2.7870623574929349E-3</v>
          </cell>
          <cell r="G1324">
            <v>5.5944057403117787E-4</v>
          </cell>
        </row>
        <row r="1325">
          <cell r="B1325">
            <v>59.774299999999997</v>
          </cell>
          <cell r="D1325">
            <v>22578081.502386</v>
          </cell>
          <cell r="E1325">
            <v>2094733333</v>
          </cell>
          <cell r="F1325">
            <v>-2.624772090119258E-3</v>
          </cell>
          <cell r="G1325">
            <v>-3.0595532989129127E-3</v>
          </cell>
        </row>
        <row r="1326">
          <cell r="B1326">
            <v>59.931399999999996</v>
          </cell>
          <cell r="D1326">
            <v>19104780.786159001</v>
          </cell>
          <cell r="E1326">
            <v>1778844444</v>
          </cell>
          <cell r="F1326">
            <v>2.6247720901191201E-3</v>
          </cell>
          <cell r="G1326">
            <v>1.9276336842417722E-3</v>
          </cell>
        </row>
        <row r="1327">
          <cell r="B1327">
            <v>59.886499999999998</v>
          </cell>
          <cell r="D1327">
            <v>15473813.112718999</v>
          </cell>
          <cell r="E1327">
            <v>1696194444</v>
          </cell>
          <cell r="F1327">
            <v>-7.4947069013422756E-4</v>
          </cell>
          <cell r="G1327">
            <v>-8.2749318857336135E-4</v>
          </cell>
        </row>
        <row r="1328">
          <cell r="B1328">
            <v>59.747</v>
          </cell>
          <cell r="D1328">
            <v>17028262.761486001</v>
          </cell>
          <cell r="E1328">
            <v>1547450000</v>
          </cell>
          <cell r="F1328">
            <v>-2.3321237483825081E-3</v>
          </cell>
          <cell r="G1328">
            <v>6.8750400569067267E-4</v>
          </cell>
        </row>
        <row r="1329">
          <cell r="B1329">
            <v>59.702100000000002</v>
          </cell>
          <cell r="D1329">
            <v>20609986.833941001</v>
          </cell>
          <cell r="E1329">
            <v>1731900000</v>
          </cell>
          <cell r="F1329">
            <v>-7.5178468677807888E-4</v>
          </cell>
          <cell r="G1329">
            <v>-1.4349580253540969E-3</v>
          </cell>
        </row>
        <row r="1330">
          <cell r="B1330">
            <v>59.474499999999999</v>
          </cell>
          <cell r="D1330">
            <v>18070316.043547001</v>
          </cell>
          <cell r="E1330">
            <v>1776083333</v>
          </cell>
          <cell r="F1330">
            <v>-3.8195463992662664E-3</v>
          </cell>
          <cell r="G1330">
            <v>-3.7669958202624669E-3</v>
          </cell>
        </row>
        <row r="1331">
          <cell r="B1331">
            <v>59.219499999999996</v>
          </cell>
          <cell r="D1331">
            <v>18437051.767416</v>
          </cell>
          <cell r="E1331">
            <v>1746605556</v>
          </cell>
          <cell r="F1331">
            <v>-4.2967697157778794E-3</v>
          </cell>
          <cell r="G1331">
            <v>-6.8380284760690994E-3</v>
          </cell>
        </row>
        <row r="1332">
          <cell r="B1332">
            <v>59.702100000000002</v>
          </cell>
          <cell r="D1332">
            <v>15955328.055322999</v>
          </cell>
          <cell r="E1332">
            <v>1569283333</v>
          </cell>
          <cell r="F1332">
            <v>8.1163161150440352E-3</v>
          </cell>
          <cell r="G1332">
            <v>8.5764405680456898E-3</v>
          </cell>
        </row>
        <row r="1333">
          <cell r="B1333">
            <v>59.621899999999997</v>
          </cell>
          <cell r="D1333">
            <v>15974232.855775001</v>
          </cell>
          <cell r="E1333">
            <v>1816577778</v>
          </cell>
          <cell r="F1333">
            <v>-1.3442394166580495E-3</v>
          </cell>
          <cell r="G1333">
            <v>-2.9075736718455298E-3</v>
          </cell>
        </row>
        <row r="1334">
          <cell r="B1334">
            <v>59.299500000000002</v>
          </cell>
          <cell r="D1334">
            <v>23775785.843899999</v>
          </cell>
          <cell r="E1334">
            <v>1955500000</v>
          </cell>
          <cell r="F1334">
            <v>-5.4220819777099517E-3</v>
          </cell>
          <cell r="G1334">
            <v>-1.7178170006366042E-3</v>
          </cell>
        </row>
        <row r="1335">
          <cell r="B1335">
            <v>59.720500000000001</v>
          </cell>
          <cell r="D1335">
            <v>22798210.575536001</v>
          </cell>
          <cell r="E1335">
            <v>2026344444</v>
          </cell>
          <cell r="F1335">
            <v>7.0744707755671446E-3</v>
          </cell>
          <cell r="G1335">
            <v>7.5287796425385226E-3</v>
          </cell>
        </row>
        <row r="1336">
          <cell r="B1336">
            <v>60.543100000000003</v>
          </cell>
          <cell r="D1336">
            <v>34305180.214868002</v>
          </cell>
          <cell r="E1336">
            <v>1946311111</v>
          </cell>
          <cell r="F1336">
            <v>1.3680163056441512E-2</v>
          </cell>
          <cell r="G1336">
            <v>-3.039625852145616E-3</v>
          </cell>
        </row>
        <row r="1337">
          <cell r="B1337">
            <v>61.573399999999999</v>
          </cell>
          <cell r="D1337">
            <v>32600939.841217</v>
          </cell>
          <cell r="E1337">
            <v>2050361111</v>
          </cell>
          <cell r="F1337">
            <v>1.6874451000398829E-2</v>
          </cell>
          <cell r="G1337">
            <v>1.0781752773837281E-2</v>
          </cell>
        </row>
        <row r="1338">
          <cell r="B1338">
            <v>61.928899999999999</v>
          </cell>
          <cell r="D1338">
            <v>33155709.989732999</v>
          </cell>
          <cell r="E1338">
            <v>2219577778</v>
          </cell>
          <cell r="F1338">
            <v>5.7569937055445214E-3</v>
          </cell>
          <cell r="G1338">
            <v>6.0721281060621066E-3</v>
          </cell>
        </row>
        <row r="1339">
          <cell r="B1339">
            <v>61.844799999999999</v>
          </cell>
          <cell r="D1339">
            <v>28699883.844826002</v>
          </cell>
          <cell r="E1339">
            <v>2281066667</v>
          </cell>
          <cell r="F1339">
            <v>-1.3589318723163622E-3</v>
          </cell>
          <cell r="G1339">
            <v>-4.8575605114247193E-4</v>
          </cell>
        </row>
        <row r="1340">
          <cell r="B1340">
            <v>62.247300000000003</v>
          </cell>
          <cell r="D1340">
            <v>37672635.548744</v>
          </cell>
          <cell r="E1340">
            <v>2276922222</v>
          </cell>
          <cell r="F1340">
            <v>6.4871399796194475E-3</v>
          </cell>
          <cell r="G1340">
            <v>5.5273837202107399E-4</v>
          </cell>
        </row>
        <row r="1341">
          <cell r="B1341">
            <v>62.420499999999997</v>
          </cell>
          <cell r="D1341">
            <v>43375950.212084003</v>
          </cell>
          <cell r="E1341">
            <v>2065705556</v>
          </cell>
          <cell r="F1341">
            <v>2.7785861534914942E-3</v>
          </cell>
          <cell r="G1341">
            <v>-1.9149508153329291E-3</v>
          </cell>
        </row>
        <row r="1342">
          <cell r="B1342">
            <v>63.285499999999999</v>
          </cell>
          <cell r="D1342">
            <v>35017132.030832998</v>
          </cell>
          <cell r="E1342">
            <v>1777355556</v>
          </cell>
          <cell r="F1342">
            <v>1.3762487915899629E-2</v>
          </cell>
          <cell r="G1342">
            <v>1.7307386358750435E-3</v>
          </cell>
        </row>
        <row r="1343">
          <cell r="B1343">
            <v>63.186</v>
          </cell>
          <cell r="D1343">
            <v>25807578.376681998</v>
          </cell>
          <cell r="E1343">
            <v>2118711111</v>
          </cell>
          <cell r="F1343">
            <v>-1.5734773530600285E-3</v>
          </cell>
          <cell r="G1343">
            <v>1.1884089692428136E-3</v>
          </cell>
        </row>
        <row r="1344">
          <cell r="B1344">
            <v>62.985900000000001</v>
          </cell>
          <cell r="D1344">
            <v>31698984.79848</v>
          </cell>
          <cell r="E1344">
            <v>2163327778</v>
          </cell>
          <cell r="F1344">
            <v>-3.1718658078809464E-3</v>
          </cell>
          <cell r="G1344">
            <v>-1.2721529972957541E-3</v>
          </cell>
        </row>
        <row r="1345">
          <cell r="B1345">
            <v>62.738599999999998</v>
          </cell>
          <cell r="D1345">
            <v>23784586.583933</v>
          </cell>
          <cell r="E1345">
            <v>2423633333</v>
          </cell>
          <cell r="F1345">
            <v>-3.9340036181079573E-3</v>
          </cell>
          <cell r="G1345">
            <v>5.8187604333453274E-4</v>
          </cell>
        </row>
        <row r="1346">
          <cell r="B1346">
            <v>62.9116</v>
          </cell>
          <cell r="D1346">
            <v>20979869.774521999</v>
          </cell>
          <cell r="E1346">
            <v>1966744444</v>
          </cell>
          <cell r="F1346">
            <v>2.7536782164751567E-3</v>
          </cell>
          <cell r="G1346">
            <v>4.0803513003330903E-3</v>
          </cell>
        </row>
        <row r="1347">
          <cell r="B1347">
            <v>62.857100000000003</v>
          </cell>
          <cell r="D1347">
            <v>20349380.090027999</v>
          </cell>
          <cell r="E1347">
            <v>1905244444</v>
          </cell>
          <cell r="F1347">
            <v>-8.6667037842199095E-4</v>
          </cell>
          <cell r="G1347">
            <v>3.7510393509375765E-5</v>
          </cell>
        </row>
        <row r="1348">
          <cell r="B1348">
            <v>62.948599999999999</v>
          </cell>
          <cell r="D1348">
            <v>25056167.588920001</v>
          </cell>
          <cell r="E1348">
            <v>2029772222</v>
          </cell>
          <cell r="F1348">
            <v>1.4546243315522696E-3</v>
          </cell>
          <cell r="G1348">
            <v>-1.0257908036239289E-3</v>
          </cell>
        </row>
        <row r="1349">
          <cell r="B1349">
            <v>63.194899999999997</v>
          </cell>
          <cell r="D1349">
            <v>19669951.902330998</v>
          </cell>
          <cell r="E1349">
            <v>2024183333</v>
          </cell>
          <cell r="F1349">
            <v>3.9050813240348206E-3</v>
          </cell>
          <cell r="G1349">
            <v>1.1299789591918902E-3</v>
          </cell>
        </row>
        <row r="1350">
          <cell r="B1350">
            <v>62.420499999999997</v>
          </cell>
          <cell r="D1350">
            <v>31555469.054476999</v>
          </cell>
          <cell r="E1350">
            <v>2070788889</v>
          </cell>
          <cell r="F1350">
            <v>-1.2329854630490912E-2</v>
          </cell>
          <cell r="G1350">
            <v>-2.1651757390083516E-3</v>
          </cell>
        </row>
        <row r="1351">
          <cell r="B1351">
            <v>62.344999999999999</v>
          </cell>
          <cell r="D1351">
            <v>19028998.797277</v>
          </cell>
          <cell r="E1351">
            <v>1836461111</v>
          </cell>
          <cell r="F1351">
            <v>-1.2102706151259548E-3</v>
          </cell>
          <cell r="G1351">
            <v>-1.4795189665720563E-3</v>
          </cell>
        </row>
        <row r="1352">
          <cell r="B1352">
            <v>62.392899999999997</v>
          </cell>
          <cell r="D1352">
            <v>33957947.201197997</v>
          </cell>
          <cell r="E1352">
            <v>1929777778</v>
          </cell>
          <cell r="F1352">
            <v>7.6801040188174507E-4</v>
          </cell>
          <cell r="G1352">
            <v>4.7650730024741666E-3</v>
          </cell>
        </row>
        <row r="1353">
          <cell r="B1353">
            <v>63.651000000000003</v>
          </cell>
          <cell r="D1353">
            <v>38102597.156824</v>
          </cell>
          <cell r="E1353">
            <v>1900438889</v>
          </cell>
          <cell r="F1353">
            <v>1.9963548948657983E-2</v>
          </cell>
          <cell r="G1353">
            <v>-6.8707203842168071E-4</v>
          </cell>
        </row>
        <row r="1354">
          <cell r="B1354">
            <v>61.879199999999997</v>
          </cell>
          <cell r="D1354">
            <v>33255783.085873</v>
          </cell>
          <cell r="E1354">
            <v>2312777778</v>
          </cell>
          <cell r="F1354">
            <v>-2.8230938426016757E-2</v>
          </cell>
          <cell r="G1354">
            <v>-1.8345513143686251E-2</v>
          </cell>
        </row>
        <row r="1355">
          <cell r="B1355">
            <v>62.087200000000003</v>
          </cell>
          <cell r="D1355">
            <v>27482469.981864002</v>
          </cell>
          <cell r="E1355">
            <v>2399677778</v>
          </cell>
          <cell r="F1355">
            <v>3.3557511582458172E-3</v>
          </cell>
          <cell r="G1355">
            <v>3.6800634407031319E-3</v>
          </cell>
        </row>
        <row r="1356">
          <cell r="B1356">
            <v>62.069600000000001</v>
          </cell>
          <cell r="D1356">
            <v>29340884.045510001</v>
          </cell>
          <cell r="E1356">
            <v>2125088889</v>
          </cell>
          <cell r="F1356">
            <v>-2.8351246356043546E-4</v>
          </cell>
          <cell r="G1356">
            <v>6.744699024732498E-3</v>
          </cell>
        </row>
        <row r="1357">
          <cell r="B1357">
            <v>62.768000000000001</v>
          </cell>
          <cell r="D1357">
            <v>17683979.322944999</v>
          </cell>
          <cell r="E1357">
            <v>1762683333</v>
          </cell>
          <cell r="F1357">
            <v>1.1189053399439007E-2</v>
          </cell>
          <cell r="G1357">
            <v>5.14684693721281E-3</v>
          </cell>
        </row>
        <row r="1358">
          <cell r="B1358">
            <v>62.98</v>
          </cell>
          <cell r="D1358">
            <v>16820321.218508001</v>
          </cell>
          <cell r="E1358">
            <v>1785316667</v>
          </cell>
          <cell r="F1358">
            <v>3.3718262056817026E-3</v>
          </cell>
          <cell r="G1358">
            <v>1.8362259042573701E-3</v>
          </cell>
        </row>
        <row r="1359">
          <cell r="B1359">
            <v>63.061999999999998</v>
          </cell>
          <cell r="D1359">
            <v>15993460.158915</v>
          </cell>
          <cell r="E1359">
            <v>1883277778</v>
          </cell>
          <cell r="F1359">
            <v>1.3011537672973136E-3</v>
          </cell>
          <cell r="G1359">
            <v>2.4860459084413127E-3</v>
          </cell>
        </row>
        <row r="1360">
          <cell r="B1360">
            <v>63.839500000000001</v>
          </cell>
          <cell r="D1360">
            <v>23815715.772006001</v>
          </cell>
          <cell r="E1360">
            <v>1964105556</v>
          </cell>
          <cell r="F1360">
            <v>1.2253751590506122E-2</v>
          </cell>
          <cell r="G1360">
            <v>4.4320390592464875E-3</v>
          </cell>
        </row>
        <row r="1361">
          <cell r="B1361">
            <v>64.151899999999998</v>
          </cell>
          <cell r="D1361">
            <v>21500509.924238</v>
          </cell>
          <cell r="E1361">
            <v>1558355556</v>
          </cell>
          <cell r="F1361">
            <v>4.8815876749756289E-3</v>
          </cell>
          <cell r="G1361">
            <v>3.1050179408999626E-4</v>
          </cell>
        </row>
        <row r="1362">
          <cell r="B1362">
            <v>64.5642</v>
          </cell>
          <cell r="D1362">
            <v>18601474.899994999</v>
          </cell>
          <cell r="E1362">
            <v>1779533333</v>
          </cell>
          <cell r="F1362">
            <v>6.4063689020832943E-3</v>
          </cell>
          <cell r="G1362">
            <v>-1.205286007825416E-3</v>
          </cell>
        </row>
        <row r="1363">
          <cell r="B1363">
            <v>64.042500000000004</v>
          </cell>
          <cell r="D1363">
            <v>33204793.875099</v>
          </cell>
          <cell r="E1363">
            <v>2508950000</v>
          </cell>
          <cell r="F1363">
            <v>-8.1131521400068674E-3</v>
          </cell>
          <cell r="G1363">
            <v>-4.6013129062012688E-4</v>
          </cell>
        </row>
        <row r="1364">
          <cell r="B1364">
            <v>64.281000000000006</v>
          </cell>
          <cell r="D1364">
            <v>23527312.367800001</v>
          </cell>
          <cell r="E1364">
            <v>2142855556</v>
          </cell>
          <cell r="F1364">
            <v>3.7171722189645994E-3</v>
          </cell>
          <cell r="G1364">
            <v>7.5425917183000596E-3</v>
          </cell>
        </row>
        <row r="1365">
          <cell r="B1365">
            <v>65.795900000000003</v>
          </cell>
          <cell r="D1365">
            <v>37771908.019162998</v>
          </cell>
          <cell r="E1365">
            <v>1923155556</v>
          </cell>
          <cell r="F1365">
            <v>2.329342867282732E-2</v>
          </cell>
          <cell r="G1365">
            <v>3.7008707032855424E-3</v>
          </cell>
        </row>
        <row r="1366">
          <cell r="B1366">
            <v>66.280199999999994</v>
          </cell>
          <cell r="D1366">
            <v>36319885.224251002</v>
          </cell>
          <cell r="E1366">
            <v>1618111111</v>
          </cell>
          <cell r="F1366">
            <v>7.3336836957922941E-3</v>
          </cell>
          <cell r="G1366">
            <v>-1.2184192007356274E-3</v>
          </cell>
        </row>
        <row r="1367">
          <cell r="B1367">
            <v>66.5</v>
          </cell>
          <cell r="D1367">
            <v>34358567.207534999</v>
          </cell>
          <cell r="E1367">
            <v>1865466667</v>
          </cell>
          <cell r="F1367">
            <v>3.3107376064902471E-3</v>
          </cell>
          <cell r="G1367">
            <v>-2.7829007381501205E-3</v>
          </cell>
        </row>
        <row r="1368">
          <cell r="B1368">
            <v>66.38</v>
          </cell>
          <cell r="D1368">
            <v>24299574.234145001</v>
          </cell>
          <cell r="E1368">
            <v>1984611111</v>
          </cell>
          <cell r="F1368">
            <v>-1.80614136998E-3</v>
          </cell>
          <cell r="G1368">
            <v>1.5671051049044751E-3</v>
          </cell>
        </row>
        <row r="1369">
          <cell r="B1369">
            <v>65.976500000000001</v>
          </cell>
          <cell r="D1369">
            <v>26676561.358842</v>
          </cell>
          <cell r="E1369">
            <v>2071588889</v>
          </cell>
          <cell r="F1369">
            <v>-6.0971882760921759E-3</v>
          </cell>
          <cell r="G1369">
            <v>2.6710883611008482E-4</v>
          </cell>
        </row>
        <row r="1370">
          <cell r="B1370">
            <v>64.482200000000006</v>
          </cell>
          <cell r="D1370">
            <v>53592420.736344002</v>
          </cell>
          <cell r="E1370">
            <v>2237411111</v>
          </cell>
          <cell r="F1370">
            <v>-2.2909401292707129E-2</v>
          </cell>
          <cell r="G1370">
            <v>-8.3032584781852277E-4</v>
          </cell>
        </row>
        <row r="1371">
          <cell r="B1371">
            <v>63.988900000000001</v>
          </cell>
          <cell r="D1371">
            <v>52041071.208659001</v>
          </cell>
          <cell r="E1371">
            <v>2237638889</v>
          </cell>
          <cell r="F1371">
            <v>-7.6795859053798545E-3</v>
          </cell>
          <cell r="G1371">
            <v>-9.7919023038320948E-4</v>
          </cell>
        </row>
        <row r="1372">
          <cell r="B1372">
            <v>64.787800000000004</v>
          </cell>
          <cell r="D1372">
            <v>27543206.964373998</v>
          </cell>
          <cell r="E1372">
            <v>1819722222</v>
          </cell>
          <cell r="F1372">
            <v>1.2407683210317972E-2</v>
          </cell>
          <cell r="G1372">
            <v>4.501274608283941E-3</v>
          </cell>
        </row>
        <row r="1373">
          <cell r="B1373">
            <v>64.437200000000004</v>
          </cell>
          <cell r="D1373">
            <v>27790587.002788</v>
          </cell>
          <cell r="E1373">
            <v>1975327778</v>
          </cell>
          <cell r="F1373">
            <v>-5.4262079357291684E-3</v>
          </cell>
          <cell r="G1373">
            <v>-9.962549022444363E-4</v>
          </cell>
        </row>
        <row r="1374">
          <cell r="B1374">
            <v>64.098100000000002</v>
          </cell>
          <cell r="D1374">
            <v>28417485.133533001</v>
          </cell>
          <cell r="E1374">
            <v>1862805556</v>
          </cell>
          <cell r="F1374">
            <v>-5.2763837905699263E-3</v>
          </cell>
          <cell r="G1374">
            <v>-2.2421257837553104E-3</v>
          </cell>
        </row>
        <row r="1375">
          <cell r="B1375">
            <v>64.188999999999993</v>
          </cell>
          <cell r="D1375">
            <v>52648221.936688997</v>
          </cell>
          <cell r="E1375">
            <v>2935955556</v>
          </cell>
          <cell r="F1375">
            <v>1.4171341500840453E-3</v>
          </cell>
          <cell r="G1375">
            <v>2.8362322694394307E-4</v>
          </cell>
        </row>
        <row r="1376">
          <cell r="B1376">
            <v>64.988</v>
          </cell>
          <cell r="D1376">
            <v>25759381.117754001</v>
          </cell>
          <cell r="E1376">
            <v>1813722222</v>
          </cell>
          <cell r="F1376">
            <v>1.2370781015751342E-2</v>
          </cell>
          <cell r="G1376">
            <v>8.3125589925565676E-3</v>
          </cell>
        </row>
        <row r="1377">
          <cell r="B1377">
            <v>64.107100000000003</v>
          </cell>
          <cell r="D1377">
            <v>23458385.864640001</v>
          </cell>
          <cell r="E1377">
            <v>1898061111</v>
          </cell>
          <cell r="F1377">
            <v>-1.3647515244228884E-2</v>
          </cell>
          <cell r="G1377">
            <v>-6.7191883898731087E-3</v>
          </cell>
        </row>
        <row r="1378">
          <cell r="B1378">
            <v>64.437200000000004</v>
          </cell>
          <cell r="D1378">
            <v>21691566.659791</v>
          </cell>
          <cell r="E1378">
            <v>1997122222</v>
          </cell>
          <cell r="F1378">
            <v>5.1359838689632835E-3</v>
          </cell>
          <cell r="G1378">
            <v>-5.8284627643293246E-4</v>
          </cell>
        </row>
        <row r="1379">
          <cell r="B1379">
            <v>64.428299999999993</v>
          </cell>
          <cell r="D1379">
            <v>24648054.25821</v>
          </cell>
          <cell r="E1379">
            <v>1926783333</v>
          </cell>
          <cell r="F1379">
            <v>-1.3812851405788535E-4</v>
          </cell>
          <cell r="G1379">
            <v>-4.5584186772818001E-4</v>
          </cell>
        </row>
        <row r="1380">
          <cell r="B1380">
            <v>65.299899999999994</v>
          </cell>
          <cell r="D1380">
            <v>29522572.845828</v>
          </cell>
          <cell r="E1380">
            <v>2932405556</v>
          </cell>
          <cell r="F1380">
            <v>1.3437527309464134E-2</v>
          </cell>
          <cell r="G1380">
            <v>1.5596785299304831E-3</v>
          </cell>
        </row>
        <row r="1381">
          <cell r="B1381">
            <v>64.676500000000004</v>
          </cell>
          <cell r="D1381">
            <v>21274651.565234002</v>
          </cell>
          <cell r="E1381">
            <v>1799427778</v>
          </cell>
          <cell r="F1381">
            <v>-9.5925841969880157E-3</v>
          </cell>
          <cell r="G1381">
            <v>3.157439383918202E-4</v>
          </cell>
        </row>
        <row r="1382">
          <cell r="B1382">
            <v>63.465400000000002</v>
          </cell>
          <cell r="D1382">
            <v>27496767.601054002</v>
          </cell>
          <cell r="E1382">
            <v>1979950000</v>
          </cell>
          <cell r="F1382">
            <v>-1.8903045183857773E-2</v>
          </cell>
          <cell r="G1382">
            <v>-8.1055101118562012E-3</v>
          </cell>
        </row>
        <row r="1383">
          <cell r="B1383">
            <v>64.007499999999993</v>
          </cell>
          <cell r="D1383">
            <v>28139441.744263999</v>
          </cell>
          <cell r="E1383">
            <v>1944888889</v>
          </cell>
          <cell r="F1383">
            <v>8.5053884869543007E-3</v>
          </cell>
          <cell r="G1383">
            <v>8.7694772165970627E-3</v>
          </cell>
        </row>
        <row r="1384">
          <cell r="B1384">
            <v>62.806199999999997</v>
          </cell>
          <cell r="D1384">
            <v>31514944.288079999</v>
          </cell>
          <cell r="E1384">
            <v>2166822222</v>
          </cell>
          <cell r="F1384">
            <v>-1.894646927805255E-2</v>
          </cell>
          <cell r="G1384">
            <v>-8.6372206717718336E-3</v>
          </cell>
        </row>
        <row r="1385">
          <cell r="B1385">
            <v>63.209400000000002</v>
          </cell>
          <cell r="D1385">
            <v>26336689.597011998</v>
          </cell>
          <cell r="E1385">
            <v>1867550000</v>
          </cell>
          <cell r="F1385">
            <v>6.3992295544954402E-3</v>
          </cell>
          <cell r="G1385">
            <v>1.532073698797482E-3</v>
          </cell>
        </row>
        <row r="1386">
          <cell r="B1386">
            <v>62.5122</v>
          </cell>
          <cell r="D1386">
            <v>17628827.267944999</v>
          </cell>
          <cell r="E1386">
            <v>1090161111</v>
          </cell>
          <cell r="F1386">
            <v>-1.1091286576881186E-2</v>
          </cell>
          <cell r="G1386">
            <v>2.3081276913972876E-3</v>
          </cell>
        </row>
        <row r="1387">
          <cell r="B1387">
            <v>63.345199999999998</v>
          </cell>
          <cell r="D1387">
            <v>23080585.739011001</v>
          </cell>
          <cell r="E1387">
            <v>1870677778</v>
          </cell>
          <cell r="F1387">
            <v>1.3237396668844159E-2</v>
          </cell>
          <cell r="G1387">
            <v>1.4522119983846045E-3</v>
          </cell>
        </row>
        <row r="1388">
          <cell r="B1388">
            <v>62.877299999999998</v>
          </cell>
          <cell r="D1388">
            <v>23019030.725873001</v>
          </cell>
          <cell r="E1388">
            <v>1869177778</v>
          </cell>
          <cell r="F1388">
            <v>-7.4139260944076973E-3</v>
          </cell>
          <cell r="G1388">
            <v>-9.4129712485487432E-3</v>
          </cell>
        </row>
        <row r="1389">
          <cell r="B1389">
            <v>63.695900000000002</v>
          </cell>
          <cell r="D1389">
            <v>17655572.467091002</v>
          </cell>
          <cell r="E1389">
            <v>1611850000</v>
          </cell>
          <cell r="F1389">
            <v>1.2934988031680908E-2</v>
          </cell>
          <cell r="G1389">
            <v>6.3827407569568501E-3</v>
          </cell>
        </row>
        <row r="1390">
          <cell r="B1390">
            <v>64.169600000000003</v>
          </cell>
          <cell r="D1390">
            <v>16364537.895172</v>
          </cell>
          <cell r="E1390">
            <v>1666183333</v>
          </cell>
          <cell r="F1390">
            <v>7.4093820011456347E-3</v>
          </cell>
          <cell r="G1390">
            <v>9.2733607738550183E-4</v>
          </cell>
        </row>
        <row r="1391">
          <cell r="B1391">
            <v>64.179299999999998</v>
          </cell>
          <cell r="D1391">
            <v>19039578.933095001</v>
          </cell>
          <cell r="E1391">
            <v>1725972222</v>
          </cell>
          <cell r="F1391">
            <v>1.5115049709763079E-4</v>
          </cell>
          <cell r="G1391">
            <v>-7.8302730584169154E-4</v>
          </cell>
        </row>
        <row r="1392">
          <cell r="B1392">
            <v>65.245000000000005</v>
          </cell>
          <cell r="D1392">
            <v>19353964.791990999</v>
          </cell>
          <cell r="E1392">
            <v>1762011111</v>
          </cell>
          <cell r="F1392">
            <v>1.6468686116535264E-2</v>
          </cell>
          <cell r="G1392">
            <v>7.2790630263669361E-3</v>
          </cell>
        </row>
        <row r="1393">
          <cell r="B1393">
            <v>65.814300000000003</v>
          </cell>
          <cell r="D1393">
            <v>22103576.642030999</v>
          </cell>
          <cell r="E1393">
            <v>1704261111</v>
          </cell>
          <cell r="F1393">
            <v>8.6877250333183276E-3</v>
          </cell>
          <cell r="G1393">
            <v>1.8727975574500866E-3</v>
          </cell>
        </row>
        <row r="1394">
          <cell r="B1394">
            <v>66.739400000000003</v>
          </cell>
          <cell r="D1394">
            <v>28202298.030154999</v>
          </cell>
          <cell r="E1394">
            <v>1520355556</v>
          </cell>
          <cell r="F1394">
            <v>1.3958343224410029E-2</v>
          </cell>
          <cell r="G1394">
            <v>4.6626401441430309E-3</v>
          </cell>
        </row>
        <row r="1395">
          <cell r="B1395">
            <v>67.261899999999997</v>
          </cell>
          <cell r="D1395">
            <v>23758482.294891998</v>
          </cell>
          <cell r="E1395">
            <v>1551761111</v>
          </cell>
          <cell r="F1395">
            <v>7.7984713287716431E-3</v>
          </cell>
          <cell r="G1395">
            <v>-5.2862612116695394E-5</v>
          </cell>
        </row>
        <row r="1396">
          <cell r="B1396">
            <v>67.216099999999997</v>
          </cell>
          <cell r="D1396">
            <v>28781082.855052002</v>
          </cell>
          <cell r="E1396">
            <v>1645627778</v>
          </cell>
          <cell r="F1396">
            <v>-6.8115233377670189E-4</v>
          </cell>
          <cell r="G1396">
            <v>5.9759135880759124E-4</v>
          </cell>
        </row>
        <row r="1397">
          <cell r="B1397">
            <v>67.729799999999997</v>
          </cell>
          <cell r="D1397">
            <v>24183753.792445</v>
          </cell>
          <cell r="E1397">
            <v>1699866667</v>
          </cell>
          <cell r="F1397">
            <v>7.6134581542932969E-3</v>
          </cell>
          <cell r="G1397">
            <v>5.3582702920709109E-3</v>
          </cell>
        </row>
        <row r="1398">
          <cell r="B1398">
            <v>68.058999999999997</v>
          </cell>
          <cell r="D1398">
            <v>43504867.33439</v>
          </cell>
          <cell r="E1398">
            <v>1768211111</v>
          </cell>
          <cell r="F1398">
            <v>4.8487157255772623E-3</v>
          </cell>
          <cell r="G1398">
            <v>-1.5361976712352472E-4</v>
          </cell>
        </row>
        <row r="1399">
          <cell r="B1399">
            <v>67.665499999999994</v>
          </cell>
          <cell r="D1399">
            <v>50494067.788631998</v>
          </cell>
          <cell r="E1399">
            <v>1699761111</v>
          </cell>
          <cell r="F1399">
            <v>-5.7985272010712095E-3</v>
          </cell>
          <cell r="G1399">
            <v>-3.6797486863832021E-4</v>
          </cell>
        </row>
        <row r="1400">
          <cell r="B1400">
            <v>67.490399999999994</v>
          </cell>
          <cell r="D1400">
            <v>23150062.032469001</v>
          </cell>
          <cell r="E1400">
            <v>1672355556</v>
          </cell>
          <cell r="F1400">
            <v>-2.5910833040103456E-3</v>
          </cell>
          <cell r="G1400">
            <v>-1.0642496123316407E-3</v>
          </cell>
        </row>
        <row r="1401">
          <cell r="B1401">
            <v>68.030500000000004</v>
          </cell>
          <cell r="D1401">
            <v>24000401.287781</v>
          </cell>
          <cell r="E1401">
            <v>2282255556</v>
          </cell>
          <cell r="F1401">
            <v>7.9707684869003322E-3</v>
          </cell>
          <cell r="G1401">
            <v>2.9189192431246041E-3</v>
          </cell>
        </row>
        <row r="1402">
          <cell r="B1402">
            <v>67.904799999999994</v>
          </cell>
          <cell r="D1402">
            <v>17699849.526671998</v>
          </cell>
          <cell r="E1402">
            <v>1976122222</v>
          </cell>
          <cell r="F1402">
            <v>-1.8494097681444057E-3</v>
          </cell>
          <cell r="G1402">
            <v>2.8254516874271819E-4</v>
          </cell>
        </row>
        <row r="1403">
          <cell r="B1403">
            <v>67.0869</v>
          </cell>
          <cell r="D1403">
            <v>39046972.053185001</v>
          </cell>
          <cell r="E1403">
            <v>2219733333</v>
          </cell>
          <cell r="F1403">
            <v>-1.2117930341404197E-2</v>
          </cell>
          <cell r="G1403">
            <v>-9.7309854748828207E-4</v>
          </cell>
        </row>
        <row r="1404">
          <cell r="B1404">
            <v>66.976500000000001</v>
          </cell>
          <cell r="D1404">
            <v>19412204.682255998</v>
          </cell>
          <cell r="E1404">
            <v>1830427778</v>
          </cell>
          <cell r="F1404">
            <v>-1.6469823226243866E-3</v>
          </cell>
          <cell r="G1404">
            <v>-1.3420867417742238E-3</v>
          </cell>
        </row>
        <row r="1405">
          <cell r="B1405">
            <v>66.666200000000003</v>
          </cell>
          <cell r="D1405">
            <v>25677973.248642001</v>
          </cell>
          <cell r="E1405">
            <v>1927338889</v>
          </cell>
          <cell r="F1405">
            <v>-4.643733741022834E-3</v>
          </cell>
          <cell r="G1405">
            <v>-7.2839109727374364E-4</v>
          </cell>
        </row>
        <row r="1406">
          <cell r="B1406">
            <v>66.5548</v>
          </cell>
          <cell r="D1406">
            <v>22689081.808667</v>
          </cell>
          <cell r="E1406">
            <v>1922700000</v>
          </cell>
          <cell r="F1406">
            <v>-1.6724093943905549E-3</v>
          </cell>
          <cell r="G1406">
            <v>2.4461011054493871E-3</v>
          </cell>
        </row>
        <row r="1407">
          <cell r="B1407">
            <v>66.262799999999999</v>
          </cell>
          <cell r="D1407">
            <v>28884999.364185002</v>
          </cell>
          <cell r="E1407">
            <v>1932544444</v>
          </cell>
          <cell r="F1407">
            <v>-4.397014709709459E-3</v>
          </cell>
          <cell r="G1407">
            <v>4.9253925160855719E-4</v>
          </cell>
        </row>
        <row r="1408">
          <cell r="B1408">
            <v>66.162300000000002</v>
          </cell>
          <cell r="D1408">
            <v>19859766.746580999</v>
          </cell>
          <cell r="E1408">
            <v>2025011111</v>
          </cell>
          <cell r="F1408">
            <v>-1.5178394321715492E-3</v>
          </cell>
          <cell r="G1408">
            <v>-2.1859786914876496E-3</v>
          </cell>
        </row>
        <row r="1409">
          <cell r="B1409">
            <v>66.648499999999999</v>
          </cell>
          <cell r="D1409">
            <v>24622125.042057998</v>
          </cell>
          <cell r="E1409">
            <v>1797300000</v>
          </cell>
          <cell r="F1409">
            <v>7.3217264259001482E-3</v>
          </cell>
          <cell r="G1409">
            <v>1.887254323046072E-3</v>
          </cell>
        </row>
        <row r="1410">
          <cell r="B1410">
            <v>66.3887</v>
          </cell>
          <cell r="D1410">
            <v>20397263.036812</v>
          </cell>
          <cell r="E1410">
            <v>1628766667</v>
          </cell>
          <cell r="F1410">
            <v>-3.9056794679413406E-3</v>
          </cell>
          <cell r="G1410">
            <v>1.6459116133836385E-3</v>
          </cell>
        </row>
        <row r="1411">
          <cell r="B1411">
            <v>66.749099999999999</v>
          </cell>
          <cell r="D1411">
            <v>24035370.817391999</v>
          </cell>
          <cell r="E1411">
            <v>1858133333</v>
          </cell>
          <cell r="F1411">
            <v>5.4139527662788135E-3</v>
          </cell>
          <cell r="G1411">
            <v>-2.41735609047731E-3</v>
          </cell>
        </row>
        <row r="1412">
          <cell r="B1412">
            <v>66.455100000000002</v>
          </cell>
          <cell r="D1412">
            <v>24219611.996130001</v>
          </cell>
          <cell r="E1412">
            <v>1837811111</v>
          </cell>
          <cell r="F1412">
            <v>-4.4142823935600555E-3</v>
          </cell>
          <cell r="G1412">
            <v>-3.6371425392981165E-4</v>
          </cell>
        </row>
        <row r="1413">
          <cell r="B1413">
            <v>65.482100000000003</v>
          </cell>
          <cell r="D1413">
            <v>26049171.795428999</v>
          </cell>
          <cell r="E1413">
            <v>2011705556</v>
          </cell>
          <cell r="F1413">
            <v>-1.47497087998262E-2</v>
          </cell>
          <cell r="G1413">
            <v>-1.4580194485226952E-2</v>
          </cell>
        </row>
        <row r="1414">
          <cell r="B1414">
            <v>66.4816</v>
          </cell>
          <cell r="D1414">
            <v>23379881.543540999</v>
          </cell>
          <cell r="E1414">
            <v>1755516667</v>
          </cell>
          <cell r="F1414">
            <v>1.5148394796259207E-2</v>
          </cell>
          <cell r="G1414">
            <v>1.2747131060238811E-3</v>
          </cell>
        </row>
        <row r="1415">
          <cell r="B1415">
            <v>67.481700000000004</v>
          </cell>
          <cell r="D1415">
            <v>21898151.643842001</v>
          </cell>
          <cell r="E1415">
            <v>1568083333</v>
          </cell>
          <cell r="F1415">
            <v>1.4931232363845956E-2</v>
          </cell>
          <cell r="G1415">
            <v>9.9936436037592596E-3</v>
          </cell>
        </row>
        <row r="1416">
          <cell r="B1416">
            <v>67.499399999999994</v>
          </cell>
          <cell r="D1416">
            <v>20799005.147741001</v>
          </cell>
          <cell r="E1416">
            <v>1618388889</v>
          </cell>
          <cell r="F1416">
            <v>2.6225893997675141E-4</v>
          </cell>
          <cell r="G1416">
            <v>-4.9894026935336125E-4</v>
          </cell>
        </row>
        <row r="1417">
          <cell r="B1417">
            <v>67.896900000000002</v>
          </cell>
          <cell r="D1417">
            <v>19684023.257729001</v>
          </cell>
          <cell r="E1417">
            <v>1640916667</v>
          </cell>
          <cell r="F1417">
            <v>5.8716691967710972E-3</v>
          </cell>
          <cell r="G1417">
            <v>1.4190955851406412E-3</v>
          </cell>
        </row>
        <row r="1418">
          <cell r="B1418">
            <v>66.7453</v>
          </cell>
          <cell r="D1418">
            <v>24353355.396763999</v>
          </cell>
          <cell r="E1418">
            <v>1745900000</v>
          </cell>
          <cell r="F1418">
            <v>-1.7106495330559787E-2</v>
          </cell>
          <cell r="G1418">
            <v>-1.5557302982010086E-2</v>
          </cell>
        </row>
        <row r="1419">
          <cell r="B1419">
            <v>66.828199999999995</v>
          </cell>
          <cell r="D1419">
            <v>20350680.338964</v>
          </cell>
          <cell r="E1419">
            <v>1897600000</v>
          </cell>
          <cell r="F1419">
            <v>1.2412643322803126E-3</v>
          </cell>
          <cell r="G1419">
            <v>-1.8370697733361559E-3</v>
          </cell>
        </row>
        <row r="1420">
          <cell r="B1420">
            <v>66.512900000000002</v>
          </cell>
          <cell r="D1420">
            <v>19214191.102991</v>
          </cell>
          <cell r="E1420">
            <v>1548972222</v>
          </cell>
          <cell r="F1420">
            <v>-4.7292333370157645E-3</v>
          </cell>
          <cell r="G1420">
            <v>1.1619475876316547E-3</v>
          </cell>
        </row>
        <row r="1421">
          <cell r="B1421">
            <v>67.443600000000004</v>
          </cell>
          <cell r="D1421">
            <v>15548024.564698</v>
          </cell>
          <cell r="E1421">
            <v>1543050000</v>
          </cell>
          <cell r="F1421">
            <v>1.3895779240250343E-2</v>
          </cell>
          <cell r="G1421">
            <v>9.8917395364131917E-3</v>
          </cell>
        </row>
        <row r="1422">
          <cell r="B1422">
            <v>67.041200000000003</v>
          </cell>
          <cell r="D1422">
            <v>14924925.822768001</v>
          </cell>
          <cell r="E1422">
            <v>1547383333</v>
          </cell>
          <cell r="F1422">
            <v>-5.9843372768496042E-3</v>
          </cell>
          <cell r="G1422">
            <v>-3.459582133507087E-3</v>
          </cell>
        </row>
        <row r="1423">
          <cell r="B1423">
            <v>67.013000000000005</v>
          </cell>
          <cell r="D1423">
            <v>18546052.557027001</v>
          </cell>
          <cell r="E1423">
            <v>1581438889</v>
          </cell>
          <cell r="F1423">
            <v>-4.207253546099164E-4</v>
          </cell>
          <cell r="G1423">
            <v>-2.0765887523938203E-3</v>
          </cell>
        </row>
        <row r="1424">
          <cell r="B1424">
            <v>67.130099999999999</v>
          </cell>
          <cell r="D1424">
            <v>13875893.173</v>
          </cell>
          <cell r="E1424">
            <v>1438211111</v>
          </cell>
          <cell r="F1424">
            <v>1.7458971761488836E-3</v>
          </cell>
          <cell r="G1424">
            <v>1.671439670407706E-3</v>
          </cell>
        </row>
        <row r="1425">
          <cell r="B1425">
            <v>67.139700000000005</v>
          </cell>
          <cell r="D1425">
            <v>15795932.893230001</v>
          </cell>
          <cell r="E1425">
            <v>1487611111</v>
          </cell>
          <cell r="F1425">
            <v>1.4299567015602365E-4</v>
          </cell>
          <cell r="G1425">
            <v>4.869774552017658E-4</v>
          </cell>
        </row>
        <row r="1426">
          <cell r="B1426">
            <v>67.343199999999996</v>
          </cell>
          <cell r="D1426">
            <v>12445560.987481</v>
          </cell>
          <cell r="E1426">
            <v>1520877778</v>
          </cell>
          <cell r="F1426">
            <v>3.0264093847463982E-3</v>
          </cell>
          <cell r="G1426">
            <v>8.4244280665693428E-4</v>
          </cell>
        </row>
        <row r="1427">
          <cell r="B1427">
            <v>68.228999999999999</v>
          </cell>
          <cell r="D1427">
            <v>18324986.690356001</v>
          </cell>
          <cell r="E1427">
            <v>1463144444</v>
          </cell>
          <cell r="F1427">
            <v>1.3067761758979597E-2</v>
          </cell>
          <cell r="G1427">
            <v>4.6045159851196751E-3</v>
          </cell>
        </row>
        <row r="1428">
          <cell r="B1428">
            <v>68.955799999999996</v>
          </cell>
          <cell r="D1428">
            <v>29988268.775607001</v>
          </cell>
          <cell r="E1428">
            <v>1860061111</v>
          </cell>
          <cell r="F1428">
            <v>1.059602521788445E-2</v>
          </cell>
          <cell r="G1428">
            <v>5.704748858195643E-3</v>
          </cell>
        </row>
        <row r="1429">
          <cell r="B1429">
            <v>68.164400000000001</v>
          </cell>
          <cell r="D1429">
            <v>23573998.471273001</v>
          </cell>
          <cell r="E1429">
            <v>1505961111</v>
          </cell>
          <cell r="F1429">
            <v>-1.1543285200119326E-2</v>
          </cell>
          <cell r="G1429">
            <v>1.9805188155972674E-3</v>
          </cell>
        </row>
        <row r="1430">
          <cell r="B1430">
            <v>67.860699999999994</v>
          </cell>
          <cell r="D1430">
            <v>24118512.010476999</v>
          </cell>
          <cell r="E1430">
            <v>1939033333</v>
          </cell>
          <cell r="F1430">
            <v>-4.4653597701273806E-3</v>
          </cell>
          <cell r="G1430">
            <v>-7.5794785683446272E-3</v>
          </cell>
        </row>
        <row r="1431">
          <cell r="B1431">
            <v>67.666499999999999</v>
          </cell>
          <cell r="D1431">
            <v>17935898.970631</v>
          </cell>
          <cell r="E1431">
            <v>1874672222</v>
          </cell>
          <cell r="F1431">
            <v>-2.865847341566934E-3</v>
          </cell>
          <cell r="G1431">
            <v>3.1238663821462308E-3</v>
          </cell>
        </row>
        <row r="1432">
          <cell r="B1432">
            <v>68.532700000000006</v>
          </cell>
          <cell r="D1432">
            <v>18948714.056575</v>
          </cell>
          <cell r="E1432">
            <v>1863294444</v>
          </cell>
          <cell r="F1432">
            <v>1.2719776308606557E-2</v>
          </cell>
          <cell r="G1432">
            <v>-1.7847581700066779E-4</v>
          </cell>
        </row>
        <row r="1433">
          <cell r="B1433">
            <v>68.200500000000005</v>
          </cell>
          <cell r="D1433">
            <v>15949731.865815001</v>
          </cell>
          <cell r="E1433">
            <v>1834716667</v>
          </cell>
          <cell r="F1433">
            <v>-4.8591074242224962E-3</v>
          </cell>
          <cell r="G1433">
            <v>-1.4898927557054817E-3</v>
          </cell>
        </row>
        <row r="1434">
          <cell r="B1434">
            <v>68.916499999999999</v>
          </cell>
          <cell r="D1434">
            <v>19417253.129103001</v>
          </cell>
          <cell r="E1434">
            <v>1828755556</v>
          </cell>
          <cell r="F1434">
            <v>1.0443730652239963E-2</v>
          </cell>
          <cell r="G1434">
            <v>1.0780904250841916E-2</v>
          </cell>
        </row>
        <row r="1435">
          <cell r="B1435">
            <v>68.846199999999996</v>
          </cell>
          <cell r="D1435">
            <v>15618305.579151001</v>
          </cell>
          <cell r="E1435">
            <v>1794955556</v>
          </cell>
          <cell r="F1435">
            <v>-1.0205956489258185E-3</v>
          </cell>
          <cell r="G1435">
            <v>3.3583535924836664E-3</v>
          </cell>
        </row>
        <row r="1436">
          <cell r="B1436">
            <v>69.334699999999998</v>
          </cell>
          <cell r="D1436">
            <v>14485648.494173</v>
          </cell>
          <cell r="E1436">
            <v>1871138889</v>
          </cell>
          <cell r="F1436">
            <v>7.0704711732446478E-3</v>
          </cell>
          <cell r="G1436">
            <v>7.5677951898545429E-4</v>
          </cell>
        </row>
        <row r="1437">
          <cell r="B1437">
            <v>68.926400000000001</v>
          </cell>
          <cell r="D1437">
            <v>17032147.127200998</v>
          </cell>
          <cell r="E1437">
            <v>1896922222</v>
          </cell>
          <cell r="F1437">
            <v>-5.9062337405632369E-3</v>
          </cell>
          <cell r="G1437">
            <v>-1.1013239025146775E-3</v>
          </cell>
        </row>
        <row r="1438">
          <cell r="B1438">
            <v>69.427300000000002</v>
          </cell>
          <cell r="D1438">
            <v>41779115.519507997</v>
          </cell>
          <cell r="E1438">
            <v>2696205556</v>
          </cell>
          <cell r="F1438">
            <v>7.2408932834616309E-3</v>
          </cell>
          <cell r="G1438">
            <v>1.8455323152087293E-3</v>
          </cell>
        </row>
        <row r="1439">
          <cell r="B1439">
            <v>69.286900000000003</v>
          </cell>
          <cell r="D1439">
            <v>25280671.436632</v>
          </cell>
          <cell r="E1439">
            <v>1774611111</v>
          </cell>
          <cell r="F1439">
            <v>-2.0243067824990348E-3</v>
          </cell>
          <cell r="G1439">
            <v>1.454807314799407E-3</v>
          </cell>
        </row>
        <row r="1440">
          <cell r="B1440">
            <v>69.548599999999993</v>
          </cell>
          <cell r="D1440">
            <v>17105814.931790002</v>
          </cell>
          <cell r="E1440">
            <v>1805055556</v>
          </cell>
          <cell r="F1440">
            <v>3.7699336257466004E-3</v>
          </cell>
          <cell r="G1440">
            <v>1.1096653781502376E-3</v>
          </cell>
        </row>
        <row r="1441">
          <cell r="B1441">
            <v>69.086299999999994</v>
          </cell>
          <cell r="D1441">
            <v>22552080.618969999</v>
          </cell>
          <cell r="E1441">
            <v>1961116667</v>
          </cell>
          <cell r="F1441">
            <v>-6.6693410331014613E-3</v>
          </cell>
          <cell r="G1441">
            <v>6.3411163685643339E-4</v>
          </cell>
        </row>
        <row r="1442">
          <cell r="B1442">
            <v>68.410600000000002</v>
          </cell>
          <cell r="D1442">
            <v>20798903.789753001</v>
          </cell>
          <cell r="E1442">
            <v>1628255556</v>
          </cell>
          <cell r="F1442">
            <v>-9.8286643484332744E-3</v>
          </cell>
          <cell r="G1442">
            <v>-3.0506088934585734E-3</v>
          </cell>
        </row>
        <row r="1443">
          <cell r="B1443">
            <v>68.598100000000002</v>
          </cell>
          <cell r="D1443">
            <v>15289903.651031001</v>
          </cell>
          <cell r="E1443">
            <v>1592200000</v>
          </cell>
          <cell r="F1443">
            <v>2.7370541732623967E-3</v>
          </cell>
          <cell r="G1443">
            <v>6.4763475664636797E-4</v>
          </cell>
        </row>
        <row r="1444">
          <cell r="B1444">
            <v>67.535300000000007</v>
          </cell>
          <cell r="D1444">
            <v>26184848.164556</v>
          </cell>
          <cell r="E1444">
            <v>1832161111</v>
          </cell>
          <cell r="F1444">
            <v>-1.5614413411300094E-2</v>
          </cell>
          <cell r="G1444">
            <v>-2.2244992049246771E-3</v>
          </cell>
        </row>
        <row r="1445">
          <cell r="B1445">
            <v>67.535300000000007</v>
          </cell>
          <cell r="D1445">
            <v>19541128.971287999</v>
          </cell>
          <cell r="E1445">
            <v>1690616667</v>
          </cell>
          <cell r="F1445">
            <v>0</v>
          </cell>
          <cell r="G1445">
            <v>7.2093721869792582E-5</v>
          </cell>
        </row>
        <row r="1446">
          <cell r="B1446">
            <v>68.080299999999994</v>
          </cell>
          <cell r="D1446">
            <v>21139411.342597</v>
          </cell>
          <cell r="E1446">
            <v>1920016667</v>
          </cell>
          <cell r="F1446">
            <v>8.0374666919298433E-3</v>
          </cell>
          <cell r="G1446">
            <v>4.0768420216074665E-3</v>
          </cell>
        </row>
        <row r="1447">
          <cell r="B1447">
            <v>68.099999999999994</v>
          </cell>
          <cell r="D1447">
            <v>11801621.40515</v>
          </cell>
          <cell r="E1447">
            <v>1760344444</v>
          </cell>
          <cell r="F1447">
            <v>2.8932231956330399E-4</v>
          </cell>
          <cell r="G1447">
            <v>1.2038828664962132E-3</v>
          </cell>
        </row>
        <row r="1448">
          <cell r="B1448">
            <v>68.670299999999997</v>
          </cell>
          <cell r="D1448">
            <v>18522253.906254999</v>
          </cell>
          <cell r="E1448">
            <v>1784400000</v>
          </cell>
          <cell r="F1448">
            <v>8.3395781875405684E-3</v>
          </cell>
          <cell r="G1448">
            <v>3.6982437735080622E-3</v>
          </cell>
        </row>
        <row r="1449">
          <cell r="B1449">
            <v>68.781899999999993</v>
          </cell>
          <cell r="D1449">
            <v>16593034.633311</v>
          </cell>
          <cell r="E1449">
            <v>1777627778</v>
          </cell>
          <cell r="F1449">
            <v>1.6238375889608323E-3</v>
          </cell>
          <cell r="G1449">
            <v>3.8665151329828713E-3</v>
          </cell>
        </row>
        <row r="1450">
          <cell r="B1450">
            <v>68.458600000000004</v>
          </cell>
          <cell r="D1450">
            <v>13219277.699285001</v>
          </cell>
          <cell r="E1450">
            <v>1704916667</v>
          </cell>
          <cell r="F1450">
            <v>-4.7114459367813381E-3</v>
          </cell>
          <cell r="G1450">
            <v>2.1565266962995347E-3</v>
          </cell>
        </row>
        <row r="1451">
          <cell r="B1451">
            <v>68.855900000000005</v>
          </cell>
          <cell r="D1451">
            <v>14421787.842768</v>
          </cell>
          <cell r="E1451">
            <v>1676177778</v>
          </cell>
          <cell r="F1451">
            <v>5.7867320446696735E-3</v>
          </cell>
          <cell r="G1451">
            <v>1.2459783329185144E-3</v>
          </cell>
        </row>
        <row r="1452">
          <cell r="B1452">
            <v>70.034999999999997</v>
          </cell>
          <cell r="D1452">
            <v>22985238.587030001</v>
          </cell>
          <cell r="E1452">
            <v>1691733333</v>
          </cell>
          <cell r="F1452">
            <v>1.6979202051153396E-2</v>
          </cell>
          <cell r="G1452">
            <v>5.6308733972806214E-3</v>
          </cell>
        </row>
        <row r="1453">
          <cell r="B1453">
            <v>70.060400000000001</v>
          </cell>
          <cell r="D1453">
            <v>15128489.519726999</v>
          </cell>
          <cell r="E1453">
            <v>1602538889</v>
          </cell>
          <cell r="F1453">
            <v>3.6261005398193196E-4</v>
          </cell>
          <cell r="G1453">
            <v>-1.0742150246923344E-3</v>
          </cell>
        </row>
        <row r="1454">
          <cell r="B1454">
            <v>70.332899999999995</v>
          </cell>
          <cell r="D1454">
            <v>12351355.392635001</v>
          </cell>
          <cell r="E1454">
            <v>1379983333</v>
          </cell>
          <cell r="F1454">
            <v>3.8819565065440357E-3</v>
          </cell>
          <cell r="G1454">
            <v>-1.8060255475314134E-3</v>
          </cell>
        </row>
        <row r="1455">
          <cell r="B1455">
            <v>70.332899999999995</v>
          </cell>
          <cell r="D1455">
            <v>15122770.472052</v>
          </cell>
          <cell r="E1455">
            <v>1644722222</v>
          </cell>
          <cell r="F1455">
            <v>0</v>
          </cell>
          <cell r="G1455">
            <v>2.3197540709582955E-3</v>
          </cell>
        </row>
        <row r="1456">
          <cell r="B1456">
            <v>70.447999999999993</v>
          </cell>
          <cell r="D1456">
            <v>16684658.159015</v>
          </cell>
          <cell r="E1456">
            <v>1653383333</v>
          </cell>
          <cell r="F1456">
            <v>1.6351653618617214E-3</v>
          </cell>
          <cell r="G1456">
            <v>1.8018446358107835E-3</v>
          </cell>
        </row>
        <row r="1457">
          <cell r="B1457">
            <v>71.094800000000006</v>
          </cell>
          <cell r="D1457">
            <v>18732947.472174</v>
          </cell>
          <cell r="E1457">
            <v>1750838889</v>
          </cell>
          <cell r="F1457">
            <v>9.1393486936315483E-3</v>
          </cell>
          <cell r="G1457">
            <v>-1.6881541443298049E-3</v>
          </cell>
        </row>
        <row r="1458">
          <cell r="B1458">
            <v>71.438500000000005</v>
          </cell>
          <cell r="D1458">
            <v>16617984.055583</v>
          </cell>
          <cell r="E1458">
            <v>1749688889</v>
          </cell>
          <cell r="F1458">
            <v>4.8227420002440761E-3</v>
          </cell>
          <cell r="G1458">
            <v>8.7772580623768782E-4</v>
          </cell>
        </row>
        <row r="1459">
          <cell r="B1459">
            <v>71.584000000000003</v>
          </cell>
          <cell r="D1459">
            <v>13409628.000382001</v>
          </cell>
          <cell r="E1459">
            <v>1620011111</v>
          </cell>
          <cell r="F1459">
            <v>2.0346456004454658E-3</v>
          </cell>
          <cell r="G1459">
            <v>1.7492339334793062E-3</v>
          </cell>
        </row>
        <row r="1460">
          <cell r="B1460">
            <v>71.528199999999998</v>
          </cell>
          <cell r="D1460">
            <v>17439071.805142999</v>
          </cell>
          <cell r="E1460">
            <v>1605216667</v>
          </cell>
          <cell r="F1460">
            <v>-7.7980777079346853E-4</v>
          </cell>
          <cell r="G1460">
            <v>6.7226893288223496E-4</v>
          </cell>
        </row>
        <row r="1461">
          <cell r="B1461">
            <v>71.546999999999997</v>
          </cell>
          <cell r="D1461">
            <v>14415067.50103</v>
          </cell>
          <cell r="E1461">
            <v>1665605556</v>
          </cell>
          <cell r="F1461">
            <v>2.6279886532671888E-4</v>
          </cell>
          <cell r="G1461">
            <v>7.4209767067105596E-4</v>
          </cell>
        </row>
        <row r="1462">
          <cell r="B1462">
            <v>71.822299999999998</v>
          </cell>
          <cell r="D1462">
            <v>16365978.407181</v>
          </cell>
          <cell r="E1462">
            <v>1661505556</v>
          </cell>
          <cell r="F1462">
            <v>3.8404363886195441E-3</v>
          </cell>
          <cell r="G1462">
            <v>3.2790981212585998E-4</v>
          </cell>
        </row>
        <row r="1463">
          <cell r="B1463">
            <v>72.652600000000007</v>
          </cell>
          <cell r="D1463">
            <v>24791557.716398001</v>
          </cell>
          <cell r="E1463">
            <v>1880361111</v>
          </cell>
          <cell r="F1463">
            <v>1.149416460982031E-2</v>
          </cell>
          <cell r="G1463">
            <v>5.103849469401585E-3</v>
          </cell>
        </row>
        <row r="1464">
          <cell r="B1464">
            <v>72.671199999999999</v>
          </cell>
          <cell r="D1464">
            <v>22356446.392875999</v>
          </cell>
          <cell r="E1464">
            <v>1784283333</v>
          </cell>
          <cell r="F1464">
            <v>2.5598009550464721E-4</v>
          </cell>
          <cell r="G1464">
            <v>-3.9804028670812871E-3</v>
          </cell>
        </row>
        <row r="1465">
          <cell r="B1465">
            <v>72.699399999999997</v>
          </cell>
          <cell r="D1465">
            <v>18836365.381910998</v>
          </cell>
          <cell r="E1465">
            <v>1904072222</v>
          </cell>
          <cell r="F1465">
            <v>3.8797391430902748E-4</v>
          </cell>
          <cell r="G1465">
            <v>1.6166388736675908E-3</v>
          </cell>
        </row>
        <row r="1466">
          <cell r="B1466">
            <v>72.489599999999996</v>
          </cell>
          <cell r="D1466">
            <v>22130200.006829001</v>
          </cell>
          <cell r="E1466">
            <v>2152505556</v>
          </cell>
          <cell r="F1466">
            <v>-2.89002811542708E-3</v>
          </cell>
          <cell r="G1466">
            <v>-4.6739631114622714E-3</v>
          </cell>
        </row>
        <row r="1467">
          <cell r="B1467">
            <v>72.604600000000005</v>
          </cell>
          <cell r="D1467">
            <v>34278992.996564999</v>
          </cell>
          <cell r="E1467">
            <v>2149472222</v>
          </cell>
          <cell r="F1467">
            <v>1.585177409998393E-3</v>
          </cell>
          <cell r="G1467">
            <v>1.2701392021270566E-3</v>
          </cell>
        </row>
        <row r="1468">
          <cell r="B1468">
            <v>77.260800000000003</v>
          </cell>
          <cell r="D1468">
            <v>77043441.253869995</v>
          </cell>
          <cell r="E1468">
            <v>2159505556</v>
          </cell>
          <cell r="F1468">
            <v>6.2158431126096592E-2</v>
          </cell>
          <cell r="G1468">
            <v>8.0405453538159206E-3</v>
          </cell>
        </row>
        <row r="1469">
          <cell r="B1469">
            <v>77.338099999999997</v>
          </cell>
          <cell r="D1469">
            <v>34447703.879173003</v>
          </cell>
          <cell r="E1469">
            <v>2032705556</v>
          </cell>
          <cell r="F1469">
            <v>1.0000071985214684E-3</v>
          </cell>
          <cell r="G1469">
            <v>-3.1975812572382673E-3</v>
          </cell>
        </row>
        <row r="1470">
          <cell r="B1470">
            <v>76.682599999999994</v>
          </cell>
          <cell r="D1470">
            <v>29381882.839667</v>
          </cell>
          <cell r="E1470">
            <v>2126238889</v>
          </cell>
          <cell r="F1470">
            <v>-8.5118942805029255E-3</v>
          </cell>
          <cell r="G1470">
            <v>9.4403950998150389E-4</v>
          </cell>
        </row>
        <row r="1471">
          <cell r="B1471">
            <v>76.682599999999994</v>
          </cell>
          <cell r="D1471">
            <v>24197692.051495999</v>
          </cell>
          <cell r="E1471">
            <v>2118433333</v>
          </cell>
          <cell r="F1471">
            <v>0</v>
          </cell>
          <cell r="G1471">
            <v>1.5908062532808776E-3</v>
          </cell>
        </row>
        <row r="1472">
          <cell r="B1472">
            <v>77.4846</v>
          </cell>
          <cell r="D1472">
            <v>26026096.984023999</v>
          </cell>
          <cell r="E1472">
            <v>2249038889</v>
          </cell>
          <cell r="F1472">
            <v>1.0404382187305728E-2</v>
          </cell>
          <cell r="G1472">
            <v>1.8995156292258536E-4</v>
          </cell>
        </row>
        <row r="1473">
          <cell r="B1473">
            <v>77.567599999999999</v>
          </cell>
          <cell r="D1473">
            <v>19127804.406660002</v>
          </cell>
          <cell r="E1473">
            <v>1982061111</v>
          </cell>
          <cell r="F1473">
            <v>1.0706072913235231E-3</v>
          </cell>
          <cell r="G1473">
            <v>3.0922932168462635E-3</v>
          </cell>
        </row>
        <row r="1474">
          <cell r="B1474">
            <v>77.873199999999997</v>
          </cell>
          <cell r="D1474">
            <v>21534415.706884</v>
          </cell>
          <cell r="E1474">
            <v>1966155556</v>
          </cell>
          <cell r="F1474">
            <v>3.9320486479765245E-3</v>
          </cell>
          <cell r="G1474">
            <v>1.2705230741123081E-3</v>
          </cell>
        </row>
        <row r="1475">
          <cell r="B1475">
            <v>77.677800000000005</v>
          </cell>
          <cell r="D1475">
            <v>19447080.020605002</v>
          </cell>
          <cell r="E1475">
            <v>2116472222</v>
          </cell>
          <cell r="F1475">
            <v>-2.5123606120135366E-3</v>
          </cell>
          <cell r="G1475">
            <v>-1.8912456610798272E-4</v>
          </cell>
        </row>
        <row r="1476">
          <cell r="B1476">
            <v>77.956199999999995</v>
          </cell>
          <cell r="D1476">
            <v>19557407.67842</v>
          </cell>
          <cell r="E1476">
            <v>2166311111</v>
          </cell>
          <cell r="F1476">
            <v>3.5776282424991386E-3</v>
          </cell>
          <cell r="G1476">
            <v>1.442617636431107E-3</v>
          </cell>
        </row>
        <row r="1477">
          <cell r="B1477">
            <v>77.521500000000003</v>
          </cell>
          <cell r="D1477">
            <v>22969780.981981002</v>
          </cell>
          <cell r="E1477">
            <v>2128672222</v>
          </cell>
          <cell r="F1477">
            <v>-5.5918132657777186E-3</v>
          </cell>
          <cell r="G1477">
            <v>-3.7690718494426323E-3</v>
          </cell>
        </row>
        <row r="1478">
          <cell r="B1478">
            <v>77.319400000000002</v>
          </cell>
          <cell r="D1478">
            <v>21039939.227658</v>
          </cell>
          <cell r="E1478">
            <v>1937172222</v>
          </cell>
          <cell r="F1478">
            <v>-2.6104228890982102E-3</v>
          </cell>
          <cell r="G1478">
            <v>-8.9802054450679157E-4</v>
          </cell>
        </row>
        <row r="1479">
          <cell r="B1479">
            <v>77.375100000000003</v>
          </cell>
          <cell r="D1479">
            <v>15388052.993039001</v>
          </cell>
          <cell r="E1479">
            <v>1890516667</v>
          </cell>
          <cell r="F1479">
            <v>7.2012905962533496E-4</v>
          </cell>
          <cell r="G1479">
            <v>9.8313581772029252E-4</v>
          </cell>
        </row>
        <row r="1480">
          <cell r="B1480">
            <v>77.4846</v>
          </cell>
          <cell r="D1480">
            <v>20355303.901315</v>
          </cell>
          <cell r="E1480">
            <v>2023200000</v>
          </cell>
          <cell r="F1480">
            <v>1.4141835254649663E-3</v>
          </cell>
          <cell r="G1480">
            <v>-2.3122919993494805E-3</v>
          </cell>
        </row>
        <row r="1481">
          <cell r="B1481">
            <v>76.881</v>
          </cell>
          <cell r="D1481">
            <v>20871883.588608</v>
          </cell>
          <cell r="E1481">
            <v>1977161111</v>
          </cell>
          <cell r="F1481">
            <v>-7.8204350749760711E-3</v>
          </cell>
          <cell r="G1481">
            <v>-5.5409989946132651E-3</v>
          </cell>
        </row>
        <row r="1482">
          <cell r="B1482">
            <v>77.086799999999997</v>
          </cell>
          <cell r="D1482">
            <v>22620480.879648998</v>
          </cell>
          <cell r="E1482">
            <v>1840394444</v>
          </cell>
          <cell r="F1482">
            <v>2.6732878246218967E-3</v>
          </cell>
          <cell r="G1482">
            <v>8.1627400224411704E-3</v>
          </cell>
        </row>
        <row r="1483">
          <cell r="B1483">
            <v>76.345600000000005</v>
          </cell>
          <cell r="D1483">
            <v>23826466.885439001</v>
          </cell>
          <cell r="E1483">
            <v>1833422222</v>
          </cell>
          <cell r="F1483">
            <v>-9.6616590207089532E-3</v>
          </cell>
          <cell r="G1483">
            <v>-2.6294963926015349E-3</v>
          </cell>
        </row>
        <row r="1484">
          <cell r="B1484">
            <v>76.463800000000006</v>
          </cell>
          <cell r="D1484">
            <v>17408277.405576002</v>
          </cell>
          <cell r="E1484">
            <v>1668633333</v>
          </cell>
          <cell r="F1484">
            <v>1.5470255569865281E-3</v>
          </cell>
          <cell r="G1484">
            <v>1.2749493588078771E-3</v>
          </cell>
        </row>
        <row r="1485">
          <cell r="B1485">
            <v>77.567599999999999</v>
          </cell>
          <cell r="D1485">
            <v>22877139.781128999</v>
          </cell>
          <cell r="E1485">
            <v>1851511111</v>
          </cell>
          <cell r="F1485">
            <v>1.4332388005400288E-2</v>
          </cell>
          <cell r="G1485">
            <v>6.5197860056391329E-3</v>
          </cell>
        </row>
        <row r="1486">
          <cell r="B1486">
            <v>77.000900000000001</v>
          </cell>
          <cell r="D1486">
            <v>22182495.609444998</v>
          </cell>
          <cell r="E1486">
            <v>1534972222</v>
          </cell>
          <cell r="F1486">
            <v>-7.3327041307574108E-3</v>
          </cell>
          <cell r="G1486">
            <v>-7.5056151295621967E-4</v>
          </cell>
        </row>
        <row r="1487">
          <cell r="B1487">
            <v>77.142600000000002</v>
          </cell>
          <cell r="D1487">
            <v>8014594.1688537002</v>
          </cell>
          <cell r="E1487">
            <v>749877778</v>
          </cell>
          <cell r="F1487">
            <v>1.8385470670534397E-3</v>
          </cell>
          <cell r="G1487">
            <v>2.0540443802283723E-3</v>
          </cell>
        </row>
        <row r="1488">
          <cell r="B1488">
            <v>77.706199999999995</v>
          </cell>
          <cell r="D1488">
            <v>19127594.523959</v>
          </cell>
          <cell r="E1488">
            <v>1670477778</v>
          </cell>
          <cell r="F1488">
            <v>7.2793911058997409E-3</v>
          </cell>
          <cell r="G1488">
            <v>-3.8433157526338035E-4</v>
          </cell>
        </row>
        <row r="1489">
          <cell r="B1489">
            <v>78.641999999999996</v>
          </cell>
          <cell r="D1489">
            <v>23662915.022027999</v>
          </cell>
          <cell r="E1489">
            <v>1938011111</v>
          </cell>
          <cell r="F1489">
            <v>1.1970859595445959E-2</v>
          </cell>
          <cell r="G1489">
            <v>9.8002872957213879E-3</v>
          </cell>
        </row>
        <row r="1490">
          <cell r="B1490">
            <v>77.212800000000001</v>
          </cell>
          <cell r="D1490">
            <v>29542965.253919002</v>
          </cell>
          <cell r="E1490">
            <v>2265711111</v>
          </cell>
          <cell r="F1490">
            <v>-1.8340661469740963E-2</v>
          </cell>
          <cell r="G1490">
            <v>-3.6930504444957223E-4</v>
          </cell>
        </row>
        <row r="1491">
          <cell r="B1491">
            <v>77.985600000000005</v>
          </cell>
          <cell r="D1491">
            <v>35643127.154050998</v>
          </cell>
          <cell r="E1491">
            <v>2743605556</v>
          </cell>
          <cell r="F1491">
            <v>9.9589478657360064E-3</v>
          </cell>
          <cell r="G1491">
            <v>8.1575831857880702E-3</v>
          </cell>
        </row>
        <row r="1492">
          <cell r="B1492">
            <v>78.066699999999997</v>
          </cell>
          <cell r="D1492">
            <v>31718605.247756001</v>
          </cell>
          <cell r="E1492">
            <v>2190177778</v>
          </cell>
          <cell r="F1492">
            <v>1.0393952194398966E-3</v>
          </cell>
          <cell r="G1492">
            <v>-2.0265423397495962E-3</v>
          </cell>
        </row>
        <row r="1493">
          <cell r="B1493">
            <v>75.121700000000004</v>
          </cell>
          <cell r="D1493">
            <v>42186145.650711</v>
          </cell>
          <cell r="E1493">
            <v>2235083333</v>
          </cell>
          <cell r="F1493">
            <v>-3.8454124379022014E-2</v>
          </cell>
          <cell r="G1493">
            <v>-1.052699437952113E-3</v>
          </cell>
        </row>
        <row r="1494">
          <cell r="B1494">
            <v>75.593400000000003</v>
          </cell>
          <cell r="D1494">
            <v>28221414.760946002</v>
          </cell>
          <cell r="E1494">
            <v>1966133333</v>
          </cell>
          <cell r="F1494">
            <v>6.2595126853038415E-3</v>
          </cell>
          <cell r="G1494">
            <v>-3.7464387216745616E-3</v>
          </cell>
        </row>
        <row r="1495">
          <cell r="B1495">
            <v>76.697299999999998</v>
          </cell>
          <cell r="D1495">
            <v>26850200.901583999</v>
          </cell>
          <cell r="E1495">
            <v>1793888889</v>
          </cell>
          <cell r="F1495">
            <v>1.4497527880372554E-2</v>
          </cell>
          <cell r="G1495">
            <v>-1.1409360251520882E-4</v>
          </cell>
        </row>
        <row r="1496">
          <cell r="B1496">
            <v>76.427599999999998</v>
          </cell>
          <cell r="D1496">
            <v>25009124.172944002</v>
          </cell>
          <cell r="E1496">
            <v>1829111111</v>
          </cell>
          <cell r="F1496">
            <v>-3.5226181880098316E-3</v>
          </cell>
          <cell r="G1496">
            <v>2.9280818451754833E-3</v>
          </cell>
        </row>
        <row r="1497">
          <cell r="B1497">
            <v>77.976699999999994</v>
          </cell>
          <cell r="D1497">
            <v>25933662.594420001</v>
          </cell>
          <cell r="E1497">
            <v>1725638889</v>
          </cell>
          <cell r="F1497">
            <v>2.0066176636237065E-2</v>
          </cell>
          <cell r="G1497">
            <v>5.491194628844653E-3</v>
          </cell>
        </row>
        <row r="1498">
          <cell r="B1498">
            <v>78.966200000000001</v>
          </cell>
          <cell r="D1498">
            <v>23149443.646361001</v>
          </cell>
          <cell r="E1498">
            <v>1717750000</v>
          </cell>
          <cell r="F1498">
            <v>1.2609848696861914E-2</v>
          </cell>
          <cell r="G1498">
            <v>3.1968457929972233E-3</v>
          </cell>
        </row>
        <row r="1499">
          <cell r="B1499">
            <v>79.289500000000004</v>
          </cell>
          <cell r="D1499">
            <v>25818685.7788</v>
          </cell>
          <cell r="E1499">
            <v>1975377778</v>
          </cell>
          <cell r="F1499">
            <v>4.0857984863395744E-3</v>
          </cell>
          <cell r="G1499">
            <v>1.5476797289272538E-3</v>
          </cell>
        </row>
        <row r="1500">
          <cell r="B1500">
            <v>79.079499999999996</v>
          </cell>
          <cell r="D1500">
            <v>23430867.682859998</v>
          </cell>
          <cell r="E1500">
            <v>1967983333</v>
          </cell>
          <cell r="F1500">
            <v>-2.6520357277324317E-3</v>
          </cell>
          <cell r="G1500">
            <v>-4.7306532187143082E-4</v>
          </cell>
        </row>
        <row r="1501">
          <cell r="B1501">
            <v>78.465000000000003</v>
          </cell>
          <cell r="D1501">
            <v>20833812.914097998</v>
          </cell>
          <cell r="E1501">
            <v>1905572222</v>
          </cell>
          <cell r="F1501">
            <v>-7.8010100805650613E-3</v>
          </cell>
          <cell r="G1501">
            <v>-4.0791347395288243E-3</v>
          </cell>
        </row>
        <row r="1502">
          <cell r="B1502">
            <v>80.468500000000006</v>
          </cell>
          <cell r="D1502">
            <v>58201911.733671002</v>
          </cell>
          <cell r="E1502">
            <v>3179955556</v>
          </cell>
          <cell r="F1502">
            <v>2.5213138006483365E-2</v>
          </cell>
          <cell r="G1502">
            <v>8.9342951949163939E-3</v>
          </cell>
        </row>
        <row r="1503">
          <cell r="B1503">
            <v>80.031800000000004</v>
          </cell>
          <cell r="D1503">
            <v>24046535.553321</v>
          </cell>
          <cell r="E1503">
            <v>2069255556</v>
          </cell>
          <cell r="F1503">
            <v>-5.4417478054811846E-3</v>
          </cell>
          <cell r="G1503">
            <v>5.3485331483242001E-3</v>
          </cell>
        </row>
        <row r="1504">
          <cell r="B1504">
            <v>79.524799999999999</v>
          </cell>
          <cell r="D1504">
            <v>25191937.125491001</v>
          </cell>
          <cell r="E1504">
            <v>1871438889</v>
          </cell>
          <cell r="F1504">
            <v>-6.3551329920521231E-3</v>
          </cell>
          <cell r="G1504">
            <v>-3.2355197885935352E-3</v>
          </cell>
        </row>
        <row r="1505">
          <cell r="B1505">
            <v>79.234800000000007</v>
          </cell>
          <cell r="D1505">
            <v>25459648.142914001</v>
          </cell>
          <cell r="E1505">
            <v>1800572222</v>
          </cell>
          <cell r="F1505">
            <v>-3.6533264451087096E-3</v>
          </cell>
          <cell r="G1505">
            <v>-8.2824699924951802E-4</v>
          </cell>
        </row>
        <row r="1506">
          <cell r="B1506">
            <v>79.215100000000007</v>
          </cell>
          <cell r="D1506">
            <v>19364984.145755999</v>
          </cell>
          <cell r="E1506">
            <v>1818550000</v>
          </cell>
          <cell r="F1506">
            <v>-2.4865904114175844E-4</v>
          </cell>
          <cell r="G1506">
            <v>1.983661548850703E-3</v>
          </cell>
        </row>
        <row r="1507">
          <cell r="B1507">
            <v>79.225099999999998</v>
          </cell>
          <cell r="D1507">
            <v>15193106.772678999</v>
          </cell>
          <cell r="E1507">
            <v>1333238889</v>
          </cell>
          <cell r="F1507">
            <v>1.2623059063624728E-4</v>
          </cell>
          <cell r="G1507">
            <v>-4.5827892849429578E-4</v>
          </cell>
        </row>
        <row r="1508">
          <cell r="B1508">
            <v>79.125500000000002</v>
          </cell>
          <cell r="D1508">
            <v>10671993.797808001</v>
          </cell>
          <cell r="E1508">
            <v>1093766667</v>
          </cell>
          <cell r="F1508">
            <v>-1.2579682443213073E-3</v>
          </cell>
          <cell r="G1508">
            <v>-1.0589429458703716E-3</v>
          </cell>
        </row>
        <row r="1509">
          <cell r="B1509">
            <v>79.411500000000004</v>
          </cell>
          <cell r="D1509">
            <v>15825484.377674</v>
          </cell>
          <cell r="E1509">
            <v>1223377778</v>
          </cell>
          <cell r="F1509">
            <v>3.6079944776716559E-3</v>
          </cell>
          <cell r="G1509">
            <v>7.9058462627016842E-4</v>
          </cell>
        </row>
        <row r="1510">
          <cell r="B1510">
            <v>79.421400000000006</v>
          </cell>
          <cell r="D1510">
            <v>11429124.657065</v>
          </cell>
          <cell r="E1510">
            <v>1196294444</v>
          </cell>
          <cell r="F1510">
            <v>1.2465931192879326E-4</v>
          </cell>
          <cell r="G1510">
            <v>1.8323481522244368E-3</v>
          </cell>
        </row>
        <row r="1511">
          <cell r="B1511">
            <v>79.253299999999996</v>
          </cell>
          <cell r="D1511">
            <v>20019366.672285002</v>
          </cell>
          <cell r="E1511">
            <v>1357494444</v>
          </cell>
          <cell r="F1511">
            <v>-2.1188010802966071E-3</v>
          </cell>
          <cell r="G1511">
            <v>-5.1966579366681887E-3</v>
          </cell>
        </row>
        <row r="1512">
          <cell r="B1512">
            <v>79.633399999999995</v>
          </cell>
          <cell r="D1512">
            <v>24258566.225623999</v>
          </cell>
          <cell r="E1512">
            <v>1870694444</v>
          </cell>
          <cell r="F1512">
            <v>4.7845505646655836E-3</v>
          </cell>
          <cell r="G1512">
            <v>8.2690966618669728E-3</v>
          </cell>
        </row>
        <row r="1513">
          <cell r="B1513">
            <v>80.003399999999999</v>
          </cell>
          <cell r="D1513">
            <v>28041768.477653999</v>
          </cell>
          <cell r="E1513">
            <v>1965922222</v>
          </cell>
          <cell r="F1513">
            <v>4.6355309371143606E-3</v>
          </cell>
          <cell r="G1513">
            <v>6.3784333821309434E-3</v>
          </cell>
        </row>
        <row r="1514">
          <cell r="B1514">
            <v>80.708699999999993</v>
          </cell>
          <cell r="D1514">
            <v>23643525.955633</v>
          </cell>
          <cell r="E1514">
            <v>2052922222</v>
          </cell>
          <cell r="F1514">
            <v>8.7772423858470169E-3</v>
          </cell>
          <cell r="G1514">
            <v>4.0205680372948248E-3</v>
          </cell>
        </row>
        <row r="1515">
          <cell r="B1515">
            <v>81.7089</v>
          </cell>
          <cell r="D1515">
            <v>25259234.73412</v>
          </cell>
          <cell r="E1515">
            <v>1798122222</v>
          </cell>
          <cell r="F1515">
            <v>1.2316554904846858E-2</v>
          </cell>
          <cell r="G1515">
            <v>7.0091779035817607E-3</v>
          </cell>
        </row>
        <row r="1516">
          <cell r="B1516">
            <v>81.791799999999995</v>
          </cell>
          <cell r="D1516">
            <v>23864696.251747001</v>
          </cell>
          <cell r="E1516">
            <v>1801472222</v>
          </cell>
          <cell r="F1516">
            <v>1.0140630236323846E-3</v>
          </cell>
          <cell r="G1516">
            <v>1.6609423836402202E-3</v>
          </cell>
        </row>
        <row r="1517">
          <cell r="B1517">
            <v>81.737200000000001</v>
          </cell>
          <cell r="D1517">
            <v>21010317.099768002</v>
          </cell>
          <cell r="E1517">
            <v>1918600000</v>
          </cell>
          <cell r="F1517">
            <v>-6.6777149042589158E-4</v>
          </cell>
          <cell r="G1517">
            <v>1.3020551030292105E-3</v>
          </cell>
        </row>
        <row r="1518">
          <cell r="B1518">
            <v>81.367000000000004</v>
          </cell>
          <cell r="D1518">
            <v>20118227.567843001</v>
          </cell>
          <cell r="E1518">
            <v>1986861111</v>
          </cell>
          <cell r="F1518">
            <v>-4.5394371905812291E-3</v>
          </cell>
          <cell r="G1518">
            <v>-1.112824506788398E-3</v>
          </cell>
        </row>
        <row r="1519">
          <cell r="B1519">
            <v>81.607200000000006</v>
          </cell>
          <cell r="D1519">
            <v>19196430.931129001</v>
          </cell>
          <cell r="E1519">
            <v>2022955556</v>
          </cell>
          <cell r="F1519">
            <v>2.9477079675732268E-3</v>
          </cell>
          <cell r="G1519">
            <v>7.0089974904075066E-3</v>
          </cell>
        </row>
        <row r="1520">
          <cell r="B1520">
            <v>83.017700000000005</v>
          </cell>
          <cell r="D1520">
            <v>26186953.134486001</v>
          </cell>
          <cell r="E1520">
            <v>1985538889</v>
          </cell>
          <cell r="F1520">
            <v>1.7136344701780267E-2</v>
          </cell>
          <cell r="G1520">
            <v>6.726951075669084E-3</v>
          </cell>
        </row>
        <row r="1521">
          <cell r="B1521">
            <v>81.856399999999994</v>
          </cell>
          <cell r="D1521">
            <v>39487177.984759003</v>
          </cell>
          <cell r="E1521">
            <v>2403316667</v>
          </cell>
          <cell r="F1521">
            <v>-1.4087345498837124E-2</v>
          </cell>
          <cell r="G1521">
            <v>-3.5306886277954239E-3</v>
          </cell>
        </row>
        <row r="1522">
          <cell r="B1522">
            <v>83.515799999999999</v>
          </cell>
          <cell r="D1522">
            <v>27649472.112133</v>
          </cell>
          <cell r="E1522">
            <v>2098916667</v>
          </cell>
          <cell r="F1522">
            <v>2.0069342938937619E-2</v>
          </cell>
          <cell r="G1522">
            <v>9.3709571605236092E-3</v>
          </cell>
        </row>
        <row r="1523">
          <cell r="B1523">
            <v>83.478800000000007</v>
          </cell>
          <cell r="D1523">
            <v>26063301.508455999</v>
          </cell>
          <cell r="E1523">
            <v>2045261111</v>
          </cell>
          <cell r="F1523">
            <v>-4.4312810839923549E-4</v>
          </cell>
          <cell r="G1523">
            <v>-1.6176870607860264E-3</v>
          </cell>
        </row>
        <row r="1524">
          <cell r="B1524">
            <v>83.385800000000003</v>
          </cell>
          <cell r="D1524">
            <v>38439014.556524001</v>
          </cell>
          <cell r="E1524">
            <v>2021905556</v>
          </cell>
          <cell r="F1524">
            <v>-1.1146763259481018E-3</v>
          </cell>
          <cell r="G1524">
            <v>4.3756410828246122E-3</v>
          </cell>
        </row>
        <row r="1525">
          <cell r="B1525">
            <v>84.875500000000002</v>
          </cell>
          <cell r="D1525">
            <v>25378203.416349001</v>
          </cell>
          <cell r="E1525">
            <v>1928766667</v>
          </cell>
          <cell r="F1525">
            <v>1.7707445798500771E-2</v>
          </cell>
          <cell r="G1525">
            <v>8.0343920983147674E-3</v>
          </cell>
        </row>
        <row r="1526">
          <cell r="B1526">
            <v>85.147000000000006</v>
          </cell>
          <cell r="D1526">
            <v>25068148.307842001</v>
          </cell>
          <cell r="E1526">
            <v>1955361111</v>
          </cell>
          <cell r="F1526">
            <v>3.1936976667004719E-3</v>
          </cell>
          <cell r="G1526">
            <v>2.1720359026722361E-3</v>
          </cell>
        </row>
        <row r="1527">
          <cell r="B1527">
            <v>85.074799999999996</v>
          </cell>
          <cell r="D1527">
            <v>35332999.354460999</v>
          </cell>
          <cell r="E1527">
            <v>2230038889</v>
          </cell>
          <cell r="F1527">
            <v>-8.4830502708504996E-4</v>
          </cell>
          <cell r="G1527">
            <v>-5.6018758940720487E-4</v>
          </cell>
        </row>
        <row r="1528">
          <cell r="B1528">
            <v>85.544600000000003</v>
          </cell>
          <cell r="D1528">
            <v>28171597.821849</v>
          </cell>
          <cell r="E1528">
            <v>2130638889</v>
          </cell>
          <cell r="F1528">
            <v>5.5070078467837321E-3</v>
          </cell>
          <cell r="G1528">
            <v>6.024531651585847E-4</v>
          </cell>
        </row>
        <row r="1529">
          <cell r="B1529">
            <v>87.149299999999997</v>
          </cell>
          <cell r="D1529">
            <v>31263660.43141</v>
          </cell>
          <cell r="E1529">
            <v>1912905556</v>
          </cell>
          <cell r="F1529">
            <v>1.8584862441150461E-2</v>
          </cell>
          <cell r="G1529">
            <v>1.1771597314994501E-2</v>
          </cell>
        </row>
        <row r="1530">
          <cell r="B1530">
            <v>87.017300000000006</v>
          </cell>
          <cell r="D1530">
            <v>34022867.504294001</v>
          </cell>
          <cell r="E1530">
            <v>1985461111</v>
          </cell>
          <cell r="F1530">
            <v>-1.515790344116613E-3</v>
          </cell>
          <cell r="G1530">
            <v>-6.7547057606620409E-3</v>
          </cell>
        </row>
        <row r="1531">
          <cell r="B1531">
            <v>85.924400000000006</v>
          </cell>
          <cell r="D1531">
            <v>40373391.824845001</v>
          </cell>
          <cell r="E1531">
            <v>2217027778</v>
          </cell>
          <cell r="F1531">
            <v>-1.2639109583490708E-2</v>
          </cell>
          <cell r="G1531">
            <v>-1.0958608318405548E-2</v>
          </cell>
        </row>
        <row r="1532">
          <cell r="B1532">
            <v>88.029300000000006</v>
          </cell>
          <cell r="D1532">
            <v>51532303.253151998</v>
          </cell>
          <cell r="E1532">
            <v>2367377778</v>
          </cell>
          <cell r="F1532">
            <v>2.4201873728946281E-2</v>
          </cell>
          <cell r="G1532">
            <v>4.8882088876100647E-4</v>
          </cell>
        </row>
        <row r="1533">
          <cell r="B1533">
            <v>87.3309</v>
          </cell>
          <cell r="D1533">
            <v>50617091.814191997</v>
          </cell>
          <cell r="E1533">
            <v>2188027778</v>
          </cell>
          <cell r="F1533">
            <v>-7.9653614971989979E-3</v>
          </cell>
          <cell r="G1533">
            <v>-6.4827068101673384E-4</v>
          </cell>
        </row>
        <row r="1534">
          <cell r="B1534">
            <v>85.035499999999999</v>
          </cell>
          <cell r="D1534">
            <v>51252647.350440003</v>
          </cell>
          <cell r="E1534">
            <v>2389516667</v>
          </cell>
          <cell r="F1534">
            <v>-2.6635535750515207E-2</v>
          </cell>
          <cell r="G1534">
            <v>-2.1436645011316622E-2</v>
          </cell>
        </row>
        <row r="1535">
          <cell r="B1535">
            <v>81.533100000000005</v>
          </cell>
          <cell r="D1535">
            <v>54623527.355722003</v>
          </cell>
          <cell r="E1535">
            <v>2935255556</v>
          </cell>
          <cell r="F1535">
            <v>-4.2059743593223974E-2</v>
          </cell>
          <cell r="G1535">
            <v>-4.1842561245182139E-2</v>
          </cell>
        </row>
        <row r="1536">
          <cell r="B1536">
            <v>84.618499999999997</v>
          </cell>
          <cell r="D1536">
            <v>73392158.982511997</v>
          </cell>
          <cell r="E1536">
            <v>3273144444</v>
          </cell>
          <cell r="F1536">
            <v>3.714384606331194E-2</v>
          </cell>
          <cell r="G1536">
            <v>1.7290591086863923E-2</v>
          </cell>
        </row>
        <row r="1537">
          <cell r="B1537">
            <v>83.026600000000002</v>
          </cell>
          <cell r="D1537">
            <v>44341523.261348002</v>
          </cell>
          <cell r="E1537">
            <v>2570316667</v>
          </cell>
          <cell r="F1537">
            <v>-1.8991880448025435E-2</v>
          </cell>
          <cell r="G1537">
            <v>-5.0141453066676256E-3</v>
          </cell>
        </row>
        <row r="1538">
          <cell r="B1538">
            <v>78.764899999999997</v>
          </cell>
          <cell r="D1538">
            <v>59639462.860321999</v>
          </cell>
          <cell r="E1538">
            <v>2947466667</v>
          </cell>
          <cell r="F1538">
            <v>-5.2693572223260321E-2</v>
          </cell>
          <cell r="G1538">
            <v>-3.8259085020510716E-2</v>
          </cell>
        </row>
        <row r="1539">
          <cell r="B1539">
            <v>81.7</v>
          </cell>
          <cell r="D1539">
            <v>68507199.498333007</v>
          </cell>
          <cell r="E1539">
            <v>3155594444</v>
          </cell>
          <cell r="F1539">
            <v>3.6586535708272284E-2</v>
          </cell>
          <cell r="G1539">
            <v>1.4825626559634099E-2</v>
          </cell>
        </row>
        <row r="1540">
          <cell r="B1540">
            <v>82.596800000000002</v>
          </cell>
          <cell r="D1540">
            <v>38543912.907173999</v>
          </cell>
          <cell r="E1540">
            <v>2253216667</v>
          </cell>
          <cell r="F1540">
            <v>1.091693699042943E-2</v>
          </cell>
          <cell r="G1540">
            <v>1.3818684318076369E-2</v>
          </cell>
        </row>
        <row r="1541">
          <cell r="B1541">
            <v>83.228499999999997</v>
          </cell>
          <cell r="D1541">
            <v>28408037.340489</v>
          </cell>
          <cell r="E1541">
            <v>1929372222</v>
          </cell>
          <cell r="F1541">
            <v>7.6188983915013208E-3</v>
          </cell>
          <cell r="G1541">
            <v>2.6095439836837349E-3</v>
          </cell>
        </row>
        <row r="1542">
          <cell r="B1542">
            <v>84.531499999999994</v>
          </cell>
          <cell r="D1542">
            <v>37547874.103937998</v>
          </cell>
          <cell r="E1542">
            <v>2224300000</v>
          </cell>
          <cell r="F1542">
            <v>1.5534408714730637E-2</v>
          </cell>
          <cell r="G1542">
            <v>1.3313461230303598E-2</v>
          </cell>
        </row>
        <row r="1543">
          <cell r="B1543">
            <v>86.252499999999998</v>
          </cell>
          <cell r="D1543">
            <v>29567930.033461001</v>
          </cell>
          <cell r="E1543">
            <v>2047172222</v>
          </cell>
          <cell r="F1543">
            <v>2.0154795036025078E-2</v>
          </cell>
          <cell r="G1543">
            <v>1.1996836229864197E-2</v>
          </cell>
        </row>
        <row r="1544">
          <cell r="B1544">
            <v>85.637200000000007</v>
          </cell>
          <cell r="D1544">
            <v>32852131.554264002</v>
          </cell>
          <cell r="E1544">
            <v>2020811111</v>
          </cell>
          <cell r="F1544">
            <v>-7.159272813990235E-3</v>
          </cell>
          <cell r="G1544">
            <v>3.733924947562478E-4</v>
          </cell>
        </row>
        <row r="1545">
          <cell r="B1545">
            <v>86.309200000000004</v>
          </cell>
          <cell r="D1545">
            <v>33157843.626568001</v>
          </cell>
          <cell r="E1545">
            <v>2015338889</v>
          </cell>
          <cell r="F1545">
            <v>7.816429089577746E-3</v>
          </cell>
          <cell r="G1545">
            <v>-5.8585314248203952E-3</v>
          </cell>
        </row>
        <row r="1546">
          <cell r="B1546">
            <v>85.162599999999998</v>
          </cell>
          <cell r="D1546">
            <v>28670128.620586999</v>
          </cell>
          <cell r="E1546">
            <v>2099666667</v>
          </cell>
          <cell r="F1546">
            <v>-1.3373826949389205E-2</v>
          </cell>
          <cell r="G1546">
            <v>-5.5116898090027547E-3</v>
          </cell>
        </row>
        <row r="1547">
          <cell r="B1547">
            <v>85.389399999999995</v>
          </cell>
          <cell r="D1547">
            <v>25371309.025543001</v>
          </cell>
          <cell r="E1547">
            <v>2056261111</v>
          </cell>
          <cell r="F1547">
            <v>2.6596009860771117E-3</v>
          </cell>
          <cell r="G1547">
            <v>9.7312085292120475E-4</v>
          </cell>
        </row>
        <row r="1548">
          <cell r="B1548">
            <v>87.558800000000005</v>
          </cell>
          <cell r="D1548">
            <v>28259691.222883999</v>
          </cell>
          <cell r="E1548">
            <v>1771772222</v>
          </cell>
          <cell r="F1548">
            <v>2.5088596361753718E-2</v>
          </cell>
          <cell r="G1548">
            <v>1.590124602558474E-2</v>
          </cell>
        </row>
        <row r="1549">
          <cell r="B1549">
            <v>88.822500000000005</v>
          </cell>
          <cell r="D1549">
            <v>32411472.071290001</v>
          </cell>
          <cell r="E1549">
            <v>1902583333</v>
          </cell>
          <cell r="F1549">
            <v>1.4329428608950139E-2</v>
          </cell>
          <cell r="G1549">
            <v>1.1688421260557077E-2</v>
          </cell>
        </row>
        <row r="1550">
          <cell r="B1550">
            <v>87.684399999999997</v>
          </cell>
          <cell r="D1550">
            <v>27790490.763891</v>
          </cell>
          <cell r="E1550">
            <v>2080600000</v>
          </cell>
          <cell r="F1550">
            <v>-1.2895991859264285E-2</v>
          </cell>
          <cell r="G1550">
            <v>-1.2788286983879777E-2</v>
          </cell>
        </row>
        <row r="1551">
          <cell r="B1551">
            <v>87.284199999999998</v>
          </cell>
          <cell r="D1551">
            <v>33482227.068805002</v>
          </cell>
          <cell r="E1551">
            <v>2350366667</v>
          </cell>
          <cell r="F1551">
            <v>-4.5745430654034122E-3</v>
          </cell>
          <cell r="G1551">
            <v>-1.1157824195769547E-2</v>
          </cell>
        </row>
        <row r="1552">
          <cell r="B1552">
            <v>86.4315</v>
          </cell>
          <cell r="D1552">
            <v>39893724.873838</v>
          </cell>
          <cell r="E1552">
            <v>2502205556</v>
          </cell>
          <cell r="F1552">
            <v>-9.817268657966163E-3</v>
          </cell>
          <cell r="G1552">
            <v>-1.3413907890662753E-2</v>
          </cell>
        </row>
        <row r="1553">
          <cell r="B1553">
            <v>86.615899999999996</v>
          </cell>
          <cell r="D1553">
            <v>35268795.724004999</v>
          </cell>
          <cell r="E1553">
            <v>2156916667</v>
          </cell>
          <cell r="F1553">
            <v>2.1312087878369366E-3</v>
          </cell>
          <cell r="G1553">
            <v>5.0587563087125835E-3</v>
          </cell>
        </row>
        <row r="1554">
          <cell r="B1554">
            <v>87.165800000000004</v>
          </cell>
          <cell r="D1554">
            <v>25676816.334235001</v>
          </cell>
          <cell r="E1554">
            <v>2061561111</v>
          </cell>
          <cell r="F1554">
            <v>6.3286506619903461E-3</v>
          </cell>
          <cell r="G1554">
            <v>1.0971639144904529E-2</v>
          </cell>
        </row>
        <row r="1555">
          <cell r="B1555">
            <v>86.867999999999995</v>
          </cell>
          <cell r="D1555">
            <v>23822834.378966998</v>
          </cell>
          <cell r="E1555">
            <v>1872605556</v>
          </cell>
          <cell r="F1555">
            <v>-3.4223270498116884E-3</v>
          </cell>
          <cell r="G1555">
            <v>2.6353184422145334E-3</v>
          </cell>
        </row>
        <row r="1556">
          <cell r="B1556">
            <v>87.370900000000006</v>
          </cell>
          <cell r="D1556">
            <v>28700410.087306999</v>
          </cell>
          <cell r="E1556">
            <v>1885150000</v>
          </cell>
          <cell r="F1556">
            <v>5.7725501765998975E-3</v>
          </cell>
          <cell r="G1556">
            <v>-4.8396677706154348E-4</v>
          </cell>
        </row>
        <row r="1557">
          <cell r="B1557">
            <v>87.901300000000006</v>
          </cell>
          <cell r="D1557">
            <v>27810589.336201001</v>
          </cell>
          <cell r="E1557">
            <v>1784622222</v>
          </cell>
          <cell r="F1557">
            <v>6.0523188397236709E-3</v>
          </cell>
          <cell r="G1557">
            <v>4.453176811945213E-3</v>
          </cell>
        </row>
        <row r="1558">
          <cell r="B1558">
            <v>89.865600000000001</v>
          </cell>
          <cell r="D1558">
            <v>39680692.907472</v>
          </cell>
          <cell r="E1558">
            <v>1868944444</v>
          </cell>
          <cell r="F1558">
            <v>2.2100626748069938E-2</v>
          </cell>
          <cell r="G1558">
            <v>1.7229511513169881E-2</v>
          </cell>
        </row>
        <row r="1559">
          <cell r="B1559">
            <v>90.079499999999996</v>
          </cell>
          <cell r="D1559">
            <v>28010314.739255998</v>
          </cell>
          <cell r="E1559">
            <v>1769455556</v>
          </cell>
          <cell r="F1559">
            <v>2.3773928909076275E-3</v>
          </cell>
          <cell r="G1559">
            <v>-1.2747798242772499E-3</v>
          </cell>
        </row>
        <row r="1560">
          <cell r="B1560">
            <v>87.883899999999997</v>
          </cell>
          <cell r="D1560">
            <v>38016171.555404998</v>
          </cell>
          <cell r="E1560">
            <v>1834250000</v>
          </cell>
          <cell r="F1560">
            <v>-2.467598852437683E-2</v>
          </cell>
          <cell r="G1560">
            <v>-6.3839245851629312E-3</v>
          </cell>
        </row>
        <row r="1561">
          <cell r="B1561">
            <v>87.3613</v>
          </cell>
          <cell r="D1561">
            <v>34518515.231379002</v>
          </cell>
          <cell r="E1561">
            <v>1884088889</v>
          </cell>
          <cell r="F1561">
            <v>-5.9642323916734392E-3</v>
          </cell>
          <cell r="G1561">
            <v>-5.7409415327189526E-3</v>
          </cell>
        </row>
        <row r="1562">
          <cell r="B1562">
            <v>87.667900000000003</v>
          </cell>
          <cell r="D1562">
            <v>29661744.529809002</v>
          </cell>
          <cell r="E1562">
            <v>1944627778</v>
          </cell>
          <cell r="F1562">
            <v>3.5034190135043975E-3</v>
          </cell>
          <cell r="G1562">
            <v>-7.8227193941249383E-4</v>
          </cell>
        </row>
        <row r="1563">
          <cell r="B1563">
            <v>88.060599999999994</v>
          </cell>
          <cell r="D1563">
            <v>52726685.305064</v>
          </cell>
          <cell r="E1563">
            <v>2984633333</v>
          </cell>
          <cell r="F1563">
            <v>4.4694019888609987E-3</v>
          </cell>
          <cell r="G1563">
            <v>1.7020228353889482E-3</v>
          </cell>
        </row>
        <row r="1564">
          <cell r="B1564">
            <v>86.467399999999998</v>
          </cell>
          <cell r="D1564">
            <v>35820644.919598997</v>
          </cell>
          <cell r="E1564">
            <v>1834516667</v>
          </cell>
          <cell r="F1564">
            <v>-1.8257749552097201E-2</v>
          </cell>
          <cell r="G1564">
            <v>-1.4306008195445936E-2</v>
          </cell>
        </row>
        <row r="1565">
          <cell r="B1565">
            <v>86.691199999999995</v>
          </cell>
          <cell r="D1565">
            <v>24789105.672146998</v>
          </cell>
          <cell r="E1565">
            <v>1811683333</v>
          </cell>
          <cell r="F1565">
            <v>2.5849149232585562E-3</v>
          </cell>
          <cell r="G1565">
            <v>1.4807014304161871E-3</v>
          </cell>
        </row>
        <row r="1566">
          <cell r="B1566">
            <v>86.086500000000001</v>
          </cell>
          <cell r="D1566">
            <v>26273580.428061999</v>
          </cell>
          <cell r="E1566">
            <v>1897505556</v>
          </cell>
          <cell r="F1566">
            <v>-6.9997744967152439E-3</v>
          </cell>
          <cell r="G1566">
            <v>-1.8456884848011977E-3</v>
          </cell>
        </row>
        <row r="1567">
          <cell r="B1567">
            <v>83.581599999999995</v>
          </cell>
          <cell r="D1567">
            <v>41471997.745011002</v>
          </cell>
          <cell r="E1567">
            <v>2077666667</v>
          </cell>
          <cell r="F1567">
            <v>-2.95292045428029E-2</v>
          </cell>
          <cell r="G1567">
            <v>-2.5484890016140731E-2</v>
          </cell>
        </row>
        <row r="1568">
          <cell r="B1568">
            <v>81.153000000000006</v>
          </cell>
          <cell r="D1568">
            <v>47342075.989010997</v>
          </cell>
          <cell r="E1568">
            <v>2119488889</v>
          </cell>
          <cell r="F1568">
            <v>-2.9487138318275073E-2</v>
          </cell>
          <cell r="G1568">
            <v>-2.1189833248420765E-2</v>
          </cell>
        </row>
        <row r="1569">
          <cell r="B1569">
            <v>87.293700000000001</v>
          </cell>
          <cell r="D1569">
            <v>60585530.127934001</v>
          </cell>
          <cell r="E1569">
            <v>1950611111</v>
          </cell>
          <cell r="F1569">
            <v>7.2942033439098594E-2</v>
          </cell>
          <cell r="G1569">
            <v>2.6795026112632157E-2</v>
          </cell>
        </row>
        <row r="1570">
          <cell r="B1570">
            <v>83.284300000000002</v>
          </cell>
          <cell r="D1570">
            <v>60770552.479851</v>
          </cell>
          <cell r="E1570">
            <v>2059083333</v>
          </cell>
          <cell r="F1570">
            <v>-4.7018239274165145E-2</v>
          </cell>
          <cell r="G1570">
            <v>-1.7427312133270447E-2</v>
          </cell>
        </row>
        <row r="1571">
          <cell r="B1571">
            <v>83.210099999999997</v>
          </cell>
          <cell r="D1571">
            <v>56400554.026615001</v>
          </cell>
          <cell r="E1571">
            <v>2146944444</v>
          </cell>
          <cell r="F1571">
            <v>-8.9132132867380739E-4</v>
          </cell>
          <cell r="G1571">
            <v>-2.9208740450646013E-3</v>
          </cell>
        </row>
        <row r="1572">
          <cell r="B1572">
            <v>84.961399999999998</v>
          </cell>
          <cell r="D1572">
            <v>49274263.310505003</v>
          </cell>
          <cell r="E1572">
            <v>1981105556</v>
          </cell>
          <cell r="F1572">
            <v>2.0828301010362978E-2</v>
          </cell>
          <cell r="G1572">
            <v>1.3675733119263357E-2</v>
          </cell>
        </row>
        <row r="1573">
          <cell r="B1573">
            <v>82.398600000000002</v>
          </cell>
          <cell r="D1573">
            <v>52118796.404214002</v>
          </cell>
          <cell r="E1573">
            <v>1999177778</v>
          </cell>
          <cell r="F1573">
            <v>-3.0628589220784541E-2</v>
          </cell>
          <cell r="G1573">
            <v>-2.2590592580476767E-2</v>
          </cell>
        </row>
        <row r="1574">
          <cell r="B1574">
            <v>83.506799999999998</v>
          </cell>
          <cell r="D1574">
            <v>39977814.122446001</v>
          </cell>
          <cell r="E1574">
            <v>1884894444</v>
          </cell>
          <cell r="F1574">
            <v>1.3359619186908388E-2</v>
          </cell>
          <cell r="G1574">
            <v>1.2535934603553565E-2</v>
          </cell>
        </row>
        <row r="1575">
          <cell r="B1575">
            <v>85.947900000000004</v>
          </cell>
          <cell r="D1575">
            <v>38201096.644606002</v>
          </cell>
          <cell r="E1575">
            <v>1861300000</v>
          </cell>
          <cell r="F1575">
            <v>2.8813233053863612E-2</v>
          </cell>
          <cell r="G1575">
            <v>1.1500105825438875E-2</v>
          </cell>
        </row>
        <row r="1576">
          <cell r="B1576">
            <v>85.993799999999993</v>
          </cell>
          <cell r="D1576">
            <v>31983125.024287999</v>
          </cell>
          <cell r="E1576">
            <v>1766094444</v>
          </cell>
          <cell r="F1576">
            <v>5.33901910825671E-4</v>
          </cell>
          <cell r="G1576">
            <v>6.8393662400598977E-3</v>
          </cell>
        </row>
        <row r="1577">
          <cell r="B1577">
            <v>83.992400000000004</v>
          </cell>
          <cell r="D1577">
            <v>40850302.657638997</v>
          </cell>
          <cell r="E1577">
            <v>1833166667</v>
          </cell>
          <cell r="F1577">
            <v>-2.354888207180492E-2</v>
          </cell>
          <cell r="G1577">
            <v>-2.2164022802027339E-2</v>
          </cell>
        </row>
        <row r="1578">
          <cell r="B1578">
            <v>84.493499999999997</v>
          </cell>
          <cell r="D1578">
            <v>33876062.232868999</v>
          </cell>
          <cell r="E1578">
            <v>1701644444</v>
          </cell>
          <cell r="F1578">
            <v>5.9482897678533354E-3</v>
          </cell>
          <cell r="G1578">
            <v>3.3310173527511624E-3</v>
          </cell>
        </row>
        <row r="1579">
          <cell r="B1579">
            <v>86.457599999999999</v>
          </cell>
          <cell r="D1579">
            <v>28940784.138744999</v>
          </cell>
          <cell r="E1579">
            <v>1968850000</v>
          </cell>
          <cell r="F1579">
            <v>2.297951202569707E-2</v>
          </cell>
          <cell r="G1579">
            <v>1.6588521255114928E-2</v>
          </cell>
        </row>
        <row r="1580">
          <cell r="B1580">
            <v>85.509399999999999</v>
          </cell>
          <cell r="D1580">
            <v>26719432.716228999</v>
          </cell>
          <cell r="E1580">
            <v>1678200000</v>
          </cell>
          <cell r="F1580">
            <v>-1.1027808933114161E-2</v>
          </cell>
          <cell r="G1580">
            <v>-5.540619488903829E-3</v>
          </cell>
        </row>
        <row r="1581">
          <cell r="B1581">
            <v>87.112200000000001</v>
          </cell>
          <cell r="D1581">
            <v>28746338.565416999</v>
          </cell>
          <cell r="E1581">
            <v>1678511111</v>
          </cell>
          <cell r="F1581">
            <v>1.8570631516007838E-2</v>
          </cell>
          <cell r="G1581">
            <v>8.2168801872393362E-3</v>
          </cell>
        </row>
        <row r="1582">
          <cell r="B1582">
            <v>86.644300000000001</v>
          </cell>
          <cell r="D1582">
            <v>25080039.954592999</v>
          </cell>
          <cell r="E1582">
            <v>1644950000</v>
          </cell>
          <cell r="F1582">
            <v>-5.3857108193028011E-3</v>
          </cell>
          <cell r="G1582">
            <v>-2.8908218745022159E-3</v>
          </cell>
        </row>
        <row r="1583">
          <cell r="B1583">
            <v>87.659099999999995</v>
          </cell>
          <cell r="D1583">
            <v>21794934.402444001</v>
          </cell>
          <cell r="E1583">
            <v>1677611111</v>
          </cell>
          <cell r="F1583">
            <v>1.1644195880744598E-2</v>
          </cell>
          <cell r="G1583">
            <v>8.0763223621077573E-3</v>
          </cell>
        </row>
        <row r="1584">
          <cell r="B1584">
            <v>89.427899999999994</v>
          </cell>
          <cell r="D1584">
            <v>28759358.459667001</v>
          </cell>
          <cell r="E1584">
            <v>1796866667</v>
          </cell>
          <cell r="F1584">
            <v>1.9977286031873723E-2</v>
          </cell>
          <cell r="G1584">
            <v>1.0605144127271393E-2</v>
          </cell>
        </row>
        <row r="1585">
          <cell r="B1585">
            <v>89.773799999999994</v>
          </cell>
          <cell r="D1585">
            <v>22606232.403726</v>
          </cell>
          <cell r="E1585">
            <v>1879672222</v>
          </cell>
          <cell r="F1585">
            <v>3.8604592432222289E-3</v>
          </cell>
          <cell r="G1585">
            <v>8.310203745819628E-4</v>
          </cell>
        </row>
        <row r="1586">
          <cell r="B1586">
            <v>89.463999999999999</v>
          </cell>
          <cell r="D1586">
            <v>25301855.256081</v>
          </cell>
          <cell r="E1586">
            <v>1860761111</v>
          </cell>
          <cell r="F1586">
            <v>-3.4568635467146433E-3</v>
          </cell>
          <cell r="G1586">
            <v>-5.7425779413078446E-3</v>
          </cell>
        </row>
        <row r="1587">
          <cell r="B1587">
            <v>88.430800000000005</v>
          </cell>
          <cell r="D1587">
            <v>33468300.071754999</v>
          </cell>
          <cell r="E1587">
            <v>1882550000</v>
          </cell>
          <cell r="F1587">
            <v>-1.1615984475557161E-2</v>
          </cell>
          <cell r="G1587">
            <v>-8.5731804710458409E-3</v>
          </cell>
        </row>
        <row r="1588">
          <cell r="B1588">
            <v>88.756900000000002</v>
          </cell>
          <cell r="D1588">
            <v>23990476.395521</v>
          </cell>
          <cell r="E1588">
            <v>1676377778</v>
          </cell>
          <cell r="F1588">
            <v>3.6808465619676506E-3</v>
          </cell>
          <cell r="G1588">
            <v>5.6175251820395682E-5</v>
          </cell>
        </row>
        <row r="1589">
          <cell r="B1589">
            <v>86.681600000000003</v>
          </cell>
          <cell r="D1589">
            <v>37089053.112423003</v>
          </cell>
          <cell r="E1589">
            <v>2059300000</v>
          </cell>
          <cell r="F1589">
            <v>-2.3659536615837147E-2</v>
          </cell>
          <cell r="G1589">
            <v>-1.3470895618345118E-2</v>
          </cell>
        </row>
        <row r="1590">
          <cell r="B1590">
            <v>85.928399999999996</v>
          </cell>
          <cell r="D1590">
            <v>36234425.083260998</v>
          </cell>
          <cell r="E1590">
            <v>1944133333</v>
          </cell>
          <cell r="F1590">
            <v>-8.727243851499103E-3</v>
          </cell>
          <cell r="G1590">
            <v>1.8354334726678417E-3</v>
          </cell>
        </row>
        <row r="1591">
          <cell r="B1591">
            <v>87.740300000000005</v>
          </cell>
          <cell r="D1591">
            <v>45687794.865165003</v>
          </cell>
          <cell r="E1591">
            <v>2036511111</v>
          </cell>
          <cell r="F1591">
            <v>2.0866923580331678E-2</v>
          </cell>
          <cell r="G1591">
            <v>1.0380129158368218E-2</v>
          </cell>
        </row>
        <row r="1592">
          <cell r="B1592">
            <v>89.1935</v>
          </cell>
          <cell r="D1592">
            <v>51858137.445579998</v>
          </cell>
          <cell r="E1592">
            <v>1788350000</v>
          </cell>
          <cell r="F1592">
            <v>1.6426852050369548E-2</v>
          </cell>
          <cell r="G1592">
            <v>1.1130162199066156E-3</v>
          </cell>
        </row>
        <row r="1593">
          <cell r="B1593">
            <v>87.054500000000004</v>
          </cell>
          <cell r="D1593">
            <v>44607682.170593999</v>
          </cell>
          <cell r="E1593">
            <v>2074738889</v>
          </cell>
          <cell r="F1593">
            <v>-2.4273807669086014E-2</v>
          </cell>
          <cell r="G1593">
            <v>-8.2212439071443575E-3</v>
          </cell>
        </row>
        <row r="1594">
          <cell r="B1594">
            <v>88.430800000000005</v>
          </cell>
          <cell r="D1594">
            <v>33741756.756121002</v>
          </cell>
          <cell r="E1594">
            <v>1977694444</v>
          </cell>
          <cell r="F1594">
            <v>1.568596594375345E-2</v>
          </cell>
          <cell r="G1594">
            <v>2.5458022179105093E-3</v>
          </cell>
        </row>
        <row r="1595">
          <cell r="B1595">
            <v>87.044899999999998</v>
          </cell>
          <cell r="D1595">
            <v>29511352.823723</v>
          </cell>
          <cell r="E1595">
            <v>2228205556</v>
          </cell>
          <cell r="F1595">
            <v>-1.579624777137302E-2</v>
          </cell>
          <cell r="G1595">
            <v>-7.2319031675897134E-3</v>
          </cell>
        </row>
        <row r="1596">
          <cell r="B1596">
            <v>87.567300000000003</v>
          </cell>
          <cell r="D1596">
            <v>33455540.227290001</v>
          </cell>
          <cell r="E1596">
            <v>2139705556</v>
          </cell>
          <cell r="F1596">
            <v>5.9835631029698079E-3</v>
          </cell>
          <cell r="G1596">
            <v>-2.2562397993906034E-3</v>
          </cell>
        </row>
        <row r="1597">
          <cell r="B1597">
            <v>88.580399999999997</v>
          </cell>
          <cell r="D1597">
            <v>24204789.158278</v>
          </cell>
          <cell r="E1597">
            <v>1848455556</v>
          </cell>
          <cell r="F1597">
            <v>1.1502973594959321E-2</v>
          </cell>
          <cell r="G1597">
            <v>1.2729831933829549E-2</v>
          </cell>
        </row>
        <row r="1598">
          <cell r="B1598">
            <v>89.566599999999994</v>
          </cell>
          <cell r="D1598">
            <v>26042542.573499002</v>
          </cell>
          <cell r="E1598">
            <v>1798866667</v>
          </cell>
          <cell r="F1598">
            <v>1.1071868451647062E-2</v>
          </cell>
          <cell r="G1598">
            <v>3.451995069662222E-3</v>
          </cell>
        </row>
        <row r="1599">
          <cell r="B1599">
            <v>89.186599999999999</v>
          </cell>
          <cell r="D1599">
            <v>25228857.028503001</v>
          </cell>
          <cell r="E1599">
            <v>2065316667</v>
          </cell>
          <cell r="F1599">
            <v>-4.2516785426038404E-3</v>
          </cell>
          <cell r="G1599">
            <v>-2.6569121971978244E-4</v>
          </cell>
        </row>
        <row r="1600">
          <cell r="B1600">
            <v>90.2376</v>
          </cell>
          <cell r="D1600">
            <v>29357096.204468001</v>
          </cell>
          <cell r="E1600">
            <v>2171944444</v>
          </cell>
          <cell r="F1600">
            <v>1.1715387565465455E-2</v>
          </cell>
          <cell r="G1600">
            <v>9.6356042161504785E-3</v>
          </cell>
        </row>
        <row r="1601">
          <cell r="B1601">
            <v>91.139200000000002</v>
          </cell>
          <cell r="D1601">
            <v>24050949.232971001</v>
          </cell>
          <cell r="E1601">
            <v>1851694444</v>
          </cell>
          <cell r="F1601">
            <v>9.941816441187197E-3</v>
          </cell>
          <cell r="G1601">
            <v>9.3270009795039417E-3</v>
          </cell>
        </row>
        <row r="1602">
          <cell r="B1602">
            <v>90.944900000000004</v>
          </cell>
          <cell r="D1602">
            <v>18024488.923425</v>
          </cell>
          <cell r="E1602">
            <v>1590388889</v>
          </cell>
          <cell r="F1602">
            <v>-2.1341794670542819E-3</v>
          </cell>
          <cell r="G1602">
            <v>1.7061751151760478E-3</v>
          </cell>
        </row>
        <row r="1603">
          <cell r="B1603">
            <v>91.251599999999996</v>
          </cell>
          <cell r="D1603">
            <v>20899036.267340999</v>
          </cell>
          <cell r="E1603">
            <v>1651477778</v>
          </cell>
          <cell r="F1603">
            <v>3.3666979299255E-3</v>
          </cell>
          <cell r="G1603">
            <v>8.8313169348161837E-4</v>
          </cell>
        </row>
        <row r="1604">
          <cell r="B1604">
            <v>90.594200000000001</v>
          </cell>
          <cell r="D1604">
            <v>26420678.511452999</v>
          </cell>
          <cell r="E1604">
            <v>1828155556</v>
          </cell>
          <cell r="F1604">
            <v>-7.2303332157814468E-3</v>
          </cell>
          <cell r="G1604">
            <v>-6.8656799596488963E-3</v>
          </cell>
        </row>
        <row r="1605">
          <cell r="B1605">
            <v>90.825800000000001</v>
          </cell>
          <cell r="D1605">
            <v>18595356.563276999</v>
          </cell>
          <cell r="E1605">
            <v>1779261111</v>
          </cell>
          <cell r="F1605">
            <v>2.5531928763389547E-3</v>
          </cell>
          <cell r="G1605">
            <v>4.0523361876279775E-3</v>
          </cell>
        </row>
        <row r="1606">
          <cell r="B1606">
            <v>89.918300000000002</v>
          </cell>
          <cell r="D1606">
            <v>18447719.951586999</v>
          </cell>
          <cell r="E1606">
            <v>1930777778</v>
          </cell>
          <cell r="F1606">
            <v>-1.0041905943294698E-2</v>
          </cell>
          <cell r="G1606">
            <v>-8.562100552650634E-4</v>
          </cell>
        </row>
        <row r="1607">
          <cell r="B1607">
            <v>90.087500000000006</v>
          </cell>
          <cell r="D1607">
            <v>19109959.257897999</v>
          </cell>
          <cell r="E1607">
            <v>1871494444</v>
          </cell>
          <cell r="F1607">
            <v>1.8799399778436636E-3</v>
          </cell>
          <cell r="G1607">
            <v>-2.6356975373117938E-3</v>
          </cell>
        </row>
        <row r="1608">
          <cell r="B1608">
            <v>91.244699999999995</v>
          </cell>
          <cell r="D1608">
            <v>20774983.304632001</v>
          </cell>
          <cell r="E1608">
            <v>1677716667</v>
          </cell>
          <cell r="F1608">
            <v>1.2763488333424791E-2</v>
          </cell>
          <cell r="G1608">
            <v>7.3595901759010559E-3</v>
          </cell>
        </row>
        <row r="1609">
          <cell r="B1609">
            <v>91.151899999999998</v>
          </cell>
          <cell r="D1609">
            <v>16516462.256890999</v>
          </cell>
          <cell r="E1609">
            <v>1870172222</v>
          </cell>
          <cell r="F1609">
            <v>-1.0175629151788421E-3</v>
          </cell>
          <cell r="G1609">
            <v>-3.1406635129493403E-3</v>
          </cell>
        </row>
        <row r="1610">
          <cell r="B1610">
            <v>92.239199999999997</v>
          </cell>
          <cell r="D1610">
            <v>22731085.992157001</v>
          </cell>
          <cell r="E1610">
            <v>1847938889</v>
          </cell>
          <cell r="F1610">
            <v>1.1857857227501005E-2</v>
          </cell>
          <cell r="G1610">
            <v>3.2431094088002069E-3</v>
          </cell>
        </row>
        <row r="1611">
          <cell r="B1611">
            <v>91.908900000000003</v>
          </cell>
          <cell r="D1611">
            <v>28505055.363542002</v>
          </cell>
          <cell r="E1611">
            <v>1808905556</v>
          </cell>
          <cell r="F1611">
            <v>-3.587333827697897E-3</v>
          </cell>
          <cell r="G1611">
            <v>-2.0252522464269634E-3</v>
          </cell>
        </row>
        <row r="1612">
          <cell r="B1612">
            <v>91.955699999999993</v>
          </cell>
          <cell r="D1612">
            <v>19642721.413426999</v>
          </cell>
          <cell r="E1612">
            <v>1664033333</v>
          </cell>
          <cell r="F1612">
            <v>5.0907027247961453E-4</v>
          </cell>
          <cell r="G1612">
            <v>-2.3600281824850003E-3</v>
          </cell>
        </row>
        <row r="1613">
          <cell r="B1613">
            <v>91.629599999999996</v>
          </cell>
          <cell r="D1613">
            <v>30667532.128596</v>
          </cell>
          <cell r="E1613">
            <v>2076050000</v>
          </cell>
          <cell r="F1613">
            <v>-3.5525757560111271E-3</v>
          </cell>
          <cell r="G1613">
            <v>-1.1631583739263906E-2</v>
          </cell>
        </row>
        <row r="1614">
          <cell r="B1614">
            <v>92.508600000000001</v>
          </cell>
          <cell r="D1614">
            <v>23701575.415741</v>
          </cell>
          <cell r="E1614">
            <v>1978361111</v>
          </cell>
          <cell r="F1614">
            <v>9.5472495845567284E-3</v>
          </cell>
          <cell r="G1614">
            <v>1.2615911702766044E-2</v>
          </cell>
        </row>
        <row r="1615">
          <cell r="B1615">
            <v>92.403099999999995</v>
          </cell>
          <cell r="D1615">
            <v>36518350.307278</v>
          </cell>
          <cell r="E1615">
            <v>2352983333</v>
          </cell>
          <cell r="F1615">
            <v>-1.1410853012267549E-3</v>
          </cell>
          <cell r="G1615">
            <v>-6.9033368781207007E-3</v>
          </cell>
        </row>
        <row r="1616">
          <cell r="B1616">
            <v>94.223600000000005</v>
          </cell>
          <cell r="D1616">
            <v>30651105.991664</v>
          </cell>
          <cell r="E1616">
            <v>2046738889</v>
          </cell>
          <cell r="F1616">
            <v>1.9510153121876535E-2</v>
          </cell>
          <cell r="G1616">
            <v>1.079076407564197E-2</v>
          </cell>
        </row>
        <row r="1617">
          <cell r="B1617">
            <v>95.048900000000003</v>
          </cell>
          <cell r="D1617">
            <v>29181424.382879</v>
          </cell>
          <cell r="E1617">
            <v>1875838889</v>
          </cell>
          <cell r="F1617">
            <v>8.7208150207973741E-3</v>
          </cell>
          <cell r="G1617">
            <v>4.4695950894616818E-3</v>
          </cell>
        </row>
        <row r="1618">
          <cell r="B1618">
            <v>95.545299999999997</v>
          </cell>
          <cell r="D1618">
            <v>25151865.910494</v>
          </cell>
          <cell r="E1618">
            <v>1954327778</v>
          </cell>
          <cell r="F1618">
            <v>5.2089845590555404E-3</v>
          </cell>
          <cell r="G1618">
            <v>7.0237116833561891E-4</v>
          </cell>
        </row>
        <row r="1619">
          <cell r="B1619">
            <v>95.829499999999996</v>
          </cell>
          <cell r="D1619">
            <v>22593848.300491001</v>
          </cell>
          <cell r="E1619">
            <v>2028688889</v>
          </cell>
          <cell r="F1619">
            <v>2.970090199137753E-3</v>
          </cell>
          <cell r="G1619">
            <v>8.5308831756656898E-3</v>
          </cell>
        </row>
        <row r="1620">
          <cell r="B1620">
            <v>94.307699999999997</v>
          </cell>
          <cell r="D1620">
            <v>30198194.477983002</v>
          </cell>
          <cell r="E1620">
            <v>2061850000</v>
          </cell>
          <cell r="F1620">
            <v>-1.600773016858896E-2</v>
          </cell>
          <cell r="G1620">
            <v>-7.1445069721093465E-4</v>
          </cell>
        </row>
        <row r="1621">
          <cell r="B1621">
            <v>95.009900000000002</v>
          </cell>
          <cell r="D1621">
            <v>23708633.617437001</v>
          </cell>
          <cell r="E1621">
            <v>1735116667</v>
          </cell>
          <cell r="F1621">
            <v>7.418256096631928E-3</v>
          </cell>
          <cell r="G1621">
            <v>3.1210606659344705E-3</v>
          </cell>
        </row>
        <row r="1622">
          <cell r="B1622">
            <v>94.466999999999999</v>
          </cell>
          <cell r="D1622">
            <v>25126720.938974999</v>
          </cell>
          <cell r="E1622">
            <v>1795738889</v>
          </cell>
          <cell r="F1622">
            <v>-5.7305295335617944E-3</v>
          </cell>
          <cell r="G1622">
            <v>1.0681475490628696E-3</v>
          </cell>
        </row>
        <row r="1623">
          <cell r="B1623">
            <v>94.713099999999997</v>
          </cell>
          <cell r="D1623">
            <v>19601336.639860999</v>
          </cell>
          <cell r="E1623">
            <v>1889450000</v>
          </cell>
          <cell r="F1623">
            <v>2.6017550347372472E-3</v>
          </cell>
          <cell r="G1623">
            <v>1.7418322369011133E-3</v>
          </cell>
        </row>
        <row r="1624">
          <cell r="B1624">
            <v>94.2804</v>
          </cell>
          <cell r="D1624">
            <v>31546660.1239</v>
          </cell>
          <cell r="E1624">
            <v>2099572222</v>
          </cell>
          <cell r="F1624">
            <v>-4.579001458187482E-3</v>
          </cell>
          <cell r="G1624">
            <v>-4.0341772794630594E-3</v>
          </cell>
        </row>
        <row r="1625">
          <cell r="B1625">
            <v>94.817599999999999</v>
          </cell>
          <cell r="D1625">
            <v>27480903.540235002</v>
          </cell>
          <cell r="E1625">
            <v>1959383333</v>
          </cell>
          <cell r="F1625">
            <v>5.6817252975374108E-3</v>
          </cell>
          <cell r="G1625">
            <v>2.4684618120292836E-3</v>
          </cell>
        </row>
        <row r="1626">
          <cell r="B1626">
            <v>93.613399999999999</v>
          </cell>
          <cell r="D1626">
            <v>70316401.699353993</v>
          </cell>
          <cell r="E1626">
            <v>3015994444</v>
          </cell>
          <cell r="F1626">
            <v>-1.278151040789092E-2</v>
          </cell>
          <cell r="G1626">
            <v>-1.0175922059649557E-3</v>
          </cell>
        </row>
        <row r="1627">
          <cell r="B1627">
            <v>94.289400000000001</v>
          </cell>
          <cell r="D1627">
            <v>25228491.525456998</v>
          </cell>
          <cell r="E1627">
            <v>1826194444</v>
          </cell>
          <cell r="F1627">
            <v>7.1952404802677651E-3</v>
          </cell>
          <cell r="G1627">
            <v>-2.1284228000868419E-3</v>
          </cell>
        </row>
        <row r="1628">
          <cell r="B1628">
            <v>94.289400000000001</v>
          </cell>
          <cell r="D1628">
            <v>30648393.897627</v>
          </cell>
          <cell r="E1628">
            <v>2034150000</v>
          </cell>
          <cell r="F1628">
            <v>0</v>
          </cell>
          <cell r="G1628">
            <v>-4.0315497659651062E-3</v>
          </cell>
        </row>
        <row r="1629">
          <cell r="B1629">
            <v>95.2376</v>
          </cell>
          <cell r="D1629">
            <v>28003937.376568999</v>
          </cell>
          <cell r="E1629">
            <v>1848666667</v>
          </cell>
          <cell r="F1629">
            <v>1.0006045694920087E-2</v>
          </cell>
          <cell r="G1629">
            <v>1.7106973363122029E-3</v>
          </cell>
        </row>
        <row r="1630">
          <cell r="B1630">
            <v>94.552999999999997</v>
          </cell>
          <cell r="D1630">
            <v>24813632.257557999</v>
          </cell>
          <cell r="E1630">
            <v>1833366667</v>
          </cell>
          <cell r="F1630">
            <v>-7.2142979602483224E-3</v>
          </cell>
          <cell r="G1630">
            <v>-6.3657076922923536E-3</v>
          </cell>
        </row>
        <row r="1631">
          <cell r="B1631">
            <v>93.878</v>
          </cell>
          <cell r="D1631">
            <v>41633579.782476</v>
          </cell>
          <cell r="E1631">
            <v>3028083333</v>
          </cell>
          <cell r="F1631">
            <v>-7.1644568810722044E-3</v>
          </cell>
          <cell r="G1631">
            <v>1.8602493447316098E-3</v>
          </cell>
        </row>
        <row r="1632">
          <cell r="B1632">
            <v>91.984200000000001</v>
          </cell>
          <cell r="D1632">
            <v>37900791.355471</v>
          </cell>
          <cell r="E1632">
            <v>2030600000</v>
          </cell>
          <cell r="F1632">
            <v>-2.0379243794066353E-2</v>
          </cell>
          <cell r="G1632">
            <v>-1.3819790665146471E-2</v>
          </cell>
        </row>
        <row r="1633">
          <cell r="B1633">
            <v>92.628699999999995</v>
          </cell>
          <cell r="D1633">
            <v>28770278.503079999</v>
          </cell>
          <cell r="E1633">
            <v>1975050000</v>
          </cell>
          <cell r="F1633">
            <v>6.9822056675708701E-3</v>
          </cell>
          <cell r="G1633">
            <v>2.2021541473088704E-3</v>
          </cell>
        </row>
        <row r="1634">
          <cell r="B1634">
            <v>91.19</v>
          </cell>
          <cell r="D1634">
            <v>33477902.461325999</v>
          </cell>
          <cell r="E1634">
            <v>2097827778</v>
          </cell>
          <cell r="F1634">
            <v>-1.5653786891749226E-2</v>
          </cell>
          <cell r="G1634">
            <v>-8.6415213868015241E-3</v>
          </cell>
        </row>
        <row r="1635">
          <cell r="B1635">
            <v>92.209599999999995</v>
          </cell>
          <cell r="D1635">
            <v>28506536.828272</v>
          </cell>
          <cell r="E1635">
            <v>1904522222</v>
          </cell>
          <cell r="F1635">
            <v>1.1119004671763705E-2</v>
          </cell>
          <cell r="G1635">
            <v>6.1596150392206625E-3</v>
          </cell>
        </row>
        <row r="1636">
          <cell r="B1636">
            <v>92.190299999999993</v>
          </cell>
          <cell r="D1636">
            <v>30006744.596292999</v>
          </cell>
          <cell r="E1636">
            <v>1980900000</v>
          </cell>
          <cell r="F1636">
            <v>-2.0932766308960293E-4</v>
          </cell>
          <cell r="G1636">
            <v>7.5809434912754855E-4</v>
          </cell>
        </row>
        <row r="1637">
          <cell r="B1637">
            <v>93.503</v>
          </cell>
          <cell r="D1637">
            <v>20926931.214166</v>
          </cell>
          <cell r="E1637">
            <v>1707583333</v>
          </cell>
          <cell r="F1637">
            <v>1.413860238715986E-2</v>
          </cell>
          <cell r="G1637">
            <v>3.0633182696388058E-3</v>
          </cell>
        </row>
        <row r="1638">
          <cell r="B1638">
            <v>92.6023</v>
          </cell>
          <cell r="D1638">
            <v>15691863.835208001</v>
          </cell>
          <cell r="E1638">
            <v>1061927778</v>
          </cell>
          <cell r="F1638">
            <v>-9.6795419847737554E-3</v>
          </cell>
          <cell r="G1638">
            <v>-4.959632808581322E-3</v>
          </cell>
        </row>
        <row r="1639">
          <cell r="B1639">
            <v>93.264600000000002</v>
          </cell>
          <cell r="D1639">
            <v>20298924.288463</v>
          </cell>
          <cell r="E1639">
            <v>1640788889</v>
          </cell>
          <cell r="F1639">
            <v>7.1266352763546606E-3</v>
          </cell>
          <cell r="G1639">
            <v>8.5838066940842651E-3</v>
          </cell>
        </row>
        <row r="1640">
          <cell r="B1640">
            <v>94.571399999999997</v>
          </cell>
          <cell r="D1640">
            <v>20574063.105900001</v>
          </cell>
          <cell r="E1640">
            <v>1419322222</v>
          </cell>
          <cell r="F1640">
            <v>1.3914490133856684E-2</v>
          </cell>
          <cell r="G1640">
            <v>8.4455320847041989E-3</v>
          </cell>
        </row>
        <row r="1641">
          <cell r="B1641">
            <v>95.218100000000007</v>
          </cell>
          <cell r="D1641">
            <v>19480201.558618002</v>
          </cell>
          <cell r="E1641">
            <v>1694466667</v>
          </cell>
          <cell r="F1641">
            <v>6.8149450092273144E-3</v>
          </cell>
          <cell r="G1641">
            <v>8.7843436152737018E-3</v>
          </cell>
        </row>
        <row r="1642">
          <cell r="B1642">
            <v>95.478800000000007</v>
          </cell>
          <cell r="D1642">
            <v>20636649.103824001</v>
          </cell>
          <cell r="E1642">
            <v>1702138889</v>
          </cell>
          <cell r="F1642">
            <v>2.7341835384932524E-3</v>
          </cell>
          <cell r="G1642">
            <v>3.4671897996766143E-3</v>
          </cell>
        </row>
        <row r="1643">
          <cell r="B1643">
            <v>95.341099999999997</v>
          </cell>
          <cell r="D1643">
            <v>21012637.071488999</v>
          </cell>
          <cell r="E1643">
            <v>1647077778</v>
          </cell>
          <cell r="F1643">
            <v>-1.4432459497354406E-3</v>
          </cell>
          <cell r="G1643">
            <v>-7.1194619539736125E-3</v>
          </cell>
        </row>
        <row r="1644">
          <cell r="B1644">
            <v>97.409899999999993</v>
          </cell>
          <cell r="D1644">
            <v>26030598.712026998</v>
          </cell>
          <cell r="E1644">
            <v>1567605556</v>
          </cell>
          <cell r="F1644">
            <v>2.1466860828860429E-2</v>
          </cell>
          <cell r="G1644">
            <v>8.7109846615288089E-3</v>
          </cell>
        </row>
        <row r="1645">
          <cell r="B1645">
            <v>98.582300000000004</v>
          </cell>
          <cell r="D1645">
            <v>26370287.210425001</v>
          </cell>
          <cell r="E1645">
            <v>1452222222</v>
          </cell>
          <cell r="F1645">
            <v>1.1963884115894092E-2</v>
          </cell>
          <cell r="G1645">
            <v>1.0786485794734959E-3</v>
          </cell>
        </row>
        <row r="1646">
          <cell r="B1646">
            <v>98.093999999999994</v>
          </cell>
          <cell r="D1646">
            <v>23304081.125934999</v>
          </cell>
          <cell r="E1646">
            <v>1562350000</v>
          </cell>
          <cell r="F1646">
            <v>-4.9655296882549511E-3</v>
          </cell>
          <cell r="G1646">
            <v>-1.0286192765856391E-3</v>
          </cell>
        </row>
        <row r="1647">
          <cell r="B1647">
            <v>99.031199999999998</v>
          </cell>
          <cell r="D1647">
            <v>27705437.078671001</v>
          </cell>
          <cell r="E1647">
            <v>1694850000</v>
          </cell>
          <cell r="F1647">
            <v>9.5087493786034372E-3</v>
          </cell>
          <cell r="G1647">
            <v>3.9657825363438081E-3</v>
          </cell>
        </row>
        <row r="1648">
          <cell r="B1648">
            <v>98.298199999999994</v>
          </cell>
          <cell r="D1648">
            <v>31547786.323764</v>
          </cell>
          <cell r="E1648">
            <v>1716544444</v>
          </cell>
          <cell r="F1648">
            <v>-7.429236306430183E-3</v>
          </cell>
          <cell r="G1648">
            <v>2.1581578355824118E-3</v>
          </cell>
        </row>
        <row r="1649">
          <cell r="B1649">
            <v>97.615099999999998</v>
          </cell>
          <cell r="D1649">
            <v>42969065.463045001</v>
          </cell>
          <cell r="E1649">
            <v>1814833333</v>
          </cell>
          <cell r="F1649">
            <v>-6.9735211265425099E-3</v>
          </cell>
          <cell r="G1649">
            <v>-3.9607817464154278E-3</v>
          </cell>
        </row>
        <row r="1650">
          <cell r="B1650">
            <v>99.324299999999994</v>
          </cell>
          <cell r="D1650">
            <v>59941183.066014998</v>
          </cell>
          <cell r="E1650">
            <v>1794561111</v>
          </cell>
          <cell r="F1650">
            <v>1.735805953776217E-2</v>
          </cell>
          <cell r="G1650">
            <v>-9.489291369751974E-4</v>
          </cell>
        </row>
        <row r="1651">
          <cell r="B1651">
            <v>100.95699999999999</v>
          </cell>
          <cell r="D1651">
            <v>31775648.294707999</v>
          </cell>
          <cell r="E1651">
            <v>1615238889</v>
          </cell>
          <cell r="F1651">
            <v>1.6304429508177704E-2</v>
          </cell>
          <cell r="G1651">
            <v>1.8363971848938719E-3</v>
          </cell>
        </row>
        <row r="1652">
          <cell r="B1652">
            <v>100.663</v>
          </cell>
          <cell r="D1652">
            <v>28149220.230542999</v>
          </cell>
          <cell r="E1652">
            <v>1898627778</v>
          </cell>
          <cell r="F1652">
            <v>-2.9163794105649451E-3</v>
          </cell>
          <cell r="G1652">
            <v>4.7695465529177935E-3</v>
          </cell>
        </row>
        <row r="1653">
          <cell r="B1653">
            <v>103.622</v>
          </cell>
          <cell r="D1653">
            <v>32942734.333361</v>
          </cell>
          <cell r="E1653">
            <v>1973894444</v>
          </cell>
          <cell r="F1653">
            <v>2.8971358291225133E-2</v>
          </cell>
          <cell r="G1653">
            <v>9.060376426541358E-3</v>
          </cell>
        </row>
        <row r="1654">
          <cell r="B1654">
            <v>102.48699999999999</v>
          </cell>
          <cell r="D1654">
            <v>33556756.928200997</v>
          </cell>
          <cell r="E1654">
            <v>2029627778</v>
          </cell>
          <cell r="F1654">
            <v>-1.1013701226902912E-2</v>
          </cell>
          <cell r="G1654">
            <v>-3.0368580797846918E-3</v>
          </cell>
        </row>
        <row r="1655">
          <cell r="B1655">
            <v>100.681</v>
          </cell>
          <cell r="D1655">
            <v>39582215.943686999</v>
          </cell>
          <cell r="E1655">
            <v>1897616667</v>
          </cell>
          <cell r="F1655">
            <v>-1.7778858589592914E-2</v>
          </cell>
          <cell r="G1655">
            <v>-6.5838795461225143E-3</v>
          </cell>
        </row>
        <row r="1656">
          <cell r="B1656">
            <v>98.534000000000006</v>
          </cell>
          <cell r="D1656">
            <v>37082513.986483</v>
          </cell>
          <cell r="E1656">
            <v>1803205556</v>
          </cell>
          <cell r="F1656">
            <v>-2.1555436394152291E-2</v>
          </cell>
          <cell r="G1656">
            <v>-5.7707999094024024E-3</v>
          </cell>
        </row>
        <row r="1657">
          <cell r="B1657">
            <v>99.147800000000004</v>
          </cell>
          <cell r="D1657">
            <v>29580964.261165</v>
          </cell>
          <cell r="E1657">
            <v>2162277778</v>
          </cell>
          <cell r="F1657">
            <v>6.2099998335946342E-3</v>
          </cell>
          <cell r="G1657">
            <v>4.8728581939806326E-3</v>
          </cell>
        </row>
        <row r="1658">
          <cell r="B1658">
            <v>99.334199999999996</v>
          </cell>
          <cell r="D1658">
            <v>25274124.120147001</v>
          </cell>
          <cell r="E1658">
            <v>1942772222</v>
          </cell>
          <cell r="F1658">
            <v>1.8782565149405184E-3</v>
          </cell>
          <cell r="G1658">
            <v>-1.0409173801414606E-3</v>
          </cell>
        </row>
        <row r="1659">
          <cell r="B1659">
            <v>100.575</v>
          </cell>
          <cell r="D1659">
            <v>27922071.860785</v>
          </cell>
          <cell r="E1659">
            <v>1926322222</v>
          </cell>
          <cell r="F1659">
            <v>1.2413795204403631E-2</v>
          </cell>
          <cell r="G1659">
            <v>4.914398127409042E-3</v>
          </cell>
        </row>
        <row r="1660">
          <cell r="B1660">
            <v>101.024</v>
          </cell>
          <cell r="D1660">
            <v>19958990.073732998</v>
          </cell>
          <cell r="E1660">
            <v>1683550000</v>
          </cell>
          <cell r="F1660">
            <v>4.4543945397292903E-3</v>
          </cell>
          <cell r="G1660">
            <v>4.6333873211502116E-3</v>
          </cell>
        </row>
        <row r="1661">
          <cell r="B1661">
            <v>101.11</v>
          </cell>
          <cell r="D1661">
            <v>21677201.468610998</v>
          </cell>
          <cell r="E1661">
            <v>1596966667</v>
          </cell>
          <cell r="F1661">
            <v>8.5092072772648337E-4</v>
          </cell>
          <cell r="G1661">
            <v>3.5320512931104955E-3</v>
          </cell>
        </row>
        <row r="1662">
          <cell r="B1662">
            <v>101.776</v>
          </cell>
          <cell r="D1662">
            <v>17199985.716821</v>
          </cell>
          <cell r="E1662">
            <v>1757094444</v>
          </cell>
          <cell r="F1662">
            <v>6.5652868331407847E-3</v>
          </cell>
          <cell r="G1662">
            <v>2.8201845679715165E-3</v>
          </cell>
        </row>
        <row r="1663">
          <cell r="B1663">
            <v>102.363</v>
          </cell>
          <cell r="D1663">
            <v>16565999.693657</v>
          </cell>
          <cell r="E1663">
            <v>1651222222</v>
          </cell>
          <cell r="F1663">
            <v>5.7509992492230299E-3</v>
          </cell>
          <cell r="G1663">
            <v>-2.6241438881196129E-4</v>
          </cell>
        </row>
        <row r="1664">
          <cell r="B1664">
            <v>102.53700000000001</v>
          </cell>
          <cell r="D1664">
            <v>14629647.480299</v>
          </cell>
          <cell r="E1664">
            <v>1692805556</v>
          </cell>
          <cell r="F1664">
            <v>1.6983898665267367E-3</v>
          </cell>
          <cell r="G1664">
            <v>-1.4427591414417902E-3</v>
          </cell>
        </row>
        <row r="1665">
          <cell r="B1665">
            <v>101.88500000000001</v>
          </cell>
          <cell r="D1665">
            <v>19449977.42571</v>
          </cell>
          <cell r="E1665">
            <v>1808911111</v>
          </cell>
          <cell r="F1665">
            <v>-6.3789827992982032E-3</v>
          </cell>
          <cell r="G1665">
            <v>-7.1392952256226182E-3</v>
          </cell>
        </row>
        <row r="1666">
          <cell r="B1666">
            <v>101.18899999999999</v>
          </cell>
          <cell r="D1666">
            <v>19761413.664779</v>
          </cell>
          <cell r="E1666">
            <v>1754694444</v>
          </cell>
          <cell r="F1666">
            <v>-6.8546709595092604E-3</v>
          </cell>
          <cell r="G1666">
            <v>-4.0140031013779489E-3</v>
          </cell>
        </row>
        <row r="1667">
          <cell r="B1667">
            <v>102.431</v>
          </cell>
          <cell r="D1667">
            <v>17957396.078407001</v>
          </cell>
          <cell r="E1667">
            <v>1653872222</v>
          </cell>
          <cell r="F1667">
            <v>1.2199345872212074E-2</v>
          </cell>
          <cell r="G1667">
            <v>6.3689195466782979E-3</v>
          </cell>
        </row>
        <row r="1668">
          <cell r="B1668">
            <v>101.053</v>
          </cell>
          <cell r="D1668">
            <v>31947766.443815999</v>
          </cell>
          <cell r="E1668">
            <v>2025038889</v>
          </cell>
          <cell r="F1668">
            <v>-1.3544269483528631E-2</v>
          </cell>
          <cell r="G1668">
            <v>-7.6312639158579937E-3</v>
          </cell>
        </row>
        <row r="1669">
          <cell r="B1669">
            <v>101.03400000000001</v>
          </cell>
          <cell r="D1669">
            <v>22785734.328674</v>
          </cell>
          <cell r="E1669">
            <v>1788822222</v>
          </cell>
          <cell r="F1669">
            <v>-1.8803782584705039E-4</v>
          </cell>
          <cell r="G1669">
            <v>7.8882767591131279E-3</v>
          </cell>
        </row>
        <row r="1670">
          <cell r="B1670">
            <v>100.977</v>
          </cell>
          <cell r="D1670">
            <v>19245194.361443002</v>
          </cell>
          <cell r="E1670">
            <v>1680055556</v>
          </cell>
          <cell r="F1670">
            <v>-5.6432572001229183E-4</v>
          </cell>
          <cell r="G1670">
            <v>3.3176268652185398E-3</v>
          </cell>
        </row>
        <row r="1671">
          <cell r="B1671">
            <v>100.29</v>
          </cell>
          <cell r="D1671">
            <v>19088227.695787001</v>
          </cell>
          <cell r="E1671">
            <v>1526677778</v>
          </cell>
          <cell r="F1671">
            <v>-6.8267790360976759E-3</v>
          </cell>
          <cell r="G1671">
            <v>2.4250166951827559E-3</v>
          </cell>
        </row>
        <row r="1672">
          <cell r="B1672">
            <v>99.4405</v>
          </cell>
          <cell r="D1672">
            <v>24381451.011929002</v>
          </cell>
          <cell r="E1672">
            <v>1748411111</v>
          </cell>
          <cell r="F1672">
            <v>-8.5065137526194705E-3</v>
          </cell>
          <cell r="G1672">
            <v>2.0664306891217009E-3</v>
          </cell>
        </row>
        <row r="1673">
          <cell r="B1673">
            <v>100.47799999999999</v>
          </cell>
          <cell r="D1673">
            <v>19180332.415975999</v>
          </cell>
          <cell r="E1673">
            <v>1494200000</v>
          </cell>
          <cell r="F1673">
            <v>1.0379322715695891E-2</v>
          </cell>
          <cell r="G1673">
            <v>-3.9826858501759574E-4</v>
          </cell>
        </row>
        <row r="1674">
          <cell r="B1674">
            <v>100.95699999999999</v>
          </cell>
          <cell r="D1674">
            <v>19358367.209642999</v>
          </cell>
          <cell r="E1674">
            <v>1507727778</v>
          </cell>
          <cell r="F1674">
            <v>4.7558855497077538E-3</v>
          </cell>
          <cell r="G1674">
            <v>-1.6926632005294403E-3</v>
          </cell>
        </row>
        <row r="1675">
          <cell r="B1675">
            <v>101.718</v>
          </cell>
          <cell r="D1675">
            <v>18363472.011179999</v>
          </cell>
          <cell r="E1675">
            <v>1442327778</v>
          </cell>
          <cell r="F1675">
            <v>7.5095949309700082E-3</v>
          </cell>
          <cell r="G1675">
            <v>6.1797194745907722E-3</v>
          </cell>
        </row>
        <row r="1676">
          <cell r="B1676">
            <v>102.869</v>
          </cell>
          <cell r="D1676">
            <v>20950924.390369002</v>
          </cell>
          <cell r="E1676">
            <v>1585600000</v>
          </cell>
          <cell r="F1676">
            <v>1.1252055544722042E-2</v>
          </cell>
          <cell r="G1676">
            <v>7.6411243957242277E-3</v>
          </cell>
        </row>
        <row r="1677">
          <cell r="B1677">
            <v>103.486</v>
          </cell>
          <cell r="D1677">
            <v>20406647.353137001</v>
          </cell>
          <cell r="E1677">
            <v>1490661111</v>
          </cell>
          <cell r="F1677">
            <v>5.9800037671176457E-3</v>
          </cell>
          <cell r="G1677">
            <v>2.6923196567344023E-4</v>
          </cell>
        </row>
        <row r="1678">
          <cell r="B1678">
            <v>105.146</v>
          </cell>
          <cell r="D1678">
            <v>22182378.894184999</v>
          </cell>
          <cell r="E1678">
            <v>1551033333</v>
          </cell>
          <cell r="F1678">
            <v>1.591352267546382E-2</v>
          </cell>
          <cell r="G1678">
            <v>5.6852358046606769E-3</v>
          </cell>
        </row>
        <row r="1679">
          <cell r="B1679">
            <v>105.078</v>
          </cell>
          <cell r="D1679">
            <v>24292844.678045999</v>
          </cell>
          <cell r="E1679">
            <v>1556766667</v>
          </cell>
          <cell r="F1679">
            <v>-6.4692901259225805E-4</v>
          </cell>
          <cell r="G1679">
            <v>-4.4401182457849643E-3</v>
          </cell>
        </row>
        <row r="1680">
          <cell r="B1680">
            <v>105.40900000000001</v>
          </cell>
          <cell r="D1680">
            <v>24744641.253860999</v>
          </cell>
          <cell r="E1680">
            <v>1600144444</v>
          </cell>
          <cell r="F1680">
            <v>3.1450899375543512E-3</v>
          </cell>
          <cell r="G1680">
            <v>1.3442134217546059E-4</v>
          </cell>
        </row>
        <row r="1681">
          <cell r="B1681">
            <v>104.84399999999999</v>
          </cell>
          <cell r="D1681">
            <v>24118029.792171001</v>
          </cell>
          <cell r="E1681">
            <v>1709477778</v>
          </cell>
          <cell r="F1681">
            <v>-5.3744903521789717E-3</v>
          </cell>
          <cell r="G1681">
            <v>-1.6556752036839839E-3</v>
          </cell>
        </row>
        <row r="1682">
          <cell r="B1682">
            <v>101.80500000000001</v>
          </cell>
          <cell r="D1682">
            <v>35026681.181865998</v>
          </cell>
          <cell r="E1682">
            <v>1800694444</v>
          </cell>
          <cell r="F1682">
            <v>-2.9414312280126417E-2</v>
          </cell>
          <cell r="G1682">
            <v>-2.8071067225424913E-3</v>
          </cell>
        </row>
        <row r="1683">
          <cell r="B1683">
            <v>102.039</v>
          </cell>
          <cell r="D1683">
            <v>25016258.137176</v>
          </cell>
          <cell r="E1683">
            <v>1744216667</v>
          </cell>
          <cell r="F1683">
            <v>2.2958743233574574E-3</v>
          </cell>
          <cell r="G1683">
            <v>-3.6589741948485021E-3</v>
          </cell>
        </row>
        <row r="1684">
          <cell r="B1684">
            <v>101.56</v>
          </cell>
          <cell r="D1684">
            <v>23973122.679428</v>
          </cell>
          <cell r="E1684">
            <v>1636816667</v>
          </cell>
          <cell r="F1684">
            <v>-4.7053363107112164E-3</v>
          </cell>
          <cell r="G1684">
            <v>-2.2157571246540649E-3</v>
          </cell>
        </row>
        <row r="1685">
          <cell r="B1685">
            <v>102.65600000000001</v>
          </cell>
          <cell r="D1685">
            <v>22086334.522105001</v>
          </cell>
          <cell r="E1685">
            <v>1517444444</v>
          </cell>
          <cell r="F1685">
            <v>1.0733835967516989E-2</v>
          </cell>
          <cell r="G1685">
            <v>1.8960451407243311E-3</v>
          </cell>
        </row>
        <row r="1686">
          <cell r="B1686">
            <v>104.39400000000001</v>
          </cell>
          <cell r="D1686">
            <v>25894420.672049999</v>
          </cell>
          <cell r="E1686">
            <v>1610922222</v>
          </cell>
          <cell r="F1686">
            <v>1.6788609728639478E-2</v>
          </cell>
          <cell r="G1686">
            <v>3.7328621563787081E-3</v>
          </cell>
        </row>
        <row r="1687">
          <cell r="B1687">
            <v>104.84399999999999</v>
          </cell>
          <cell r="D1687">
            <v>20129114.849079002</v>
          </cell>
          <cell r="E1687">
            <v>1813850000</v>
          </cell>
          <cell r="F1687">
            <v>4.3013285713236291E-3</v>
          </cell>
          <cell r="G1687">
            <v>3.5659819551439804E-4</v>
          </cell>
        </row>
        <row r="1688">
          <cell r="B1688">
            <v>105.95699999999999</v>
          </cell>
          <cell r="D1688">
            <v>27763207.036446001</v>
          </cell>
          <cell r="E1688">
            <v>1808294444</v>
          </cell>
          <cell r="F1688">
            <v>1.0559820328321314E-2</v>
          </cell>
          <cell r="G1688">
            <v>5.2683486546839242E-3</v>
          </cell>
        </row>
        <row r="1689">
          <cell r="B1689">
            <v>106.396</v>
          </cell>
          <cell r="D1689">
            <v>20375556.046333</v>
          </cell>
          <cell r="E1689">
            <v>1749888889</v>
          </cell>
          <cell r="F1689">
            <v>4.1346307836310457E-3</v>
          </cell>
          <cell r="G1689">
            <v>2.7542708586353852E-4</v>
          </cell>
        </row>
        <row r="1690">
          <cell r="B1690">
            <v>105.253</v>
          </cell>
          <cell r="D1690">
            <v>22095507.931910999</v>
          </cell>
          <cell r="E1690">
            <v>1637644444</v>
          </cell>
          <cell r="F1690">
            <v>-1.080100649669267E-2</v>
          </cell>
          <cell r="G1690">
            <v>-5.5853146174804991E-3</v>
          </cell>
        </row>
        <row r="1691">
          <cell r="B1691">
            <v>106.249</v>
          </cell>
          <cell r="D1691">
            <v>23623933.149447002</v>
          </cell>
          <cell r="E1691">
            <v>1708116667</v>
          </cell>
          <cell r="F1691">
            <v>9.4184202763120672E-3</v>
          </cell>
          <cell r="G1691">
            <v>5.354649595431229E-3</v>
          </cell>
        </row>
        <row r="1692">
          <cell r="B1692">
            <v>104.834</v>
          </cell>
          <cell r="D1692">
            <v>23152428.076002002</v>
          </cell>
          <cell r="E1692">
            <v>1822233333</v>
          </cell>
          <cell r="F1692">
            <v>-1.3407249242887108E-2</v>
          </cell>
          <cell r="G1692">
            <v>1.2525249991826694E-3</v>
          </cell>
        </row>
        <row r="1693">
          <cell r="B1693">
            <v>106.581</v>
          </cell>
          <cell r="D1693">
            <v>25268671.265166</v>
          </cell>
          <cell r="E1693">
            <v>1854294444</v>
          </cell>
          <cell r="F1693">
            <v>1.6527112695358843E-2</v>
          </cell>
          <cell r="G1693">
            <v>7.8099973940756514E-3</v>
          </cell>
        </row>
        <row r="1694">
          <cell r="B1694">
            <v>107.23699999999999</v>
          </cell>
          <cell r="D1694">
            <v>75897822.632269993</v>
          </cell>
          <cell r="E1694">
            <v>3115338889</v>
          </cell>
          <cell r="F1694">
            <v>6.1360788921301862E-3</v>
          </cell>
          <cell r="G1694">
            <v>-3.6857427018063469E-4</v>
          </cell>
        </row>
        <row r="1695">
          <cell r="B1695">
            <v>107.608</v>
          </cell>
          <cell r="D1695">
            <v>29125856.657747999</v>
          </cell>
          <cell r="E1695">
            <v>1873450000</v>
          </cell>
          <cell r="F1695">
            <v>3.4536560661490448E-3</v>
          </cell>
          <cell r="G1695">
            <v>-3.5219491222055663E-3</v>
          </cell>
        </row>
        <row r="1696">
          <cell r="B1696">
            <v>107.4</v>
          </cell>
          <cell r="D1696">
            <v>24153588.017166998</v>
          </cell>
          <cell r="E1696">
            <v>1825266667</v>
          </cell>
          <cell r="F1696">
            <v>-1.93481233151613E-3</v>
          </cell>
          <cell r="G1696">
            <v>-1.3059284486635185E-3</v>
          </cell>
        </row>
        <row r="1697">
          <cell r="B1697">
            <v>106.98099999999999</v>
          </cell>
          <cell r="D1697">
            <v>20620284.395975001</v>
          </cell>
          <cell r="E1697">
            <v>1882566667</v>
          </cell>
          <cell r="F1697">
            <v>-3.9089334737518544E-3</v>
          </cell>
          <cell r="G1697">
            <v>-3.2946695026326335E-3</v>
          </cell>
        </row>
        <row r="1698">
          <cell r="B1698">
            <v>107.363</v>
          </cell>
          <cell r="D1698">
            <v>20342471.365768999</v>
          </cell>
          <cell r="E1698">
            <v>1700472222</v>
          </cell>
          <cell r="F1698">
            <v>3.5643676000576946E-3</v>
          </cell>
          <cell r="G1698">
            <v>2.7594661468949336E-3</v>
          </cell>
        </row>
        <row r="1699">
          <cell r="B1699">
            <v>107.33499999999999</v>
          </cell>
          <cell r="D1699">
            <v>23066526.669429999</v>
          </cell>
          <cell r="E1699">
            <v>1906833333</v>
          </cell>
          <cell r="F1699">
            <v>-2.6083149501853891E-4</v>
          </cell>
          <cell r="G1699">
            <v>-6.8634415355334628E-6</v>
          </cell>
        </row>
        <row r="1700">
          <cell r="B1700">
            <v>108.505</v>
          </cell>
          <cell r="D1700">
            <v>20120605.897193</v>
          </cell>
          <cell r="E1700">
            <v>1868994444</v>
          </cell>
          <cell r="F1700">
            <v>1.0841470161984664E-2</v>
          </cell>
          <cell r="G1700">
            <v>3.6344555873070567E-3</v>
          </cell>
        </row>
        <row r="1701">
          <cell r="B1701">
            <v>108.066</v>
          </cell>
          <cell r="D1701">
            <v>22149556.311044998</v>
          </cell>
          <cell r="E1701">
            <v>1889933333</v>
          </cell>
          <cell r="F1701">
            <v>-4.0541032850609903E-3</v>
          </cell>
          <cell r="G1701">
            <v>-3.967154747124362E-4</v>
          </cell>
        </row>
        <row r="1702">
          <cell r="B1702">
            <v>108.086</v>
          </cell>
          <cell r="D1702">
            <v>17739064.829771001</v>
          </cell>
          <cell r="E1702">
            <v>1999283333</v>
          </cell>
          <cell r="F1702">
            <v>1.8505496185167338E-4</v>
          </cell>
          <cell r="G1702">
            <v>7.1124001534755626E-4</v>
          </cell>
        </row>
        <row r="1703">
          <cell r="B1703">
            <v>105.839</v>
          </cell>
          <cell r="D1703">
            <v>37103802.235376</v>
          </cell>
          <cell r="E1703">
            <v>1942700000</v>
          </cell>
          <cell r="F1703">
            <v>-2.1008135006495465E-2</v>
          </cell>
          <cell r="G1703">
            <v>-8.2030691043885728E-3</v>
          </cell>
        </row>
        <row r="1704">
          <cell r="B1704">
            <v>105.24299999999999</v>
          </cell>
          <cell r="D1704">
            <v>30973921.968456</v>
          </cell>
          <cell r="E1704">
            <v>1849433333</v>
          </cell>
          <cell r="F1704">
            <v>-5.6471095011559501E-3</v>
          </cell>
          <cell r="G1704">
            <v>-5.543301253226848E-3</v>
          </cell>
        </row>
        <row r="1705">
          <cell r="B1705">
            <v>104.024</v>
          </cell>
          <cell r="D1705">
            <v>31583120.332602002</v>
          </cell>
          <cell r="E1705">
            <v>1850177778</v>
          </cell>
          <cell r="F1705">
            <v>-1.1650320288156827E-2</v>
          </cell>
          <cell r="G1705">
            <v>-3.951473188331464E-4</v>
          </cell>
        </row>
        <row r="1706">
          <cell r="B1706">
            <v>105.35</v>
          </cell>
          <cell r="D1706">
            <v>27915550.139752001</v>
          </cell>
          <cell r="E1706">
            <v>1955833333</v>
          </cell>
          <cell r="F1706">
            <v>1.2666498501179266E-2</v>
          </cell>
          <cell r="G1706">
            <v>-1.4189640475695234E-3</v>
          </cell>
        </row>
        <row r="1707">
          <cell r="B1707">
            <v>99.6173</v>
          </cell>
          <cell r="D1707">
            <v>65398684.132570997</v>
          </cell>
          <cell r="E1707">
            <v>2500694444</v>
          </cell>
          <cell r="F1707">
            <v>-5.5952295963720519E-2</v>
          </cell>
          <cell r="G1707">
            <v>-3.3416333989061714E-2</v>
          </cell>
        </row>
        <row r="1708">
          <cell r="B1708">
            <v>99.373900000000006</v>
          </cell>
          <cell r="D1708">
            <v>68092324.873165995</v>
          </cell>
          <cell r="E1708">
            <v>2717016667</v>
          </cell>
          <cell r="F1708">
            <v>-2.4463405556351555E-3</v>
          </cell>
          <cell r="G1708">
            <v>-2.0787647463574973E-2</v>
          </cell>
        </row>
        <row r="1709">
          <cell r="B1709">
            <v>102.84099999999999</v>
          </cell>
          <cell r="D1709">
            <v>50870945.454190001</v>
          </cell>
          <cell r="E1709">
            <v>2203355556</v>
          </cell>
          <cell r="F1709">
            <v>3.4294602462432849E-2</v>
          </cell>
          <cell r="G1709">
            <v>1.4106320709680948E-2</v>
          </cell>
        </row>
        <row r="1710">
          <cell r="B1710">
            <v>100.995</v>
          </cell>
          <cell r="D1710">
            <v>34169726.014260001</v>
          </cell>
          <cell r="E1710">
            <v>1833411111</v>
          </cell>
          <cell r="F1710">
            <v>-1.8113095527921182E-2</v>
          </cell>
          <cell r="G1710">
            <v>-5.922538841602318E-3</v>
          </cell>
        </row>
        <row r="1711">
          <cell r="B1711">
            <v>104.16800000000001</v>
          </cell>
          <cell r="D1711">
            <v>33681774.327520996</v>
          </cell>
          <cell r="E1711">
            <v>1904633333</v>
          </cell>
          <cell r="F1711">
            <v>3.0933969761073293E-2</v>
          </cell>
          <cell r="G1711">
            <v>2.1267870038650147E-2</v>
          </cell>
        </row>
        <row r="1712">
          <cell r="B1712">
            <v>103.895</v>
          </cell>
          <cell r="D1712">
            <v>28288114.459828999</v>
          </cell>
          <cell r="E1712">
            <v>1845394444</v>
          </cell>
          <cell r="F1712">
            <v>-2.6242066745839079E-3</v>
          </cell>
          <cell r="G1712">
            <v>-2.5270816079308065E-4</v>
          </cell>
        </row>
        <row r="1713">
          <cell r="B1713">
            <v>101.815</v>
          </cell>
          <cell r="D1713">
            <v>34636525.619906001</v>
          </cell>
          <cell r="E1713">
            <v>2009133333</v>
          </cell>
          <cell r="F1713">
            <v>-2.0223332749365129E-2</v>
          </cell>
          <cell r="G1713">
            <v>-1.4496515061645461E-2</v>
          </cell>
        </row>
        <row r="1714">
          <cell r="B1714">
            <v>101.961</v>
          </cell>
          <cell r="D1714">
            <v>34934110.624461003</v>
          </cell>
          <cell r="E1714">
            <v>1981383333</v>
          </cell>
          <cell r="F1714">
            <v>1.4329462250926692E-3</v>
          </cell>
          <cell r="G1714">
            <v>-3.6123513910236955E-4</v>
          </cell>
        </row>
        <row r="1715">
          <cell r="B1715">
            <v>102.899</v>
          </cell>
          <cell r="D1715">
            <v>28285306.126894001</v>
          </cell>
          <cell r="E1715">
            <v>1837300000</v>
          </cell>
          <cell r="F1715">
            <v>9.1575373922277957E-3</v>
          </cell>
          <cell r="G1715">
            <v>-4.3087439887895167E-3</v>
          </cell>
        </row>
        <row r="1716">
          <cell r="B1716">
            <v>101.473</v>
          </cell>
          <cell r="D1716">
            <v>46638977.127798997</v>
          </cell>
          <cell r="E1716">
            <v>2415877778</v>
          </cell>
          <cell r="F1716">
            <v>-1.3955171377069798E-2</v>
          </cell>
          <cell r="G1716">
            <v>-5.5270973242133609E-3</v>
          </cell>
        </row>
        <row r="1717">
          <cell r="B1717">
            <v>96.034499999999994</v>
          </cell>
          <cell r="D1717">
            <v>68085374.172363997</v>
          </cell>
          <cell r="E1717">
            <v>2616283333</v>
          </cell>
          <cell r="F1717">
            <v>-5.5085251334621006E-2</v>
          </cell>
          <cell r="G1717">
            <v>-3.135083200711912E-2</v>
          </cell>
        </row>
        <row r="1718">
          <cell r="B1718">
            <v>101.629</v>
          </cell>
          <cell r="D1718">
            <v>65686917.582978003</v>
          </cell>
          <cell r="E1718">
            <v>2574872222</v>
          </cell>
          <cell r="F1718">
            <v>5.6621425578870753E-2</v>
          </cell>
          <cell r="G1718">
            <v>1.8453729479332191E-2</v>
          </cell>
        </row>
        <row r="1719">
          <cell r="B1719">
            <v>100.378</v>
          </cell>
          <cell r="D1719">
            <v>59161876.307609998</v>
          </cell>
          <cell r="E1719">
            <v>2668416667</v>
          </cell>
          <cell r="F1719">
            <v>-1.2385867746389079E-2</v>
          </cell>
          <cell r="G1719">
            <v>-1.7479090705260276E-2</v>
          </cell>
        </row>
        <row r="1720">
          <cell r="B1720">
            <v>97.468400000000003</v>
          </cell>
          <cell r="D1720">
            <v>58777108.076274</v>
          </cell>
          <cell r="E1720">
            <v>2596500000</v>
          </cell>
          <cell r="F1720">
            <v>-2.941483683347761E-2</v>
          </cell>
          <cell r="G1720">
            <v>-6.5812303337732898E-3</v>
          </cell>
        </row>
        <row r="1721">
          <cell r="B1721">
            <v>97.351200000000006</v>
          </cell>
          <cell r="D1721">
            <v>69633726.984592006</v>
          </cell>
          <cell r="E1721">
            <v>2836877778</v>
          </cell>
          <cell r="F1721">
            <v>-1.2031645084813912E-3</v>
          </cell>
          <cell r="G1721">
            <v>1.5545366655688744E-2</v>
          </cell>
        </row>
        <row r="1722">
          <cell r="B1722">
            <v>100.233</v>
          </cell>
          <cell r="D1722">
            <v>54408819.399195001</v>
          </cell>
          <cell r="E1722">
            <v>2840233333</v>
          </cell>
          <cell r="F1722">
            <v>2.9172417348551954E-2</v>
          </cell>
          <cell r="G1722">
            <v>1.0792838671999127E-2</v>
          </cell>
        </row>
        <row r="1723">
          <cell r="B1723">
            <v>99.383899999999997</v>
          </cell>
          <cell r="D1723">
            <v>35572074.180783004</v>
          </cell>
          <cell r="E1723">
            <v>2615788889</v>
          </cell>
          <cell r="F1723">
            <v>-8.5073470344937431E-3</v>
          </cell>
          <cell r="G1723">
            <v>1.0502452503904892E-2</v>
          </cell>
        </row>
        <row r="1724">
          <cell r="B1724">
            <v>99.6173</v>
          </cell>
          <cell r="D1724">
            <v>40149610.792682998</v>
          </cell>
          <cell r="E1724">
            <v>2354405556</v>
          </cell>
          <cell r="F1724">
            <v>2.3457155737886841E-3</v>
          </cell>
          <cell r="G1724">
            <v>-6.3366998101070391E-3</v>
          </cell>
        </row>
        <row r="1725">
          <cell r="B1725">
            <v>100.907</v>
          </cell>
          <cell r="D1725">
            <v>29752054.496941999</v>
          </cell>
          <cell r="E1725">
            <v>2012955556</v>
          </cell>
          <cell r="F1725">
            <v>1.2863456286134098E-2</v>
          </cell>
          <cell r="G1725">
            <v>5.5846938170283911E-3</v>
          </cell>
        </row>
        <row r="1726">
          <cell r="B1726">
            <v>101.11</v>
          </cell>
          <cell r="D1726">
            <v>25935414.347116999</v>
          </cell>
          <cell r="E1726">
            <v>1950477778</v>
          </cell>
          <cell r="F1726">
            <v>2.0097325306963768E-3</v>
          </cell>
          <cell r="G1726">
            <v>6.2398268627495259E-3</v>
          </cell>
        </row>
        <row r="1727">
          <cell r="B1727">
            <v>105.08799999999999</v>
          </cell>
          <cell r="D1727">
            <v>40385637.712646</v>
          </cell>
          <cell r="E1727">
            <v>2174861111</v>
          </cell>
          <cell r="F1727">
            <v>3.8589061286600605E-2</v>
          </cell>
          <cell r="G1727">
            <v>2.0987099015788779E-2</v>
          </cell>
        </row>
        <row r="1728">
          <cell r="B1728">
            <v>104.883</v>
          </cell>
          <cell r="D1728">
            <v>27324722.143027999</v>
          </cell>
          <cell r="E1728">
            <v>2016938889</v>
          </cell>
          <cell r="F1728">
            <v>-1.9526512245607737E-3</v>
          </cell>
          <cell r="G1728">
            <v>-2.5121349979599032E-3</v>
          </cell>
        </row>
        <row r="1729">
          <cell r="B1729">
            <v>102.84099999999999</v>
          </cell>
          <cell r="D1729">
            <v>34138952.091053002</v>
          </cell>
          <cell r="E1729">
            <v>2232827778</v>
          </cell>
          <cell r="F1729">
            <v>-1.9661336972072396E-2</v>
          </cell>
          <cell r="G1729">
            <v>-9.2415615930208604E-3</v>
          </cell>
        </row>
        <row r="1730">
          <cell r="B1730">
            <v>100.29</v>
          </cell>
          <cell r="D1730">
            <v>35825250.053227998</v>
          </cell>
          <cell r="E1730">
            <v>2039405556</v>
          </cell>
          <cell r="F1730">
            <v>-2.5118117093158115E-2</v>
          </cell>
          <cell r="G1730">
            <v>-1.9898136727593101E-2</v>
          </cell>
        </row>
        <row r="1731">
          <cell r="B1731">
            <v>100.35899999999999</v>
          </cell>
          <cell r="D1731">
            <v>37692896.908124</v>
          </cell>
          <cell r="E1731">
            <v>2273022222</v>
          </cell>
          <cell r="F1731">
            <v>6.877682193271651E-4</v>
          </cell>
          <cell r="G1731">
            <v>-1.4830044565126614E-3</v>
          </cell>
        </row>
        <row r="1732">
          <cell r="B1732">
            <v>98.914699999999996</v>
          </cell>
          <cell r="D1732">
            <v>41902482.524117999</v>
          </cell>
          <cell r="E1732">
            <v>2445761111</v>
          </cell>
          <cell r="F1732">
            <v>-1.4495894751029484E-2</v>
          </cell>
          <cell r="G1732">
            <v>-7.5962428487097063E-3</v>
          </cell>
        </row>
        <row r="1733">
          <cell r="B1733">
            <v>101.13</v>
          </cell>
          <cell r="D1733">
            <v>40852164.982686996</v>
          </cell>
          <cell r="E1733">
            <v>2321744444</v>
          </cell>
          <cell r="F1733">
            <v>2.2148955345664443E-2</v>
          </cell>
          <cell r="G1733">
            <v>1.0538079545354202E-2</v>
          </cell>
        </row>
        <row r="1734">
          <cell r="B1734">
            <v>102.059</v>
          </cell>
          <cell r="D1734">
            <v>35544172.067230999</v>
          </cell>
          <cell r="E1734">
            <v>2208433333</v>
          </cell>
          <cell r="F1734">
            <v>9.1442595157978125E-3</v>
          </cell>
          <cell r="G1734">
            <v>2.2208125151236689E-3</v>
          </cell>
        </row>
        <row r="1735">
          <cell r="B1735">
            <v>98.621499999999997</v>
          </cell>
          <cell r="D1735">
            <v>47502995.616191998</v>
          </cell>
          <cell r="E1735">
            <v>2096055556</v>
          </cell>
          <cell r="F1735">
            <v>-3.4261786852993421E-2</v>
          </cell>
          <cell r="G1735">
            <v>-1.6783146839093228E-2</v>
          </cell>
        </row>
        <row r="1736">
          <cell r="B1736">
            <v>95.878399999999999</v>
          </cell>
          <cell r="D1736">
            <v>67956635.194400996</v>
          </cell>
          <cell r="E1736">
            <v>2421055556</v>
          </cell>
          <cell r="F1736">
            <v>-2.8208568676012381E-2</v>
          </cell>
          <cell r="G1736">
            <v>-1.8317962154308476E-2</v>
          </cell>
        </row>
        <row r="1737">
          <cell r="B1737">
            <v>97.185299999999998</v>
          </cell>
          <cell r="D1737">
            <v>29845261.869180001</v>
          </cell>
          <cell r="E1737">
            <v>1796416667</v>
          </cell>
          <cell r="F1737">
            <v>1.353874356052079E-2</v>
          </cell>
          <cell r="G1737">
            <v>3.038654446444182E-3</v>
          </cell>
        </row>
        <row r="1738">
          <cell r="B1738">
            <v>97.149900000000002</v>
          </cell>
          <cell r="D1738">
            <v>14665656.185241001</v>
          </cell>
          <cell r="E1738">
            <v>917583333</v>
          </cell>
          <cell r="F1738">
            <v>-3.6431897455062377E-4</v>
          </cell>
          <cell r="G1738">
            <v>-6.5764677658551214E-3</v>
          </cell>
        </row>
        <row r="1739">
          <cell r="B1739">
            <v>100.35</v>
          </cell>
          <cell r="D1739">
            <v>34307144.921723001</v>
          </cell>
          <cell r="E1739">
            <v>1913305556</v>
          </cell>
          <cell r="F1739">
            <v>3.240892875550587E-2</v>
          </cell>
          <cell r="G1739">
            <v>1.5413016366781477E-2</v>
          </cell>
        </row>
        <row r="1740">
          <cell r="B1740">
            <v>100.995</v>
          </cell>
          <cell r="D1740">
            <v>30899705.397386</v>
          </cell>
          <cell r="E1740">
            <v>1936233333</v>
          </cell>
          <cell r="F1740">
            <v>6.4069354230067745E-3</v>
          </cell>
          <cell r="G1740">
            <v>3.2563952280602691E-3</v>
          </cell>
        </row>
        <row r="1741">
          <cell r="B1741">
            <v>104.73399999999999</v>
          </cell>
          <cell r="D1741">
            <v>49640350.957543999</v>
          </cell>
          <cell r="E1741">
            <v>2195372222</v>
          </cell>
          <cell r="F1741">
            <v>3.6352791840172587E-2</v>
          </cell>
          <cell r="G1741">
            <v>2.2714007938884229E-2</v>
          </cell>
        </row>
        <row r="1742">
          <cell r="B1742">
            <v>103.86499999999999</v>
          </cell>
          <cell r="D1742">
            <v>29837381.541583002</v>
          </cell>
          <cell r="E1742">
            <v>1978205556</v>
          </cell>
          <cell r="F1742">
            <v>-8.3318235188785186E-3</v>
          </cell>
          <cell r="G1742">
            <v>-2.1854981435022809E-3</v>
          </cell>
        </row>
        <row r="1743">
          <cell r="B1743">
            <v>104.512</v>
          </cell>
          <cell r="D1743">
            <v>35717638.584720999</v>
          </cell>
          <cell r="E1743">
            <v>2588100000</v>
          </cell>
          <cell r="F1743">
            <v>6.2099183613520213E-3</v>
          </cell>
          <cell r="G1743">
            <v>8.1375938558372295E-3</v>
          </cell>
        </row>
        <row r="1744">
          <cell r="B1744">
            <v>105.64400000000001</v>
          </cell>
          <cell r="D1744">
            <v>36849831.880117998</v>
          </cell>
          <cell r="E1744">
            <v>2325588889</v>
          </cell>
          <cell r="F1744">
            <v>1.0773053809377523E-2</v>
          </cell>
          <cell r="G1744">
            <v>1.0881931492828126E-2</v>
          </cell>
        </row>
        <row r="1745">
          <cell r="B1745">
            <v>102.28400000000001</v>
          </cell>
          <cell r="D1745">
            <v>47951867.143812999</v>
          </cell>
          <cell r="E1745">
            <v>2499911111</v>
          </cell>
          <cell r="F1745">
            <v>-3.2321693169027943E-2</v>
          </cell>
          <cell r="G1745">
            <v>-3.2900208542344787E-2</v>
          </cell>
        </row>
        <row r="1746">
          <cell r="B1746">
            <v>102.929</v>
          </cell>
          <cell r="D1746">
            <v>52100665.610215001</v>
          </cell>
          <cell r="E1746">
            <v>2856372222</v>
          </cell>
          <cell r="F1746">
            <v>6.286172162401623E-3</v>
          </cell>
          <cell r="G1746">
            <v>-1.5233481015795478E-3</v>
          </cell>
        </row>
        <row r="1747">
          <cell r="B1747">
            <v>98.796499999999995</v>
          </cell>
          <cell r="D1747">
            <v>47790551.299043998</v>
          </cell>
          <cell r="E1747">
            <v>2342605556</v>
          </cell>
          <cell r="F1747">
            <v>-4.0977251125627383E-2</v>
          </cell>
          <cell r="G1747">
            <v>-2.3596383238556007E-2</v>
          </cell>
        </row>
        <row r="1748">
          <cell r="B1748">
            <v>101.42400000000001</v>
          </cell>
          <cell r="D1748">
            <v>43288493.625881001</v>
          </cell>
          <cell r="E1748">
            <v>2306127778</v>
          </cell>
          <cell r="F1748">
            <v>2.6247570516686834E-2</v>
          </cell>
          <cell r="G1748">
            <v>1.7606440003852311E-3</v>
          </cell>
        </row>
        <row r="1749">
          <cell r="B1749">
            <v>102.354</v>
          </cell>
          <cell r="D1749">
            <v>44965246.532293998</v>
          </cell>
          <cell r="E1749">
            <v>2169927778</v>
          </cell>
          <cell r="F1749">
            <v>9.1276433846268264E-3</v>
          </cell>
          <cell r="G1749">
            <v>-3.564318930519869E-4</v>
          </cell>
        </row>
        <row r="1750">
          <cell r="B1750">
            <v>102.821</v>
          </cell>
          <cell r="D1750">
            <v>38388476.849514</v>
          </cell>
          <cell r="E1750">
            <v>2199383333</v>
          </cell>
          <cell r="F1750">
            <v>4.5522193879193153E-3</v>
          </cell>
          <cell r="G1750">
            <v>5.4048563356254914E-3</v>
          </cell>
        </row>
        <row r="1751">
          <cell r="B1751">
            <v>103.155</v>
          </cell>
          <cell r="D1751">
            <v>33243215.719202999</v>
          </cell>
          <cell r="E1751">
            <v>2182066667</v>
          </cell>
          <cell r="F1751">
            <v>3.2430991255522337E-3</v>
          </cell>
          <cell r="G1751">
            <v>-1.999392643992198E-4</v>
          </cell>
        </row>
        <row r="1752">
          <cell r="B1752">
            <v>99.93</v>
          </cell>
          <cell r="D1752">
            <v>49910547.805211999</v>
          </cell>
          <cell r="E1752">
            <v>2241677778</v>
          </cell>
          <cell r="F1752">
            <v>-3.1762770566211046E-2</v>
          </cell>
          <cell r="G1752">
            <v>-1.9271178750727643E-2</v>
          </cell>
        </row>
        <row r="1753">
          <cell r="B1753">
            <v>96.983000000000004</v>
          </cell>
          <cell r="D1753">
            <v>60429022.132766001</v>
          </cell>
          <cell r="E1753">
            <v>2564638889</v>
          </cell>
          <cell r="F1753">
            <v>-2.9934235461704831E-2</v>
          </cell>
          <cell r="G1753">
            <v>-2.0992280594401735E-2</v>
          </cell>
        </row>
        <row r="1754">
          <cell r="B1754">
            <v>98.005899999999997</v>
          </cell>
          <cell r="D1754">
            <v>52325339.411725</v>
          </cell>
          <cell r="E1754">
            <v>2483822222</v>
          </cell>
          <cell r="F1754">
            <v>1.0491975528018336E-2</v>
          </cell>
          <cell r="G1754">
            <v>8.6408358098435416E-5</v>
          </cell>
        </row>
        <row r="1755">
          <cell r="B1755">
            <v>97.741900000000001</v>
          </cell>
          <cell r="D1755">
            <v>72355058.932218</v>
          </cell>
          <cell r="E1755">
            <v>2848855556</v>
          </cell>
          <cell r="F1755">
            <v>-2.697349958112486E-3</v>
          </cell>
          <cell r="G1755">
            <v>-1.5515478113209684E-2</v>
          </cell>
        </row>
        <row r="1756">
          <cell r="B1756">
            <v>95.688999999999993</v>
          </cell>
          <cell r="D1756">
            <v>74621251.538066</v>
          </cell>
          <cell r="E1756">
            <v>3103211111</v>
          </cell>
          <cell r="F1756">
            <v>-2.1226981658124911E-2</v>
          </cell>
          <cell r="G1756">
            <v>-1.5897793403096879E-2</v>
          </cell>
        </row>
        <row r="1757">
          <cell r="B1757">
            <v>92.586799999999997</v>
          </cell>
          <cell r="D1757">
            <v>118022586.29509</v>
          </cell>
          <cell r="E1757">
            <v>4227227778</v>
          </cell>
          <cell r="F1757">
            <v>-3.2956766428769629E-2</v>
          </cell>
          <cell r="G1757">
            <v>-2.0803200653483116E-2</v>
          </cell>
        </row>
        <row r="1758">
          <cell r="B1758">
            <v>88.7209</v>
          </cell>
          <cell r="D1758">
            <v>46613167.698358998</v>
          </cell>
          <cell r="E1758">
            <v>1452183333</v>
          </cell>
          <cell r="F1758">
            <v>-4.2651095630224942E-2</v>
          </cell>
          <cell r="G1758">
            <v>-2.7486565922407408E-2</v>
          </cell>
        </row>
        <row r="1759">
          <cell r="B1759">
            <v>94.7804</v>
          </cell>
          <cell r="D1759">
            <v>54782079.915551998</v>
          </cell>
          <cell r="E1759">
            <v>2352216667</v>
          </cell>
          <cell r="F1759">
            <v>6.6067149565398373E-2</v>
          </cell>
          <cell r="G1759">
            <v>4.8403238994109442E-2</v>
          </cell>
        </row>
        <row r="1760">
          <cell r="B1760">
            <v>95.370500000000007</v>
          </cell>
          <cell r="D1760">
            <v>52515581.188104004</v>
          </cell>
          <cell r="E1760">
            <v>2275894444</v>
          </cell>
          <cell r="F1760">
            <v>6.2066694857066049E-3</v>
          </cell>
          <cell r="G1760">
            <v>8.5261777916688236E-3</v>
          </cell>
        </row>
        <row r="1761">
          <cell r="B1761">
            <v>94.618300000000005</v>
          </cell>
          <cell r="D1761">
            <v>40495838.417020001</v>
          </cell>
          <cell r="E1761">
            <v>2057011111</v>
          </cell>
          <cell r="F1761">
            <v>-7.918402877539206E-3</v>
          </cell>
          <cell r="G1761">
            <v>-1.2423185913211249E-3</v>
          </cell>
        </row>
        <row r="1762">
          <cell r="B1762">
            <v>95.743700000000004</v>
          </cell>
          <cell r="D1762">
            <v>35195799.544062003</v>
          </cell>
          <cell r="E1762">
            <v>1912705556</v>
          </cell>
          <cell r="F1762">
            <v>1.1823926113087826E-2</v>
          </cell>
          <cell r="G1762">
            <v>8.4565829777873986E-3</v>
          </cell>
        </row>
        <row r="1763">
          <cell r="B1763">
            <v>95.312899999999999</v>
          </cell>
          <cell r="D1763">
            <v>37482767.465954997</v>
          </cell>
          <cell r="E1763">
            <v>2073977778</v>
          </cell>
          <cell r="F1763">
            <v>-4.5096660371974706E-3</v>
          </cell>
          <cell r="G1763">
            <v>1.2677203464647186E-3</v>
          </cell>
        </row>
        <row r="1764">
          <cell r="B1764">
            <v>91.804500000000004</v>
          </cell>
          <cell r="D1764">
            <v>45173683.603212997</v>
          </cell>
          <cell r="E1764">
            <v>2123811111</v>
          </cell>
          <cell r="F1764">
            <v>-3.7503847481369708E-2</v>
          </cell>
          <cell r="G1764">
            <v>-2.5068276263535243E-2</v>
          </cell>
        </row>
        <row r="1765">
          <cell r="B1765">
            <v>96.083399999999997</v>
          </cell>
          <cell r="D1765">
            <v>46746238.450528003</v>
          </cell>
          <cell r="E1765">
            <v>2340783333</v>
          </cell>
          <cell r="F1765">
            <v>4.5555248290102671E-2</v>
          </cell>
          <cell r="G1765">
            <v>3.3759378318728883E-2</v>
          </cell>
        </row>
        <row r="1766">
          <cell r="B1766">
            <v>96.206500000000005</v>
          </cell>
          <cell r="D1766">
            <v>37829477.308599003</v>
          </cell>
          <cell r="E1766">
            <v>2280394444</v>
          </cell>
          <cell r="F1766">
            <v>1.2803586336743032E-3</v>
          </cell>
          <cell r="G1766">
            <v>6.9859758341247287E-3</v>
          </cell>
        </row>
        <row r="1767">
          <cell r="B1767">
            <v>96.895300000000006</v>
          </cell>
          <cell r="D1767">
            <v>33435308.558634002</v>
          </cell>
          <cell r="E1767">
            <v>2268350000</v>
          </cell>
          <cell r="F1767">
            <v>7.1340911517680386E-3</v>
          </cell>
          <cell r="G1767">
            <v>9.648598495866724E-3</v>
          </cell>
        </row>
        <row r="1768">
          <cell r="B1768">
            <v>98.298199999999994</v>
          </cell>
          <cell r="D1768">
            <v>34248448.408605002</v>
          </cell>
          <cell r="E1768">
            <v>2251377778</v>
          </cell>
          <cell r="F1768">
            <v>1.4374701585092348E-2</v>
          </cell>
          <cell r="G1768">
            <v>4.0896523041704267E-3</v>
          </cell>
        </row>
        <row r="1769">
          <cell r="B1769">
            <v>97.663899999999998</v>
          </cell>
          <cell r="D1769">
            <v>31900258.214442</v>
          </cell>
          <cell r="E1769">
            <v>2058055556</v>
          </cell>
          <cell r="F1769">
            <v>-6.4737233908326369E-3</v>
          </cell>
          <cell r="G1769">
            <v>4.508267632578381E-3</v>
          </cell>
        </row>
        <row r="1770">
          <cell r="B1770">
            <v>96.895300000000006</v>
          </cell>
          <cell r="D1770">
            <v>30040031.992834002</v>
          </cell>
          <cell r="E1770">
            <v>1908050000</v>
          </cell>
          <cell r="F1770">
            <v>-7.9009781942597813E-3</v>
          </cell>
          <cell r="G1770">
            <v>-1.4635367547150111E-4</v>
          </cell>
        </row>
        <row r="1771">
          <cell r="B1771">
            <v>96.196799999999996</v>
          </cell>
          <cell r="D1771">
            <v>30170398.841510002</v>
          </cell>
          <cell r="E1771">
            <v>2035805556</v>
          </cell>
          <cell r="F1771">
            <v>-7.234921023274765E-3</v>
          </cell>
          <cell r="G1771">
            <v>-5.2714324201361554E-3</v>
          </cell>
        </row>
        <row r="1772">
          <cell r="B1772">
            <v>98.9542</v>
          </cell>
          <cell r="D1772">
            <v>33512969.253651999</v>
          </cell>
          <cell r="E1772">
            <v>1984627778</v>
          </cell>
          <cell r="F1772">
            <v>2.8261023742281965E-2</v>
          </cell>
          <cell r="G1772">
            <v>1.06646417681244E-2</v>
          </cell>
        </row>
        <row r="1773">
          <cell r="B1773">
            <v>99.305400000000006</v>
          </cell>
          <cell r="D1773">
            <v>31673541.895904999</v>
          </cell>
          <cell r="E1773">
            <v>2146538889</v>
          </cell>
          <cell r="F1773">
            <v>3.5428334097862761E-3</v>
          </cell>
          <cell r="G1773">
            <v>2.2195019060886282E-3</v>
          </cell>
        </row>
        <row r="1774">
          <cell r="B1774">
            <v>100.018</v>
          </cell>
          <cell r="D1774">
            <v>30123650.285135999</v>
          </cell>
          <cell r="E1774">
            <v>2095705556</v>
          </cell>
          <cell r="F1774">
            <v>7.1502195528302297E-3</v>
          </cell>
          <cell r="G1774">
            <v>7.5627828542582029E-3</v>
          </cell>
        </row>
        <row r="1775">
          <cell r="B1775">
            <v>101.54</v>
          </cell>
          <cell r="D1775">
            <v>39708904.214077003</v>
          </cell>
          <cell r="E1775">
            <v>2214850000</v>
          </cell>
          <cell r="F1775">
            <v>1.5102639729213121E-2</v>
          </cell>
          <cell r="G1775">
            <v>1.3096912647036883E-2</v>
          </cell>
        </row>
        <row r="1776">
          <cell r="B1776">
            <v>99.598399999999998</v>
          </cell>
          <cell r="D1776">
            <v>34344371.970152996</v>
          </cell>
          <cell r="E1776">
            <v>2171127778</v>
          </cell>
          <cell r="F1776">
            <v>-1.9306709314755439E-2</v>
          </cell>
          <cell r="G1776">
            <v>-1.4258454363476867E-2</v>
          </cell>
        </row>
        <row r="1777">
          <cell r="B1777">
            <v>100.58499999999999</v>
          </cell>
          <cell r="D1777">
            <v>27451404.270513002</v>
          </cell>
          <cell r="E1777">
            <v>1853116667</v>
          </cell>
          <cell r="F1777">
            <v>9.8570409760422289E-3</v>
          </cell>
          <cell r="G1777">
            <v>2.200471333308696E-3</v>
          </cell>
        </row>
        <row r="1778">
          <cell r="B1778">
            <v>100.086</v>
          </cell>
          <cell r="D1778">
            <v>24576801.640422001</v>
          </cell>
          <cell r="E1778">
            <v>1907361111</v>
          </cell>
          <cell r="F1778">
            <v>-4.9733247805617475E-3</v>
          </cell>
          <cell r="G1778">
            <v>1.3747320396555432E-3</v>
          </cell>
        </row>
        <row r="1779">
          <cell r="B1779">
            <v>101.024</v>
          </cell>
          <cell r="D1779">
            <v>33121029.176816002</v>
          </cell>
          <cell r="E1779">
            <v>2118933333</v>
          </cell>
          <cell r="F1779">
            <v>9.3282959756077512E-3</v>
          </cell>
          <cell r="G1779">
            <v>8.4528936024961705E-3</v>
          </cell>
        </row>
        <row r="1780">
          <cell r="B1780">
            <v>99.021500000000003</v>
          </cell>
          <cell r="D1780">
            <v>31273407.179327998</v>
          </cell>
          <cell r="E1780">
            <v>2007116667</v>
          </cell>
          <cell r="F1780">
            <v>-2.0021114102183254E-2</v>
          </cell>
          <cell r="G1780">
            <v>-7.8778091211158478E-3</v>
          </cell>
        </row>
        <row r="1781">
          <cell r="B1781">
            <v>97.024100000000004</v>
          </cell>
          <cell r="D1781">
            <v>33409984.418953001</v>
          </cell>
          <cell r="E1781">
            <v>1946777778</v>
          </cell>
          <cell r="F1781">
            <v>-2.0377597021254107E-2</v>
          </cell>
          <cell r="G1781">
            <v>-1.4572709979783426E-3</v>
          </cell>
        </row>
        <row r="1782">
          <cell r="B1782">
            <v>100.261</v>
          </cell>
          <cell r="D1782">
            <v>52487315.619143002</v>
          </cell>
          <cell r="E1782">
            <v>2148783333</v>
          </cell>
          <cell r="F1782">
            <v>3.2817384600897392E-2</v>
          </cell>
          <cell r="G1782">
            <v>1.5429591679246102E-2</v>
          </cell>
        </row>
        <row r="1783">
          <cell r="B1783">
            <v>98.445400000000006</v>
          </cell>
          <cell r="D1783">
            <v>59027586.188133001</v>
          </cell>
          <cell r="E1783">
            <v>2732027778</v>
          </cell>
          <cell r="F1783">
            <v>-1.8274706085012471E-2</v>
          </cell>
          <cell r="G1783">
            <v>8.560630907940894E-3</v>
          </cell>
        </row>
        <row r="1784">
          <cell r="B1784">
            <v>96.875500000000002</v>
          </cell>
          <cell r="D1784">
            <v>37701691.505248003</v>
          </cell>
          <cell r="E1784">
            <v>2088483333</v>
          </cell>
          <cell r="F1784">
            <v>-1.6075430817514502E-2</v>
          </cell>
          <cell r="G1784">
            <v>8.9823187443282919E-4</v>
          </cell>
        </row>
        <row r="1785">
          <cell r="B1785">
            <v>99.657499999999999</v>
          </cell>
          <cell r="D1785">
            <v>33224036.535512</v>
          </cell>
          <cell r="E1785">
            <v>1866577778</v>
          </cell>
          <cell r="F1785">
            <v>2.8312658298117074E-2</v>
          </cell>
          <cell r="G1785">
            <v>6.7533489353567532E-3</v>
          </cell>
        </row>
        <row r="1786">
          <cell r="B1786">
            <v>101.071</v>
          </cell>
          <cell r="D1786">
            <v>28990921.532894</v>
          </cell>
          <cell r="E1786">
            <v>1978016667</v>
          </cell>
          <cell r="F1786">
            <v>1.4083932921772405E-2</v>
          </cell>
          <cell r="G1786">
            <v>4.697431279443067E-3</v>
          </cell>
        </row>
        <row r="1787">
          <cell r="B1787">
            <v>99.93</v>
          </cell>
          <cell r="D1787">
            <v>21865982.256623</v>
          </cell>
          <cell r="E1787">
            <v>1929272222</v>
          </cell>
          <cell r="F1787">
            <v>-1.1353299296705822E-2</v>
          </cell>
          <cell r="G1787">
            <v>-2.2269728784431774E-3</v>
          </cell>
        </row>
        <row r="1788">
          <cell r="B1788">
            <v>99.197299999999998</v>
          </cell>
          <cell r="D1788">
            <v>31574695.333799999</v>
          </cell>
          <cell r="E1788">
            <v>2277494444</v>
          </cell>
          <cell r="F1788">
            <v>-7.3591446952158916E-3</v>
          </cell>
          <cell r="G1788">
            <v>-9.4011719208093036E-3</v>
          </cell>
        </row>
        <row r="1789">
          <cell r="B1789">
            <v>99.588499999999996</v>
          </cell>
          <cell r="D1789">
            <v>22769206.833753001</v>
          </cell>
          <cell r="E1789">
            <v>2012405556</v>
          </cell>
          <cell r="F1789">
            <v>3.9358998984485288E-3</v>
          </cell>
          <cell r="G1789">
            <v>6.7603388654662077E-4</v>
          </cell>
        </row>
        <row r="1790">
          <cell r="B1790">
            <v>99.177599999999998</v>
          </cell>
          <cell r="D1790">
            <v>20066991.616918001</v>
          </cell>
          <cell r="E1790">
            <v>1867761111</v>
          </cell>
          <cell r="F1790">
            <v>-4.1345137358318419E-3</v>
          </cell>
          <cell r="G1790">
            <v>7.0879050825508596E-4</v>
          </cell>
        </row>
        <row r="1791">
          <cell r="B1791">
            <v>100.76</v>
          </cell>
          <cell r="D1791">
            <v>26583864.871814001</v>
          </cell>
          <cell r="E1791">
            <v>2126538889</v>
          </cell>
          <cell r="F1791">
            <v>1.5829269143310658E-2</v>
          </cell>
          <cell r="G1791">
            <v>1.2807878037835878E-2</v>
          </cell>
        </row>
        <row r="1792">
          <cell r="B1792">
            <v>100.681</v>
          </cell>
          <cell r="D1792">
            <v>19516086.381572999</v>
          </cell>
          <cell r="E1792">
            <v>2039316667</v>
          </cell>
          <cell r="F1792">
            <v>-7.8434880734404094E-4</v>
          </cell>
          <cell r="G1792">
            <v>3.0194138361176875E-3</v>
          </cell>
        </row>
        <row r="1793">
          <cell r="B1793">
            <v>100.77</v>
          </cell>
          <cell r="D1793">
            <v>23112543.195891999</v>
          </cell>
          <cell r="E1793">
            <v>2131500000</v>
          </cell>
          <cell r="F1793">
            <v>8.8358961524562273E-4</v>
          </cell>
          <cell r="G1793">
            <v>-2.6551456286969719E-3</v>
          </cell>
        </row>
        <row r="1794">
          <cell r="B1794">
            <v>101.989</v>
          </cell>
          <cell r="D1794">
            <v>28228651.106984001</v>
          </cell>
          <cell r="E1794">
            <v>2022983333</v>
          </cell>
          <cell r="F1794">
            <v>1.2024272039215874E-2</v>
          </cell>
          <cell r="G1794">
            <v>1.0819962367806283E-2</v>
          </cell>
        </row>
        <row r="1795">
          <cell r="B1795">
            <v>101.941</v>
          </cell>
          <cell r="D1795">
            <v>19137952.491257999</v>
          </cell>
          <cell r="E1795">
            <v>1963172222</v>
          </cell>
          <cell r="F1795">
            <v>-4.707497757703501E-4</v>
          </cell>
          <cell r="G1795">
            <v>1.4976529973075329E-3</v>
          </cell>
        </row>
        <row r="1796">
          <cell r="B1796">
            <v>101.444</v>
          </cell>
          <cell r="D1796">
            <v>22827230.698406</v>
          </cell>
          <cell r="E1796">
            <v>2130805556</v>
          </cell>
          <cell r="F1796">
            <v>-4.8872924676124623E-3</v>
          </cell>
          <cell r="G1796">
            <v>1.7755546082880141E-3</v>
          </cell>
        </row>
        <row r="1797">
          <cell r="B1797">
            <v>103.57299999999999</v>
          </cell>
          <cell r="D1797">
            <v>30703588.952985998</v>
          </cell>
          <cell r="E1797">
            <v>1977616667</v>
          </cell>
          <cell r="F1797">
            <v>2.0769756009910434E-2</v>
          </cell>
          <cell r="G1797">
            <v>-3.5326446287138233E-3</v>
          </cell>
        </row>
        <row r="1798">
          <cell r="B1798">
            <v>105.048</v>
          </cell>
          <cell r="D1798">
            <v>29330202.551704001</v>
          </cell>
          <cell r="E1798">
            <v>1904338889</v>
          </cell>
          <cell r="F1798">
            <v>1.4140710458649388E-2</v>
          </cell>
          <cell r="G1798">
            <v>6.3906244381742427E-3</v>
          </cell>
        </row>
        <row r="1799">
          <cell r="B1799">
            <v>105.624</v>
          </cell>
          <cell r="D1799">
            <v>25091107.427806001</v>
          </cell>
          <cell r="E1799">
            <v>2113544444</v>
          </cell>
          <cell r="F1799">
            <v>5.4682296201959005E-3</v>
          </cell>
          <cell r="G1799">
            <v>1.2310380564024776E-3</v>
          </cell>
        </row>
        <row r="1800">
          <cell r="B1800">
            <v>106.357</v>
          </cell>
          <cell r="D1800">
            <v>22752290.287969001</v>
          </cell>
          <cell r="E1800">
            <v>2025377778</v>
          </cell>
          <cell r="F1800">
            <v>6.9157417076037642E-3</v>
          </cell>
          <cell r="G1800">
            <v>-7.9069630113047843E-4</v>
          </cell>
        </row>
        <row r="1801">
          <cell r="B1801">
            <v>106.18</v>
          </cell>
          <cell r="D1801">
            <v>22699814.493375</v>
          </cell>
          <cell r="E1801">
            <v>2092850000</v>
          </cell>
          <cell r="F1801">
            <v>-1.6655927289782777E-3</v>
          </cell>
          <cell r="G1801">
            <v>-5.4419042278991056E-4</v>
          </cell>
        </row>
        <row r="1802">
          <cell r="B1802">
            <v>106.044</v>
          </cell>
          <cell r="D1802">
            <v>30725462.825808</v>
          </cell>
          <cell r="E1802">
            <v>2442738889</v>
          </cell>
          <cell r="F1802">
            <v>-1.2816648316578121E-3</v>
          </cell>
          <cell r="G1802">
            <v>-2.8295460586895897E-3</v>
          </cell>
        </row>
        <row r="1803">
          <cell r="B1803">
            <v>106.514</v>
          </cell>
          <cell r="D1803">
            <v>24827598.159697</v>
          </cell>
          <cell r="E1803">
            <v>2206822222</v>
          </cell>
          <cell r="F1803">
            <v>4.4223295851693722E-3</v>
          </cell>
          <cell r="G1803">
            <v>6.8716739803607518E-3</v>
          </cell>
        </row>
        <row r="1804">
          <cell r="B1804">
            <v>106.26900000000001</v>
          </cell>
          <cell r="D1804">
            <v>28109796.068558998</v>
          </cell>
          <cell r="E1804">
            <v>2177672222</v>
          </cell>
          <cell r="F1804">
            <v>-2.3028165621204358E-3</v>
          </cell>
          <cell r="G1804">
            <v>-3.8881492742662512E-3</v>
          </cell>
        </row>
        <row r="1805">
          <cell r="B1805">
            <v>105.721</v>
          </cell>
          <cell r="D1805">
            <v>20641082.236017</v>
          </cell>
          <cell r="E1805">
            <v>1992050000</v>
          </cell>
          <cell r="F1805">
            <v>-5.1700667073986762E-3</v>
          </cell>
          <cell r="G1805">
            <v>-1.1321175028613038E-3</v>
          </cell>
        </row>
        <row r="1806">
          <cell r="B1806">
            <v>105.76900000000001</v>
          </cell>
          <cell r="D1806">
            <v>18685268.265184999</v>
          </cell>
          <cell r="E1806">
            <v>2103666667</v>
          </cell>
          <cell r="F1806">
            <v>4.5392217905511968E-4</v>
          </cell>
          <cell r="G1806">
            <v>-6.5454909924979043E-3</v>
          </cell>
        </row>
        <row r="1807">
          <cell r="B1807">
            <v>104.482</v>
          </cell>
          <cell r="D1807">
            <v>26769110.416067999</v>
          </cell>
          <cell r="E1807">
            <v>2169366667</v>
          </cell>
          <cell r="F1807">
            <v>-1.2242663054064034E-2</v>
          </cell>
          <cell r="G1807">
            <v>-8.1589038889600621E-3</v>
          </cell>
        </row>
        <row r="1808">
          <cell r="B1808">
            <v>104.598</v>
          </cell>
          <cell r="D1808">
            <v>24106325.504126001</v>
          </cell>
          <cell r="E1808">
            <v>1901738889</v>
          </cell>
          <cell r="F1808">
            <v>1.1096232246241644E-3</v>
          </cell>
          <cell r="G1808">
            <v>-2.1340139198386563E-3</v>
          </cell>
        </row>
        <row r="1809">
          <cell r="B1809">
            <v>106.807</v>
          </cell>
          <cell r="D1809">
            <v>27986833.472082</v>
          </cell>
          <cell r="E1809">
            <v>2082794444</v>
          </cell>
          <cell r="F1809">
            <v>2.089903646026911E-2</v>
          </cell>
          <cell r="G1809">
            <v>1.455954294099511E-2</v>
          </cell>
        </row>
        <row r="1810">
          <cell r="B1810">
            <v>107.538</v>
          </cell>
          <cell r="D1810">
            <v>27607673.716072001</v>
          </cell>
          <cell r="E1810">
            <v>1896794444</v>
          </cell>
          <cell r="F1810">
            <v>6.82080602811291E-3</v>
          </cell>
          <cell r="G1810">
            <v>2.9489762744178273E-3</v>
          </cell>
        </row>
        <row r="1811">
          <cell r="B1811">
            <v>108.387</v>
          </cell>
          <cell r="D1811">
            <v>37518205.904237002</v>
          </cell>
          <cell r="E1811">
            <v>2092305556</v>
          </cell>
          <cell r="F1811">
            <v>7.8638821370470065E-3</v>
          </cell>
          <cell r="G1811">
            <v>6.9255815470474699E-3</v>
          </cell>
        </row>
        <row r="1812">
          <cell r="B1812">
            <v>108.476</v>
          </cell>
          <cell r="D1812">
            <v>32499685.259036999</v>
          </cell>
          <cell r="E1812">
            <v>1927627778</v>
          </cell>
          <cell r="F1812">
            <v>8.2079474134946957E-4</v>
          </cell>
          <cell r="G1812">
            <v>-8.6842017060344712E-4</v>
          </cell>
        </row>
        <row r="1813">
          <cell r="B1813">
            <v>109.70699999999999</v>
          </cell>
          <cell r="D1813">
            <v>57714074.714555003</v>
          </cell>
          <cell r="E1813">
            <v>3312627778</v>
          </cell>
          <cell r="F1813">
            <v>1.1284225281454395E-2</v>
          </cell>
          <cell r="G1813">
            <v>4.972519373935739E-3</v>
          </cell>
        </row>
        <row r="1814">
          <cell r="B1814">
            <v>111.288</v>
          </cell>
          <cell r="D1814">
            <v>32968987.076021001</v>
          </cell>
          <cell r="E1814">
            <v>1973438889</v>
          </cell>
          <cell r="F1814">
            <v>1.4308260119903205E-2</v>
          </cell>
          <cell r="G1814">
            <v>3.6991105620370161E-3</v>
          </cell>
        </row>
        <row r="1815">
          <cell r="B1815">
            <v>111.367</v>
          </cell>
          <cell r="D1815">
            <v>39710241.320462003</v>
          </cell>
          <cell r="E1815">
            <v>2011233333</v>
          </cell>
          <cell r="F1815">
            <v>7.0961804868603293E-4</v>
          </cell>
          <cell r="G1815">
            <v>-1.3061489628502955E-4</v>
          </cell>
        </row>
        <row r="1816">
          <cell r="B1816">
            <v>111.24</v>
          </cell>
          <cell r="D1816">
            <v>29700089.587558001</v>
          </cell>
          <cell r="E1816">
            <v>2095111111</v>
          </cell>
          <cell r="F1816">
            <v>-1.1410244401914046E-3</v>
          </cell>
          <cell r="G1816">
            <v>-2.9486656918281009E-3</v>
          </cell>
        </row>
        <row r="1817">
          <cell r="B1817">
            <v>113.80800000000001</v>
          </cell>
          <cell r="D1817">
            <v>31539461.659131002</v>
          </cell>
          <cell r="E1817">
            <v>1970444444</v>
          </cell>
          <cell r="F1817">
            <v>2.2822788625395465E-2</v>
          </cell>
          <cell r="G1817">
            <v>1.0794049627223466E-2</v>
          </cell>
        </row>
        <row r="1818">
          <cell r="B1818">
            <v>110.8</v>
          </cell>
          <cell r="D1818">
            <v>35522331.980405003</v>
          </cell>
          <cell r="E1818">
            <v>2354000000</v>
          </cell>
          <cell r="F1818">
            <v>-2.6786043677976001E-2</v>
          </cell>
          <cell r="G1818">
            <v>-1.9156854235052909E-2</v>
          </cell>
        </row>
        <row r="1819">
          <cell r="B1819">
            <v>111.377</v>
          </cell>
          <cell r="D1819">
            <v>28594814.516559001</v>
          </cell>
          <cell r="E1819">
            <v>1875877778</v>
          </cell>
          <cell r="F1819">
            <v>5.1940686678493145E-3</v>
          </cell>
          <cell r="G1819">
            <v>-8.3942516810502456E-4</v>
          </cell>
        </row>
        <row r="1820">
          <cell r="B1820">
            <v>111.601</v>
          </cell>
          <cell r="D1820">
            <v>27570646.312162999</v>
          </cell>
          <cell r="E1820">
            <v>1814472222</v>
          </cell>
          <cell r="F1820">
            <v>2.0091674995089161E-3</v>
          </cell>
          <cell r="G1820">
            <v>7.1571051948916761E-3</v>
          </cell>
        </row>
        <row r="1821">
          <cell r="B1821">
            <v>110.53700000000001</v>
          </cell>
          <cell r="D1821">
            <v>24016524.374568</v>
          </cell>
          <cell r="E1821">
            <v>1873850000</v>
          </cell>
          <cell r="F1821">
            <v>-9.5797039407220317E-3</v>
          </cell>
          <cell r="G1821">
            <v>-4.6551989086819415E-3</v>
          </cell>
        </row>
        <row r="1822">
          <cell r="B1822">
            <v>110.684</v>
          </cell>
          <cell r="D1822">
            <v>19369589.279383998</v>
          </cell>
          <cell r="E1822">
            <v>1754538889</v>
          </cell>
          <cell r="F1822">
            <v>1.3289879499328468E-3</v>
          </cell>
          <cell r="G1822">
            <v>3.5831172994041961E-3</v>
          </cell>
        </row>
        <row r="1823">
          <cell r="B1823">
            <v>111.63</v>
          </cell>
          <cell r="D1823">
            <v>26833338.618159</v>
          </cell>
          <cell r="E1823">
            <v>2078166667</v>
          </cell>
          <cell r="F1823">
            <v>8.5105365368884373E-3</v>
          </cell>
          <cell r="G1823">
            <v>6.7117196856877198E-3</v>
          </cell>
        </row>
        <row r="1824">
          <cell r="B1824">
            <v>112.657</v>
          </cell>
          <cell r="D1824">
            <v>24075343.745854001</v>
          </cell>
          <cell r="E1824">
            <v>1944866667</v>
          </cell>
          <cell r="F1824">
            <v>9.1579732907711223E-3</v>
          </cell>
          <cell r="G1824">
            <v>1.1502181500052781E-2</v>
          </cell>
        </row>
        <row r="1825">
          <cell r="B1825">
            <v>112.822</v>
          </cell>
          <cell r="D1825">
            <v>19166267.203485999</v>
          </cell>
          <cell r="E1825">
            <v>1803833333</v>
          </cell>
          <cell r="F1825">
            <v>1.4635511905965305E-3</v>
          </cell>
          <cell r="G1825">
            <v>1.7438524840564605E-5</v>
          </cell>
        </row>
        <row r="1826">
          <cell r="B1826">
            <v>113.57599999999999</v>
          </cell>
          <cell r="D1826">
            <v>24151029.495838001</v>
          </cell>
          <cell r="E1826">
            <v>1972355556</v>
          </cell>
          <cell r="F1826">
            <v>6.6608608532643188E-3</v>
          </cell>
          <cell r="G1826">
            <v>2.1461030004631186E-3</v>
          </cell>
        </row>
        <row r="1827">
          <cell r="B1827">
            <v>112.989</v>
          </cell>
          <cell r="D1827">
            <v>21248039.462435</v>
          </cell>
          <cell r="E1827">
            <v>1675100000</v>
          </cell>
          <cell r="F1827">
            <v>-5.1817475200204698E-3</v>
          </cell>
          <cell r="G1827">
            <v>2.0824685638528733E-3</v>
          </cell>
        </row>
        <row r="1828">
          <cell r="B1828">
            <v>113.497</v>
          </cell>
          <cell r="D1828">
            <v>16719496.639914</v>
          </cell>
          <cell r="E1828">
            <v>1748233333</v>
          </cell>
          <cell r="F1828">
            <v>4.4859360128194029E-3</v>
          </cell>
          <cell r="G1828">
            <v>4.6256836918425713E-3</v>
          </cell>
        </row>
        <row r="1829">
          <cell r="B1829">
            <v>113.536</v>
          </cell>
          <cell r="D1829">
            <v>15969358.457998</v>
          </cell>
          <cell r="E1829">
            <v>1696683333</v>
          </cell>
          <cell r="F1829">
            <v>3.4356239298800499E-4</v>
          </cell>
          <cell r="G1829">
            <v>1.0469016298636597E-3</v>
          </cell>
        </row>
        <row r="1830">
          <cell r="B1830">
            <v>112.911</v>
          </cell>
          <cell r="D1830">
            <v>18606018.604540002</v>
          </cell>
          <cell r="E1830">
            <v>1671100000</v>
          </cell>
          <cell r="F1830">
            <v>-5.5200694823878699E-3</v>
          </cell>
          <cell r="G1830">
            <v>-6.0859527261046698E-3</v>
          </cell>
        </row>
        <row r="1831">
          <cell r="B1831">
            <v>113.779</v>
          </cell>
          <cell r="D1831">
            <v>17407156.324802</v>
          </cell>
          <cell r="E1831">
            <v>1701322222</v>
          </cell>
          <cell r="F1831">
            <v>7.6580726283651023E-3</v>
          </cell>
          <cell r="G1831">
            <v>3.4718343144997492E-3</v>
          </cell>
        </row>
        <row r="1832">
          <cell r="B1832">
            <v>113.908</v>
          </cell>
          <cell r="D1832">
            <v>15011099.564944001</v>
          </cell>
          <cell r="E1832">
            <v>1632522222</v>
          </cell>
          <cell r="F1832">
            <v>1.1331346436375032E-3</v>
          </cell>
          <cell r="G1832">
            <v>3.8085148008697833E-5</v>
          </cell>
        </row>
        <row r="1833">
          <cell r="B1833">
            <v>114.483</v>
          </cell>
          <cell r="D1833">
            <v>20859579.343180001</v>
          </cell>
          <cell r="E1833">
            <v>2049161111</v>
          </cell>
          <cell r="F1833">
            <v>5.0352353188981144E-3</v>
          </cell>
          <cell r="G1833">
            <v>6.5876322869365339E-3</v>
          </cell>
        </row>
        <row r="1834">
          <cell r="B1834">
            <v>114.572</v>
          </cell>
          <cell r="D1834">
            <v>16683919.986194</v>
          </cell>
          <cell r="E1834">
            <v>1715738889</v>
          </cell>
          <cell r="F1834">
            <v>7.7710597436313374E-4</v>
          </cell>
          <cell r="G1834">
            <v>-6.2962436214583303E-4</v>
          </cell>
        </row>
        <row r="1835">
          <cell r="B1835">
            <v>114.318</v>
          </cell>
          <cell r="D1835">
            <v>14866011.236401999</v>
          </cell>
          <cell r="E1835">
            <v>1890116667</v>
          </cell>
          <cell r="F1835">
            <v>-2.2194076129330997E-3</v>
          </cell>
          <cell r="G1835">
            <v>5.0923505738616681E-4</v>
          </cell>
        </row>
        <row r="1836">
          <cell r="B1836">
            <v>115.27500000000001</v>
          </cell>
          <cell r="D1836">
            <v>20390302.097831</v>
          </cell>
          <cell r="E1836">
            <v>2001277778</v>
          </cell>
          <cell r="F1836">
            <v>8.3365393757668434E-3</v>
          </cell>
          <cell r="G1836">
            <v>-2.2763638303940604E-3</v>
          </cell>
        </row>
        <row r="1837">
          <cell r="B1837">
            <v>116.768</v>
          </cell>
          <cell r="D1837">
            <v>29570838.700564999</v>
          </cell>
          <cell r="E1837">
            <v>1948250000</v>
          </cell>
          <cell r="F1837">
            <v>1.2868482161267887E-2</v>
          </cell>
          <cell r="G1837">
            <v>1.5778199046987368E-3</v>
          </cell>
        </row>
        <row r="1838">
          <cell r="B1838">
            <v>117.14</v>
          </cell>
          <cell r="D1838">
            <v>16531953.647934999</v>
          </cell>
          <cell r="E1838">
            <v>1665527778</v>
          </cell>
          <cell r="F1838">
            <v>3.1807404075989702E-3</v>
          </cell>
          <cell r="G1838">
            <v>1.0115259764941317E-3</v>
          </cell>
        </row>
        <row r="1839">
          <cell r="B1839">
            <v>118.76</v>
          </cell>
          <cell r="D1839">
            <v>25381546.182310998</v>
          </cell>
          <cell r="E1839">
            <v>2019461111</v>
          </cell>
          <cell r="F1839">
            <v>1.3734849233922821E-2</v>
          </cell>
          <cell r="G1839">
            <v>8.8023644018914056E-3</v>
          </cell>
        </row>
        <row r="1840">
          <cell r="B1840">
            <v>118.34</v>
          </cell>
          <cell r="D1840">
            <v>33021156.749015</v>
          </cell>
          <cell r="E1840">
            <v>1916088889</v>
          </cell>
          <cell r="F1840">
            <v>-3.5428126470111059E-3</v>
          </cell>
          <cell r="G1840">
            <v>-2.1941919046150143E-3</v>
          </cell>
        </row>
        <row r="1841">
          <cell r="B1841">
            <v>122.25</v>
          </cell>
          <cell r="D1841">
            <v>40180563.884049997</v>
          </cell>
          <cell r="E1841">
            <v>1902933333</v>
          </cell>
          <cell r="F1841">
            <v>3.2506291106433348E-2</v>
          </cell>
          <cell r="G1841">
            <v>-3.6901504155019838E-4</v>
          </cell>
        </row>
        <row r="1842">
          <cell r="B1842">
            <v>122.95099999999999</v>
          </cell>
          <cell r="D1842">
            <v>24990042.251968</v>
          </cell>
          <cell r="E1842">
            <v>1804722222</v>
          </cell>
          <cell r="F1842">
            <v>5.7177736617001762E-3</v>
          </cell>
          <cell r="G1842">
            <v>4.6743634859040149E-3</v>
          </cell>
        </row>
        <row r="1843">
          <cell r="B1843">
            <v>122.834</v>
          </cell>
          <cell r="D1843">
            <v>17245536.406066999</v>
          </cell>
          <cell r="E1843">
            <v>1732655556</v>
          </cell>
          <cell r="F1843">
            <v>-9.5205166171579054E-4</v>
          </cell>
          <cell r="G1843">
            <v>1.0708986882482718E-3</v>
          </cell>
        </row>
        <row r="1844">
          <cell r="B1844">
            <v>123.646</v>
          </cell>
          <cell r="D1844">
            <v>25530485.090571001</v>
          </cell>
          <cell r="E1844">
            <v>2177405556</v>
          </cell>
          <cell r="F1844">
            <v>6.5887937159761793E-3</v>
          </cell>
          <cell r="G1844">
            <v>9.5094813291652096E-4</v>
          </cell>
        </row>
        <row r="1845">
          <cell r="B1845">
            <v>121.04600000000001</v>
          </cell>
          <cell r="D1845">
            <v>28335537.712303001</v>
          </cell>
          <cell r="E1845">
            <v>2025472222</v>
          </cell>
          <cell r="F1845">
            <v>-2.1252005429458997E-2</v>
          </cell>
          <cell r="G1845">
            <v>-7.5304126495015673E-3</v>
          </cell>
        </row>
        <row r="1846">
          <cell r="B1846">
            <v>119.477</v>
          </cell>
          <cell r="D1846">
            <v>28893834.914030999</v>
          </cell>
          <cell r="E1846">
            <v>2099383333</v>
          </cell>
          <cell r="F1846">
            <v>-1.3046754413626235E-2</v>
          </cell>
          <cell r="G1846">
            <v>-2.1262580234037609E-3</v>
          </cell>
        </row>
        <row r="1847">
          <cell r="B1847">
            <v>122.005</v>
          </cell>
          <cell r="D1847">
            <v>26317135.695912</v>
          </cell>
          <cell r="E1847">
            <v>1854511111</v>
          </cell>
          <cell r="F1847">
            <v>2.0938143272151915E-2</v>
          </cell>
          <cell r="G1847">
            <v>9.5921706414815368E-3</v>
          </cell>
        </row>
        <row r="1848">
          <cell r="B1848">
            <v>121.301</v>
          </cell>
          <cell r="D1848">
            <v>25607563.233114</v>
          </cell>
          <cell r="E1848">
            <v>1767511111</v>
          </cell>
          <cell r="F1848">
            <v>-5.7869675609028507E-3</v>
          </cell>
          <cell r="G1848">
            <v>-4.4810396666553265E-3</v>
          </cell>
        </row>
        <row r="1849">
          <cell r="B1849">
            <v>118.82899999999999</v>
          </cell>
          <cell r="D1849">
            <v>38050533.960905999</v>
          </cell>
          <cell r="E1849">
            <v>2092833333</v>
          </cell>
          <cell r="F1849">
            <v>-2.0589575055901241E-2</v>
          </cell>
          <cell r="G1849">
            <v>-1.6649515009818341E-2</v>
          </cell>
        </row>
        <row r="1850">
          <cell r="B1850">
            <v>118.819</v>
          </cell>
          <cell r="D1850">
            <v>30022993.612702999</v>
          </cell>
          <cell r="E1850">
            <v>1936550000</v>
          </cell>
          <cell r="F1850">
            <v>-8.4158082591853403E-5</v>
          </cell>
          <cell r="G1850">
            <v>-1.6066713268179022E-3</v>
          </cell>
        </row>
        <row r="1851">
          <cell r="B1851">
            <v>118.819</v>
          </cell>
          <cell r="D1851">
            <v>28773055.097656</v>
          </cell>
          <cell r="E1851">
            <v>2021566667</v>
          </cell>
          <cell r="F1851">
            <v>0</v>
          </cell>
          <cell r="G1851">
            <v>-3.0260155887187833E-3</v>
          </cell>
        </row>
        <row r="1852">
          <cell r="B1852">
            <v>120.324</v>
          </cell>
          <cell r="D1852">
            <v>32659961.928479001</v>
          </cell>
          <cell r="E1852">
            <v>1960888889</v>
          </cell>
          <cell r="F1852">
            <v>1.2586777529175853E-2</v>
          </cell>
          <cell r="G1852">
            <v>3.7134177564540913E-3</v>
          </cell>
        </row>
        <row r="1853">
          <cell r="B1853">
            <v>116.749</v>
          </cell>
          <cell r="D1853">
            <v>35860809.302037999</v>
          </cell>
          <cell r="E1853">
            <v>2163350000</v>
          </cell>
          <cell r="F1853">
            <v>-3.0161773127956978E-2</v>
          </cell>
          <cell r="G1853">
            <v>-2.4426544706444165E-2</v>
          </cell>
        </row>
        <row r="1854">
          <cell r="B1854">
            <v>118.069</v>
          </cell>
          <cell r="D1854">
            <v>26692372.181120999</v>
          </cell>
          <cell r="E1854">
            <v>1845955556</v>
          </cell>
          <cell r="F1854">
            <v>1.1242868129359091E-2</v>
          </cell>
          <cell r="G1854">
            <v>7.9840602076551824E-3</v>
          </cell>
        </row>
        <row r="1855">
          <cell r="B1855">
            <v>119.73699999999999</v>
          </cell>
          <cell r="D1855">
            <v>26021762.138363</v>
          </cell>
          <cell r="E1855">
            <v>1736638889</v>
          </cell>
          <cell r="F1855">
            <v>1.402847156786859E-2</v>
          </cell>
          <cell r="G1855">
            <v>5.8219770208102466E-3</v>
          </cell>
        </row>
        <row r="1856">
          <cell r="B1856">
            <v>122.49299999999999</v>
          </cell>
          <cell r="D1856">
            <v>31694459.522659998</v>
          </cell>
          <cell r="E1856">
            <v>1854477778</v>
          </cell>
          <cell r="F1856">
            <v>2.2756214595863987E-2</v>
          </cell>
          <cell r="G1856">
            <v>8.8559196487121624E-3</v>
          </cell>
        </row>
        <row r="1857">
          <cell r="B1857">
            <v>121.663</v>
          </cell>
          <cell r="D1857">
            <v>27124650.689468</v>
          </cell>
          <cell r="E1857">
            <v>1809972222</v>
          </cell>
          <cell r="F1857">
            <v>-6.798958020971249E-3</v>
          </cell>
          <cell r="G1857">
            <v>-5.8544236531281706E-3</v>
          </cell>
        </row>
        <row r="1858">
          <cell r="B1858">
            <v>119.90600000000001</v>
          </cell>
          <cell r="D1858">
            <v>24952613.511379998</v>
          </cell>
          <cell r="E1858">
            <v>1827150000</v>
          </cell>
          <cell r="F1858">
            <v>-1.4546824991110084E-2</v>
          </cell>
          <cell r="G1858">
            <v>-6.7722408534153554E-3</v>
          </cell>
        </row>
        <row r="1859">
          <cell r="B1859">
            <v>120.548</v>
          </cell>
          <cell r="D1859">
            <v>16096843.258839</v>
          </cell>
          <cell r="E1859">
            <v>1788166667</v>
          </cell>
          <cell r="F1859">
            <v>5.3399113804156635E-3</v>
          </cell>
          <cell r="G1859">
            <v>8.4599047136238066E-3</v>
          </cell>
        </row>
        <row r="1860">
          <cell r="B1860">
            <v>121.291</v>
          </cell>
          <cell r="D1860">
            <v>16205492.878854999</v>
          </cell>
          <cell r="E1860">
            <v>1773616667</v>
          </cell>
          <cell r="F1860">
            <v>6.1446031263222281E-3</v>
          </cell>
          <cell r="G1860">
            <v>-2.8283616990028514E-3</v>
          </cell>
        </row>
        <row r="1861">
          <cell r="B1861">
            <v>119.877</v>
          </cell>
          <cell r="D1861">
            <v>24844069.344624002</v>
          </cell>
          <cell r="E1861">
            <v>2162211111</v>
          </cell>
          <cell r="F1861">
            <v>-1.1726399879273994E-2</v>
          </cell>
          <cell r="G1861">
            <v>-1.1985681943016436E-2</v>
          </cell>
        </row>
        <row r="1862">
          <cell r="B1862">
            <v>119.92400000000001</v>
          </cell>
          <cell r="D1862">
            <v>14865466.565195</v>
          </cell>
          <cell r="E1862">
            <v>1604105556</v>
          </cell>
          <cell r="F1862">
            <v>3.919916981317711E-4</v>
          </cell>
          <cell r="G1862">
            <v>1.3526195784275823E-3</v>
          </cell>
        </row>
        <row r="1863">
          <cell r="B1863">
            <v>119.867</v>
          </cell>
          <cell r="D1863">
            <v>24343636.291933998</v>
          </cell>
          <cell r="E1863">
            <v>2289672222</v>
          </cell>
          <cell r="F1863">
            <v>-4.7541401531823839E-4</v>
          </cell>
          <cell r="G1863">
            <v>-8.4108909346528385E-3</v>
          </cell>
        </row>
        <row r="1864">
          <cell r="B1864">
            <v>118.72199999999999</v>
          </cell>
          <cell r="D1864">
            <v>23959227.420736</v>
          </cell>
          <cell r="E1864">
            <v>2055583333</v>
          </cell>
          <cell r="F1864">
            <v>-9.5981691547617608E-3</v>
          </cell>
          <cell r="G1864">
            <v>-6.9359555174738127E-3</v>
          </cell>
        </row>
        <row r="1865">
          <cell r="B1865">
            <v>119.467</v>
          </cell>
          <cell r="D1865">
            <v>17713924.977341998</v>
          </cell>
          <cell r="E1865">
            <v>1818772222</v>
          </cell>
          <cell r="F1865">
            <v>6.2555569689866919E-3</v>
          </cell>
          <cell r="G1865">
            <v>2.0962411748005594E-3</v>
          </cell>
        </row>
        <row r="1866">
          <cell r="B1866">
            <v>117.511</v>
          </cell>
          <cell r="D1866">
            <v>28046921.353943001</v>
          </cell>
          <cell r="E1866">
            <v>2211677778</v>
          </cell>
          <cell r="F1866">
            <v>-1.6508236383654212E-2</v>
          </cell>
          <cell r="G1866">
            <v>-1.3283188023120184E-2</v>
          </cell>
        </row>
        <row r="1867">
          <cell r="B1867">
            <v>113.858</v>
          </cell>
          <cell r="D1867">
            <v>39979483.969700001</v>
          </cell>
          <cell r="E1867">
            <v>2191005556</v>
          </cell>
          <cell r="F1867">
            <v>-3.1579888286259822E-2</v>
          </cell>
          <cell r="G1867">
            <v>-2.7690315718501501E-3</v>
          </cell>
        </row>
        <row r="1868">
          <cell r="B1868">
            <v>117.004</v>
          </cell>
          <cell r="D1868">
            <v>30926549.906883001</v>
          </cell>
          <cell r="E1868">
            <v>2116905556</v>
          </cell>
          <cell r="F1868">
            <v>2.7256064310116193E-2</v>
          </cell>
          <cell r="G1868">
            <v>2.1205902322179549E-2</v>
          </cell>
        </row>
        <row r="1869">
          <cell r="B1869">
            <v>119.554</v>
          </cell>
          <cell r="D1869">
            <v>26235881.399507001</v>
          </cell>
          <cell r="E1869">
            <v>1971572222</v>
          </cell>
          <cell r="F1869">
            <v>2.1560029900901521E-2</v>
          </cell>
          <cell r="G1869">
            <v>8.1287685006414707E-3</v>
          </cell>
        </row>
        <row r="1870">
          <cell r="B1870">
            <v>121.437</v>
          </cell>
          <cell r="D1870">
            <v>22586519.810826</v>
          </cell>
          <cell r="E1870">
            <v>1886894444</v>
          </cell>
          <cell r="F1870">
            <v>1.5627457636421441E-2</v>
          </cell>
          <cell r="G1870">
            <v>6.1168095558660623E-3</v>
          </cell>
        </row>
        <row r="1871">
          <cell r="B1871">
            <v>124.837</v>
          </cell>
          <cell r="D1871">
            <v>35666103.678923003</v>
          </cell>
          <cell r="E1871">
            <v>1789027778</v>
          </cell>
          <cell r="F1871">
            <v>2.761327656959375E-2</v>
          </cell>
          <cell r="G1871">
            <v>1.0442945224567081E-2</v>
          </cell>
        </row>
        <row r="1872">
          <cell r="B1872">
            <v>125.968</v>
          </cell>
          <cell r="D1872">
            <v>27868335.746160999</v>
          </cell>
          <cell r="E1872">
            <v>1782894444</v>
          </cell>
          <cell r="F1872">
            <v>9.0190200876480494E-3</v>
          </cell>
          <cell r="G1872">
            <v>4.6492574289522378E-3</v>
          </cell>
        </row>
        <row r="1873">
          <cell r="B1873">
            <v>125.49</v>
          </cell>
          <cell r="D1873">
            <v>25170277.230643999</v>
          </cell>
          <cell r="E1873">
            <v>1971344444</v>
          </cell>
          <cell r="F1873">
            <v>-3.801832319894755E-3</v>
          </cell>
          <cell r="G1873">
            <v>-3.4993807146250003E-4</v>
          </cell>
        </row>
        <row r="1874">
          <cell r="B1874">
            <v>124.926</v>
          </cell>
          <cell r="D1874">
            <v>17990587.236049</v>
          </cell>
          <cell r="E1874">
            <v>1685627778</v>
          </cell>
          <cell r="F1874">
            <v>-4.5045121211045409E-3</v>
          </cell>
          <cell r="G1874">
            <v>-2.0396984988729416E-3</v>
          </cell>
        </row>
        <row r="1875">
          <cell r="B1875">
            <v>125.69499999999999</v>
          </cell>
          <cell r="D1875">
            <v>18104666.163231999</v>
          </cell>
          <cell r="E1875">
            <v>1705450000</v>
          </cell>
          <cell r="F1875">
            <v>6.136775556539251E-3</v>
          </cell>
          <cell r="G1875">
            <v>4.0890781712417494E-3</v>
          </cell>
        </row>
        <row r="1876">
          <cell r="B1876">
            <v>125.824</v>
          </cell>
          <cell r="D1876">
            <v>18758142.610778999</v>
          </cell>
          <cell r="E1876">
            <v>1623516667</v>
          </cell>
          <cell r="F1876">
            <v>1.0257675269951397E-3</v>
          </cell>
          <cell r="G1876">
            <v>-1.612842169983723E-3</v>
          </cell>
        </row>
        <row r="1877">
          <cell r="B1877">
            <v>126.203</v>
          </cell>
          <cell r="D1877">
            <v>15280620.692694001</v>
          </cell>
          <cell r="E1877">
            <v>1561188889</v>
          </cell>
          <cell r="F1877">
            <v>3.0076165307298024E-3</v>
          </cell>
          <cell r="G1877">
            <v>9.3133570302482102E-4</v>
          </cell>
        </row>
        <row r="1878">
          <cell r="B1878">
            <v>128.40199999999999</v>
          </cell>
          <cell r="D1878">
            <v>27297183.484887999</v>
          </cell>
          <cell r="E1878">
            <v>1909788889</v>
          </cell>
          <cell r="F1878">
            <v>1.7274245843162058E-2</v>
          </cell>
          <cell r="G1878">
            <v>9.670462557011119E-3</v>
          </cell>
        </row>
        <row r="1879">
          <cell r="B1879">
            <v>128.91900000000001</v>
          </cell>
          <cell r="D1879">
            <v>24992090.911903001</v>
          </cell>
          <cell r="E1879">
            <v>1826605556</v>
          </cell>
          <cell r="F1879">
            <v>4.0183327102437895E-3</v>
          </cell>
          <cell r="G1879">
            <v>2.9807301410620332E-3</v>
          </cell>
        </row>
        <row r="1880">
          <cell r="B1880">
            <v>130.11000000000001</v>
          </cell>
          <cell r="D1880">
            <v>34778810.734603003</v>
          </cell>
          <cell r="E1880">
            <v>2169966667</v>
          </cell>
          <cell r="F1880">
            <v>9.1959463466021862E-3</v>
          </cell>
          <cell r="G1880">
            <v>9.4276151277163066E-3</v>
          </cell>
        </row>
        <row r="1881">
          <cell r="B1881">
            <v>130.13</v>
          </cell>
          <cell r="D1881">
            <v>38657755.332382999</v>
          </cell>
          <cell r="E1881">
            <v>2777844444</v>
          </cell>
          <cell r="F1881">
            <v>1.5370427328120946E-4</v>
          </cell>
          <cell r="G1881">
            <v>-1.2600261801485599E-3</v>
          </cell>
        </row>
        <row r="1882">
          <cell r="B1882">
            <v>130.89400000000001</v>
          </cell>
          <cell r="D1882">
            <v>21712783.241420001</v>
          </cell>
          <cell r="E1882">
            <v>1742361111</v>
          </cell>
          <cell r="F1882">
            <v>5.8538845602384886E-3</v>
          </cell>
          <cell r="G1882">
            <v>-1.7334348561240606E-3</v>
          </cell>
        </row>
        <row r="1883">
          <cell r="B1883">
            <v>126.77</v>
          </cell>
          <cell r="D1883">
            <v>35078606.162346996</v>
          </cell>
          <cell r="E1883">
            <v>1987805556</v>
          </cell>
          <cell r="F1883">
            <v>-3.2013414398269026E-2</v>
          </cell>
          <cell r="G1883">
            <v>-9.5417023155633419E-3</v>
          </cell>
        </row>
        <row r="1884">
          <cell r="B1884">
            <v>127.259</v>
          </cell>
          <cell r="D1884">
            <v>24900840.055973001</v>
          </cell>
          <cell r="E1884">
            <v>1932294444</v>
          </cell>
          <cell r="F1884">
            <v>3.8499588944870024E-3</v>
          </cell>
          <cell r="G1884">
            <v>-1.2347459021461497E-3</v>
          </cell>
        </row>
        <row r="1885">
          <cell r="B1885">
            <v>127.45399999999999</v>
          </cell>
          <cell r="D1885">
            <v>17427493.446717001</v>
          </cell>
          <cell r="E1885">
            <v>1734955556</v>
          </cell>
          <cell r="F1885">
            <v>1.5311353413142348E-3</v>
          </cell>
          <cell r="G1885">
            <v>3.8159225573172161E-3</v>
          </cell>
        </row>
        <row r="1886">
          <cell r="B1886">
            <v>127.288</v>
          </cell>
          <cell r="D1886">
            <v>31621574.938885</v>
          </cell>
          <cell r="E1886">
            <v>3011500000</v>
          </cell>
          <cell r="F1886">
            <v>-1.3032795808813409E-3</v>
          </cell>
          <cell r="G1886">
            <v>5.7409118108132217E-3</v>
          </cell>
        </row>
        <row r="1887">
          <cell r="B1887">
            <v>128.90899999999999</v>
          </cell>
          <cell r="D1887">
            <v>23844521.916901998</v>
          </cell>
          <cell r="E1887">
            <v>1951816667</v>
          </cell>
          <cell r="F1887">
            <v>1.2654493469280416E-2</v>
          </cell>
          <cell r="G1887">
            <v>7.6429955755801899E-3</v>
          </cell>
        </row>
        <row r="1888">
          <cell r="B1888">
            <v>129.75899999999999</v>
          </cell>
          <cell r="D1888">
            <v>16038516.344039001</v>
          </cell>
          <cell r="E1888">
            <v>1781577778</v>
          </cell>
          <cell r="F1888">
            <v>6.5721547274296601E-3</v>
          </cell>
          <cell r="G1888">
            <v>2.9238703472561083E-3</v>
          </cell>
        </row>
        <row r="1889">
          <cell r="B1889">
            <v>130.589</v>
          </cell>
          <cell r="D1889">
            <v>14345446.849226</v>
          </cell>
          <cell r="E1889">
            <v>1090955556</v>
          </cell>
          <cell r="F1889">
            <v>6.3761028465540706E-3</v>
          </cell>
          <cell r="G1889">
            <v>7.6430761271929189E-3</v>
          </cell>
        </row>
        <row r="1890">
          <cell r="B1890">
            <v>130.21799999999999</v>
          </cell>
          <cell r="D1890">
            <v>19094364.461229999</v>
          </cell>
          <cell r="E1890">
            <v>1352338889</v>
          </cell>
          <cell r="F1890">
            <v>-2.8450175819157309E-3</v>
          </cell>
          <cell r="G1890">
            <v>-1.8074819954691978E-3</v>
          </cell>
        </row>
        <row r="1891">
          <cell r="B1891">
            <v>130.12</v>
          </cell>
          <cell r="D1891">
            <v>17661437.920749001</v>
          </cell>
          <cell r="E1891">
            <v>1613638889</v>
          </cell>
          <cell r="F1891">
            <v>-7.5286746175296112E-4</v>
          </cell>
          <cell r="G1891">
            <v>-4.8471859933760311E-3</v>
          </cell>
        </row>
        <row r="1892">
          <cell r="B1892">
            <v>129.64400000000001</v>
          </cell>
          <cell r="D1892">
            <v>21001532.740825001</v>
          </cell>
          <cell r="E1892">
            <v>1682338889</v>
          </cell>
          <cell r="F1892">
            <v>-3.6648691333165417E-3</v>
          </cell>
          <cell r="G1892">
            <v>1.2358159804265049E-3</v>
          </cell>
        </row>
        <row r="1893">
          <cell r="B1893">
            <v>130.959</v>
          </cell>
          <cell r="D1893">
            <v>25476178.709288001</v>
          </cell>
          <cell r="E1893">
            <v>1752355556</v>
          </cell>
          <cell r="F1893">
            <v>1.0092064642526781E-2</v>
          </cell>
          <cell r="G1893">
            <v>4.5004847673177414E-3</v>
          </cell>
        </row>
        <row r="1894">
          <cell r="B1894">
            <v>131.488</v>
          </cell>
          <cell r="D1894">
            <v>23501163.030765001</v>
          </cell>
          <cell r="E1894">
            <v>1752566667</v>
          </cell>
          <cell r="F1894">
            <v>4.0312955866382639E-3</v>
          </cell>
          <cell r="G1894">
            <v>2.2826717159195975E-3</v>
          </cell>
        </row>
        <row r="1895">
          <cell r="B1895">
            <v>131.96700000000001</v>
          </cell>
          <cell r="D1895">
            <v>19931867.085723002</v>
          </cell>
          <cell r="E1895">
            <v>1652755556</v>
          </cell>
          <cell r="F1895">
            <v>3.636298630162467E-3</v>
          </cell>
          <cell r="G1895">
            <v>4.6094985236418001E-3</v>
          </cell>
        </row>
        <row r="1896">
          <cell r="B1896">
            <v>131.96700000000001</v>
          </cell>
          <cell r="D1896">
            <v>17526406.556997001</v>
          </cell>
          <cell r="E1896">
            <v>1597205556</v>
          </cell>
          <cell r="F1896">
            <v>0</v>
          </cell>
          <cell r="G1896">
            <v>1.7584401022740885E-4</v>
          </cell>
        </row>
        <row r="1897">
          <cell r="B1897">
            <v>130.238</v>
          </cell>
          <cell r="D1897">
            <v>23920272.167422999</v>
          </cell>
          <cell r="E1897">
            <v>1828138889</v>
          </cell>
          <cell r="F1897">
            <v>-1.3188345460196448E-2</v>
          </cell>
          <cell r="G1897">
            <v>-3.4095813595054242E-3</v>
          </cell>
        </row>
        <row r="1898">
          <cell r="B1898">
            <v>129.48599999999999</v>
          </cell>
          <cell r="D1898">
            <v>21272939.741439998</v>
          </cell>
          <cell r="E1898">
            <v>1767555556</v>
          </cell>
          <cell r="F1898">
            <v>-5.7907786835837173E-3</v>
          </cell>
          <cell r="G1898">
            <v>-6.5526262851549463E-3</v>
          </cell>
        </row>
        <row r="1899">
          <cell r="B1899">
            <v>129.614</v>
          </cell>
          <cell r="D1899">
            <v>32427549.086265001</v>
          </cell>
          <cell r="E1899">
            <v>1831433333</v>
          </cell>
          <cell r="F1899">
            <v>9.8803558790395399E-4</v>
          </cell>
          <cell r="G1899">
            <v>3.5755356654507981E-3</v>
          </cell>
        </row>
        <row r="1900">
          <cell r="B1900">
            <v>129.79900000000001</v>
          </cell>
          <cell r="D1900">
            <v>51566663.611018002</v>
          </cell>
          <cell r="E1900">
            <v>1811311111</v>
          </cell>
          <cell r="F1900">
            <v>1.4262973047803843E-3</v>
          </cell>
          <cell r="G1900">
            <v>-6.1958896877547841E-3</v>
          </cell>
        </row>
        <row r="1901">
          <cell r="B1901">
            <v>131.51599999999999</v>
          </cell>
          <cell r="D1901">
            <v>26398628.541923001</v>
          </cell>
          <cell r="E1901">
            <v>1668733333</v>
          </cell>
          <cell r="F1901">
            <v>1.3141417139995868E-2</v>
          </cell>
          <cell r="G1901">
            <v>2.8247279603128136E-3</v>
          </cell>
        </row>
        <row r="1902">
          <cell r="B1902">
            <v>132.34700000000001</v>
          </cell>
          <cell r="D1902">
            <v>18982213.383451998</v>
          </cell>
          <cell r="E1902">
            <v>1840922222</v>
          </cell>
          <cell r="F1902">
            <v>6.2987440257627047E-3</v>
          </cell>
          <cell r="G1902">
            <v>6.8241647017276323E-3</v>
          </cell>
        </row>
        <row r="1903">
          <cell r="B1903">
            <v>133.68600000000001</v>
          </cell>
          <cell r="D1903">
            <v>21827967.892104998</v>
          </cell>
          <cell r="E1903">
            <v>1904988889</v>
          </cell>
          <cell r="F1903">
            <v>1.0066505337499506E-2</v>
          </cell>
          <cell r="G1903">
            <v>4.6771636608934396E-3</v>
          </cell>
        </row>
        <row r="1904">
          <cell r="B1904">
            <v>133.18600000000001</v>
          </cell>
          <cell r="D1904">
            <v>19321443.211358</v>
          </cell>
          <cell r="E1904">
            <v>2025150000</v>
          </cell>
          <cell r="F1904">
            <v>-3.747119106068994E-3</v>
          </cell>
          <cell r="G1904">
            <v>-5.276251069020221E-3</v>
          </cell>
        </row>
        <row r="1905">
          <cell r="B1905">
            <v>134.29</v>
          </cell>
          <cell r="D1905">
            <v>20037928.493687999</v>
          </cell>
          <cell r="E1905">
            <v>1809772222</v>
          </cell>
          <cell r="F1905">
            <v>8.254993115828729E-3</v>
          </cell>
          <cell r="G1905">
            <v>7.3604742596646913E-3</v>
          </cell>
        </row>
        <row r="1906">
          <cell r="B1906">
            <v>133.989</v>
          </cell>
          <cell r="D1906">
            <v>17478424.299862001</v>
          </cell>
          <cell r="E1906">
            <v>1779838889</v>
          </cell>
          <cell r="F1906">
            <v>-2.243933563942954E-3</v>
          </cell>
          <cell r="G1906">
            <v>-1.6173767299502979E-3</v>
          </cell>
        </row>
        <row r="1907">
          <cell r="B1907">
            <v>133.34399999999999</v>
          </cell>
          <cell r="D1907">
            <v>17731726.101927001</v>
          </cell>
          <cell r="E1907">
            <v>2019072222</v>
          </cell>
          <cell r="F1907">
            <v>-4.8254517890979759E-3</v>
          </cell>
          <cell r="G1907">
            <v>-2.5819723830935032E-3</v>
          </cell>
        </row>
        <row r="1908">
          <cell r="B1908">
            <v>129.48599999999999</v>
          </cell>
          <cell r="D1908">
            <v>40626954.700514004</v>
          </cell>
          <cell r="E1908">
            <v>2568572222</v>
          </cell>
          <cell r="F1908">
            <v>-2.9359488052661399E-2</v>
          </cell>
          <cell r="G1908">
            <v>-1.0945190319276599E-2</v>
          </cell>
        </row>
        <row r="1909">
          <cell r="B1909">
            <v>131.15600000000001</v>
          </cell>
          <cell r="D1909">
            <v>42688593.577340998</v>
          </cell>
          <cell r="E1909">
            <v>2645722222</v>
          </cell>
          <cell r="F1909">
            <v>1.2814687221244632E-2</v>
          </cell>
          <cell r="G1909">
            <v>-9.0395867268047228E-3</v>
          </cell>
        </row>
        <row r="1910">
          <cell r="B1910">
            <v>130.06299999999999</v>
          </cell>
          <cell r="D1910">
            <v>32409567.769701</v>
          </cell>
          <cell r="E1910">
            <v>2152588889</v>
          </cell>
          <cell r="F1910">
            <v>-8.36850595654017E-3</v>
          </cell>
          <cell r="G1910">
            <v>-7.3093853544549392E-3</v>
          </cell>
        </row>
        <row r="1911">
          <cell r="B1911">
            <v>125.598</v>
          </cell>
          <cell r="D1911">
            <v>44995821.834795997</v>
          </cell>
          <cell r="E1911">
            <v>2507627778</v>
          </cell>
          <cell r="F1911">
            <v>-3.4932618111648037E-2</v>
          </cell>
          <cell r="G1911">
            <v>-3.0230162083586681E-2</v>
          </cell>
        </row>
        <row r="1912">
          <cell r="B1912">
            <v>127.971</v>
          </cell>
          <cell r="D1912">
            <v>34414693.937326998</v>
          </cell>
          <cell r="E1912">
            <v>2307911111</v>
          </cell>
          <cell r="F1912">
            <v>1.871734541001879E-2</v>
          </cell>
          <cell r="G1912">
            <v>1.2933013700777157E-2</v>
          </cell>
        </row>
        <row r="1913">
          <cell r="B1913">
            <v>128.51900000000001</v>
          </cell>
          <cell r="D1913">
            <v>35170303.402948</v>
          </cell>
          <cell r="E1913">
            <v>2495416667</v>
          </cell>
          <cell r="F1913">
            <v>4.2730775767958491E-3</v>
          </cell>
          <cell r="G1913">
            <v>7.6659588370266651E-4</v>
          </cell>
        </row>
        <row r="1914">
          <cell r="B1914">
            <v>131.958</v>
          </cell>
          <cell r="D1914">
            <v>28941308.333592001</v>
          </cell>
          <cell r="E1914">
            <v>2281316667</v>
          </cell>
          <cell r="F1914">
            <v>2.6406936810361617E-2</v>
          </cell>
          <cell r="G1914">
            <v>1.8588425780336086E-2</v>
          </cell>
        </row>
        <row r="1915">
          <cell r="B1915">
            <v>130.82400000000001</v>
          </cell>
          <cell r="D1915">
            <v>24699757.07017</v>
          </cell>
          <cell r="E1915">
            <v>1861466667</v>
          </cell>
          <cell r="F1915">
            <v>-8.630781707524661E-3</v>
          </cell>
          <cell r="G1915">
            <v>-6.6385297600620738E-3</v>
          </cell>
        </row>
        <row r="1916">
          <cell r="B1916">
            <v>129.01599999999999</v>
          </cell>
          <cell r="D1916">
            <v>21560697.116448</v>
          </cell>
          <cell r="E1916">
            <v>1584238889</v>
          </cell>
          <cell r="F1916">
            <v>-1.3916480751875083E-2</v>
          </cell>
          <cell r="G1916">
            <v>-1.2393825636975902E-2</v>
          </cell>
        </row>
        <row r="1917">
          <cell r="B1917">
            <v>131.67500000000001</v>
          </cell>
          <cell r="D1917">
            <v>26836311.785801001</v>
          </cell>
          <cell r="E1917">
            <v>2140888889</v>
          </cell>
          <cell r="F1917">
            <v>2.040033769123864E-2</v>
          </cell>
          <cell r="G1917">
            <v>1.5018305968787296E-2</v>
          </cell>
        </row>
        <row r="1918">
          <cell r="B1918">
            <v>127.72799999999999</v>
          </cell>
          <cell r="D1918">
            <v>34122765.527546003</v>
          </cell>
          <cell r="E1918">
            <v>2395850000</v>
          </cell>
          <cell r="F1918">
            <v>-3.0433762466010154E-2</v>
          </cell>
          <cell r="G1918">
            <v>-2.9730363473091367E-2</v>
          </cell>
        </row>
        <row r="1919">
          <cell r="B1919">
            <v>127.434</v>
          </cell>
          <cell r="D1919">
            <v>29505012.318486001</v>
          </cell>
          <cell r="E1919">
            <v>2243333333</v>
          </cell>
          <cell r="F1919">
            <v>-2.3044193892784609E-3</v>
          </cell>
          <cell r="G1919">
            <v>2.461236782690441E-3</v>
          </cell>
        </row>
        <row r="1920">
          <cell r="B1920">
            <v>129.75899999999999</v>
          </cell>
          <cell r="D1920">
            <v>26253725.52445</v>
          </cell>
          <cell r="E1920">
            <v>1943416667</v>
          </cell>
          <cell r="F1920">
            <v>1.8080300288100828E-2</v>
          </cell>
          <cell r="G1920">
            <v>1.4323116131046663E-2</v>
          </cell>
        </row>
        <row r="1921">
          <cell r="B1921">
            <v>131.93799999999999</v>
          </cell>
          <cell r="D1921">
            <v>25565957.314847</v>
          </cell>
          <cell r="E1921">
            <v>1784933333</v>
          </cell>
          <cell r="F1921">
            <v>1.6653231472233708E-2</v>
          </cell>
          <cell r="G1921">
            <v>1.2033185301994735E-2</v>
          </cell>
        </row>
        <row r="1922">
          <cell r="B1922">
            <v>130.834</v>
          </cell>
          <cell r="D1922">
            <v>22228351.396472</v>
          </cell>
          <cell r="E1922">
            <v>1703500000</v>
          </cell>
          <cell r="F1922">
            <v>-8.4027711917266396E-3</v>
          </cell>
          <cell r="G1922">
            <v>-7.9462520811493E-3</v>
          </cell>
        </row>
        <row r="1923">
          <cell r="B1923">
            <v>132.30699999999999</v>
          </cell>
          <cell r="D1923">
            <v>15717221.760885</v>
          </cell>
          <cell r="E1923">
            <v>1672883333</v>
          </cell>
          <cell r="F1923">
            <v>1.1195635691359895E-2</v>
          </cell>
          <cell r="G1923">
            <v>8.2130062994995642E-3</v>
          </cell>
        </row>
        <row r="1924">
          <cell r="B1924">
            <v>131.33199999999999</v>
          </cell>
          <cell r="D1924">
            <v>19627402.023814999</v>
          </cell>
          <cell r="E1924">
            <v>1606044444</v>
          </cell>
          <cell r="F1924">
            <v>-7.3965114801071369E-3</v>
          </cell>
          <cell r="G1924">
            <v>-5.0620962947638712E-4</v>
          </cell>
        </row>
        <row r="1925">
          <cell r="B1925">
            <v>127.161</v>
          </cell>
          <cell r="D1925">
            <v>40404628.513814002</v>
          </cell>
          <cell r="E1925">
            <v>2187388889</v>
          </cell>
          <cell r="F1925">
            <v>-3.2274468174135137E-2</v>
          </cell>
          <cell r="G1925">
            <v>-2.6288935558066755E-2</v>
          </cell>
        </row>
        <row r="1926">
          <cell r="B1926">
            <v>129.125</v>
          </cell>
          <cell r="D1926">
            <v>21322260.128777001</v>
          </cell>
          <cell r="E1926">
            <v>1587555556</v>
          </cell>
          <cell r="F1926">
            <v>1.5326927319912467E-2</v>
          </cell>
          <cell r="G1926">
            <v>1.0923191173948981E-2</v>
          </cell>
        </row>
        <row r="1927">
          <cell r="B1927">
            <v>129.40600000000001</v>
          </cell>
          <cell r="D1927">
            <v>24249495.197625998</v>
          </cell>
          <cell r="E1927">
            <v>1963127778</v>
          </cell>
          <cell r="F1927">
            <v>2.1738214036649884E-3</v>
          </cell>
          <cell r="G1927">
            <v>-3.2083318806849889E-3</v>
          </cell>
        </row>
        <row r="1928">
          <cell r="B1928">
            <v>129.233</v>
          </cell>
          <cell r="D1928">
            <v>18264856.831955999</v>
          </cell>
          <cell r="E1928">
            <v>1720788889</v>
          </cell>
          <cell r="F1928">
            <v>-1.337772151922697E-3</v>
          </cell>
          <cell r="G1928">
            <v>6.52414118680143E-3</v>
          </cell>
        </row>
        <row r="1929">
          <cell r="B1929">
            <v>131.66499999999999</v>
          </cell>
          <cell r="D1929">
            <v>21169564.832059</v>
          </cell>
          <cell r="E1929">
            <v>1764550000</v>
          </cell>
          <cell r="F1929">
            <v>1.8643841233503159E-2</v>
          </cell>
          <cell r="G1929">
            <v>1.260743543874108E-2</v>
          </cell>
        </row>
        <row r="1930">
          <cell r="B1930">
            <v>131.41</v>
          </cell>
          <cell r="D1930">
            <v>25120720.341333002</v>
          </cell>
          <cell r="E1930">
            <v>1671361111</v>
          </cell>
          <cell r="F1930">
            <v>-1.938611269501298E-3</v>
          </cell>
          <cell r="G1930">
            <v>6.4262082115234761E-4</v>
          </cell>
        </row>
        <row r="1931">
          <cell r="B1931">
            <v>129.672</v>
          </cell>
          <cell r="D1931">
            <v>19806904.972578</v>
          </cell>
          <cell r="E1931">
            <v>1903772222</v>
          </cell>
          <cell r="F1931">
            <v>-1.3314021445672375E-2</v>
          </cell>
          <cell r="G1931">
            <v>-6.9230294011075758E-3</v>
          </cell>
        </row>
        <row r="1932">
          <cell r="B1932">
            <v>131.185</v>
          </cell>
          <cell r="D1932">
            <v>18898991.308738999</v>
          </cell>
          <cell r="E1932">
            <v>1757366667</v>
          </cell>
          <cell r="F1932">
            <v>1.1600355495732623E-2</v>
          </cell>
          <cell r="G1932">
            <v>1.0783722026351545E-2</v>
          </cell>
        </row>
        <row r="1933">
          <cell r="B1933">
            <v>133.511</v>
          </cell>
          <cell r="D1933">
            <v>27400724.252792999</v>
          </cell>
          <cell r="E1933">
            <v>2161500000</v>
          </cell>
          <cell r="F1933">
            <v>1.75753307439959E-2</v>
          </cell>
          <cell r="G1933">
            <v>1.2925922894213253E-2</v>
          </cell>
        </row>
        <row r="1934">
          <cell r="B1934">
            <v>132.59299999999999</v>
          </cell>
          <cell r="D1934">
            <v>21845979.923211001</v>
          </cell>
          <cell r="E1934">
            <v>1782377778</v>
          </cell>
          <cell r="F1934">
            <v>-6.8995854382081587E-3</v>
          </cell>
          <cell r="G1934">
            <v>9.1020391827530893E-4</v>
          </cell>
        </row>
        <row r="1935">
          <cell r="B1935">
            <v>131.078</v>
          </cell>
          <cell r="D1935">
            <v>27038186.182964001</v>
          </cell>
          <cell r="E1935">
            <v>2223827778</v>
          </cell>
          <cell r="F1935">
            <v>-1.1491720154979859E-2</v>
          </cell>
          <cell r="G1935">
            <v>-9.4004841318652159E-5</v>
          </cell>
        </row>
        <row r="1936">
          <cell r="B1936">
            <v>129.71</v>
          </cell>
          <cell r="D1936">
            <v>30321135.574278999</v>
          </cell>
          <cell r="E1936">
            <v>2439316667</v>
          </cell>
          <cell r="F1936">
            <v>-1.0491376503833069E-2</v>
          </cell>
          <cell r="G1936">
            <v>3.2226552944139824E-4</v>
          </cell>
        </row>
        <row r="1937">
          <cell r="B1937">
            <v>129.75</v>
          </cell>
          <cell r="D1937">
            <v>25938973.138689999</v>
          </cell>
          <cell r="E1937">
            <v>2181972222</v>
          </cell>
          <cell r="F1937">
            <v>3.0833269341620296E-4</v>
          </cell>
          <cell r="G1937">
            <v>7.2036590507942328E-3</v>
          </cell>
        </row>
        <row r="1938">
          <cell r="B1938">
            <v>131.078</v>
          </cell>
          <cell r="D1938">
            <v>28334864.040020999</v>
          </cell>
          <cell r="E1938">
            <v>2106588889</v>
          </cell>
          <cell r="F1938">
            <v>1.0183043810416863E-2</v>
          </cell>
          <cell r="G1938">
            <v>2.8749707848360149E-3</v>
          </cell>
        </row>
        <row r="1939">
          <cell r="B1939">
            <v>130.89400000000001</v>
          </cell>
          <cell r="D1939">
            <v>24509052.528028</v>
          </cell>
          <cell r="E1939">
            <v>1955588889</v>
          </cell>
          <cell r="F1939">
            <v>-1.4047305075105356E-3</v>
          </cell>
          <cell r="G1939">
            <v>-7.2461844366199951E-4</v>
          </cell>
        </row>
        <row r="1940">
          <cell r="B1940">
            <v>129.94499999999999</v>
          </cell>
          <cell r="D1940">
            <v>17552144.319173001</v>
          </cell>
          <cell r="E1940">
            <v>2374800000</v>
          </cell>
          <cell r="F1940">
            <v>-7.2765513386910761E-3</v>
          </cell>
          <cell r="G1940">
            <v>-3.1405356059661417E-3</v>
          </cell>
        </row>
        <row r="1941">
          <cell r="B1941">
            <v>130.959</v>
          </cell>
          <cell r="D1941">
            <v>18858051.896028999</v>
          </cell>
          <cell r="E1941">
            <v>2039911111</v>
          </cell>
          <cell r="F1941">
            <v>7.7730131041478037E-3</v>
          </cell>
          <cell r="G1941">
            <v>2.5784285879443072E-3</v>
          </cell>
        </row>
        <row r="1942">
          <cell r="B1942">
            <v>132.04599999999999</v>
          </cell>
          <cell r="D1942">
            <v>25673846.238047</v>
          </cell>
          <cell r="E1942">
            <v>1908633333</v>
          </cell>
          <cell r="F1942">
            <v>8.2660496137530806E-3</v>
          </cell>
          <cell r="G1942">
            <v>3.4262353493549175E-4</v>
          </cell>
        </row>
        <row r="1943">
          <cell r="B1943">
            <v>134.488</v>
          </cell>
          <cell r="D1943">
            <v>37865951.850754999</v>
          </cell>
          <cell r="E1943">
            <v>1806272222</v>
          </cell>
          <cell r="F1943">
            <v>1.8324629002643616E-2</v>
          </cell>
          <cell r="G1943">
            <v>1.9955034655944141E-5</v>
          </cell>
        </row>
        <row r="1944">
          <cell r="B1944">
            <v>132.923</v>
          </cell>
          <cell r="D1944">
            <v>42004831.567800999</v>
          </cell>
          <cell r="E1944">
            <v>3385966667</v>
          </cell>
          <cell r="F1944">
            <v>-1.1704962532164421E-2</v>
          </cell>
          <cell r="G1944">
            <v>-4.9076089603009186E-3</v>
          </cell>
        </row>
        <row r="1945">
          <cell r="B1945">
            <v>132.631</v>
          </cell>
          <cell r="D1945">
            <v>18262282.953356002</v>
          </cell>
          <cell r="E1945">
            <v>1770327778</v>
          </cell>
          <cell r="F1945">
            <v>-2.1991769484566116E-3</v>
          </cell>
          <cell r="G1945">
            <v>-9.6927563433914354E-5</v>
          </cell>
        </row>
        <row r="1946">
          <cell r="B1946">
            <v>130.94999999999999</v>
          </cell>
          <cell r="D1946">
            <v>31489036.572106998</v>
          </cell>
          <cell r="E1946">
            <v>2148977778</v>
          </cell>
          <cell r="F1946">
            <v>-1.2755265296415611E-2</v>
          </cell>
          <cell r="G1946">
            <v>-8.4520120896715845E-3</v>
          </cell>
        </row>
        <row r="1947">
          <cell r="B1947">
            <v>132.845</v>
          </cell>
          <cell r="D1947">
            <v>23649876.699051999</v>
          </cell>
          <cell r="E1947">
            <v>1843816667</v>
          </cell>
          <cell r="F1947">
            <v>1.4367464111767109E-2</v>
          </cell>
          <cell r="G1947">
            <v>6.1396789000371316E-3</v>
          </cell>
        </row>
        <row r="1948">
          <cell r="B1948">
            <v>133.01300000000001</v>
          </cell>
          <cell r="D1948">
            <v>18687293.377303999</v>
          </cell>
          <cell r="E1948">
            <v>1709577778</v>
          </cell>
          <cell r="F1948">
            <v>1.263832740499318E-3</v>
          </cell>
          <cell r="G1948">
            <v>-2.4318711052058748E-3</v>
          </cell>
        </row>
        <row r="1949">
          <cell r="B1949">
            <v>131.28399999999999</v>
          </cell>
          <cell r="D1949">
            <v>23602569.138016999</v>
          </cell>
          <cell r="E1949">
            <v>1802027778</v>
          </cell>
          <cell r="F1949">
            <v>-1.3083952262247641E-2</v>
          </cell>
          <cell r="G1949">
            <v>-5.3305084118475841E-3</v>
          </cell>
        </row>
        <row r="1950">
          <cell r="B1950">
            <v>132.524</v>
          </cell>
          <cell r="D1950">
            <v>19334429.319614001</v>
          </cell>
          <cell r="E1950">
            <v>1804227778</v>
          </cell>
          <cell r="F1950">
            <v>9.4008455555753181E-3</v>
          </cell>
          <cell r="G1950">
            <v>5.0349266847075358E-3</v>
          </cell>
        </row>
        <row r="1951">
          <cell r="B1951">
            <v>130.65700000000001</v>
          </cell>
          <cell r="D1951">
            <v>23689609.030272</v>
          </cell>
          <cell r="E1951">
            <v>1976688889</v>
          </cell>
          <cell r="F1951">
            <v>-1.4188192305423595E-2</v>
          </cell>
          <cell r="G1951">
            <v>-1.2334130226057026E-2</v>
          </cell>
        </row>
        <row r="1952">
          <cell r="B1952">
            <v>128.34299999999999</v>
          </cell>
          <cell r="D1952">
            <v>33571501.955881998</v>
          </cell>
          <cell r="E1952">
            <v>2173622222</v>
          </cell>
          <cell r="F1952">
            <v>-1.7869201335653052E-2</v>
          </cell>
          <cell r="G1952">
            <v>-1.806544138860686E-2</v>
          </cell>
        </row>
        <row r="1953">
          <cell r="B1953">
            <v>129.905</v>
          </cell>
          <cell r="D1953">
            <v>27673771.409936</v>
          </cell>
          <cell r="E1953">
            <v>1946466667</v>
          </cell>
          <cell r="F1953">
            <v>1.2097046624586686E-2</v>
          </cell>
          <cell r="G1953">
            <v>7.9403822367327143E-3</v>
          </cell>
        </row>
        <row r="1954">
          <cell r="B1954">
            <v>131.66499999999999</v>
          </cell>
          <cell r="D1954">
            <v>25008918.385515001</v>
          </cell>
          <cell r="E1954">
            <v>1661572222</v>
          </cell>
          <cell r="F1954">
            <v>1.3457403842223154E-2</v>
          </cell>
          <cell r="G1954">
            <v>1.41167416692291E-2</v>
          </cell>
        </row>
        <row r="1955">
          <cell r="B1955">
            <v>130.70699999999999</v>
          </cell>
          <cell r="D1955">
            <v>17415604.871421002</v>
          </cell>
          <cell r="E1955">
            <v>1633411111</v>
          </cell>
          <cell r="F1955">
            <v>-7.3026409631616919E-3</v>
          </cell>
          <cell r="G1955">
            <v>-4.4883622575893614E-3</v>
          </cell>
        </row>
        <row r="1956">
          <cell r="B1956">
            <v>129.34</v>
          </cell>
          <cell r="D1956">
            <v>28097101.74845</v>
          </cell>
          <cell r="E1956">
            <v>1864694444</v>
          </cell>
          <cell r="F1956">
            <v>-1.0513580943439607E-2</v>
          </cell>
          <cell r="G1956">
            <v>-1.5683166513284146E-2</v>
          </cell>
        </row>
        <row r="1957">
          <cell r="B1957">
            <v>131.77199999999999</v>
          </cell>
          <cell r="D1957">
            <v>21168270.726034001</v>
          </cell>
          <cell r="E1957">
            <v>1514900000</v>
          </cell>
          <cell r="F1957">
            <v>1.8628560385129625E-2</v>
          </cell>
          <cell r="G1957">
            <v>9.063350218850439E-3</v>
          </cell>
        </row>
        <row r="1958">
          <cell r="B1958">
            <v>132.59299999999999</v>
          </cell>
          <cell r="D1958">
            <v>19298989.857515</v>
          </cell>
          <cell r="E1958">
            <v>1787361111</v>
          </cell>
          <cell r="F1958">
            <v>6.2111296078181475E-3</v>
          </cell>
          <cell r="G1958">
            <v>6.3952088460510412E-3</v>
          </cell>
        </row>
        <row r="1959">
          <cell r="B1959">
            <v>133.149</v>
          </cell>
          <cell r="D1959">
            <v>26804385.04346</v>
          </cell>
          <cell r="E1959">
            <v>1989144444</v>
          </cell>
          <cell r="F1959">
            <v>4.1845158936446979E-3</v>
          </cell>
          <cell r="G1959">
            <v>1.0879533213144676E-2</v>
          </cell>
        </row>
        <row r="1960">
          <cell r="B1960">
            <v>133.023</v>
          </cell>
          <cell r="D1960">
            <v>14258333.242071999</v>
          </cell>
          <cell r="E1960">
            <v>1420566667</v>
          </cell>
          <cell r="F1960">
            <v>-9.4675630353041487E-4</v>
          </cell>
          <cell r="G1960">
            <v>-1.3880421740668583E-3</v>
          </cell>
        </row>
        <row r="1961">
          <cell r="B1961">
            <v>134.946</v>
          </cell>
          <cell r="D1961">
            <v>20894761.826947</v>
          </cell>
          <cell r="E1961">
            <v>1855966667</v>
          </cell>
          <cell r="F1961">
            <v>1.4352652815580834E-2</v>
          </cell>
          <cell r="G1961">
            <v>9.906435272235942E-3</v>
          </cell>
        </row>
        <row r="1962">
          <cell r="B1962">
            <v>133.84200000000001</v>
          </cell>
          <cell r="D1962">
            <v>21864005.263950001</v>
          </cell>
          <cell r="E1962">
            <v>1790316667</v>
          </cell>
          <cell r="F1962">
            <v>-8.2146986343897138E-3</v>
          </cell>
          <cell r="G1962">
            <v>-2.0015477739079852E-3</v>
          </cell>
        </row>
        <row r="1963">
          <cell r="B1963">
            <v>133.15899999999999</v>
          </cell>
          <cell r="D1963">
            <v>23186976.81639</v>
          </cell>
          <cell r="E1963">
            <v>1731088889</v>
          </cell>
          <cell r="F1963">
            <v>-5.1160968667656815E-3</v>
          </cell>
          <cell r="G1963">
            <v>2.759018658342625E-3</v>
          </cell>
        </row>
        <row r="1964">
          <cell r="B1964">
            <v>130.97900000000001</v>
          </cell>
          <cell r="D1964">
            <v>33868032.427836999</v>
          </cell>
          <cell r="E1964">
            <v>1813494444</v>
          </cell>
          <cell r="F1964">
            <v>-1.6506897908568987E-2</v>
          </cell>
          <cell r="G1964">
            <v>-3.927045645713622E-3</v>
          </cell>
        </row>
        <row r="1965">
          <cell r="B1965">
            <v>131.958</v>
          </cell>
          <cell r="D1965">
            <v>21732195.855629001</v>
          </cell>
          <cell r="E1965">
            <v>1817566667</v>
          </cell>
          <cell r="F1965">
            <v>7.4466851302489711E-3</v>
          </cell>
          <cell r="G1965">
            <v>6.8481074978751595E-3</v>
          </cell>
        </row>
        <row r="1966">
          <cell r="B1966">
            <v>129.98500000000001</v>
          </cell>
          <cell r="D1966">
            <v>29305539.798489001</v>
          </cell>
          <cell r="E1966">
            <v>1957716667</v>
          </cell>
          <cell r="F1966">
            <v>-1.5064630954733123E-2</v>
          </cell>
          <cell r="G1966">
            <v>-3.5750557426104746E-3</v>
          </cell>
        </row>
        <row r="1967">
          <cell r="B1967">
            <v>130.815</v>
          </cell>
          <cell r="D1967">
            <v>32919564.306876998</v>
          </cell>
          <cell r="E1967">
            <v>1884927778</v>
          </cell>
          <cell r="F1967">
            <v>6.3650521641776484E-3</v>
          </cell>
          <cell r="G1967">
            <v>2.8430935856431803E-3</v>
          </cell>
        </row>
        <row r="1968">
          <cell r="B1968">
            <v>133.40199999999999</v>
          </cell>
          <cell r="D1968">
            <v>39106963.696147002</v>
          </cell>
          <cell r="E1968">
            <v>2051444444</v>
          </cell>
          <cell r="F1968">
            <v>1.9583014525826212E-2</v>
          </cell>
          <cell r="G1968">
            <v>1.9185981834693214E-3</v>
          </cell>
        </row>
        <row r="1969">
          <cell r="B1969">
            <v>134.155</v>
          </cell>
          <cell r="D1969">
            <v>27233090.426782001</v>
          </cell>
          <cell r="E1969">
            <v>1872427778</v>
          </cell>
          <cell r="F1969">
            <v>5.6287220149467175E-3</v>
          </cell>
          <cell r="G1969">
            <v>4.0644263323678705E-3</v>
          </cell>
        </row>
        <row r="1970">
          <cell r="B1970">
            <v>137.446</v>
          </cell>
          <cell r="D1970">
            <v>37010684.959124997</v>
          </cell>
          <cell r="E1970">
            <v>1956238889</v>
          </cell>
          <cell r="F1970">
            <v>2.423526480851489E-2</v>
          </cell>
          <cell r="G1970">
            <v>5.5658617746479786E-3</v>
          </cell>
        </row>
        <row r="1971">
          <cell r="B1971">
            <v>136.15600000000001</v>
          </cell>
          <cell r="D1971">
            <v>21599415.867789999</v>
          </cell>
          <cell r="E1971">
            <v>1994405556</v>
          </cell>
          <cell r="F1971">
            <v>-9.4298255060913348E-3</v>
          </cell>
          <cell r="G1971">
            <v>-8.3274228806782234E-4</v>
          </cell>
        </row>
        <row r="1972">
          <cell r="B1972">
            <v>137.846</v>
          </cell>
          <cell r="D1972">
            <v>19403880.017620999</v>
          </cell>
          <cell r="E1972">
            <v>2097794444</v>
          </cell>
          <cell r="F1972">
            <v>1.2335832811032371E-2</v>
          </cell>
          <cell r="G1972">
            <v>3.2480476180495634E-3</v>
          </cell>
        </row>
        <row r="1973">
          <cell r="B1973">
            <v>136.666</v>
          </cell>
          <cell r="D1973">
            <v>25812056.556871001</v>
          </cell>
          <cell r="E1973">
            <v>2299600000</v>
          </cell>
          <cell r="F1973">
            <v>-8.597127031722121E-3</v>
          </cell>
          <cell r="G1973">
            <v>-3.0274515138039699E-3</v>
          </cell>
        </row>
        <row r="1974">
          <cell r="B1974">
            <v>136.988</v>
          </cell>
          <cell r="D1974">
            <v>34753365.784391999</v>
          </cell>
          <cell r="E1974">
            <v>2183444444</v>
          </cell>
          <cell r="F1974">
            <v>2.3533377813467356E-3</v>
          </cell>
          <cell r="G1974">
            <v>9.615978507102713E-3</v>
          </cell>
        </row>
        <row r="1975">
          <cell r="B1975">
            <v>137.78700000000001</v>
          </cell>
          <cell r="D1975">
            <v>17741558.850561</v>
          </cell>
          <cell r="E1975">
            <v>2303805556</v>
          </cell>
          <cell r="F1975">
            <v>5.8156837557423388E-3</v>
          </cell>
          <cell r="G1975">
            <v>3.6972108027207482E-3</v>
          </cell>
        </row>
        <row r="1976">
          <cell r="B1976">
            <v>137.69900000000001</v>
          </cell>
          <cell r="D1976">
            <v>19145373.124545</v>
          </cell>
          <cell r="E1976">
            <v>2492294444</v>
          </cell>
          <cell r="F1976">
            <v>-6.3887096253993875E-4</v>
          </cell>
          <cell r="G1976">
            <v>-1.1864344814073249E-3</v>
          </cell>
        </row>
        <row r="1977">
          <cell r="B1977">
            <v>137.31899999999999</v>
          </cell>
          <cell r="D1977">
            <v>17388867.862819999</v>
          </cell>
          <cell r="E1977">
            <v>2476772222</v>
          </cell>
          <cell r="F1977">
            <v>-2.763457241552855E-3</v>
          </cell>
          <cell r="G1977">
            <v>7.0227918482797182E-4</v>
          </cell>
        </row>
        <row r="1978">
          <cell r="B1978">
            <v>137.51499999999999</v>
          </cell>
          <cell r="D1978">
            <v>18659180.357232999</v>
          </cell>
          <cell r="E1978">
            <v>2302577778</v>
          </cell>
          <cell r="F1978">
            <v>1.4263157631744547E-3</v>
          </cell>
          <cell r="G1978">
            <v>2.7264069235454487E-3</v>
          </cell>
        </row>
        <row r="1979">
          <cell r="B1979">
            <v>139.14500000000001</v>
          </cell>
          <cell r="D1979">
            <v>17574699.031004</v>
          </cell>
          <cell r="E1979">
            <v>1943972222</v>
          </cell>
          <cell r="F1979">
            <v>1.1783552813578048E-2</v>
          </cell>
          <cell r="G1979">
            <v>2.5573557297830268E-3</v>
          </cell>
        </row>
        <row r="1980">
          <cell r="B1980">
            <v>139.28200000000001</v>
          </cell>
          <cell r="D1980">
            <v>15075060.550519999</v>
          </cell>
          <cell r="E1980">
            <v>1686405556</v>
          </cell>
          <cell r="F1980">
            <v>9.8410004099103274E-4</v>
          </cell>
          <cell r="G1980">
            <v>-1.9643733187996349E-3</v>
          </cell>
        </row>
        <row r="1981">
          <cell r="B1981">
            <v>140.18899999999999</v>
          </cell>
          <cell r="D1981">
            <v>19563461.514601</v>
          </cell>
          <cell r="E1981">
            <v>1925561111</v>
          </cell>
          <cell r="F1981">
            <v>6.49085725829434E-3</v>
          </cell>
          <cell r="G1981">
            <v>1.5633980380800601E-3</v>
          </cell>
        </row>
        <row r="1982">
          <cell r="B1982">
            <v>140.42500000000001</v>
          </cell>
          <cell r="D1982">
            <v>18299899.052648</v>
          </cell>
          <cell r="E1982">
            <v>1949600000</v>
          </cell>
          <cell r="F1982">
            <v>1.6820262398967098E-3</v>
          </cell>
          <cell r="G1982">
            <v>7.1129737167743444E-4</v>
          </cell>
        </row>
        <row r="1983">
          <cell r="B1983">
            <v>141.13800000000001</v>
          </cell>
          <cell r="D1983">
            <v>20724120.023479</v>
          </cell>
          <cell r="E1983">
            <v>1820038889</v>
          </cell>
          <cell r="F1983">
            <v>5.0645967264530802E-3</v>
          </cell>
          <cell r="G1983">
            <v>8.3674308309544126E-4</v>
          </cell>
        </row>
        <row r="1984">
          <cell r="B1984">
            <v>142.95599999999999</v>
          </cell>
          <cell r="D1984">
            <v>24661951.564539</v>
          </cell>
          <cell r="E1984">
            <v>1853138889</v>
          </cell>
          <cell r="F1984">
            <v>1.2798755460274772E-2</v>
          </cell>
          <cell r="G1984">
            <v>7.666003452600061E-3</v>
          </cell>
        </row>
        <row r="1985">
          <cell r="B1985">
            <v>143.316</v>
          </cell>
          <cell r="D1985">
            <v>22612057.928479999</v>
          </cell>
          <cell r="E1985">
            <v>1909272222</v>
          </cell>
          <cell r="F1985">
            <v>2.515091869065773E-3</v>
          </cell>
          <cell r="G1985">
            <v>5.0300442070485511E-4</v>
          </cell>
        </row>
        <row r="1986">
          <cell r="B1986">
            <v>143.35499999999999</v>
          </cell>
          <cell r="D1986">
            <v>25135450.011743002</v>
          </cell>
          <cell r="E1986">
            <v>1994483333</v>
          </cell>
          <cell r="F1986">
            <v>2.7208891196247198E-4</v>
          </cell>
          <cell r="G1986">
            <v>-5.9273880698187292E-4</v>
          </cell>
        </row>
        <row r="1987">
          <cell r="B1987">
            <v>143.11199999999999</v>
          </cell>
          <cell r="D1987">
            <v>26890170.758591998</v>
          </cell>
          <cell r="E1987">
            <v>2241605556</v>
          </cell>
          <cell r="F1987">
            <v>-1.6965308973382318E-3</v>
          </cell>
          <cell r="G1987">
            <v>-3.7632657632212341E-3</v>
          </cell>
        </row>
        <row r="1988">
          <cell r="B1988">
            <v>142.97499999999999</v>
          </cell>
          <cell r="D1988">
            <v>19421186.638084002</v>
          </cell>
          <cell r="E1988">
            <v>2066977778</v>
          </cell>
          <cell r="F1988">
            <v>-9.5775068753455191E-4</v>
          </cell>
          <cell r="G1988">
            <v>-1.5840312391350534E-3</v>
          </cell>
        </row>
        <row r="1989">
          <cell r="B1989">
            <v>143.083</v>
          </cell>
          <cell r="D1989">
            <v>16562381.520638</v>
          </cell>
          <cell r="E1989">
            <v>1792655556</v>
          </cell>
          <cell r="F1989">
            <v>7.5509166065259139E-4</v>
          </cell>
          <cell r="G1989">
            <v>2.172573969691297E-3</v>
          </cell>
        </row>
        <row r="1990">
          <cell r="B1990">
            <v>144.66499999999999</v>
          </cell>
          <cell r="D1990">
            <v>23448954.452683002</v>
          </cell>
          <cell r="E1990">
            <v>1950850000</v>
          </cell>
          <cell r="F1990">
            <v>1.0995843166571317E-2</v>
          </cell>
          <cell r="G1990">
            <v>7.4792987268079824E-3</v>
          </cell>
        </row>
        <row r="1991">
          <cell r="B1991">
            <v>145.416</v>
          </cell>
          <cell r="D1991">
            <v>25755852.016906999</v>
          </cell>
          <cell r="E1991">
            <v>2553105556</v>
          </cell>
          <cell r="F1991">
            <v>5.1778756821939343E-3</v>
          </cell>
          <cell r="G1991">
            <v>2.1931231456042352E-3</v>
          </cell>
        </row>
        <row r="1992">
          <cell r="B1992">
            <v>145.69</v>
          </cell>
          <cell r="D1992">
            <v>15866208.788593</v>
          </cell>
          <cell r="E1992">
            <v>1685050000</v>
          </cell>
          <cell r="F1992">
            <v>1.8824763551068139E-3</v>
          </cell>
          <cell r="G1992">
            <v>4.1657790039729458E-3</v>
          </cell>
        </row>
        <row r="1993">
          <cell r="B1993">
            <v>144.81</v>
          </cell>
          <cell r="D1993">
            <v>12522196.840623001</v>
          </cell>
          <cell r="E1993">
            <v>968344444</v>
          </cell>
          <cell r="F1993">
            <v>-6.0585383253932224E-3</v>
          </cell>
          <cell r="G1993">
            <v>-4.0193171713462017E-3</v>
          </cell>
        </row>
        <row r="1994">
          <cell r="B1994">
            <v>143.04400000000001</v>
          </cell>
          <cell r="D1994">
            <v>28723504.351256002</v>
          </cell>
          <cell r="E1994">
            <v>1815966667</v>
          </cell>
          <cell r="F1994">
            <v>-1.2270263100481679E-2</v>
          </cell>
          <cell r="G1994">
            <v>-8.6685275462029671E-3</v>
          </cell>
        </row>
        <row r="1995">
          <cell r="B1995">
            <v>142.80699999999999</v>
          </cell>
          <cell r="D1995">
            <v>26338239.657552999</v>
          </cell>
          <cell r="E1995">
            <v>2029661111</v>
          </cell>
          <cell r="F1995">
            <v>-1.6582069281241838E-3</v>
          </cell>
          <cell r="G1995">
            <v>-6.6601718383736989E-3</v>
          </cell>
        </row>
        <row r="1996">
          <cell r="B1996">
            <v>143.32499999999999</v>
          </cell>
          <cell r="D1996">
            <v>18380431.557321999</v>
          </cell>
          <cell r="E1996">
            <v>2052794444</v>
          </cell>
          <cell r="F1996">
            <v>3.6207104825410033E-3</v>
          </cell>
          <cell r="G1996">
            <v>6.3036386858473471E-3</v>
          </cell>
        </row>
        <row r="1997">
          <cell r="B1997">
            <v>143.404</v>
          </cell>
          <cell r="D1997">
            <v>18694062.862309001</v>
          </cell>
          <cell r="E1997">
            <v>1864305556</v>
          </cell>
          <cell r="F1997">
            <v>5.5104298483261494E-4</v>
          </cell>
          <cell r="G1997">
            <v>1.4991519920369975E-3</v>
          </cell>
        </row>
        <row r="1998">
          <cell r="B1998">
            <v>145.142</v>
          </cell>
          <cell r="D1998">
            <v>17156977.167815</v>
          </cell>
          <cell r="E1998">
            <v>1933044444</v>
          </cell>
          <cell r="F1998">
            <v>1.2046751774586332E-2</v>
          </cell>
          <cell r="G1998">
            <v>9.0942520403683308E-3</v>
          </cell>
        </row>
        <row r="1999">
          <cell r="B1999">
            <v>144.79300000000001</v>
          </cell>
          <cell r="D1999">
            <v>17502982.623635001</v>
          </cell>
          <cell r="E1999">
            <v>1858883333</v>
          </cell>
          <cell r="F1999">
            <v>-2.407437312223943E-3</v>
          </cell>
          <cell r="G1999">
            <v>-3.1678491662223223E-3</v>
          </cell>
        </row>
        <row r="2000">
          <cell r="B2000">
            <v>144.566</v>
          </cell>
          <cell r="D2000">
            <v>17230851.783654001</v>
          </cell>
          <cell r="E2000">
            <v>1857661111</v>
          </cell>
          <cell r="F2000">
            <v>-1.5689855616549575E-3</v>
          </cell>
          <cell r="G2000">
            <v>-1.0975548602935618E-3</v>
          </cell>
        </row>
        <row r="2001">
          <cell r="B2001">
            <v>145.10400000000001</v>
          </cell>
          <cell r="D2001">
            <v>19718020.160184</v>
          </cell>
          <cell r="E2001">
            <v>1806966667</v>
          </cell>
          <cell r="F2001">
            <v>3.7145760252256469E-3</v>
          </cell>
          <cell r="G2001">
            <v>2.9039810658439487E-3</v>
          </cell>
        </row>
        <row r="2002">
          <cell r="B2002">
            <v>146.559</v>
          </cell>
          <cell r="D2002">
            <v>25766584.701614998</v>
          </cell>
          <cell r="E2002">
            <v>2217050000</v>
          </cell>
          <cell r="F2002">
            <v>9.9773510532256051E-3</v>
          </cell>
          <cell r="G2002">
            <v>8.538608499854607E-3</v>
          </cell>
        </row>
        <row r="2003">
          <cell r="B2003">
            <v>147.809</v>
          </cell>
          <cell r="D2003">
            <v>24935097.008216001</v>
          </cell>
          <cell r="E2003">
            <v>2076038889</v>
          </cell>
          <cell r="F2003">
            <v>8.4928220005365453E-3</v>
          </cell>
          <cell r="G2003">
            <v>7.2585315391421147E-5</v>
          </cell>
        </row>
        <row r="2004">
          <cell r="B2004">
            <v>148.786</v>
          </cell>
          <cell r="D2004">
            <v>25251579.646496002</v>
          </cell>
          <cell r="E2004">
            <v>2250994444</v>
          </cell>
          <cell r="F2004">
            <v>6.5881321921446362E-3</v>
          </cell>
          <cell r="G2004">
            <v>7.1223916512376051E-3</v>
          </cell>
        </row>
        <row r="2005">
          <cell r="B2005">
            <v>147.96600000000001</v>
          </cell>
          <cell r="D2005">
            <v>26601055.800838001</v>
          </cell>
          <cell r="E2005">
            <v>2131966667</v>
          </cell>
          <cell r="F2005">
            <v>-5.5265143086497808E-3</v>
          </cell>
          <cell r="G2005">
            <v>3.3521461097710362E-4</v>
          </cell>
        </row>
        <row r="2006">
          <cell r="B2006">
            <v>147.65199999999999</v>
          </cell>
          <cell r="D2006">
            <v>25230259.659244001</v>
          </cell>
          <cell r="E2006">
            <v>2230044444</v>
          </cell>
          <cell r="F2006">
            <v>-2.1243639973759464E-3</v>
          </cell>
          <cell r="G2006">
            <v>-4.3235386016704703E-4</v>
          </cell>
        </row>
        <row r="2007">
          <cell r="B2007">
            <v>148.953</v>
          </cell>
          <cell r="D2007">
            <v>26988201.337705001</v>
          </cell>
          <cell r="E2007">
            <v>2066916667</v>
          </cell>
          <cell r="F2007">
            <v>8.7726662982796858E-3</v>
          </cell>
          <cell r="G2007">
            <v>4.4493085995832623E-3</v>
          </cell>
        </row>
        <row r="2008">
          <cell r="B2008">
            <v>150.54400000000001</v>
          </cell>
          <cell r="D2008">
            <v>56038079.433504999</v>
          </cell>
          <cell r="E2008">
            <v>3585705556</v>
          </cell>
          <cell r="F2008">
            <v>1.0624580321037084E-2</v>
          </cell>
          <cell r="G2008">
            <v>4.9326414590377477E-3</v>
          </cell>
        </row>
        <row r="2009">
          <cell r="B2009">
            <v>150.54400000000001</v>
          </cell>
          <cell r="D2009">
            <v>18532723.469723001</v>
          </cell>
          <cell r="E2009">
            <v>1700338889</v>
          </cell>
          <cell r="F2009">
            <v>0</v>
          </cell>
          <cell r="G2009">
            <v>8.6575659030548003E-4</v>
          </cell>
        </row>
        <row r="2010">
          <cell r="B2010">
            <v>150.51400000000001</v>
          </cell>
          <cell r="D2010">
            <v>9398103.0592812002</v>
          </cell>
          <cell r="E2010">
            <v>720300000</v>
          </cell>
          <cell r="F2010">
            <v>-1.9929714606025734E-4</v>
          </cell>
          <cell r="G2010">
            <v>-1.9542791796535865E-4</v>
          </cell>
        </row>
        <row r="2011">
          <cell r="B2011">
            <v>151.77600000000001</v>
          </cell>
          <cell r="D2011">
            <v>15187816.704771001</v>
          </cell>
          <cell r="E2011">
            <v>1200377778</v>
          </cell>
          <cell r="F2011">
            <v>8.3496465768216951E-3</v>
          </cell>
          <cell r="G2011">
            <v>5.1150531820716109E-3</v>
          </cell>
        </row>
        <row r="2012">
          <cell r="B2012">
            <v>152.048</v>
          </cell>
          <cell r="D2012">
            <v>19252095.918977</v>
          </cell>
          <cell r="E2012">
            <v>1349261111</v>
          </cell>
          <cell r="F2012">
            <v>1.790510773788072E-3</v>
          </cell>
          <cell r="G2012">
            <v>3.3950984041702139E-5</v>
          </cell>
        </row>
        <row r="2013">
          <cell r="B2013">
            <v>150.72</v>
          </cell>
          <cell r="D2013">
            <v>17100853.509477999</v>
          </cell>
          <cell r="E2013">
            <v>1674050000</v>
          </cell>
          <cell r="F2013">
            <v>-8.7724496409065152E-3</v>
          </cell>
          <cell r="G2013">
            <v>-5.7976021775765895E-3</v>
          </cell>
        </row>
        <row r="2014">
          <cell r="B2014">
            <v>150.82900000000001</v>
          </cell>
          <cell r="D2014">
            <v>19230174.950523999</v>
          </cell>
          <cell r="E2014">
            <v>1607672222</v>
          </cell>
          <cell r="F2014">
            <v>7.2293394935662449E-4</v>
          </cell>
          <cell r="G2014">
            <v>2.9416937024937355E-3</v>
          </cell>
        </row>
        <row r="2015">
          <cell r="B2015">
            <v>153.613</v>
          </cell>
          <cell r="D2015">
            <v>23664284.890590001</v>
          </cell>
          <cell r="E2015">
            <v>1921250000</v>
          </cell>
          <cell r="F2015">
            <v>1.8289707771454108E-2</v>
          </cell>
          <cell r="G2015">
            <v>8.3438744546931679E-3</v>
          </cell>
        </row>
        <row r="2016">
          <cell r="B2016">
            <v>151.726</v>
          </cell>
          <cell r="D2016">
            <v>22082592.467101999</v>
          </cell>
          <cell r="E2016">
            <v>1922938889</v>
          </cell>
          <cell r="F2016">
            <v>-1.2360189977021751E-2</v>
          </cell>
          <cell r="G2016">
            <v>-7.0849095780836013E-3</v>
          </cell>
        </row>
        <row r="2017">
          <cell r="B2017">
            <v>152.11799999999999</v>
          </cell>
          <cell r="D2017">
            <v>21774192.872396</v>
          </cell>
          <cell r="E2017">
            <v>2041150000</v>
          </cell>
          <cell r="F2017">
            <v>2.5802728866679767E-3</v>
          </cell>
          <cell r="G2017">
            <v>3.527166358322553E-3</v>
          </cell>
        </row>
        <row r="2018">
          <cell r="B2018">
            <v>150.71</v>
          </cell>
          <cell r="D2018">
            <v>22877229.877117999</v>
          </cell>
          <cell r="E2018">
            <v>1900211111</v>
          </cell>
          <cell r="F2018">
            <v>-9.2990750269248551E-3</v>
          </cell>
          <cell r="G2018">
            <v>-2.807144942889736E-3</v>
          </cell>
        </row>
        <row r="2019">
          <cell r="B2019">
            <v>153.142</v>
          </cell>
          <cell r="D2019">
            <v>29025034.126789998</v>
          </cell>
          <cell r="E2019">
            <v>2067161111</v>
          </cell>
          <cell r="F2019">
            <v>1.6008135113260248E-2</v>
          </cell>
          <cell r="G2019">
            <v>4.8904373587368467E-3</v>
          </cell>
        </row>
        <row r="2020">
          <cell r="B2020">
            <v>155.02799999999999</v>
          </cell>
          <cell r="D2020">
            <v>22373523.678093001</v>
          </cell>
          <cell r="E2020">
            <v>2021327778</v>
          </cell>
          <cell r="F2020">
            <v>1.2240150221319178E-2</v>
          </cell>
          <cell r="G2020">
            <v>6.6332440375756734E-3</v>
          </cell>
        </row>
        <row r="2021">
          <cell r="B2021">
            <v>154.304</v>
          </cell>
          <cell r="D2021">
            <v>21677217.8497</v>
          </cell>
          <cell r="E2021">
            <v>1784983333</v>
          </cell>
          <cell r="F2021">
            <v>-4.6810632074585912E-3</v>
          </cell>
          <cell r="G2021">
            <v>-2.8593073050462519E-3</v>
          </cell>
        </row>
        <row r="2022">
          <cell r="B2022">
            <v>156.19</v>
          </cell>
          <cell r="D2022">
            <v>22621363.410815001</v>
          </cell>
          <cell r="E2022">
            <v>1920211111</v>
          </cell>
          <cell r="F2022">
            <v>1.2148532310925202E-2</v>
          </cell>
          <cell r="G2022">
            <v>6.9520595923161831E-3</v>
          </cell>
        </row>
        <row r="2023">
          <cell r="B2023">
            <v>155.06800000000001</v>
          </cell>
          <cell r="D2023">
            <v>24569929.773612</v>
          </cell>
          <cell r="E2023">
            <v>2036183333</v>
          </cell>
          <cell r="F2023">
            <v>-7.2094844779191794E-3</v>
          </cell>
          <cell r="G2023">
            <v>-1.5156867317727837E-3</v>
          </cell>
        </row>
        <row r="2024">
          <cell r="B2024">
            <v>156.09299999999999</v>
          </cell>
          <cell r="D2024">
            <v>22392257.500930998</v>
          </cell>
          <cell r="E2024">
            <v>2064911111</v>
          </cell>
          <cell r="F2024">
            <v>6.5882530748674634E-3</v>
          </cell>
          <cell r="G2024">
            <v>1.8684086233433153E-3</v>
          </cell>
        </row>
        <row r="2025">
          <cell r="B2025">
            <v>158.934</v>
          </cell>
          <cell r="D2025">
            <v>24951093.141562998</v>
          </cell>
          <cell r="E2025">
            <v>1963933333</v>
          </cell>
          <cell r="F2025">
            <v>1.8037038238526034E-2</v>
          </cell>
          <cell r="G2025">
            <v>8.33174163220134E-3</v>
          </cell>
        </row>
        <row r="2026">
          <cell r="B2026">
            <v>159.833</v>
          </cell>
          <cell r="D2026">
            <v>35935365.780703001</v>
          </cell>
          <cell r="E2026">
            <v>2054538889</v>
          </cell>
          <cell r="F2026">
            <v>5.6404984423680483E-3</v>
          </cell>
          <cell r="G2026">
            <v>3.8547057177216299E-3</v>
          </cell>
        </row>
        <row r="2027">
          <cell r="B2027">
            <v>159.25700000000001</v>
          </cell>
          <cell r="D2027">
            <v>30860048.828704</v>
          </cell>
          <cell r="E2027">
            <v>2280744444</v>
          </cell>
          <cell r="F2027">
            <v>-3.6102706172831366E-3</v>
          </cell>
          <cell r="G2027">
            <v>-2.6554769371424261E-3</v>
          </cell>
        </row>
        <row r="2028">
          <cell r="B2028">
            <v>158.476</v>
          </cell>
          <cell r="D2028">
            <v>25236949.286439002</v>
          </cell>
          <cell r="E2028">
            <v>2011027778</v>
          </cell>
          <cell r="F2028">
            <v>-4.9160872363131951E-3</v>
          </cell>
          <cell r="G2028">
            <v>2.8904605969510904E-4</v>
          </cell>
        </row>
        <row r="2029">
          <cell r="B2029">
            <v>159.471</v>
          </cell>
          <cell r="D2029">
            <v>20576125.075470999</v>
          </cell>
          <cell r="E2029">
            <v>2091588889</v>
          </cell>
          <cell r="F2029">
            <v>6.2589252182747223E-3</v>
          </cell>
          <cell r="G2029">
            <v>1.1403144471457103E-3</v>
          </cell>
        </row>
        <row r="2030">
          <cell r="B2030">
            <v>157.84</v>
          </cell>
          <cell r="D2030">
            <v>26051743.626391999</v>
          </cell>
          <cell r="E2030">
            <v>2059516667</v>
          </cell>
          <cell r="F2030">
            <v>-1.0280225797791732E-2</v>
          </cell>
          <cell r="G2030">
            <v>-9.0832687899366753E-3</v>
          </cell>
        </row>
        <row r="2031">
          <cell r="B2031">
            <v>155.21299999999999</v>
          </cell>
          <cell r="D2031">
            <v>33537429.290890999</v>
          </cell>
          <cell r="E2031">
            <v>2123944444</v>
          </cell>
          <cell r="F2031">
            <v>-1.6783494586558388E-2</v>
          </cell>
          <cell r="G2031">
            <v>-1.5855725118383686E-2</v>
          </cell>
        </row>
        <row r="2032">
          <cell r="B2032">
            <v>158.251</v>
          </cell>
          <cell r="D2032">
            <v>26032740.539406002</v>
          </cell>
          <cell r="E2032">
            <v>1959288889</v>
          </cell>
          <cell r="F2032">
            <v>1.9384012991842416E-2</v>
          </cell>
          <cell r="G2032">
            <v>1.0003350352589398E-2</v>
          </cell>
        </row>
        <row r="2033">
          <cell r="B2033">
            <v>160.72200000000001</v>
          </cell>
          <cell r="D2033">
            <v>36725877.203942999</v>
          </cell>
          <cell r="E2033">
            <v>1991388889</v>
          </cell>
          <cell r="F2033">
            <v>1.5493784311600272E-2</v>
          </cell>
          <cell r="G2033">
            <v>-8.6722329104840649E-4</v>
          </cell>
        </row>
        <row r="2034">
          <cell r="B2034">
            <v>165.26499999999999</v>
          </cell>
          <cell r="D2034">
            <v>53944850.650480002</v>
          </cell>
          <cell r="E2034">
            <v>2104027778</v>
          </cell>
          <cell r="F2034">
            <v>2.7874081739308044E-2</v>
          </cell>
          <cell r="G2034">
            <v>3.1294538629889324E-3</v>
          </cell>
        </row>
        <row r="2035">
          <cell r="B2035">
            <v>162.82300000000001</v>
          </cell>
          <cell r="D2035">
            <v>37786969.406622</v>
          </cell>
          <cell r="E2035">
            <v>2515461111</v>
          </cell>
          <cell r="F2035">
            <v>-1.4886524939580552E-2</v>
          </cell>
          <cell r="G2035">
            <v>-1.7864476392643731E-2</v>
          </cell>
        </row>
        <row r="2036">
          <cell r="B2036">
            <v>166.79599999999999</v>
          </cell>
          <cell r="D2036">
            <v>31520656.169029001</v>
          </cell>
          <cell r="E2036">
            <v>2087727778</v>
          </cell>
          <cell r="F2036">
            <v>2.4107787590782817E-2</v>
          </cell>
          <cell r="G2036">
            <v>7.2284558629105433E-3</v>
          </cell>
        </row>
        <row r="2037">
          <cell r="B2037">
            <v>172.286</v>
          </cell>
          <cell r="D2037">
            <v>38090840.654057004</v>
          </cell>
          <cell r="E2037">
            <v>2219622222</v>
          </cell>
          <cell r="F2037">
            <v>3.2384377783480786E-2</v>
          </cell>
          <cell r="G2037">
            <v>1.4869265218066252E-2</v>
          </cell>
        </row>
        <row r="2038">
          <cell r="B2038">
            <v>172.071</v>
          </cell>
          <cell r="D2038">
            <v>40969070.671529002</v>
          </cell>
          <cell r="E2038">
            <v>2287627778</v>
          </cell>
          <cell r="F2038">
            <v>-1.2487042687489769E-3</v>
          </cell>
          <cell r="G2038">
            <v>1.1187822882933645E-2</v>
          </cell>
        </row>
        <row r="2039">
          <cell r="B2039">
            <v>175.62700000000001</v>
          </cell>
          <cell r="D2039">
            <v>29013905.224493001</v>
          </cell>
          <cell r="E2039">
            <v>2149094444</v>
          </cell>
          <cell r="F2039">
            <v>2.0455245587038446E-2</v>
          </cell>
          <cell r="G2039">
            <v>3.3201287296620923E-3</v>
          </cell>
        </row>
        <row r="2040">
          <cell r="B2040">
            <v>175.88</v>
          </cell>
          <cell r="D2040">
            <v>35054450.199069999</v>
          </cell>
          <cell r="E2040">
            <v>2072583333</v>
          </cell>
          <cell r="F2040">
            <v>1.4395163890848317E-3</v>
          </cell>
          <cell r="G2040">
            <v>-5.4154705145391972E-3</v>
          </cell>
        </row>
        <row r="2041">
          <cell r="B2041">
            <v>180.49100000000001</v>
          </cell>
          <cell r="D2041">
            <v>37474969.043802001</v>
          </cell>
          <cell r="E2041">
            <v>1916861111</v>
          </cell>
          <cell r="F2041">
            <v>2.5878970721355768E-2</v>
          </cell>
          <cell r="G2041">
            <v>7.2996521623710205E-3</v>
          </cell>
        </row>
        <row r="2042">
          <cell r="B2042">
            <v>176.41800000000001</v>
          </cell>
          <cell r="D2042">
            <v>55578367.720278002</v>
          </cell>
          <cell r="E2042">
            <v>2089194444</v>
          </cell>
          <cell r="F2042">
            <v>-2.2824735850757567E-2</v>
          </cell>
          <cell r="G2042">
            <v>1.6870749056512096E-3</v>
          </cell>
        </row>
        <row r="2043">
          <cell r="B2043">
            <v>176.68100000000001</v>
          </cell>
          <cell r="D2043">
            <v>49204006.867687002</v>
          </cell>
          <cell r="E2043">
            <v>2181322222</v>
          </cell>
          <cell r="F2043">
            <v>1.4896674792931916E-3</v>
          </cell>
          <cell r="G2043">
            <v>6.4418675537450355E-3</v>
          </cell>
        </row>
        <row r="2044">
          <cell r="B2044">
            <v>175.70500000000001</v>
          </cell>
          <cell r="D2044">
            <v>36901586.906799003</v>
          </cell>
          <cell r="E2044">
            <v>1943466667</v>
          </cell>
          <cell r="F2044">
            <v>-5.5393942761801877E-3</v>
          </cell>
          <cell r="G2044">
            <v>-1.6317734419649113E-3</v>
          </cell>
        </row>
        <row r="2045">
          <cell r="B2045">
            <v>177.29599999999999</v>
          </cell>
          <cell r="D2045">
            <v>24202684.188347999</v>
          </cell>
          <cell r="E2045">
            <v>1887800000</v>
          </cell>
          <cell r="F2045">
            <v>9.0141998076491096E-3</v>
          </cell>
          <cell r="G2045">
            <v>1.8418447338326407E-3</v>
          </cell>
        </row>
        <row r="2046">
          <cell r="B2046">
            <v>179.066</v>
          </cell>
          <cell r="D2046">
            <v>29120265.587329999</v>
          </cell>
          <cell r="E2046">
            <v>2081511111</v>
          </cell>
          <cell r="F2046">
            <v>9.9338007718822903E-3</v>
          </cell>
          <cell r="G2046">
            <v>-2.9242515783095627E-3</v>
          </cell>
        </row>
        <row r="2047">
          <cell r="B2047">
            <v>179.613</v>
          </cell>
          <cell r="D2047">
            <v>31276753.016741998</v>
          </cell>
          <cell r="E2047">
            <v>2000083333</v>
          </cell>
          <cell r="F2047">
            <v>3.0500833562157855E-3</v>
          </cell>
          <cell r="G2047">
            <v>4.6947887144410351E-3</v>
          </cell>
        </row>
        <row r="2048">
          <cell r="B2048">
            <v>176.887</v>
          </cell>
          <cell r="D2048">
            <v>38434417.613439001</v>
          </cell>
          <cell r="E2048">
            <v>2226288889</v>
          </cell>
          <cell r="F2048">
            <v>-1.5293425702932963E-2</v>
          </cell>
          <cell r="G2048">
            <v>-3.8228404778309472E-3</v>
          </cell>
        </row>
        <row r="2049">
          <cell r="B2049">
            <v>171.28</v>
          </cell>
          <cell r="D2049">
            <v>50673009.685098998</v>
          </cell>
          <cell r="E2049">
            <v>2166261111</v>
          </cell>
          <cell r="F2049">
            <v>-3.2211466337707377E-2</v>
          </cell>
          <cell r="G2049">
            <v>-1.0573815022893411E-2</v>
          </cell>
        </row>
        <row r="2050">
          <cell r="B2050">
            <v>163.90700000000001</v>
          </cell>
          <cell r="D2050">
            <v>71224278.505742997</v>
          </cell>
          <cell r="E2050">
            <v>2690533333</v>
          </cell>
          <cell r="F2050">
            <v>-4.4000450474761851E-2</v>
          </cell>
          <cell r="G2050">
            <v>-3.4088046120521465E-2</v>
          </cell>
        </row>
        <row r="2051">
          <cell r="B2051">
            <v>161.19900000000001</v>
          </cell>
          <cell r="D2051">
            <v>70976367.105756</v>
          </cell>
          <cell r="E2051">
            <v>3106394444</v>
          </cell>
          <cell r="F2051">
            <v>-1.6659567227324496E-2</v>
          </cell>
          <cell r="G2051">
            <v>-3.0747925188099268E-2</v>
          </cell>
        </row>
        <row r="2052">
          <cell r="B2052">
            <v>163.20400000000001</v>
          </cell>
          <cell r="D2052">
            <v>58791849.008681998</v>
          </cell>
          <cell r="E2052">
            <v>3043394444</v>
          </cell>
          <cell r="F2052">
            <v>1.2361325454226985E-2</v>
          </cell>
          <cell r="G2052">
            <v>-3.7856753407310142E-3</v>
          </cell>
        </row>
        <row r="2053">
          <cell r="B2053">
            <v>151.71600000000001</v>
          </cell>
          <cell r="D2053">
            <v>97148467.711665004</v>
          </cell>
          <cell r="E2053">
            <v>3921577778</v>
          </cell>
          <cell r="F2053">
            <v>-7.2990599915806947E-2</v>
          </cell>
          <cell r="G2053">
            <v>-4.5168174100652832E-2</v>
          </cell>
        </row>
        <row r="2054">
          <cell r="B2054">
            <v>155.37799999999999</v>
          </cell>
          <cell r="D2054">
            <v>101213382.71689001</v>
          </cell>
          <cell r="E2054">
            <v>4757694444</v>
          </cell>
          <cell r="F2054">
            <v>2.3850505652217437E-2</v>
          </cell>
          <cell r="G2054">
            <v>-8.2724499142758506E-3</v>
          </cell>
        </row>
        <row r="2055">
          <cell r="B2055">
            <v>165.72200000000001</v>
          </cell>
          <cell r="D2055">
            <v>74060008.811783001</v>
          </cell>
          <cell r="E2055">
            <v>3542444444</v>
          </cell>
          <cell r="F2055">
            <v>6.4450827915758638E-2</v>
          </cell>
          <cell r="G2055">
            <v>4.5010865172777872E-2</v>
          </cell>
        </row>
        <row r="2056">
          <cell r="B2056">
            <v>157.762</v>
          </cell>
          <cell r="D2056">
            <v>74733776.309434995</v>
          </cell>
          <cell r="E2056">
            <v>3531077778</v>
          </cell>
          <cell r="F2056">
            <v>-4.9224117426983474E-2</v>
          </cell>
          <cell r="G2056">
            <v>-2.8510530261905299E-2</v>
          </cell>
        </row>
        <row r="2057">
          <cell r="B2057">
            <v>163.57499999999999</v>
          </cell>
          <cell r="D2057">
            <v>51938780.522604004</v>
          </cell>
          <cell r="E2057">
            <v>2797488889</v>
          </cell>
          <cell r="F2057">
            <v>3.618403249704872E-2</v>
          </cell>
          <cell r="G2057">
            <v>4.133635094064169E-2</v>
          </cell>
        </row>
        <row r="2058">
          <cell r="B2058">
            <v>159.471</v>
          </cell>
          <cell r="D2058">
            <v>49856476.902080998</v>
          </cell>
          <cell r="E2058">
            <v>3097527778</v>
          </cell>
          <cell r="F2058">
            <v>-2.5409513243650653E-2</v>
          </cell>
          <cell r="G2058">
            <v>-3.4510725624696516E-2</v>
          </cell>
        </row>
        <row r="2059">
          <cell r="B2059">
            <v>154.958</v>
          </cell>
          <cell r="D2059">
            <v>75926603.181716993</v>
          </cell>
          <cell r="E2059">
            <v>3640077778</v>
          </cell>
          <cell r="F2059">
            <v>-2.8707975053232269E-2</v>
          </cell>
          <cell r="G2059">
            <v>-1.7201002454620039E-2</v>
          </cell>
        </row>
        <row r="2060">
          <cell r="B2060">
            <v>144.46700000000001</v>
          </cell>
          <cell r="D2060">
            <v>73422393.353599995</v>
          </cell>
          <cell r="E2060">
            <v>4679472222</v>
          </cell>
          <cell r="F2060">
            <v>-7.0103004690099474E-2</v>
          </cell>
          <cell r="G2060">
            <v>-7.9010394848266635E-2</v>
          </cell>
        </row>
        <row r="2061">
          <cell r="B2061">
            <v>154.32400000000001</v>
          </cell>
          <cell r="D2061">
            <v>68141506.021247</v>
          </cell>
          <cell r="E2061">
            <v>4242200000</v>
          </cell>
          <cell r="F2061">
            <v>6.6003180658621236E-2</v>
          </cell>
          <cell r="G2061">
            <v>4.821508053580021E-2</v>
          </cell>
        </row>
        <row r="2062">
          <cell r="B2062">
            <v>147.34</v>
          </cell>
          <cell r="D2062">
            <v>58914000.741255</v>
          </cell>
          <cell r="E2062">
            <v>4096727778</v>
          </cell>
          <cell r="F2062">
            <v>-4.6311447172773496E-2</v>
          </cell>
          <cell r="G2062">
            <v>-5.0102856837410732E-2</v>
          </cell>
        </row>
        <row r="2063">
          <cell r="B2063">
            <v>133.37299999999999</v>
          </cell>
          <cell r="D2063">
            <v>97202120.897027001</v>
          </cell>
          <cell r="E2063">
            <v>4905211111</v>
          </cell>
          <cell r="F2063">
            <v>-9.9593127059145456E-2</v>
          </cell>
          <cell r="G2063">
            <v>-9.9944851846007432E-2</v>
          </cell>
        </row>
        <row r="2064">
          <cell r="B2064">
            <v>152.34100000000001</v>
          </cell>
          <cell r="D2064">
            <v>96681924.060533002</v>
          </cell>
          <cell r="E2064">
            <v>4588150000</v>
          </cell>
          <cell r="F2064">
            <v>0.13297171499172128</v>
          </cell>
          <cell r="G2064">
            <v>8.8808356440746597E-2</v>
          </cell>
        </row>
        <row r="2065">
          <cell r="B2065">
            <v>129.875</v>
          </cell>
          <cell r="D2065">
            <v>91654724.509652004</v>
          </cell>
          <cell r="E2065">
            <v>4323077778</v>
          </cell>
          <cell r="F2065">
            <v>-0.15954897976785201</v>
          </cell>
          <cell r="G2065">
            <v>-0.12765214115647325</v>
          </cell>
        </row>
        <row r="2066">
          <cell r="B2066">
            <v>140.583</v>
          </cell>
          <cell r="D2066">
            <v>84516715.172043994</v>
          </cell>
          <cell r="E2066">
            <v>4643611111</v>
          </cell>
          <cell r="F2066">
            <v>7.9225612262855002E-2</v>
          </cell>
          <cell r="G2066">
            <v>5.8226286690741702E-2</v>
          </cell>
        </row>
        <row r="2067">
          <cell r="B2067">
            <v>134.66300000000001</v>
          </cell>
          <cell r="D2067">
            <v>85072816.284035996</v>
          </cell>
          <cell r="E2067">
            <v>4864322222</v>
          </cell>
          <cell r="F2067">
            <v>-4.3022700482659472E-2</v>
          </cell>
          <cell r="G2067">
            <v>-5.322233622142454E-2</v>
          </cell>
        </row>
        <row r="2068">
          <cell r="B2068">
            <v>136.858</v>
          </cell>
          <cell r="D2068">
            <v>89586940.676837996</v>
          </cell>
          <cell r="E2068">
            <v>4414838889</v>
          </cell>
          <cell r="F2068">
            <v>1.616853074436405E-2</v>
          </cell>
          <cell r="G2068">
            <v>4.6968462774209588E-3</v>
          </cell>
        </row>
        <row r="2069">
          <cell r="B2069">
            <v>131.732</v>
          </cell>
          <cell r="D2069">
            <v>88485441.446840003</v>
          </cell>
          <cell r="E2069">
            <v>5024827778</v>
          </cell>
          <cell r="F2069">
            <v>-3.817433624706023E-2</v>
          </cell>
          <cell r="G2069">
            <v>-4.4327634743158498E-2</v>
          </cell>
        </row>
        <row r="2070">
          <cell r="B2070">
            <v>130.41300000000001</v>
          </cell>
          <cell r="D2070">
            <v>82343174.005228996</v>
          </cell>
          <cell r="E2070">
            <v>4112322222</v>
          </cell>
          <cell r="F2070">
            <v>-1.0063217921846394E-2</v>
          </cell>
          <cell r="G2070">
            <v>-2.9731491257259945E-2</v>
          </cell>
        </row>
        <row r="2071">
          <cell r="B2071">
            <v>142.261</v>
          </cell>
          <cell r="D2071">
            <v>86035757.097072005</v>
          </cell>
          <cell r="E2071">
            <v>4192972222</v>
          </cell>
          <cell r="F2071">
            <v>8.695706088843877E-2</v>
          </cell>
          <cell r="G2071">
            <v>8.9683156948216491E-2</v>
          </cell>
        </row>
        <row r="2072">
          <cell r="B2072">
            <v>140.91399999999999</v>
          </cell>
          <cell r="D2072">
            <v>78863912.620260999</v>
          </cell>
          <cell r="E2072">
            <v>4603150000</v>
          </cell>
          <cell r="F2072">
            <v>-9.5136234457379436E-3</v>
          </cell>
          <cell r="G2072">
            <v>1.1468998674479099E-2</v>
          </cell>
        </row>
        <row r="2073">
          <cell r="B2073">
            <v>149.715</v>
          </cell>
          <cell r="D2073">
            <v>67453401.999320999</v>
          </cell>
          <cell r="E2073">
            <v>4307311111</v>
          </cell>
          <cell r="F2073">
            <v>6.0583711588914117E-2</v>
          </cell>
          <cell r="G2073">
            <v>6.0543828751667757E-2</v>
          </cell>
        </row>
        <row r="2074">
          <cell r="B2074">
            <v>143.57900000000001</v>
          </cell>
          <cell r="D2074">
            <v>59474931.203028001</v>
          </cell>
          <cell r="E2074">
            <v>3441294444</v>
          </cell>
          <cell r="F2074">
            <v>-4.184808044089941E-2</v>
          </cell>
          <cell r="G2074">
            <v>-3.4267808022629478E-2</v>
          </cell>
        </row>
        <row r="2075">
          <cell r="B2075">
            <v>153.65100000000001</v>
          </cell>
          <cell r="D2075">
            <v>66124964.282266997</v>
          </cell>
          <cell r="E2075">
            <v>3192344444</v>
          </cell>
          <cell r="F2075">
            <v>6.7798390487634724E-2</v>
          </cell>
          <cell r="G2075">
            <v>3.2966616221455518E-2</v>
          </cell>
        </row>
        <row r="2076">
          <cell r="B2076">
            <v>151.25800000000001</v>
          </cell>
          <cell r="D2076">
            <v>81250489.848713994</v>
          </cell>
          <cell r="E2076">
            <v>3649050000</v>
          </cell>
          <cell r="F2076">
            <v>-1.5696808779222787E-2</v>
          </cell>
          <cell r="G2076">
            <v>-1.6142381973062482E-2</v>
          </cell>
        </row>
        <row r="2077">
          <cell r="B2077">
            <v>145.876</v>
          </cell>
          <cell r="D2077">
            <v>60442125.980099998</v>
          </cell>
          <cell r="E2077">
            <v>3304388889</v>
          </cell>
          <cell r="F2077">
            <v>-3.6230042306715671E-2</v>
          </cell>
          <cell r="G2077">
            <v>-4.5146328727152268E-2</v>
          </cell>
        </row>
        <row r="2078">
          <cell r="B2078">
            <v>148.923</v>
          </cell>
          <cell r="D2078">
            <v>51747299.926371999</v>
          </cell>
          <cell r="E2078">
            <v>3586105556</v>
          </cell>
          <cell r="F2078">
            <v>2.0672448078470171E-2</v>
          </cell>
          <cell r="G2078">
            <v>2.2572695703622976E-2</v>
          </cell>
        </row>
        <row r="2079">
          <cell r="B2079">
            <v>147.53700000000001</v>
          </cell>
          <cell r="D2079">
            <v>43002156.286518</v>
          </cell>
          <cell r="E2079">
            <v>3381772222</v>
          </cell>
          <cell r="F2079">
            <v>-9.3504020653878625E-3</v>
          </cell>
          <cell r="G2079">
            <v>-1.5252860231953606E-2</v>
          </cell>
        </row>
        <row r="2080">
          <cell r="B2080">
            <v>158.495</v>
          </cell>
          <cell r="D2080">
            <v>69973760.509674996</v>
          </cell>
          <cell r="E2080">
            <v>3551033333</v>
          </cell>
          <cell r="F2080">
            <v>7.1644055297894443E-2</v>
          </cell>
          <cell r="G2080">
            <v>6.7968230567686042E-2</v>
          </cell>
        </row>
        <row r="2081">
          <cell r="B2081">
            <v>156.82499999999999</v>
          </cell>
          <cell r="D2081">
            <v>65445902.621434003</v>
          </cell>
          <cell r="E2081">
            <v>3911511111</v>
          </cell>
          <cell r="F2081">
            <v>-1.0592513095626185E-2</v>
          </cell>
          <cell r="G2081">
            <v>-1.6043316629523077E-3</v>
          </cell>
        </row>
        <row r="2082">
          <cell r="B2082">
            <v>158.358</v>
          </cell>
          <cell r="D2082">
            <v>50378825.804136001</v>
          </cell>
          <cell r="E2082">
            <v>3253538889</v>
          </cell>
          <cell r="F2082">
            <v>9.727758723488909E-3</v>
          </cell>
          <cell r="G2082">
            <v>3.3489345244689953E-2</v>
          </cell>
        </row>
        <row r="2083">
          <cell r="B2083">
            <v>158.36699999999999</v>
          </cell>
          <cell r="D2083">
            <v>53625148.104405001</v>
          </cell>
          <cell r="E2083">
            <v>4377855556</v>
          </cell>
          <cell r="F2083">
            <v>5.683163629269371E-5</v>
          </cell>
          <cell r="G2083">
            <v>1.438343869822631E-2</v>
          </cell>
        </row>
        <row r="2084">
          <cell r="B2084">
            <v>158.72900000000001</v>
          </cell>
          <cell r="D2084">
            <v>43692366.302189998</v>
          </cell>
          <cell r="E2084">
            <v>2930172222</v>
          </cell>
          <cell r="F2084">
            <v>2.2832212154163447E-3</v>
          </cell>
          <cell r="G2084">
            <v>-1.0155992507349275E-2</v>
          </cell>
        </row>
        <row r="2085">
          <cell r="B2085">
            <v>166.59299999999999</v>
          </cell>
          <cell r="D2085">
            <v>55129231.023777999</v>
          </cell>
          <cell r="E2085">
            <v>3093000000</v>
          </cell>
          <cell r="F2085">
            <v>4.8355366485283789E-2</v>
          </cell>
          <cell r="G2085">
            <v>3.01144965504564E-2</v>
          </cell>
        </row>
        <row r="2086">
          <cell r="B2086">
            <v>164.85300000000001</v>
          </cell>
          <cell r="D2086">
            <v>42686805.991011001</v>
          </cell>
          <cell r="E2086">
            <v>2890772222</v>
          </cell>
          <cell r="F2086">
            <v>-1.0499544328989523E-2</v>
          </cell>
          <cell r="G2086">
            <v>-2.2276750679012372E-2</v>
          </cell>
        </row>
        <row r="2087">
          <cell r="B2087">
            <v>169.80600000000001</v>
          </cell>
          <cell r="D2087">
            <v>52632376.304595999</v>
          </cell>
          <cell r="E2087">
            <v>2877772222</v>
          </cell>
          <cell r="F2087">
            <v>2.9602441227702763E-2</v>
          </cell>
          <cell r="G2087">
            <v>5.7998589924373595E-3</v>
          </cell>
        </row>
        <row r="2088">
          <cell r="B2088">
            <v>171.28899999999999</v>
          </cell>
          <cell r="D2088">
            <v>55015882.078873001</v>
          </cell>
          <cell r="E2088">
            <v>3217855556</v>
          </cell>
          <cell r="F2088">
            <v>8.695579498424047E-3</v>
          </cell>
          <cell r="G2088">
            <v>2.6440929079185473E-2</v>
          </cell>
        </row>
        <row r="2089">
          <cell r="B2089">
            <v>167.893</v>
          </cell>
          <cell r="D2089">
            <v>38233416.533082001</v>
          </cell>
          <cell r="E2089">
            <v>2900088889</v>
          </cell>
          <cell r="F2089">
            <v>-2.0025316709070796E-2</v>
          </cell>
          <cell r="G2089">
            <v>-1.8042794099790368E-2</v>
          </cell>
        </row>
        <row r="2090">
          <cell r="B2090">
            <v>160.95699999999999</v>
          </cell>
          <cell r="D2090">
            <v>58600627.438418001</v>
          </cell>
          <cell r="E2090">
            <v>2819905556</v>
          </cell>
          <cell r="F2090">
            <v>-4.2189623164648166E-2</v>
          </cell>
          <cell r="G2090">
            <v>-3.1155167779795462E-2</v>
          </cell>
        </row>
        <row r="2091">
          <cell r="B2091">
            <v>166.416</v>
          </cell>
          <cell r="D2091">
            <v>36129364.969359003</v>
          </cell>
          <cell r="E2091">
            <v>2805366667</v>
          </cell>
          <cell r="F2091">
            <v>3.335342904407005E-2</v>
          </cell>
          <cell r="G2091">
            <v>2.2671301062101197E-2</v>
          </cell>
        </row>
        <row r="2092">
          <cell r="B2092">
            <v>164.404</v>
          </cell>
          <cell r="D2092">
            <v>34189209.271913998</v>
          </cell>
          <cell r="E2092">
            <v>3198066667</v>
          </cell>
          <cell r="F2092">
            <v>-1.2163864384446039E-2</v>
          </cell>
          <cell r="G2092">
            <v>-5.395641810268519E-4</v>
          </cell>
        </row>
        <row r="2093">
          <cell r="B2093">
            <v>167.42400000000001</v>
          </cell>
          <cell r="D2093">
            <v>35768314.507169999</v>
          </cell>
          <cell r="E2093">
            <v>2985822222</v>
          </cell>
          <cell r="F2093">
            <v>1.8202703728292993E-2</v>
          </cell>
          <cell r="G2093">
            <v>1.3822111461719605E-2</v>
          </cell>
        </row>
        <row r="2094">
          <cell r="B2094">
            <v>166.93600000000001</v>
          </cell>
          <cell r="D2094">
            <v>34610000.541644</v>
          </cell>
          <cell r="E2094">
            <v>2885700000</v>
          </cell>
          <cell r="F2094">
            <v>-2.9190115235404944E-3</v>
          </cell>
          <cell r="G2094">
            <v>1.4606871524449172E-2</v>
          </cell>
        </row>
        <row r="2095">
          <cell r="B2095">
            <v>162.86099999999999</v>
          </cell>
          <cell r="D2095">
            <v>35859414.861841999</v>
          </cell>
          <cell r="E2095">
            <v>3151600000</v>
          </cell>
          <cell r="F2095">
            <v>-2.4713429167796064E-2</v>
          </cell>
          <cell r="G2095">
            <v>-5.2561394601198371E-3</v>
          </cell>
        </row>
        <row r="2096">
          <cell r="B2096">
            <v>170.18799999999999</v>
          </cell>
          <cell r="D2096">
            <v>53473739.746987</v>
          </cell>
          <cell r="E2096">
            <v>3677855556</v>
          </cell>
          <cell r="F2096">
            <v>4.4006632102474824E-2</v>
          </cell>
          <cell r="G2096">
            <v>2.6236663207249239E-2</v>
          </cell>
        </row>
        <row r="2097">
          <cell r="B2097">
            <v>171.87799999999999</v>
          </cell>
          <cell r="D2097">
            <v>56173460.943033002</v>
          </cell>
          <cell r="E2097">
            <v>3623955556</v>
          </cell>
          <cell r="F2097">
            <v>9.8812144481989182E-3</v>
          </cell>
          <cell r="G2097">
            <v>-9.2551165252656598E-3</v>
          </cell>
        </row>
        <row r="2098">
          <cell r="B2098">
            <v>167.44399999999999</v>
          </cell>
          <cell r="D2098">
            <v>41049478.270398997</v>
          </cell>
          <cell r="E2098">
            <v>2640644444</v>
          </cell>
          <cell r="F2098">
            <v>-2.6135955807234587E-2</v>
          </cell>
          <cell r="G2098">
            <v>-2.8460220686828817E-2</v>
          </cell>
        </row>
        <row r="2099">
          <cell r="B2099">
            <v>171.524</v>
          </cell>
          <cell r="D2099">
            <v>31668150.470008001</v>
          </cell>
          <cell r="E2099">
            <v>2623966667</v>
          </cell>
          <cell r="F2099">
            <v>2.4074231499304787E-2</v>
          </cell>
          <cell r="G2099">
            <v>4.2408122145938705E-3</v>
          </cell>
        </row>
        <row r="2100">
          <cell r="B2100">
            <v>173.37100000000001</v>
          </cell>
          <cell r="D2100">
            <v>38410219.673625</v>
          </cell>
          <cell r="E2100">
            <v>2849772222</v>
          </cell>
          <cell r="F2100">
            <v>1.0710608485742876E-2</v>
          </cell>
          <cell r="G2100">
            <v>8.9999521895380505E-3</v>
          </cell>
        </row>
        <row r="2101">
          <cell r="B2101">
            <v>175.071</v>
          </cell>
          <cell r="D2101">
            <v>33509920.323472999</v>
          </cell>
          <cell r="E2101">
            <v>2701066667</v>
          </cell>
          <cell r="F2101">
            <v>9.7577989376669196E-3</v>
          </cell>
          <cell r="G2101">
            <v>-7.0038733986003436E-3</v>
          </cell>
        </row>
        <row r="2102">
          <cell r="B2102">
            <v>176.08799999999999</v>
          </cell>
          <cell r="D2102">
            <v>29523564.925526999</v>
          </cell>
          <cell r="E2102">
            <v>2869244444</v>
          </cell>
          <cell r="F2102">
            <v>5.7922641503613693E-3</v>
          </cell>
          <cell r="G2102">
            <v>1.1438948664053582E-2</v>
          </cell>
        </row>
        <row r="2103">
          <cell r="B2103">
            <v>177.14099999999999</v>
          </cell>
          <cell r="D2103">
            <v>32230946.328285001</v>
          </cell>
          <cell r="E2103">
            <v>2698422222</v>
          </cell>
          <cell r="F2103">
            <v>5.9621555380424008E-3</v>
          </cell>
          <cell r="G2103">
            <v>1.6730758062550522E-2</v>
          </cell>
        </row>
        <row r="2104">
          <cell r="B2104">
            <v>179.08600000000001</v>
          </cell>
          <cell r="D2104">
            <v>32210117.773699999</v>
          </cell>
          <cell r="E2104">
            <v>2596977372</v>
          </cell>
          <cell r="F2104">
            <v>1.0920111772612883E-2</v>
          </cell>
          <cell r="G2104">
            <v>1.3310602938770966E-4</v>
          </cell>
        </row>
        <row r="2105">
          <cell r="B2105">
            <v>175.041</v>
          </cell>
          <cell r="D2105">
            <v>33404506.992341001</v>
          </cell>
          <cell r="E2105">
            <v>2661481924</v>
          </cell>
          <cell r="F2105">
            <v>-2.2845905193270385E-2</v>
          </cell>
          <cell r="G2105">
            <v>-2.0713426598791537E-2</v>
          </cell>
        </row>
        <row r="2106">
          <cell r="B2106">
            <v>172.404</v>
          </cell>
          <cell r="D2106">
            <v>46618265.288473003</v>
          </cell>
          <cell r="E2106">
            <v>3538682040</v>
          </cell>
          <cell r="F2106">
            <v>-1.5179672380605391E-2</v>
          </cell>
          <cell r="G2106">
            <v>-1.7616955794106534E-2</v>
          </cell>
        </row>
        <row r="2107">
          <cell r="B2107">
            <v>173.14500000000001</v>
          </cell>
          <cell r="D2107">
            <v>43659675.791579999</v>
          </cell>
          <cell r="E2107">
            <v>3342014465</v>
          </cell>
          <cell r="F2107">
            <v>4.2888339184030495E-3</v>
          </cell>
          <cell r="G2107">
            <v>1.1458917804071491E-2</v>
          </cell>
        </row>
        <row r="2108">
          <cell r="B2108">
            <v>175.65700000000001</v>
          </cell>
          <cell r="D2108">
            <v>48598142.055137999</v>
          </cell>
          <cell r="E2108">
            <v>3291068217</v>
          </cell>
          <cell r="F2108">
            <v>1.4403836161147843E-2</v>
          </cell>
          <cell r="G2108">
            <v>3.9186922544353266E-3</v>
          </cell>
        </row>
        <row r="2109">
          <cell r="B2109">
            <v>177.35599999999999</v>
          </cell>
          <cell r="D2109">
            <v>36812316.114997</v>
          </cell>
          <cell r="E2109">
            <v>3637568897</v>
          </cell>
          <cell r="F2109">
            <v>9.6257821580511566E-3</v>
          </cell>
          <cell r="G2109">
            <v>3.1015221473356874E-2</v>
          </cell>
        </row>
        <row r="2110">
          <cell r="B2110">
            <v>176.11600000000001</v>
          </cell>
          <cell r="D2110">
            <v>27941998.431659002</v>
          </cell>
          <cell r="E2110">
            <v>2852880746</v>
          </cell>
          <cell r="F2110">
            <v>-7.0161432119653462E-3</v>
          </cell>
          <cell r="G2110">
            <v>-1.0539757419425795E-2</v>
          </cell>
        </row>
        <row r="2111">
          <cell r="B2111">
            <v>178.56899999999999</v>
          </cell>
          <cell r="D2111">
            <v>32503987.342519999</v>
          </cell>
          <cell r="E2111">
            <v>2845135067</v>
          </cell>
          <cell r="F2111">
            <v>1.3832212306333691E-2</v>
          </cell>
          <cell r="G2111">
            <v>1.6513934417861521E-2</v>
          </cell>
        </row>
        <row r="2112">
          <cell r="B2112">
            <v>176.41800000000001</v>
          </cell>
          <cell r="D2112">
            <v>30277027.444678001</v>
          </cell>
          <cell r="E2112">
            <v>2778169917</v>
          </cell>
          <cell r="F2112">
            <v>-1.2118901965345052E-2</v>
          </cell>
          <cell r="G2112">
            <v>-7.803935472623133E-3</v>
          </cell>
        </row>
        <row r="2113">
          <cell r="B2113">
            <v>176.49600000000001</v>
          </cell>
          <cell r="D2113">
            <v>21654777.805491999</v>
          </cell>
          <cell r="E2113">
            <v>2184181839</v>
          </cell>
          <cell r="F2113">
            <v>4.4203404381829703E-4</v>
          </cell>
          <cell r="G2113">
            <v>2.3509655202508628E-3</v>
          </cell>
        </row>
        <row r="2114">
          <cell r="B2114">
            <v>174.62200000000001</v>
          </cell>
          <cell r="D2114">
            <v>37507553.077335998</v>
          </cell>
          <cell r="E2114">
            <v>3349414121</v>
          </cell>
          <cell r="F2114">
            <v>-1.0674575468195183E-2</v>
          </cell>
          <cell r="G2114">
            <v>1.2214261971750162E-2</v>
          </cell>
        </row>
        <row r="2115">
          <cell r="B2115">
            <v>174.85400000000001</v>
          </cell>
          <cell r="D2115">
            <v>41087971.781767003</v>
          </cell>
          <cell r="E2115">
            <v>3652902255</v>
          </cell>
          <cell r="F2115">
            <v>1.3277022403865343E-3</v>
          </cell>
          <cell r="G2115">
            <v>1.4718492616296689E-2</v>
          </cell>
        </row>
        <row r="2116">
          <cell r="B2116">
            <v>174.47499999999999</v>
          </cell>
          <cell r="D2116">
            <v>35176654.146365002</v>
          </cell>
          <cell r="E2116">
            <v>3136898114</v>
          </cell>
          <cell r="F2116">
            <v>-2.169875096001968E-3</v>
          </cell>
          <cell r="G2116">
            <v>-2.1101714760443074E-3</v>
          </cell>
        </row>
        <row r="2117">
          <cell r="B2117">
            <v>176.24199999999999</v>
          </cell>
          <cell r="D2117">
            <v>43822072.788217999</v>
          </cell>
          <cell r="E2117">
            <v>4372835504</v>
          </cell>
          <cell r="F2117">
            <v>1.0076585688080283E-2</v>
          </cell>
          <cell r="G2117">
            <v>4.8007678588045241E-3</v>
          </cell>
        </row>
        <row r="2118">
          <cell r="B2118">
            <v>175.83099999999999</v>
          </cell>
          <cell r="D2118">
            <v>23569916.508673001</v>
          </cell>
          <cell r="E2118">
            <v>2494242374</v>
          </cell>
          <cell r="F2118">
            <v>-2.334744139412977E-3</v>
          </cell>
          <cell r="G2118">
            <v>3.744242117017055E-3</v>
          </cell>
        </row>
        <row r="2119">
          <cell r="B2119">
            <v>177.84399999999999</v>
          </cell>
          <cell r="D2119">
            <v>32018685.296918001</v>
          </cell>
          <cell r="E2119">
            <v>2800242756</v>
          </cell>
          <cell r="F2119">
            <v>1.1383455078869587E-2</v>
          </cell>
          <cell r="G2119">
            <v>8.177278702023465E-3</v>
          </cell>
        </row>
        <row r="2120">
          <cell r="B2120">
            <v>178.28200000000001</v>
          </cell>
          <cell r="D2120">
            <v>28396641.221678998</v>
          </cell>
          <cell r="E2120">
            <v>3152227961</v>
          </cell>
          <cell r="F2120">
            <v>2.4598047929572826E-3</v>
          </cell>
          <cell r="G2120">
            <v>1.3556655475681826E-2</v>
          </cell>
        </row>
        <row r="2121">
          <cell r="B2121">
            <v>175.91800000000001</v>
          </cell>
          <cell r="D2121">
            <v>29905106.082341999</v>
          </cell>
          <cell r="E2121">
            <v>3731253343</v>
          </cell>
          <cell r="F2121">
            <v>-1.334858894583087E-2</v>
          </cell>
          <cell r="G2121">
            <v>-3.3743829350457951E-3</v>
          </cell>
        </row>
        <row r="2122">
          <cell r="B2122">
            <v>180.042</v>
          </cell>
          <cell r="D2122">
            <v>41479435.783206999</v>
          </cell>
          <cell r="E2122">
            <v>4794161515</v>
          </cell>
          <cell r="F2122">
            <v>2.3172179627676783E-2</v>
          </cell>
          <cell r="G2122">
            <v>2.5874065601552972E-2</v>
          </cell>
        </row>
        <row r="2123">
          <cell r="B2123">
            <v>181.16499999999999</v>
          </cell>
          <cell r="D2123">
            <v>34531767.532329001</v>
          </cell>
          <cell r="E2123">
            <v>3706403397</v>
          </cell>
          <cell r="F2123">
            <v>6.218061213267536E-3</v>
          </cell>
          <cell r="G2123">
            <v>1.1969668235859062E-2</v>
          </cell>
        </row>
        <row r="2124">
          <cell r="B2124">
            <v>182.55199999999999</v>
          </cell>
          <cell r="D2124">
            <v>30967841.513006002</v>
          </cell>
          <cell r="E2124">
            <v>3172476044</v>
          </cell>
          <cell r="F2124">
            <v>7.6268457253000788E-3</v>
          </cell>
          <cell r="G2124">
            <v>-7.8297553381980623E-3</v>
          </cell>
        </row>
        <row r="2125">
          <cell r="B2125">
            <v>189.32</v>
          </cell>
          <cell r="D2125">
            <v>45616274.007045999</v>
          </cell>
          <cell r="E2125">
            <v>3577280352</v>
          </cell>
          <cell r="F2125">
            <v>3.6403641093924292E-2</v>
          </cell>
          <cell r="G2125">
            <v>-5.3272433765708446E-3</v>
          </cell>
        </row>
        <row r="2126">
          <cell r="B2126">
            <v>179.13300000000001</v>
          </cell>
          <cell r="D2126">
            <v>54955671.338844001</v>
          </cell>
          <cell r="E2126">
            <v>4119364753</v>
          </cell>
          <cell r="F2126">
            <v>-5.5310158337811041E-2</v>
          </cell>
          <cell r="G2126">
            <v>-6.0752759198692892E-2</v>
          </cell>
        </row>
        <row r="2127">
          <cell r="B2127">
            <v>180.559</v>
          </cell>
          <cell r="D2127">
            <v>45097709.136537001</v>
          </cell>
          <cell r="E2127">
            <v>3379014946</v>
          </cell>
          <cell r="F2127">
            <v>7.9290474684969893E-3</v>
          </cell>
          <cell r="G2127">
            <v>1.2976299868566436E-2</v>
          </cell>
        </row>
        <row r="2128">
          <cell r="B2128">
            <v>181.72200000000001</v>
          </cell>
          <cell r="D2128">
            <v>34072979.302992001</v>
          </cell>
          <cell r="E2128">
            <v>3208285727</v>
          </cell>
          <cell r="F2128">
            <v>6.4204526051138758E-3</v>
          </cell>
          <cell r="G2128">
            <v>8.277851423430304E-3</v>
          </cell>
        </row>
        <row r="2129">
          <cell r="B2129">
            <v>186.17500000000001</v>
          </cell>
          <cell r="D2129">
            <v>44248304.627112001</v>
          </cell>
          <cell r="E2129">
            <v>3290522357</v>
          </cell>
          <cell r="F2129">
            <v>2.4209044822862409E-2</v>
          </cell>
          <cell r="G2129">
            <v>1.878488465267299E-2</v>
          </cell>
        </row>
        <row r="2130">
          <cell r="B2130">
            <v>186.81299999999999</v>
          </cell>
          <cell r="D2130">
            <v>26708925.271494001</v>
          </cell>
          <cell r="E2130">
            <v>2482661567</v>
          </cell>
          <cell r="F2130">
            <v>3.4210249242937057E-3</v>
          </cell>
          <cell r="G2130">
            <v>-3.6067962213368692E-3</v>
          </cell>
        </row>
        <row r="2131">
          <cell r="B2131">
            <v>188.821</v>
          </cell>
          <cell r="D2131">
            <v>23978359.508797001</v>
          </cell>
          <cell r="E2131">
            <v>2406434155</v>
          </cell>
          <cell r="F2131">
            <v>1.0691359818490731E-2</v>
          </cell>
          <cell r="G2131">
            <v>5.9401205504019245E-4</v>
          </cell>
        </row>
        <row r="2132">
          <cell r="B2132">
            <v>187.679</v>
          </cell>
          <cell r="D2132">
            <v>46207697.865877002</v>
          </cell>
          <cell r="E2132">
            <v>4998415138</v>
          </cell>
          <cell r="F2132">
            <v>-6.0664196667672698E-3</v>
          </cell>
          <cell r="G2132">
            <v>-5.6654822009647747E-3</v>
          </cell>
        </row>
        <row r="2133">
          <cell r="B2133">
            <v>192.90600000000001</v>
          </cell>
          <cell r="D2133">
            <v>34123498.581276998</v>
          </cell>
          <cell r="E2133">
            <v>2572599763</v>
          </cell>
          <cell r="F2133">
            <v>2.7469966954298285E-2</v>
          </cell>
          <cell r="G2133">
            <v>6.4740556904391263E-3</v>
          </cell>
        </row>
        <row r="2134">
          <cell r="B2134">
            <v>194.19499999999999</v>
          </cell>
          <cell r="D2134">
            <v>32146430.147546999</v>
          </cell>
          <cell r="E2134">
            <v>2736647372</v>
          </cell>
          <cell r="F2134">
            <v>6.6597852458139279E-3</v>
          </cell>
          <cell r="G2134">
            <v>4.2981911703125365E-3</v>
          </cell>
        </row>
        <row r="2135">
          <cell r="B2135">
            <v>190.27600000000001</v>
          </cell>
          <cell r="D2135">
            <v>38201105.858969003</v>
          </cell>
          <cell r="E2135">
            <v>3216148237</v>
          </cell>
          <cell r="F2135">
            <v>-2.0387159182017708E-2</v>
          </cell>
          <cell r="G2135">
            <v>-2.6195278732754491E-2</v>
          </cell>
        </row>
        <row r="2136">
          <cell r="B2136">
            <v>192.68100000000001</v>
          </cell>
          <cell r="D2136">
            <v>28909152.256007001</v>
          </cell>
          <cell r="E2136">
            <v>2738077000</v>
          </cell>
          <cell r="F2136">
            <v>1.2560322009983816E-2</v>
          </cell>
          <cell r="G2136">
            <v>1.0899850173409288E-2</v>
          </cell>
        </row>
        <row r="2137">
          <cell r="B2137">
            <v>188.83099999999999</v>
          </cell>
          <cell r="D2137">
            <v>56849169.599721</v>
          </cell>
          <cell r="E2137">
            <v>4393618253</v>
          </cell>
          <cell r="F2137">
            <v>-2.0183536552660013E-2</v>
          </cell>
          <cell r="G2137">
            <v>-2.4525217335129464E-2</v>
          </cell>
        </row>
        <row r="2138">
          <cell r="B2138">
            <v>190.85300000000001</v>
          </cell>
          <cell r="D2138">
            <v>27762985.891745999</v>
          </cell>
          <cell r="E2138">
            <v>2650231761</v>
          </cell>
          <cell r="F2138">
            <v>1.065106307071529E-2</v>
          </cell>
          <cell r="G2138">
            <v>1.4578907539069857E-2</v>
          </cell>
        </row>
        <row r="2139">
          <cell r="B2139">
            <v>195.71899999999999</v>
          </cell>
          <cell r="D2139">
            <v>35674134.507775001</v>
          </cell>
          <cell r="E2139">
            <v>2762700300</v>
          </cell>
          <cell r="F2139">
            <v>2.5176458849136725E-2</v>
          </cell>
          <cell r="G2139">
            <v>1.529233363768146E-2</v>
          </cell>
        </row>
        <row r="2140">
          <cell r="B2140">
            <v>196.87100000000001</v>
          </cell>
          <cell r="D2140">
            <v>33335655.227898002</v>
          </cell>
          <cell r="E2140">
            <v>2709350469</v>
          </cell>
          <cell r="F2140">
            <v>5.8687348451808563E-3</v>
          </cell>
          <cell r="G2140">
            <v>5.0095420996641308E-3</v>
          </cell>
        </row>
        <row r="2141">
          <cell r="B2141">
            <v>198.375</v>
          </cell>
          <cell r="D2141">
            <v>30481077.455215</v>
          </cell>
          <cell r="E2141">
            <v>2332622404</v>
          </cell>
          <cell r="F2141">
            <v>7.6104869333954387E-3</v>
          </cell>
          <cell r="G2141">
            <v>4.5310018326532803E-3</v>
          </cell>
        </row>
        <row r="2142">
          <cell r="B2142">
            <v>202.64400000000001</v>
          </cell>
          <cell r="D2142">
            <v>33165575.500546999</v>
          </cell>
          <cell r="E2142">
            <v>2384007094</v>
          </cell>
          <cell r="F2142">
            <v>2.1291566091426514E-2</v>
          </cell>
          <cell r="G2142">
            <v>1.5756943165826313E-2</v>
          </cell>
        </row>
        <row r="2143">
          <cell r="B2143">
            <v>200.28899999999999</v>
          </cell>
          <cell r="D2143">
            <v>34936378.381461002</v>
          </cell>
          <cell r="E2143">
            <v>2286066876</v>
          </cell>
          <cell r="F2143">
            <v>-1.1689421397819599E-2</v>
          </cell>
          <cell r="G2143">
            <v>-1.0877508816987262E-2</v>
          </cell>
        </row>
        <row r="2144">
          <cell r="B2144">
            <v>204.702</v>
          </cell>
          <cell r="D2144">
            <v>34935642.256275997</v>
          </cell>
          <cell r="E2144">
            <v>2397542535</v>
          </cell>
          <cell r="F2144">
            <v>2.1793939475034798E-2</v>
          </cell>
          <cell r="G2144">
            <v>7.7970264812917862E-3</v>
          </cell>
        </row>
        <row r="2145">
          <cell r="B2145">
            <v>206.11199999999999</v>
          </cell>
          <cell r="D2145">
            <v>34438284.753035001</v>
          </cell>
          <cell r="E2145">
            <v>2595438819</v>
          </cell>
          <cell r="F2145">
            <v>6.8644473492652305E-3</v>
          </cell>
          <cell r="G2145">
            <v>-5.6596254512879147E-3</v>
          </cell>
        </row>
        <row r="2146">
          <cell r="B2146">
            <v>205.48599999999999</v>
          </cell>
          <cell r="D2146">
            <v>27218206.159846</v>
          </cell>
          <cell r="E2146">
            <v>2408266859</v>
          </cell>
          <cell r="F2146">
            <v>-3.0418052695890215E-3</v>
          </cell>
          <cell r="G2146">
            <v>1.0411813000986475E-2</v>
          </cell>
        </row>
        <row r="2147">
          <cell r="B2147">
            <v>199.166</v>
          </cell>
          <cell r="D2147">
            <v>39651516.140437998</v>
          </cell>
          <cell r="E2147">
            <v>2694338924</v>
          </cell>
          <cell r="F2147">
            <v>-3.1239257243272017E-2</v>
          </cell>
          <cell r="G2147">
            <v>-9.4066236664834702E-3</v>
          </cell>
        </row>
        <row r="2148">
          <cell r="B2148">
            <v>200.386</v>
          </cell>
          <cell r="D2148">
            <v>39086112.617564999</v>
          </cell>
          <cell r="E2148">
            <v>2638225293</v>
          </cell>
          <cell r="F2148">
            <v>6.1068586393063775E-3</v>
          </cell>
          <cell r="G2148">
            <v>1.3317285189446137E-2</v>
          </cell>
        </row>
        <row r="2149">
          <cell r="B2149">
            <v>200.08600000000001</v>
          </cell>
          <cell r="D2149">
            <v>33458556.395291999</v>
          </cell>
          <cell r="E2149">
            <v>2849504498</v>
          </cell>
          <cell r="F2149">
            <v>-1.4982323663950638E-3</v>
          </cell>
          <cell r="G2149">
            <v>9.0410448847842075E-3</v>
          </cell>
        </row>
        <row r="2150">
          <cell r="B2150">
            <v>196.108</v>
          </cell>
          <cell r="D2150">
            <v>31130807.752487</v>
          </cell>
          <cell r="E2150">
            <v>2214117696</v>
          </cell>
          <cell r="F2150">
            <v>-2.0081746241850544E-2</v>
          </cell>
          <cell r="G2150">
            <v>-3.4119183131618158E-3</v>
          </cell>
        </row>
        <row r="2151">
          <cell r="B2151">
            <v>195.13200000000001</v>
          </cell>
          <cell r="D2151">
            <v>32892799.655188002</v>
          </cell>
          <cell r="E2151">
            <v>2219964739</v>
          </cell>
          <cell r="F2151">
            <v>-4.9892752510942639E-3</v>
          </cell>
          <cell r="G2151">
            <v>2.8445899031588197E-3</v>
          </cell>
        </row>
        <row r="2152">
          <cell r="B2152">
            <v>203.524</v>
          </cell>
          <cell r="D2152">
            <v>38351026.608747996</v>
          </cell>
          <cell r="E2152">
            <v>2171304615</v>
          </cell>
          <cell r="F2152">
            <v>4.2107681415082795E-2</v>
          </cell>
          <cell r="G2152">
            <v>8.3717641704647815E-3</v>
          </cell>
        </row>
        <row r="2153">
          <cell r="B2153">
            <v>200.75800000000001</v>
          </cell>
          <cell r="D2153">
            <v>39620500.596170999</v>
          </cell>
          <cell r="E2153">
            <v>2470338671</v>
          </cell>
          <cell r="F2153">
            <v>-1.3683731453411488E-2</v>
          </cell>
          <cell r="G2153">
            <v>1.6776413721593887E-3</v>
          </cell>
        </row>
        <row r="2154">
          <cell r="B2154">
            <v>203.66900000000001</v>
          </cell>
          <cell r="D2154">
            <v>51577543.725525998</v>
          </cell>
          <cell r="E2154">
            <v>2418091343</v>
          </cell>
          <cell r="F2154">
            <v>1.439592447307989E-2</v>
          </cell>
          <cell r="G2154">
            <v>5.7306396229577271E-3</v>
          </cell>
        </row>
        <row r="2155">
          <cell r="B2155">
            <v>194.80099999999999</v>
          </cell>
          <cell r="D2155">
            <v>70138484.644761994</v>
          </cell>
          <cell r="E2155">
            <v>2742056465</v>
          </cell>
          <cell r="F2155">
            <v>-4.4517602400852577E-2</v>
          </cell>
          <cell r="G2155">
            <v>-1.2396345287241563E-2</v>
          </cell>
        </row>
        <row r="2156">
          <cell r="B2156">
            <v>193.60599999999999</v>
          </cell>
          <cell r="D2156">
            <v>41410131.491182998</v>
          </cell>
          <cell r="E2156">
            <v>2460505182</v>
          </cell>
          <cell r="F2156">
            <v>-6.1533585677044662E-3</v>
          </cell>
          <cell r="G2156">
            <v>-6.2096307443050324E-3</v>
          </cell>
        </row>
        <row r="2157">
          <cell r="B2157">
            <v>196.04</v>
          </cell>
          <cell r="D2157">
            <v>31359775.446933001</v>
          </cell>
          <cell r="E2157">
            <v>2355871031</v>
          </cell>
          <cell r="F2157">
            <v>1.2493553943566809E-2</v>
          </cell>
          <cell r="G2157">
            <v>7.3679195100667611E-3</v>
          </cell>
        </row>
        <row r="2158">
          <cell r="B2158">
            <v>194.303</v>
          </cell>
          <cell r="D2158">
            <v>24175641.058148999</v>
          </cell>
          <cell r="E2158">
            <v>2244363387</v>
          </cell>
          <cell r="F2158">
            <v>-8.8999237359751373E-3</v>
          </cell>
          <cell r="G2158">
            <v>-6.4944443446863422E-3</v>
          </cell>
        </row>
        <row r="2159">
          <cell r="B2159">
            <v>196.24700000000001</v>
          </cell>
          <cell r="D2159">
            <v>20413008.334734</v>
          </cell>
          <cell r="E2159">
            <v>2471114054</v>
          </cell>
          <cell r="F2159">
            <v>9.9552736161008706E-3</v>
          </cell>
          <cell r="G2159">
            <v>1.2351783128253628E-2</v>
          </cell>
        </row>
        <row r="2160">
          <cell r="B2160">
            <v>196.089</v>
          </cell>
          <cell r="D2160">
            <v>26076522.071045998</v>
          </cell>
          <cell r="E2160">
            <v>2436861309</v>
          </cell>
          <cell r="F2160">
            <v>-8.0543212216831596E-4</v>
          </cell>
          <cell r="G2160">
            <v>-3.7573107206831397E-3</v>
          </cell>
        </row>
        <row r="2161">
          <cell r="B2161">
            <v>197.173</v>
          </cell>
          <cell r="D2161">
            <v>53285100.245870002</v>
          </cell>
          <cell r="E2161">
            <v>3062620493</v>
          </cell>
          <cell r="F2161">
            <v>5.5128781595656018E-3</v>
          </cell>
          <cell r="G2161">
            <v>7.6411913923716676E-3</v>
          </cell>
        </row>
        <row r="2162">
          <cell r="B2162">
            <v>208.25899999999999</v>
          </cell>
          <cell r="D2162">
            <v>82122622.095222995</v>
          </cell>
          <cell r="E2162">
            <v>2379546705</v>
          </cell>
          <cell r="F2162">
            <v>5.4700981441156975E-2</v>
          </cell>
          <cell r="G2162">
            <v>7.1553658839056062E-3</v>
          </cell>
        </row>
        <row r="2163">
          <cell r="B2163">
            <v>205.13499999999999</v>
          </cell>
          <cell r="D2163">
            <v>51238961.974450998</v>
          </cell>
          <cell r="E2163">
            <v>2403695283</v>
          </cell>
          <cell r="F2163">
            <v>-1.5114198416320942E-2</v>
          </cell>
          <cell r="G2163">
            <v>3.6054526780178501E-3</v>
          </cell>
        </row>
        <row r="2164">
          <cell r="B2164">
            <v>204.81100000000001</v>
          </cell>
          <cell r="D2164">
            <v>30005765.826228999</v>
          </cell>
          <cell r="E2164">
            <v>2452040105</v>
          </cell>
          <cell r="F2164">
            <v>-1.580696323233861E-3</v>
          </cell>
          <cell r="G2164">
            <v>6.4091575198012216E-3</v>
          </cell>
        </row>
        <row r="2165">
          <cell r="B2165">
            <v>208.09299999999999</v>
          </cell>
          <cell r="D2165">
            <v>33954968.914466001</v>
          </cell>
          <cell r="E2165">
            <v>2414075395</v>
          </cell>
          <cell r="F2165">
            <v>1.5897492499162266E-2</v>
          </cell>
          <cell r="G2165">
            <v>6.4071581324233757E-3</v>
          </cell>
        </row>
        <row r="2166">
          <cell r="B2166">
            <v>204.363</v>
          </cell>
          <cell r="D2166">
            <v>28926296.089398999</v>
          </cell>
          <cell r="E2166">
            <v>2279160879</v>
          </cell>
          <cell r="F2166">
            <v>-1.8087270828274868E-2</v>
          </cell>
          <cell r="G2166">
            <v>6.3279428537303944E-4</v>
          </cell>
        </row>
        <row r="2167">
          <cell r="B2167">
            <v>200.28899999999999</v>
          </cell>
          <cell r="D2167">
            <v>38175959.863632999</v>
          </cell>
          <cell r="E2167">
            <v>2565981272</v>
          </cell>
          <cell r="F2167">
            <v>-2.0136500791179502E-2</v>
          </cell>
          <cell r="G2167">
            <v>2.7384827334759297E-3</v>
          </cell>
        </row>
        <row r="2168">
          <cell r="B2168">
            <v>195.601</v>
          </cell>
          <cell r="D2168">
            <v>37895223.832868002</v>
          </cell>
          <cell r="E2168">
            <v>2901184692</v>
          </cell>
          <cell r="F2168">
            <v>-2.3684453478093965E-2</v>
          </cell>
          <cell r="G2168">
            <v>-8.0010465432212886E-3</v>
          </cell>
        </row>
        <row r="2169">
          <cell r="B2169">
            <v>201.18899999999999</v>
          </cell>
          <cell r="D2169">
            <v>29156021.409209002</v>
          </cell>
          <cell r="E2169">
            <v>2245860113</v>
          </cell>
          <cell r="F2169">
            <v>2.8167894700740787E-2</v>
          </cell>
          <cell r="G2169">
            <v>1.3899455827979215E-2</v>
          </cell>
        </row>
        <row r="2170">
          <cell r="B2170">
            <v>200.72900000000001</v>
          </cell>
          <cell r="D2170">
            <v>23486788.625222001</v>
          </cell>
          <cell r="E2170">
            <v>1964649318</v>
          </cell>
          <cell r="F2170">
            <v>-2.2890251287709272E-3</v>
          </cell>
          <cell r="G2170">
            <v>-2.0492235227105187E-3</v>
          </cell>
        </row>
        <row r="2171">
          <cell r="B2171">
            <v>200.905</v>
          </cell>
          <cell r="D2171">
            <v>18672813.5185</v>
          </cell>
          <cell r="E2171">
            <v>1713105900</v>
          </cell>
          <cell r="F2171">
            <v>8.7641988111372855E-4</v>
          </cell>
          <cell r="G2171">
            <v>-1.7194661396471121E-4</v>
          </cell>
        </row>
        <row r="2172">
          <cell r="B2172">
            <v>202.233</v>
          </cell>
          <cell r="D2172">
            <v>20987110.215833999</v>
          </cell>
          <cell r="E2172">
            <v>1951363148</v>
          </cell>
          <cell r="F2172">
            <v>6.5883385025299014E-3</v>
          </cell>
          <cell r="G2172">
            <v>2.7062093485908582E-3</v>
          </cell>
        </row>
        <row r="2173">
          <cell r="B2173">
            <v>203.41499999999999</v>
          </cell>
          <cell r="D2173">
            <v>22184290.362500999</v>
          </cell>
          <cell r="E2173">
            <v>1795551606</v>
          </cell>
          <cell r="F2173">
            <v>5.827729190318702E-3</v>
          </cell>
          <cell r="G2173">
            <v>2.3007288895721292E-3</v>
          </cell>
        </row>
        <row r="2174">
          <cell r="B2174">
            <v>202.166</v>
          </cell>
          <cell r="D2174">
            <v>28656498.530772001</v>
          </cell>
          <cell r="E2174">
            <v>2021428535</v>
          </cell>
          <cell r="F2174">
            <v>-6.1590851066935758E-3</v>
          </cell>
          <cell r="G2174">
            <v>-4.4141436389460408E-3</v>
          </cell>
        </row>
        <row r="2175">
          <cell r="B2175">
            <v>206.87100000000001</v>
          </cell>
          <cell r="D2175">
            <v>27986355.349048998</v>
          </cell>
          <cell r="E2175">
            <v>1835659390</v>
          </cell>
          <cell r="F2175">
            <v>2.3006268495640466E-2</v>
          </cell>
          <cell r="G2175">
            <v>3.1536808202811935E-3</v>
          </cell>
        </row>
        <row r="2176">
          <cell r="B2176">
            <v>205.36799999999999</v>
          </cell>
          <cell r="D2176">
            <v>37599358.842652</v>
          </cell>
          <cell r="E2176">
            <v>1993642443</v>
          </cell>
          <cell r="F2176">
            <v>-7.2919188131017644E-3</v>
          </cell>
          <cell r="G2176">
            <v>3.4352287393030465E-3</v>
          </cell>
        </row>
        <row r="2177">
          <cell r="B2177">
            <v>206.00399999999999</v>
          </cell>
          <cell r="D2177">
            <v>26408363.004025001</v>
          </cell>
          <cell r="E2177">
            <v>2275646060</v>
          </cell>
          <cell r="F2177">
            <v>3.0920942929290218E-3</v>
          </cell>
          <cell r="G2177">
            <v>9.9935809549321058E-3</v>
          </cell>
        </row>
        <row r="2178">
          <cell r="B2178">
            <v>208.68799999999999</v>
          </cell>
          <cell r="D2178">
            <v>23901916.133450001</v>
          </cell>
          <cell r="E2178">
            <v>2042901658</v>
          </cell>
          <cell r="F2178">
            <v>1.2944727551134811E-2</v>
          </cell>
          <cell r="G2178">
            <v>3.58987425339455E-3</v>
          </cell>
        </row>
        <row r="2179">
          <cell r="B2179">
            <v>213.202</v>
          </cell>
          <cell r="D2179">
            <v>41075688.012699001</v>
          </cell>
          <cell r="E2179">
            <v>2020851527</v>
          </cell>
          <cell r="F2179">
            <v>2.1399759482801563E-2</v>
          </cell>
          <cell r="G2179">
            <v>1.0144040989640822E-2</v>
          </cell>
        </row>
        <row r="2180">
          <cell r="B2180">
            <v>218.44499999999999</v>
          </cell>
          <cell r="D2180">
            <v>59747483.856050998</v>
          </cell>
          <cell r="E2180">
            <v>2327431654</v>
          </cell>
          <cell r="F2180">
            <v>2.4294193491924493E-2</v>
          </cell>
          <cell r="G2180">
            <v>1.6716264045830256E-3</v>
          </cell>
        </row>
        <row r="2181">
          <cell r="B2181">
            <v>220.703</v>
          </cell>
          <cell r="D2181">
            <v>27272126.561721999</v>
          </cell>
          <cell r="E2181">
            <v>2047770541</v>
          </cell>
          <cell r="F2181">
            <v>1.028363968047466E-2</v>
          </cell>
          <cell r="G2181">
            <v>6.7100140785116896E-3</v>
          </cell>
        </row>
        <row r="2182">
          <cell r="B2182">
            <v>217.42099999999999</v>
          </cell>
          <cell r="D2182">
            <v>29845795.278388001</v>
          </cell>
          <cell r="E2182">
            <v>2545947629</v>
          </cell>
          <cell r="F2182">
            <v>-1.4982340124970855E-2</v>
          </cell>
          <cell r="G2182">
            <v>-2.1973891312895358E-3</v>
          </cell>
        </row>
        <row r="2183">
          <cell r="B2183">
            <v>219.12100000000001</v>
          </cell>
          <cell r="D2183">
            <v>26751783.319244999</v>
          </cell>
          <cell r="E2183">
            <v>2246655768</v>
          </cell>
          <cell r="F2183">
            <v>7.788522495634837E-3</v>
          </cell>
          <cell r="G2183">
            <v>7.496875851234013E-3</v>
          </cell>
        </row>
        <row r="2184">
          <cell r="B2184">
            <v>223.34200000000001</v>
          </cell>
          <cell r="D2184">
            <v>35350116.568582997</v>
          </cell>
          <cell r="E2184">
            <v>2579961224</v>
          </cell>
          <cell r="F2184">
            <v>1.908014028032708E-2</v>
          </cell>
          <cell r="G2184">
            <v>1.5248997908235747E-2</v>
          </cell>
        </row>
        <row r="2185">
          <cell r="B2185">
            <v>209.50200000000001</v>
          </cell>
          <cell r="D2185">
            <v>60575301.161710002</v>
          </cell>
          <cell r="E2185">
            <v>3196862882</v>
          </cell>
          <cell r="F2185">
            <v>-6.3970943078115211E-2</v>
          </cell>
          <cell r="G2185">
            <v>-3.5757586556313434E-2</v>
          </cell>
        </row>
        <row r="2186">
          <cell r="B2186">
            <v>206.55099999999999</v>
          </cell>
          <cell r="D2186">
            <v>61886150.708333999</v>
          </cell>
          <cell r="E2186">
            <v>3045943569</v>
          </cell>
          <cell r="F2186">
            <v>-1.4185930582200334E-2</v>
          </cell>
          <cell r="G2186">
            <v>-8.1662523968659001E-3</v>
          </cell>
        </row>
        <row r="2187">
          <cell r="B2187">
            <v>195.39500000000001</v>
          </cell>
          <cell r="D2187">
            <v>54895400.193552002</v>
          </cell>
          <cell r="E2187">
            <v>3071728677</v>
          </cell>
          <cell r="F2187">
            <v>-5.5524204528849173E-2</v>
          </cell>
          <cell r="G2187">
            <v>-2.8148866864058281E-2</v>
          </cell>
        </row>
        <row r="2188">
          <cell r="B2188">
            <v>203.71600000000001</v>
          </cell>
          <cell r="D2188">
            <v>47380218.330784999</v>
          </cell>
          <cell r="E2188">
            <v>2509091751</v>
          </cell>
          <cell r="F2188">
            <v>4.1703716285831367E-2</v>
          </cell>
          <cell r="G2188">
            <v>1.9944798533671326E-2</v>
          </cell>
        </row>
        <row r="2189">
          <cell r="B2189">
            <v>197.995</v>
          </cell>
          <cell r="D2189">
            <v>36782213.816435002</v>
          </cell>
          <cell r="E2189">
            <v>2581883711</v>
          </cell>
          <cell r="F2189">
            <v>-2.8485089180353602E-2</v>
          </cell>
          <cell r="G2189">
            <v>-1.774123987058698E-2</v>
          </cell>
        </row>
        <row r="2190">
          <cell r="B2190">
            <v>196.696</v>
          </cell>
          <cell r="D2190">
            <v>34872190.108274996</v>
          </cell>
          <cell r="E2190">
            <v>2351289169</v>
          </cell>
          <cell r="F2190">
            <v>-6.58238819853855E-3</v>
          </cell>
          <cell r="G2190">
            <v>5.32921379765575E-4</v>
          </cell>
        </row>
        <row r="2191">
          <cell r="B2191">
            <v>198.03399999999999</v>
          </cell>
          <cell r="D2191">
            <v>31507057.817575</v>
          </cell>
          <cell r="E2191">
            <v>2364625122</v>
          </cell>
          <cell r="F2191">
            <v>6.7793434726526958E-3</v>
          </cell>
          <cell r="G2191">
            <v>1.2661314711189059E-2</v>
          </cell>
        </row>
        <row r="2192">
          <cell r="B2192">
            <v>201.267</v>
          </cell>
          <cell r="D2192">
            <v>22636735.015147999</v>
          </cell>
          <cell r="E2192">
            <v>2482063450</v>
          </cell>
          <cell r="F2192">
            <v>1.6193651656253021E-2</v>
          </cell>
          <cell r="G2192">
            <v>5.2058118315071811E-3</v>
          </cell>
        </row>
        <row r="2193">
          <cell r="B2193">
            <v>197.68100000000001</v>
          </cell>
          <cell r="D2193">
            <v>27354656.535425998</v>
          </cell>
          <cell r="E2193">
            <v>2860737276</v>
          </cell>
          <cell r="F2193">
            <v>-1.7977764432543786E-2</v>
          </cell>
          <cell r="G2193">
            <v>-4.6296583637453039E-3</v>
          </cell>
        </row>
        <row r="2194">
          <cell r="B2194">
            <v>195.62100000000001</v>
          </cell>
          <cell r="D2194">
            <v>35277944.562177002</v>
          </cell>
          <cell r="E2194">
            <v>2739627914</v>
          </cell>
          <cell r="F2194">
            <v>-1.0475506547231589E-2</v>
          </cell>
          <cell r="G2194">
            <v>-8.4479553221299946E-3</v>
          </cell>
        </row>
        <row r="2195">
          <cell r="B2195">
            <v>193.19800000000001</v>
          </cell>
          <cell r="D2195">
            <v>57282092.089628004</v>
          </cell>
          <cell r="E2195">
            <v>4080814747</v>
          </cell>
          <cell r="F2195">
            <v>-1.2463544043062106E-2</v>
          </cell>
          <cell r="G2195">
            <v>-1.1245565213035068E-2</v>
          </cell>
        </row>
        <row r="2196">
          <cell r="B2196">
            <v>195.279</v>
          </cell>
          <cell r="D2196">
            <v>41323413.077799</v>
          </cell>
          <cell r="E2196">
            <v>2996245686</v>
          </cell>
          <cell r="F2196">
            <v>1.0713735461521155E-2</v>
          </cell>
          <cell r="G2196">
            <v>-1.1638590711243436E-2</v>
          </cell>
        </row>
        <row r="2197">
          <cell r="B2197">
            <v>199.96700000000001</v>
          </cell>
          <cell r="D2197">
            <v>34765346.503314003</v>
          </cell>
          <cell r="E2197">
            <v>2388040936</v>
          </cell>
          <cell r="F2197">
            <v>2.3723047714556057E-2</v>
          </cell>
          <cell r="G2197">
            <v>1.0463013638868866E-2</v>
          </cell>
        </row>
        <row r="2198">
          <cell r="B2198">
            <v>193.39500000000001</v>
          </cell>
          <cell r="D2198">
            <v>31951010.923243999</v>
          </cell>
          <cell r="E2198">
            <v>2481367969</v>
          </cell>
          <cell r="F2198">
            <v>-3.3417623403128496E-2</v>
          </cell>
          <cell r="G2198">
            <v>-2.4007294161091854E-2</v>
          </cell>
        </row>
        <row r="2199">
          <cell r="B2199">
            <v>195.88399999999999</v>
          </cell>
          <cell r="D2199">
            <v>32364574.037478998</v>
          </cell>
          <cell r="E2199">
            <v>2414616135</v>
          </cell>
          <cell r="F2199">
            <v>1.2787917760420714E-2</v>
          </cell>
          <cell r="G2199">
            <v>2.9829543473573147E-3</v>
          </cell>
        </row>
        <row r="2200">
          <cell r="B2200">
            <v>200.357</v>
          </cell>
          <cell r="D2200">
            <v>30533650.512526002</v>
          </cell>
          <cell r="E2200">
            <v>2201331092</v>
          </cell>
          <cell r="F2200">
            <v>2.2578128037474793E-2</v>
          </cell>
          <cell r="G2200">
            <v>1.5850478138509476E-2</v>
          </cell>
        </row>
        <row r="2201">
          <cell r="B2201">
            <v>201.91</v>
          </cell>
          <cell r="D2201">
            <v>33196900.237868</v>
          </cell>
          <cell r="E2201">
            <v>2218484960</v>
          </cell>
          <cell r="F2201">
            <v>7.7212782334765391E-3</v>
          </cell>
          <cell r="G2201">
            <v>1.5982150874003724E-2</v>
          </cell>
        </row>
        <row r="2202">
          <cell r="B2202">
            <v>199.81100000000001</v>
          </cell>
          <cell r="D2202">
            <v>25375607.013753999</v>
          </cell>
          <cell r="E2202">
            <v>1947640906</v>
          </cell>
          <cell r="F2202">
            <v>-1.0450133808248396E-2</v>
          </cell>
          <cell r="G2202">
            <v>-4.8242447838090239E-3</v>
          </cell>
        </row>
        <row r="2203">
          <cell r="B2203">
            <v>202.78100000000001</v>
          </cell>
          <cell r="D2203">
            <v>35088989.725096002</v>
          </cell>
          <cell r="E2203">
            <v>2621466321</v>
          </cell>
          <cell r="F2203">
            <v>1.4754659211045846E-2</v>
          </cell>
          <cell r="G2203">
            <v>8.2198337849473339E-3</v>
          </cell>
        </row>
        <row r="2204">
          <cell r="B2204">
            <v>204.84100000000001</v>
          </cell>
          <cell r="D2204">
            <v>28169882.926601</v>
          </cell>
          <cell r="E2204">
            <v>2354422841</v>
          </cell>
          <cell r="F2204">
            <v>1.0107489476365085E-2</v>
          </cell>
          <cell r="G2204">
            <v>5.2789351215227383E-3</v>
          </cell>
        </row>
        <row r="2205">
          <cell r="B2205">
            <v>198.79400000000001</v>
          </cell>
          <cell r="D2205">
            <v>34389571.489804998</v>
          </cell>
          <cell r="E2205">
            <v>2354722287</v>
          </cell>
          <cell r="F2205">
            <v>-2.9964955760948833E-2</v>
          </cell>
          <cell r="G2205">
            <v>-9.6237750916984329E-3</v>
          </cell>
        </row>
        <row r="2206">
          <cell r="B2206">
            <v>202.828</v>
          </cell>
          <cell r="D2206">
            <v>22126014.638604999</v>
          </cell>
          <cell r="E2206">
            <v>2040745749</v>
          </cell>
          <cell r="F2206">
            <v>2.0089216567296116E-2</v>
          </cell>
          <cell r="G2206">
            <v>1.7813057021042421E-2</v>
          </cell>
        </row>
        <row r="2207">
          <cell r="B2207">
            <v>198.52199999999999</v>
          </cell>
          <cell r="D2207">
            <v>29617710.115107</v>
          </cell>
          <cell r="E2207">
            <v>2551091954</v>
          </cell>
          <cell r="F2207">
            <v>-2.1458404027618071E-2</v>
          </cell>
          <cell r="G2207">
            <v>-1.4072027020773103E-2</v>
          </cell>
        </row>
        <row r="2208">
          <cell r="B2208">
            <v>202.29300000000001</v>
          </cell>
          <cell r="D2208">
            <v>26637497.580814999</v>
          </cell>
          <cell r="E2208">
            <v>2084054405</v>
          </cell>
          <cell r="F2208">
            <v>1.8817216278735008E-2</v>
          </cell>
          <cell r="G2208">
            <v>1.7247172188931348E-2</v>
          </cell>
        </row>
        <row r="2209">
          <cell r="B2209">
            <v>203.023</v>
          </cell>
          <cell r="D2209">
            <v>20667938.007513002</v>
          </cell>
          <cell r="E2209">
            <v>2094828307</v>
          </cell>
          <cell r="F2209">
            <v>3.6021316174724171E-3</v>
          </cell>
          <cell r="G2209">
            <v>7.9781730936344594E-3</v>
          </cell>
        </row>
        <row r="2210">
          <cell r="B2210">
            <v>208.07499999999999</v>
          </cell>
          <cell r="D2210">
            <v>27443427.704016998</v>
          </cell>
          <cell r="E2210">
            <v>2209050833</v>
          </cell>
          <cell r="F2210">
            <v>2.4579318515776664E-2</v>
          </cell>
          <cell r="G2210">
            <v>8.7551487402514096E-3</v>
          </cell>
        </row>
        <row r="2211">
          <cell r="B2211">
            <v>213.44800000000001</v>
          </cell>
          <cell r="D2211">
            <v>41968278.191655003</v>
          </cell>
          <cell r="E2211">
            <v>2240199001</v>
          </cell>
          <cell r="F2211">
            <v>2.5494651652065617E-2</v>
          </cell>
          <cell r="G2211">
            <v>1.6282507554067349E-2</v>
          </cell>
        </row>
        <row r="2212">
          <cell r="B2212">
            <v>214.87299999999999</v>
          </cell>
          <cell r="D2212">
            <v>30029063.829971999</v>
          </cell>
          <cell r="E2212">
            <v>2358329289</v>
          </cell>
          <cell r="F2212">
            <v>6.6539126384151694E-3</v>
          </cell>
          <cell r="G2212">
            <v>-6.3268804537488111E-3</v>
          </cell>
        </row>
        <row r="2213">
          <cell r="B2213">
            <v>212.917</v>
          </cell>
          <cell r="D2213">
            <v>24325129.756705001</v>
          </cell>
          <cell r="E2213">
            <v>2173872805</v>
          </cell>
          <cell r="F2213">
            <v>-9.1447375163306623E-3</v>
          </cell>
          <cell r="G2213">
            <v>-6.6451691550408936E-3</v>
          </cell>
        </row>
        <row r="2214">
          <cell r="B2214">
            <v>211.77600000000001</v>
          </cell>
          <cell r="D2214">
            <v>23579715.471312001</v>
          </cell>
          <cell r="E2214">
            <v>2007238547</v>
          </cell>
          <cell r="F2214">
            <v>-5.3733061071619915E-3</v>
          </cell>
          <cell r="G2214">
            <v>-1.5289711398439405E-3</v>
          </cell>
        </row>
        <row r="2215">
          <cell r="B2215">
            <v>211.77600000000001</v>
          </cell>
          <cell r="D2215">
            <v>27028360.601055</v>
          </cell>
          <cell r="E2215">
            <v>2213545513</v>
          </cell>
          <cell r="F2215">
            <v>0</v>
          </cell>
          <cell r="G2215">
            <v>1.3491886946954788E-4</v>
          </cell>
        </row>
        <row r="2216">
          <cell r="B2216">
            <v>206.52199999999999</v>
          </cell>
          <cell r="D2216">
            <v>28654715.039714999</v>
          </cell>
          <cell r="E2216">
            <v>2185827606</v>
          </cell>
          <cell r="F2216">
            <v>-2.5122168042512865E-2</v>
          </cell>
          <cell r="G2216">
            <v>-1.6464623898632638E-2</v>
          </cell>
        </row>
        <row r="2217">
          <cell r="B2217">
            <v>206.94</v>
          </cell>
          <cell r="D2217">
            <v>23600924.886213999</v>
          </cell>
          <cell r="E2217">
            <v>2114290333</v>
          </cell>
          <cell r="F2217">
            <v>2.0219519201705163E-3</v>
          </cell>
          <cell r="G2217">
            <v>4.7161384872977134E-3</v>
          </cell>
        </row>
        <row r="2218">
          <cell r="B2218">
            <v>207.08699999999999</v>
          </cell>
          <cell r="D2218">
            <v>23571253.615059</v>
          </cell>
          <cell r="E2218">
            <v>2067107215</v>
          </cell>
          <cell r="F2218">
            <v>7.1009864659517805E-4</v>
          </cell>
          <cell r="G2218">
            <v>-2.1980970313859494E-3</v>
          </cell>
        </row>
        <row r="2219">
          <cell r="B2219">
            <v>207.17599999999999</v>
          </cell>
          <cell r="D2219">
            <v>23183890.004944</v>
          </cell>
          <cell r="E2219">
            <v>2402859482</v>
          </cell>
          <cell r="F2219">
            <v>4.2967873727217616E-4</v>
          </cell>
          <cell r="G2219">
            <v>5.2053738863262616E-3</v>
          </cell>
        </row>
        <row r="2220">
          <cell r="B2220">
            <v>208.46600000000001</v>
          </cell>
          <cell r="D2220">
            <v>19582744.103916001</v>
          </cell>
          <cell r="E2220">
            <v>2155522498</v>
          </cell>
          <cell r="F2220">
            <v>6.207284836536018E-3</v>
          </cell>
          <cell r="G2220">
            <v>3.4398664911297477E-3</v>
          </cell>
        </row>
        <row r="2221">
          <cell r="B2221">
            <v>202.536</v>
          </cell>
          <cell r="D2221">
            <v>38493713.060122997</v>
          </cell>
          <cell r="E2221">
            <v>2435786612</v>
          </cell>
          <cell r="F2221">
            <v>-2.8858309873432776E-2</v>
          </cell>
          <cell r="G2221">
            <v>-1.8764495369547173E-2</v>
          </cell>
        </row>
        <row r="2222">
          <cell r="B2222">
            <v>205.584</v>
          </cell>
          <cell r="D2222">
            <v>38067160.766177997</v>
          </cell>
          <cell r="E2222">
            <v>2395101697</v>
          </cell>
          <cell r="F2222">
            <v>1.49370610173498E-2</v>
          </cell>
          <cell r="G2222">
            <v>-3.0301938037524704E-3</v>
          </cell>
        </row>
        <row r="2223">
          <cell r="B2223">
            <v>195.41499999999999</v>
          </cell>
          <cell r="D2223">
            <v>53102279.102776997</v>
          </cell>
          <cell r="E2223">
            <v>3147943500</v>
          </cell>
          <cell r="F2223">
            <v>-5.0729207269764001E-2</v>
          </cell>
          <cell r="G2223">
            <v>-3.5925571226008889E-2</v>
          </cell>
        </row>
        <row r="2224">
          <cell r="B2224">
            <v>197.37</v>
          </cell>
          <cell r="D2224">
            <v>32603212.717307001</v>
          </cell>
          <cell r="E2224">
            <v>2752625684</v>
          </cell>
          <cell r="F2224">
            <v>9.95463749465526E-3</v>
          </cell>
          <cell r="G2224">
            <v>1.18765014438055E-2</v>
          </cell>
        </row>
        <row r="2225">
          <cell r="B2225">
            <v>195.21100000000001</v>
          </cell>
          <cell r="D2225">
            <v>38357369.161619999</v>
          </cell>
          <cell r="E2225">
            <v>3003852681</v>
          </cell>
          <cell r="F2225">
            <v>-1.0999114915747777E-2</v>
          </cell>
          <cell r="G2225">
            <v>-1.2203669046735501E-2</v>
          </cell>
        </row>
        <row r="2226">
          <cell r="B2226">
            <v>195.07499999999999</v>
          </cell>
          <cell r="D2226">
            <v>31990823.112272002</v>
          </cell>
          <cell r="E2226">
            <v>2525535542</v>
          </cell>
          <cell r="F2226">
            <v>-6.9692484744355296E-4</v>
          </cell>
          <cell r="G2226">
            <v>1.2242941894852779E-2</v>
          </cell>
        </row>
        <row r="2227">
          <cell r="B2227">
            <v>199.03200000000001</v>
          </cell>
          <cell r="D2227">
            <v>28536666.769919999</v>
          </cell>
          <cell r="E2227">
            <v>2329577555</v>
          </cell>
          <cell r="F2227">
            <v>2.0081515814187403E-2</v>
          </cell>
          <cell r="G2227">
            <v>1.7642760820758659E-2</v>
          </cell>
        </row>
        <row r="2228">
          <cell r="B2228">
            <v>208.61</v>
          </cell>
          <cell r="D2228">
            <v>43887602.263061002</v>
          </cell>
          <cell r="E2228">
            <v>2901095649</v>
          </cell>
          <cell r="F2228">
            <v>4.7000864239182601E-2</v>
          </cell>
          <cell r="G2228">
            <v>2.1807516584335981E-2</v>
          </cell>
        </row>
        <row r="2229">
          <cell r="B2229">
            <v>215.28200000000001</v>
          </cell>
          <cell r="D2229">
            <v>37423874.379768997</v>
          </cell>
          <cell r="E2229">
            <v>2559015385</v>
          </cell>
          <cell r="F2229">
            <v>3.1482316545983137E-2</v>
          </cell>
          <cell r="G2229">
            <v>1.9273262670013912E-2</v>
          </cell>
        </row>
        <row r="2230">
          <cell r="B2230">
            <v>215.70099999999999</v>
          </cell>
          <cell r="D2230">
            <v>26171610.197058</v>
          </cell>
          <cell r="E2230">
            <v>2167007972</v>
          </cell>
          <cell r="F2230">
            <v>1.944392850799869E-3</v>
          </cell>
          <cell r="G2230">
            <v>-2.8775379869741254E-4</v>
          </cell>
        </row>
        <row r="2231">
          <cell r="B2231">
            <v>210.54400000000001</v>
          </cell>
          <cell r="D2231">
            <v>46048359.013778001</v>
          </cell>
          <cell r="E2231">
            <v>5061429532</v>
          </cell>
          <cell r="F2231">
            <v>-2.4198532045193129E-2</v>
          </cell>
          <cell r="G2231">
            <v>1.1631958050304203E-2</v>
          </cell>
        </row>
        <row r="2232">
          <cell r="B2232">
            <v>203.44499999999999</v>
          </cell>
          <cell r="D2232">
            <v>45685499.465078004</v>
          </cell>
          <cell r="E2232">
            <v>3455507092</v>
          </cell>
          <cell r="F2232">
            <v>-3.4298959324996985E-2</v>
          </cell>
          <cell r="G2232">
            <v>-1.4007834839128777E-3</v>
          </cell>
        </row>
        <row r="2233">
          <cell r="B2233">
            <v>208.767</v>
          </cell>
          <cell r="D2233">
            <v>30537256.399728</v>
          </cell>
          <cell r="E2233">
            <v>2515389885</v>
          </cell>
          <cell r="F2233">
            <v>2.5823099458102784E-2</v>
          </cell>
          <cell r="G2233">
            <v>7.622761226929676E-3</v>
          </cell>
        </row>
        <row r="2234">
          <cell r="B2234">
            <v>207.714</v>
          </cell>
          <cell r="D2234">
            <v>22421168.075270001</v>
          </cell>
          <cell r="E2234">
            <v>2414732971</v>
          </cell>
          <cell r="F2234">
            <v>-5.0566640195037517E-3</v>
          </cell>
          <cell r="G2234">
            <v>-1.0028678908945363E-2</v>
          </cell>
        </row>
        <row r="2235">
          <cell r="B2235">
            <v>208.727</v>
          </cell>
          <cell r="D2235">
            <v>19324158.376850002</v>
          </cell>
          <cell r="E2235">
            <v>2276724987</v>
          </cell>
          <cell r="F2235">
            <v>4.8650444986368313E-3</v>
          </cell>
          <cell r="G2235">
            <v>1.3518576706374859E-2</v>
          </cell>
        </row>
        <row r="2236">
          <cell r="B2236">
            <v>209.43299999999999</v>
          </cell>
          <cell r="D2236">
            <v>25882685.669461999</v>
          </cell>
          <cell r="E2236">
            <v>2864430679</v>
          </cell>
          <cell r="F2236">
            <v>3.3767011231301391E-3</v>
          </cell>
          <cell r="G2236">
            <v>1.1580731916656505E-2</v>
          </cell>
        </row>
        <row r="2237">
          <cell r="B2237">
            <v>206.75700000000001</v>
          </cell>
          <cell r="D2237">
            <v>25053687.901581999</v>
          </cell>
          <cell r="E2237">
            <v>2343226894</v>
          </cell>
          <cell r="F2237">
            <v>-1.2859688496900534E-2</v>
          </cell>
          <cell r="G2237">
            <v>-4.8034761341036901E-3</v>
          </cell>
        </row>
        <row r="2238">
          <cell r="B2238">
            <v>204.03399999999999</v>
          </cell>
          <cell r="D2238">
            <v>29352635.429186001</v>
          </cell>
          <cell r="E2238">
            <v>2667939337</v>
          </cell>
          <cell r="F2238">
            <v>-1.3257544022716179E-2</v>
          </cell>
          <cell r="G2238">
            <v>-1.1631213479601318E-2</v>
          </cell>
        </row>
        <row r="2239">
          <cell r="B2239">
            <v>205.33</v>
          </cell>
          <cell r="D2239">
            <v>25648956.197225001</v>
          </cell>
          <cell r="E2239">
            <v>2246332374</v>
          </cell>
          <cell r="F2239">
            <v>6.3317943438702248E-3</v>
          </cell>
          <cell r="G2239">
            <v>3.9386539225387159E-3</v>
          </cell>
        </row>
        <row r="2240">
          <cell r="B2240">
            <v>203.376</v>
          </cell>
          <cell r="D2240">
            <v>23631999.811930999</v>
          </cell>
          <cell r="E2240">
            <v>2212968548</v>
          </cell>
          <cell r="F2240">
            <v>-9.5619584150942773E-3</v>
          </cell>
          <cell r="G2240">
            <v>-6.8157156362698918E-3</v>
          </cell>
        </row>
        <row r="2241">
          <cell r="B2241">
            <v>203.102</v>
          </cell>
          <cell r="D2241">
            <v>26570479.474516001</v>
          </cell>
          <cell r="E2241">
            <v>2493130026</v>
          </cell>
          <cell r="F2241">
            <v>-1.348166648629467E-3</v>
          </cell>
          <cell r="G2241">
            <v>5.6200945950578216E-3</v>
          </cell>
        </row>
        <row r="2242">
          <cell r="B2242">
            <v>206.71700000000001</v>
          </cell>
          <cell r="D2242">
            <v>35153211.784277998</v>
          </cell>
          <cell r="E2242">
            <v>3170708990</v>
          </cell>
          <cell r="F2242">
            <v>1.7642392201346935E-2</v>
          </cell>
          <cell r="G2242">
            <v>1.6032507557285768E-2</v>
          </cell>
        </row>
        <row r="2243">
          <cell r="B2243">
            <v>206.727</v>
          </cell>
          <cell r="D2243">
            <v>21738561.956319001</v>
          </cell>
          <cell r="E2243">
            <v>2305668031</v>
          </cell>
          <cell r="F2243">
            <v>4.8374144996383662E-5</v>
          </cell>
          <cell r="G2243">
            <v>-1.5856720266289198E-3</v>
          </cell>
        </row>
        <row r="2244">
          <cell r="B2244">
            <v>208.05500000000001</v>
          </cell>
          <cell r="D2244">
            <v>15013387.798304001</v>
          </cell>
          <cell r="E2244">
            <v>1229199673</v>
          </cell>
          <cell r="F2244">
            <v>6.4033855745939932E-3</v>
          </cell>
          <cell r="G2244">
            <v>2.3940572799516376E-3</v>
          </cell>
        </row>
        <row r="2245">
          <cell r="B2245">
            <v>206.92099999999999</v>
          </cell>
          <cell r="D2245">
            <v>34206634.655272998</v>
          </cell>
          <cell r="E2245">
            <v>3644157125</v>
          </cell>
          <cell r="F2245">
            <v>-5.4653899153667808E-3</v>
          </cell>
          <cell r="G2245">
            <v>-4.6060814384970977E-3</v>
          </cell>
        </row>
        <row r="2246">
          <cell r="B2246">
            <v>208.99299999999999</v>
          </cell>
          <cell r="D2246">
            <v>31999522.494314998</v>
          </cell>
          <cell r="E2246">
            <v>2637657489</v>
          </cell>
          <cell r="F2246">
            <v>9.9636806716932261E-3</v>
          </cell>
          <cell r="G2246">
            <v>1.1208121636017976E-2</v>
          </cell>
        </row>
        <row r="2247">
          <cell r="B2247">
            <v>208.18199999999999</v>
          </cell>
          <cell r="D2247">
            <v>24543827.532209001</v>
          </cell>
          <cell r="E2247">
            <v>2382771239</v>
          </cell>
          <cell r="F2247">
            <v>-3.8880614689685766E-3</v>
          </cell>
          <cell r="G2247">
            <v>1.7895485348597621E-3</v>
          </cell>
        </row>
        <row r="2248">
          <cell r="B2248">
            <v>207.08699999999999</v>
          </cell>
          <cell r="D2248">
            <v>25988466.551277999</v>
          </cell>
          <cell r="E2248">
            <v>2642754327</v>
          </cell>
          <cell r="F2248">
            <v>-5.2737022885790998E-3</v>
          </cell>
          <cell r="G2248">
            <v>-6.2434142870242462E-4</v>
          </cell>
        </row>
        <row r="2249">
          <cell r="B2249">
            <v>207.20500000000001</v>
          </cell>
          <cell r="D2249">
            <v>25517873.699724998</v>
          </cell>
          <cell r="E2249">
            <v>2591912420</v>
          </cell>
          <cell r="F2249">
            <v>5.6964654490511434E-4</v>
          </cell>
          <cell r="G2249">
            <v>8.7974240454147031E-3</v>
          </cell>
        </row>
        <row r="2250">
          <cell r="B2250">
            <v>207.136</v>
          </cell>
          <cell r="D2250">
            <v>25452748.633016001</v>
          </cell>
          <cell r="E2250">
            <v>2340001316</v>
          </cell>
          <cell r="F2250">
            <v>-3.3305900520514949E-4</v>
          </cell>
          <cell r="G2250">
            <v>-1.9374711787083175E-3</v>
          </cell>
        </row>
        <row r="2251">
          <cell r="B2251">
            <v>208.797</v>
          </cell>
          <cell r="D2251">
            <v>24071774.716102</v>
          </cell>
          <cell r="E2251">
            <v>2264899108</v>
          </cell>
          <cell r="F2251">
            <v>7.9869057260738719E-3</v>
          </cell>
          <cell r="G2251">
            <v>2.7832605897471193E-3</v>
          </cell>
        </row>
        <row r="2252">
          <cell r="B2252">
            <v>204.732</v>
          </cell>
          <cell r="D2252">
            <v>33539552.689544</v>
          </cell>
          <cell r="E2252">
            <v>2756415535</v>
          </cell>
          <cell r="F2252">
            <v>-1.966068130840103E-2</v>
          </cell>
          <cell r="G2252">
            <v>-7.9809835607026966E-3</v>
          </cell>
        </row>
        <row r="2253">
          <cell r="B2253">
            <v>203.50399999999999</v>
          </cell>
          <cell r="D2253">
            <v>27380838.634638999</v>
          </cell>
          <cell r="E2253">
            <v>2412666569</v>
          </cell>
          <cell r="F2253">
            <v>-6.0161460716439798E-3</v>
          </cell>
          <cell r="G2253">
            <v>-1.2859425386560199E-3</v>
          </cell>
        </row>
        <row r="2254">
          <cell r="B2254">
            <v>206.131</v>
          </cell>
          <cell r="D2254">
            <v>32049306.671234</v>
          </cell>
          <cell r="E2254">
            <v>2308878899</v>
          </cell>
          <cell r="F2254">
            <v>1.2826228297625426E-2</v>
          </cell>
          <cell r="G2254">
            <v>-1.2657607983834493E-3</v>
          </cell>
        </row>
        <row r="2255">
          <cell r="B2255">
            <v>207.048</v>
          </cell>
          <cell r="D2255">
            <v>29792922.242387</v>
          </cell>
          <cell r="E2255">
            <v>2541186619</v>
          </cell>
          <cell r="F2255">
            <v>4.43876143563316E-3</v>
          </cell>
          <cell r="G2255">
            <v>-4.3687962305264194E-3</v>
          </cell>
        </row>
        <row r="2256">
          <cell r="B2256">
            <v>206.98</v>
          </cell>
          <cell r="D2256">
            <v>27951168.770009998</v>
          </cell>
          <cell r="E2256">
            <v>2529938661</v>
          </cell>
          <cell r="F2256">
            <v>-3.2848020236040456E-4</v>
          </cell>
          <cell r="G2256">
            <v>1.2838447626446777E-2</v>
          </cell>
        </row>
        <row r="2257">
          <cell r="B2257">
            <v>211.96199999999999</v>
          </cell>
          <cell r="D2257">
            <v>36232771.617098004</v>
          </cell>
          <cell r="E2257">
            <v>2267390776</v>
          </cell>
          <cell r="F2257">
            <v>2.3784843082611012E-2</v>
          </cell>
          <cell r="G2257">
            <v>1.7712784469306416E-3</v>
          </cell>
        </row>
        <row r="2258">
          <cell r="B2258">
            <v>212.09700000000001</v>
          </cell>
          <cell r="D2258">
            <v>33638707.420884997</v>
          </cell>
          <cell r="E2258">
            <v>2192253641</v>
          </cell>
          <cell r="F2258">
            <v>6.3670387639783545E-4</v>
          </cell>
          <cell r="G2258">
            <v>5.7411269476310561E-3</v>
          </cell>
        </row>
        <row r="2259">
          <cell r="B2259">
            <v>211.286</v>
          </cell>
          <cell r="D2259">
            <v>65542866.382129997</v>
          </cell>
          <cell r="E2259">
            <v>4246742281</v>
          </cell>
          <cell r="F2259">
            <v>-3.8310512794195333E-3</v>
          </cell>
          <cell r="G2259">
            <v>-3.5172785050231921E-3</v>
          </cell>
        </row>
        <row r="2260">
          <cell r="B2260">
            <v>215.16399999999999</v>
          </cell>
          <cell r="D2260">
            <v>38465951.209646001</v>
          </cell>
          <cell r="E2260">
            <v>2605975306</v>
          </cell>
          <cell r="F2260">
            <v>1.8187862128755422E-2</v>
          </cell>
          <cell r="G2260">
            <v>-3.913931036978114E-3</v>
          </cell>
        </row>
        <row r="2261">
          <cell r="B2261">
            <v>216.46299999999999</v>
          </cell>
          <cell r="D2261">
            <v>23425380.018066</v>
          </cell>
          <cell r="E2261">
            <v>2208070093</v>
          </cell>
          <cell r="F2261">
            <v>6.0191040961449045E-3</v>
          </cell>
          <cell r="G2261">
            <v>-2.0752684841428568E-3</v>
          </cell>
        </row>
        <row r="2262">
          <cell r="B2262">
            <v>213.64099999999999</v>
          </cell>
          <cell r="D2262">
            <v>19345425.125565</v>
          </cell>
          <cell r="E2262">
            <v>1845296650</v>
          </cell>
          <cell r="F2262">
            <v>-1.3122595912510584E-2</v>
          </cell>
          <cell r="G2262">
            <v>7.4553327379252537E-4</v>
          </cell>
        </row>
        <row r="2263">
          <cell r="B2263">
            <v>215.322</v>
          </cell>
          <cell r="D2263">
            <v>10914932.513483999</v>
          </cell>
          <cell r="E2263">
            <v>818784928</v>
          </cell>
          <cell r="F2263">
            <v>7.8375459184488565E-3</v>
          </cell>
          <cell r="G2263">
            <v>3.5303368029281483E-3</v>
          </cell>
        </row>
        <row r="2264">
          <cell r="B2264">
            <v>217.441</v>
          </cell>
          <cell r="D2264">
            <v>18552823.065848999</v>
          </cell>
          <cell r="E2264">
            <v>1662609796</v>
          </cell>
          <cell r="F2264">
            <v>9.792967211634555E-3</v>
          </cell>
          <cell r="G2264">
            <v>8.6846946033693542E-3</v>
          </cell>
        </row>
        <row r="2265">
          <cell r="B2265">
            <v>216.65</v>
          </cell>
          <cell r="D2265">
            <v>18004227.564045001</v>
          </cell>
          <cell r="E2265">
            <v>1638287436</v>
          </cell>
          <cell r="F2265">
            <v>-3.6444011761707232E-3</v>
          </cell>
          <cell r="G2265">
            <v>-2.2298465500115035E-3</v>
          </cell>
        </row>
        <row r="2266">
          <cell r="B2266">
            <v>214.286</v>
          </cell>
          <cell r="D2266">
            <v>20972435.831599999</v>
          </cell>
          <cell r="E2266">
            <v>1559327835</v>
          </cell>
          <cell r="F2266">
            <v>-1.0971576818485896E-2</v>
          </cell>
          <cell r="G2266">
            <v>1.3406481091209083E-3</v>
          </cell>
        </row>
        <row r="2267">
          <cell r="B2267">
            <v>215</v>
          </cell>
          <cell r="D2267">
            <v>21665363.060399</v>
          </cell>
          <cell r="E2267">
            <v>1658919486</v>
          </cell>
          <cell r="F2267">
            <v>3.3264567602301742E-3</v>
          </cell>
          <cell r="G2267">
            <v>6.4181969787920831E-3</v>
          </cell>
        </row>
        <row r="2268">
          <cell r="B2268">
            <v>210.429</v>
          </cell>
          <cell r="D2268">
            <v>38412417.810996003</v>
          </cell>
          <cell r="E2268">
            <v>2728583078</v>
          </cell>
          <cell r="F2268">
            <v>-2.1489724062542057E-2</v>
          </cell>
          <cell r="G2268">
            <v>-1.4864718123372964E-2</v>
          </cell>
        </row>
        <row r="2269">
          <cell r="B2269">
            <v>210.62299999999999</v>
          </cell>
          <cell r="D2269">
            <v>24645671.833588999</v>
          </cell>
          <cell r="E2269">
            <v>2384682941</v>
          </cell>
          <cell r="F2269">
            <v>9.2150144746101054E-4</v>
          </cell>
          <cell r="G2269">
            <v>7.0575761707220575E-3</v>
          </cell>
        </row>
        <row r="2270">
          <cell r="B2270">
            <v>205.161</v>
          </cell>
          <cell r="D2270">
            <v>37171507.323591001</v>
          </cell>
          <cell r="E2270">
            <v>3191178708</v>
          </cell>
          <cell r="F2270">
            <v>-2.6274768758900918E-2</v>
          </cell>
          <cell r="G2270">
            <v>5.6936608662176199E-3</v>
          </cell>
        </row>
        <row r="2271">
          <cell r="B2271">
            <v>210.99600000000001</v>
          </cell>
          <cell r="D2271">
            <v>28650901.317446001</v>
          </cell>
          <cell r="E2271">
            <v>2585186415</v>
          </cell>
          <cell r="F2271">
            <v>2.8044139196721544E-2</v>
          </cell>
          <cell r="G2271">
            <v>1.4738221178340893E-2</v>
          </cell>
        </row>
        <row r="2272">
          <cell r="B2272">
            <v>212.29400000000001</v>
          </cell>
          <cell r="D2272">
            <v>23748991.501488999</v>
          </cell>
          <cell r="E2272">
            <v>2374809302</v>
          </cell>
          <cell r="F2272">
            <v>6.1329304658865654E-3</v>
          </cell>
          <cell r="G2272">
            <v>5.4768655361056894E-3</v>
          </cell>
        </row>
        <row r="2273">
          <cell r="B2273">
            <v>210.232</v>
          </cell>
          <cell r="D2273">
            <v>23842951.379999999</v>
          </cell>
          <cell r="E2273">
            <v>2335918128</v>
          </cell>
          <cell r="F2273">
            <v>-9.7604235944098294E-3</v>
          </cell>
          <cell r="G2273">
            <v>-6.5763737616643747E-3</v>
          </cell>
        </row>
        <row r="2274">
          <cell r="B2274">
            <v>207.762</v>
          </cell>
          <cell r="D2274">
            <v>24052245.386634</v>
          </cell>
          <cell r="E2274">
            <v>2632132471</v>
          </cell>
          <cell r="F2274">
            <v>-1.1818489021614011E-2</v>
          </cell>
          <cell r="G2274">
            <v>4.1574571696605784E-4</v>
          </cell>
        </row>
        <row r="2275">
          <cell r="B2275">
            <v>209.119</v>
          </cell>
          <cell r="D2275">
            <v>20780782.210115999</v>
          </cell>
          <cell r="E2275">
            <v>2344888465</v>
          </cell>
          <cell r="F2275">
            <v>6.510274120831514E-3</v>
          </cell>
          <cell r="G2275">
            <v>2.2730179027713113E-3</v>
          </cell>
        </row>
        <row r="2276">
          <cell r="B2276">
            <v>205.89599999999999</v>
          </cell>
          <cell r="D2276">
            <v>30360217.781032</v>
          </cell>
          <cell r="E2276">
            <v>2708930219</v>
          </cell>
          <cell r="F2276">
            <v>-1.5532280982322807E-2</v>
          </cell>
          <cell r="G2276">
            <v>-3.7605002910535887E-3</v>
          </cell>
        </row>
        <row r="2277">
          <cell r="B2277">
            <v>205.54499999999999</v>
          </cell>
          <cell r="D2277">
            <v>32842869.072287999</v>
          </cell>
          <cell r="E2277">
            <v>2741656357</v>
          </cell>
          <cell r="F2277">
            <v>-1.7061988724998052E-3</v>
          </cell>
          <cell r="G2277">
            <v>-7.2159905065941393E-3</v>
          </cell>
        </row>
        <row r="2278">
          <cell r="B2278">
            <v>209.21600000000001</v>
          </cell>
          <cell r="D2278">
            <v>31533508.157118998</v>
          </cell>
          <cell r="E2278">
            <v>2485142099</v>
          </cell>
          <cell r="F2278">
            <v>1.7702223035471448E-2</v>
          </cell>
          <cell r="G2278">
            <v>8.1034807715100084E-3</v>
          </cell>
        </row>
        <row r="2279">
          <cell r="B2279">
            <v>216.83500000000001</v>
          </cell>
          <cell r="D2279">
            <v>39081888.344255999</v>
          </cell>
          <cell r="E2279">
            <v>2350471631</v>
          </cell>
          <cell r="F2279">
            <v>3.5769484548245425E-2</v>
          </cell>
          <cell r="G2279">
            <v>1.3839368887685784E-2</v>
          </cell>
        </row>
        <row r="2280">
          <cell r="B2280">
            <v>217.45099999999999</v>
          </cell>
          <cell r="D2280">
            <v>31811479.879124999</v>
          </cell>
          <cell r="E2280">
            <v>2591055660</v>
          </cell>
          <cell r="F2280">
            <v>2.8368421414175834E-3</v>
          </cell>
          <cell r="G2280">
            <v>3.1668077285579088E-4</v>
          </cell>
        </row>
        <row r="2281">
          <cell r="B2281">
            <v>218.40700000000001</v>
          </cell>
          <cell r="D2281">
            <v>31214667.665849</v>
          </cell>
          <cell r="E2281">
            <v>2290691535</v>
          </cell>
          <cell r="F2281">
            <v>4.3867568477616086E-3</v>
          </cell>
          <cell r="G2281">
            <v>-3.0151272949282431E-3</v>
          </cell>
        </row>
        <row r="2282">
          <cell r="B2282">
            <v>221.85499999999999</v>
          </cell>
          <cell r="D2282">
            <v>34296992.741853997</v>
          </cell>
          <cell r="E2282">
            <v>2796458161</v>
          </cell>
          <cell r="F2282">
            <v>1.5663720682509638E-2</v>
          </cell>
          <cell r="G2282">
            <v>3.609282023548102E-3</v>
          </cell>
        </row>
        <row r="2283">
          <cell r="B2283">
            <v>224.58</v>
          </cell>
          <cell r="D2283">
            <v>50867657.974403001</v>
          </cell>
          <cell r="E2283">
            <v>2562368503</v>
          </cell>
          <cell r="F2283">
            <v>1.2207975822713001E-2</v>
          </cell>
          <cell r="G2283">
            <v>-1.4899457394751568E-3</v>
          </cell>
        </row>
        <row r="2284">
          <cell r="B2284">
            <v>225.11600000000001</v>
          </cell>
          <cell r="D2284">
            <v>72283601.550816</v>
          </cell>
          <cell r="E2284">
            <v>3808384652</v>
          </cell>
          <cell r="F2284">
            <v>2.3838337624778028E-3</v>
          </cell>
          <cell r="G2284">
            <v>-2.601328989204868E-2</v>
          </cell>
        </row>
        <row r="2285">
          <cell r="B2285">
            <v>230.959</v>
          </cell>
          <cell r="D2285">
            <v>50807198.446588002</v>
          </cell>
          <cell r="E2285">
            <v>3261772860</v>
          </cell>
          <cell r="F2285">
            <v>2.5624380684365827E-2</v>
          </cell>
          <cell r="G2285">
            <v>9.7133349275994544E-3</v>
          </cell>
        </row>
        <row r="2286">
          <cell r="B2286">
            <v>224.23</v>
          </cell>
          <cell r="D2286">
            <v>43970971.767576002</v>
          </cell>
          <cell r="E2286">
            <v>3315454292</v>
          </cell>
          <cell r="F2286">
            <v>-2.9567894805796979E-2</v>
          </cell>
          <cell r="G2286">
            <v>-1.9500405967127862E-2</v>
          </cell>
        </row>
        <row r="2287">
          <cell r="B2287">
            <v>231.65299999999999</v>
          </cell>
          <cell r="D2287">
            <v>34464689.020764999</v>
          </cell>
          <cell r="E2287">
            <v>2457573861</v>
          </cell>
          <cell r="F2287">
            <v>3.2568251565343695E-2</v>
          </cell>
          <cell r="G2287">
            <v>1.5924269140718334E-2</v>
          </cell>
        </row>
        <row r="2288">
          <cell r="B2288">
            <v>231.51599999999999</v>
          </cell>
          <cell r="D2288">
            <v>26811350.077714</v>
          </cell>
          <cell r="E2288">
            <v>2415604684</v>
          </cell>
          <cell r="F2288">
            <v>-5.9157674194691473E-4</v>
          </cell>
          <cell r="G2288">
            <v>1.3802541965649213E-2</v>
          </cell>
        </row>
        <row r="2289">
          <cell r="B2289">
            <v>234.887</v>
          </cell>
          <cell r="D2289">
            <v>28096003.191672999</v>
          </cell>
          <cell r="E2289">
            <v>2273801634</v>
          </cell>
          <cell r="F2289">
            <v>1.4455561825546472E-2</v>
          </cell>
          <cell r="G2289">
            <v>1.0082963259948519E-3</v>
          </cell>
        </row>
        <row r="2290">
          <cell r="B2290">
            <v>233.92</v>
          </cell>
          <cell r="D2290">
            <v>26169692.585836001</v>
          </cell>
          <cell r="E2290">
            <v>2367356951</v>
          </cell>
          <cell r="F2290">
            <v>-4.1253708729689217E-3</v>
          </cell>
          <cell r="G2290">
            <v>1.0794829768938023E-2</v>
          </cell>
        </row>
        <row r="2291">
          <cell r="B2291">
            <v>234.10400000000001</v>
          </cell>
          <cell r="D2291">
            <v>18678268.421117999</v>
          </cell>
          <cell r="E2291">
            <v>2152289897</v>
          </cell>
          <cell r="F2291">
            <v>7.8628450455425671E-4</v>
          </cell>
          <cell r="G2291">
            <v>3.8898969855535024E-3</v>
          </cell>
        </row>
        <row r="2292">
          <cell r="B2292">
            <v>234.369</v>
          </cell>
          <cell r="D2292">
            <v>22979012.749414999</v>
          </cell>
          <cell r="E2292">
            <v>2161333144</v>
          </cell>
          <cell r="F2292">
            <v>1.131335331021825E-3</v>
          </cell>
          <cell r="G2292">
            <v>7.3721051298863676E-3</v>
          </cell>
        </row>
        <row r="2293">
          <cell r="B2293">
            <v>235.636</v>
          </cell>
          <cell r="D2293">
            <v>24378762.465707</v>
          </cell>
          <cell r="E2293">
            <v>2067393950</v>
          </cell>
          <cell r="F2293">
            <v>5.3914450657377181E-3</v>
          </cell>
          <cell r="G2293">
            <v>-1.1141179817578345E-3</v>
          </cell>
        </row>
        <row r="2294">
          <cell r="B2294">
            <v>234.71</v>
          </cell>
          <cell r="D2294">
            <v>22952916.65092</v>
          </cell>
          <cell r="E2294">
            <v>2291313102</v>
          </cell>
          <cell r="F2294">
            <v>-3.9375319292769091E-3</v>
          </cell>
          <cell r="G2294">
            <v>-3.4521954387729651E-4</v>
          </cell>
        </row>
        <row r="2295">
          <cell r="B2295">
            <v>236.33199999999999</v>
          </cell>
          <cell r="D2295">
            <v>16295016.553719999</v>
          </cell>
          <cell r="E2295">
            <v>2126812632</v>
          </cell>
          <cell r="F2295">
            <v>6.8868865657103198E-3</v>
          </cell>
          <cell r="G2295">
            <v>1.6610747648429303E-3</v>
          </cell>
        </row>
        <row r="2296">
          <cell r="B2296">
            <v>236.821</v>
          </cell>
          <cell r="D2296">
            <v>17133010.610881001</v>
          </cell>
          <cell r="E2296">
            <v>1829607166</v>
          </cell>
          <cell r="F2296">
            <v>2.0669854110678073E-3</v>
          </cell>
          <cell r="G2296">
            <v>4.6999211490260486E-3</v>
          </cell>
        </row>
        <row r="2297">
          <cell r="B2297">
            <v>235.56899999999999</v>
          </cell>
          <cell r="D2297">
            <v>27651548.415155999</v>
          </cell>
          <cell r="E2297">
            <v>2305147298</v>
          </cell>
          <cell r="F2297">
            <v>-5.3007173374345516E-3</v>
          </cell>
          <cell r="G2297">
            <v>-5.6943700997991403E-4</v>
          </cell>
        </row>
        <row r="2298">
          <cell r="B2298">
            <v>236.59399999999999</v>
          </cell>
          <cell r="D2298">
            <v>22370061.125418</v>
          </cell>
          <cell r="E2298">
            <v>2161952392</v>
          </cell>
          <cell r="F2298">
            <v>4.3417277938123892E-3</v>
          </cell>
          <cell r="G2298">
            <v>-3.2045087202880161E-4</v>
          </cell>
        </row>
        <row r="2299">
          <cell r="B2299">
            <v>236.203</v>
          </cell>
          <cell r="D2299">
            <v>17469845.728349</v>
          </cell>
          <cell r="E2299">
            <v>2025989354</v>
          </cell>
          <cell r="F2299">
            <v>-1.6539871832408398E-3</v>
          </cell>
          <cell r="G2299">
            <v>-4.4255868696270202E-3</v>
          </cell>
        </row>
        <row r="2300">
          <cell r="B2300">
            <v>233.46</v>
          </cell>
          <cell r="D2300">
            <v>26074980.201051001</v>
          </cell>
          <cell r="E2300">
            <v>2315685076</v>
          </cell>
          <cell r="F2300">
            <v>-1.1680848558848423E-2</v>
          </cell>
          <cell r="G2300">
            <v>-1.8566165820490526E-3</v>
          </cell>
        </row>
        <row r="2301">
          <cell r="B2301">
            <v>227.197</v>
          </cell>
          <cell r="D2301">
            <v>37618976.220473997</v>
          </cell>
          <cell r="E2301">
            <v>2752794505</v>
          </cell>
          <cell r="F2301">
            <v>-2.7193273690049567E-2</v>
          </cell>
          <cell r="G2301">
            <v>-7.7629028925333757E-3</v>
          </cell>
        </row>
        <row r="2302">
          <cell r="B2302">
            <v>226.00800000000001</v>
          </cell>
          <cell r="D2302">
            <v>31141852.701701999</v>
          </cell>
          <cell r="E2302">
            <v>2947617135</v>
          </cell>
          <cell r="F2302">
            <v>-5.247085658595772E-3</v>
          </cell>
          <cell r="G2302">
            <v>1.2554994192235645E-3</v>
          </cell>
        </row>
        <row r="2303">
          <cell r="B2303">
            <v>227.23599999999999</v>
          </cell>
          <cell r="D2303">
            <v>27186764.707265001</v>
          </cell>
          <cell r="E2303">
            <v>2788164696</v>
          </cell>
          <cell r="F2303">
            <v>5.4187281233628835E-3</v>
          </cell>
          <cell r="G2303">
            <v>1.1287715277782164E-2</v>
          </cell>
        </row>
        <row r="2304">
          <cell r="B2304">
            <v>221.845</v>
          </cell>
          <cell r="D2304">
            <v>40813810.710575998</v>
          </cell>
          <cell r="E2304">
            <v>2924371959</v>
          </cell>
          <cell r="F2304">
            <v>-2.4010185179027605E-2</v>
          </cell>
          <cell r="G2304">
            <v>-2.4783434790564104E-2</v>
          </cell>
        </row>
        <row r="2305">
          <cell r="B2305">
            <v>225.136</v>
          </cell>
          <cell r="D2305">
            <v>39035396.766213</v>
          </cell>
          <cell r="E2305">
            <v>3129018166</v>
          </cell>
          <cell r="F2305">
            <v>1.4725724225692757E-2</v>
          </cell>
          <cell r="G2305">
            <v>-4.7614837180722748E-3</v>
          </cell>
        </row>
        <row r="2306">
          <cell r="B2306">
            <v>229.55099999999999</v>
          </cell>
          <cell r="D2306">
            <v>26147475.733963002</v>
          </cell>
          <cell r="E2306">
            <v>2406893663</v>
          </cell>
          <cell r="F2306">
            <v>1.9420562989221419E-2</v>
          </cell>
          <cell r="G2306">
            <v>2.3512130081996933E-2</v>
          </cell>
        </row>
        <row r="2307">
          <cell r="B2307">
            <v>226.57499999999999</v>
          </cell>
          <cell r="D2307">
            <v>23546049.262091</v>
          </cell>
          <cell r="E2307">
            <v>2296374171</v>
          </cell>
          <cell r="F2307">
            <v>-1.3049211094276075E-2</v>
          </cell>
          <cell r="G2307">
            <v>-8.113671312552936E-3</v>
          </cell>
        </row>
        <row r="2308">
          <cell r="B2308">
            <v>220.47800000000001</v>
          </cell>
          <cell r="D2308">
            <v>35123829.229812004</v>
          </cell>
          <cell r="E2308">
            <v>2718938203</v>
          </cell>
          <cell r="F2308">
            <v>-2.7278099274256101E-2</v>
          </cell>
          <cell r="G2308">
            <v>-1.3152318131987126E-2</v>
          </cell>
        </row>
        <row r="2309">
          <cell r="B2309">
            <v>219.666</v>
          </cell>
          <cell r="D2309">
            <v>46166117.543062001</v>
          </cell>
          <cell r="E2309">
            <v>3471696122</v>
          </cell>
          <cell r="F2309">
            <v>-3.6897057381628153E-3</v>
          </cell>
          <cell r="G2309">
            <v>-1.3508037960082262E-2</v>
          </cell>
        </row>
        <row r="2310">
          <cell r="B2310">
            <v>224.386</v>
          </cell>
          <cell r="D2310">
            <v>43219290.691845</v>
          </cell>
          <cell r="E2310">
            <v>3320705802</v>
          </cell>
          <cell r="F2310">
            <v>2.1259572182065187E-2</v>
          </cell>
          <cell r="G2310">
            <v>1.9308363815583877E-2</v>
          </cell>
        </row>
        <row r="2311">
          <cell r="B2311">
            <v>220.31200000000001</v>
          </cell>
          <cell r="D2311">
            <v>36401552.119332999</v>
          </cell>
          <cell r="E2311">
            <v>2998653462</v>
          </cell>
          <cell r="F2311">
            <v>-1.8323059610025335E-2</v>
          </cell>
          <cell r="G2311">
            <v>-5.3736840305412389E-3</v>
          </cell>
        </row>
        <row r="2312">
          <cell r="B2312">
            <v>226.48599999999999</v>
          </cell>
          <cell r="D2312">
            <v>34144316.897679999</v>
          </cell>
          <cell r="E2312">
            <v>2786916293</v>
          </cell>
          <cell r="F2312">
            <v>2.7638409357770576E-2</v>
          </cell>
          <cell r="G2312">
            <v>1.4055441418613446E-2</v>
          </cell>
        </row>
        <row r="2313">
          <cell r="B2313">
            <v>225.17599999999999</v>
          </cell>
          <cell r="D2313">
            <v>30703394.427554999</v>
          </cell>
          <cell r="E2313">
            <v>2661081667</v>
          </cell>
          <cell r="F2313">
            <v>-5.8008142079507951E-3</v>
          </cell>
          <cell r="G2313">
            <v>6.0121736231132121E-3</v>
          </cell>
        </row>
        <row r="2314">
          <cell r="B2314">
            <v>229.738</v>
          </cell>
          <cell r="D2314">
            <v>30869336.906132001</v>
          </cell>
          <cell r="E2314">
            <v>2570250267</v>
          </cell>
          <cell r="F2314">
            <v>2.0057210535912726E-2</v>
          </cell>
          <cell r="G2314">
            <v>1.0341818218279307E-2</v>
          </cell>
        </row>
        <row r="2315">
          <cell r="B2315">
            <v>228.41</v>
          </cell>
          <cell r="D2315">
            <v>23382145.205267999</v>
          </cell>
          <cell r="E2315">
            <v>2277434098</v>
          </cell>
          <cell r="F2315">
            <v>-5.7972695256563499E-3</v>
          </cell>
          <cell r="G2315">
            <v>1.0148833501624158E-3</v>
          </cell>
        </row>
        <row r="2316">
          <cell r="B2316">
            <v>227.49199999999999</v>
          </cell>
          <cell r="D2316">
            <v>26880135.293981001</v>
          </cell>
          <cell r="E2316">
            <v>2393441121</v>
          </cell>
          <cell r="F2316">
            <v>-4.0271867229996084E-3</v>
          </cell>
          <cell r="G2316">
            <v>6.4709765908568051E-3</v>
          </cell>
        </row>
        <row r="2317">
          <cell r="B2317">
            <v>230.30500000000001</v>
          </cell>
          <cell r="D2317">
            <v>28995569.66688</v>
          </cell>
          <cell r="E2317">
            <v>2372381008</v>
          </cell>
          <cell r="F2317">
            <v>1.2289444465404691E-2</v>
          </cell>
          <cell r="G2317">
            <v>-1.5709218841469892E-3</v>
          </cell>
        </row>
        <row r="2318">
          <cell r="B2318">
            <v>229.649</v>
          </cell>
          <cell r="D2318">
            <v>30512741.076313999</v>
          </cell>
          <cell r="E2318">
            <v>2458783556</v>
          </cell>
          <cell r="F2318">
            <v>-2.8524610930534054E-3</v>
          </cell>
          <cell r="G2318">
            <v>2.8752053049775832E-3</v>
          </cell>
        </row>
        <row r="2319">
          <cell r="B2319">
            <v>223.535</v>
          </cell>
          <cell r="D2319">
            <v>35973010.546902001</v>
          </cell>
          <cell r="E2319">
            <v>2686354391</v>
          </cell>
          <cell r="F2319">
            <v>-2.6984054964127955E-2</v>
          </cell>
          <cell r="G2319">
            <v>-1.4870520601810135E-2</v>
          </cell>
        </row>
        <row r="2320">
          <cell r="B2320">
            <v>223.17400000000001</v>
          </cell>
          <cell r="D2320">
            <v>47923823.743371002</v>
          </cell>
          <cell r="E2320">
            <v>4647053019</v>
          </cell>
          <cell r="F2320">
            <v>-1.6162650789980429E-3</v>
          </cell>
          <cell r="G2320">
            <v>-6.0292060646939332E-4</v>
          </cell>
        </row>
        <row r="2321">
          <cell r="B2321">
            <v>228.642</v>
          </cell>
          <cell r="D2321">
            <v>31095811.603606999</v>
          </cell>
          <cell r="E2321">
            <v>2362949344</v>
          </cell>
          <cell r="F2321">
            <v>2.4205725252318254E-2</v>
          </cell>
          <cell r="G2321">
            <v>7.0005595506540804E-3</v>
          </cell>
        </row>
        <row r="2322">
          <cell r="B2322">
            <v>230.17599999999999</v>
          </cell>
          <cell r="D2322">
            <v>32655784.750799999</v>
          </cell>
          <cell r="E2322">
            <v>2494379928</v>
          </cell>
          <cell r="F2322">
            <v>6.6867721658591074E-3</v>
          </cell>
          <cell r="G2322">
            <v>-7.6601008099493138E-3</v>
          </cell>
        </row>
        <row r="2323">
          <cell r="B2323">
            <v>228.126</v>
          </cell>
          <cell r="D2323">
            <v>26444004.158280998</v>
          </cell>
          <cell r="E2323">
            <v>2414378604</v>
          </cell>
          <cell r="F2323">
            <v>-8.9461257961535763E-3</v>
          </cell>
          <cell r="G2323">
            <v>-5.4823039848238466E-3</v>
          </cell>
        </row>
        <row r="2324">
          <cell r="B2324">
            <v>225.096</v>
          </cell>
          <cell r="D2324">
            <v>35157196.484160997</v>
          </cell>
          <cell r="E2324">
            <v>2385059895</v>
          </cell>
          <cell r="F2324">
            <v>-1.3371130014044991E-2</v>
          </cell>
          <cell r="G2324">
            <v>5.2265508159267142E-3</v>
          </cell>
        </row>
        <row r="2325">
          <cell r="B2325">
            <v>229.11199999999999</v>
          </cell>
          <cell r="D2325">
            <v>26299219.903703</v>
          </cell>
          <cell r="E2325">
            <v>2655374920</v>
          </cell>
          <cell r="F2325">
            <v>1.7683989086831633E-2</v>
          </cell>
          <cell r="G2325">
            <v>1.6494413826353246E-2</v>
          </cell>
        </row>
        <row r="2326">
          <cell r="B2326">
            <v>227.911</v>
          </cell>
          <cell r="D2326">
            <v>26038705.303415</v>
          </cell>
          <cell r="E2326">
            <v>2418405500</v>
          </cell>
          <cell r="F2326">
            <v>-5.2557650910668502E-3</v>
          </cell>
          <cell r="G2326">
            <v>-8.6840193082478952E-4</v>
          </cell>
        </row>
        <row r="2327">
          <cell r="B2327">
            <v>224.63</v>
          </cell>
          <cell r="D2327">
            <v>25589259.413863</v>
          </cell>
          <cell r="E2327">
            <v>2134267391</v>
          </cell>
          <cell r="F2327">
            <v>-1.4500597693433079E-2</v>
          </cell>
          <cell r="G2327">
            <v>-3.1628196118815713E-3</v>
          </cell>
        </row>
        <row r="2328">
          <cell r="B2328">
            <v>228.43</v>
          </cell>
          <cell r="D2328">
            <v>45026290.660222001</v>
          </cell>
          <cell r="E2328">
            <v>2420427567</v>
          </cell>
          <cell r="F2328">
            <v>1.6775213490699593E-2</v>
          </cell>
          <cell r="G2328">
            <v>3.6159929659948988E-3</v>
          </cell>
        </row>
        <row r="2329">
          <cell r="B2329">
            <v>234.797</v>
          </cell>
          <cell r="D2329">
            <v>31313573.609402001</v>
          </cell>
          <cell r="E2329">
            <v>2178187603</v>
          </cell>
          <cell r="F2329">
            <v>2.7491493373192767E-2</v>
          </cell>
          <cell r="G2329">
            <v>1.1755774236888511E-2</v>
          </cell>
        </row>
        <row r="2330">
          <cell r="B2330">
            <v>241.322</v>
          </cell>
          <cell r="D2330">
            <v>38097560.995793</v>
          </cell>
          <cell r="E2330">
            <v>2241318486</v>
          </cell>
          <cell r="F2330">
            <v>2.7410830247951039E-2</v>
          </cell>
          <cell r="G2330">
            <v>1.4335038467166317E-2</v>
          </cell>
        </row>
        <row r="2331">
          <cell r="B2331">
            <v>240.13900000000001</v>
          </cell>
          <cell r="D2331">
            <v>23669354.837616</v>
          </cell>
          <cell r="E2331">
            <v>2147071522</v>
          </cell>
          <cell r="F2331">
            <v>-4.9142189325488668E-3</v>
          </cell>
          <cell r="G2331">
            <v>-9.7401211108184122E-4</v>
          </cell>
        </row>
        <row r="2332">
          <cell r="B2332">
            <v>242.114</v>
          </cell>
          <cell r="D2332">
            <v>23450447.179414</v>
          </cell>
          <cell r="E2332">
            <v>1963233249</v>
          </cell>
          <cell r="F2332">
            <v>8.1907672597757285E-3</v>
          </cell>
          <cell r="G2332">
            <v>1.4741432833555816E-3</v>
          </cell>
        </row>
        <row r="2333">
          <cell r="B2333">
            <v>245.36600000000001</v>
          </cell>
          <cell r="D2333">
            <v>24384922.778965998</v>
          </cell>
          <cell r="E2333">
            <v>2011933177</v>
          </cell>
          <cell r="F2333">
            <v>1.3342283754566652E-2</v>
          </cell>
          <cell r="G2333">
            <v>4.2117580408072355E-3</v>
          </cell>
        </row>
        <row r="2334">
          <cell r="B2334">
            <v>247.876</v>
          </cell>
          <cell r="D2334">
            <v>25109122.530365001</v>
          </cell>
          <cell r="E2334">
            <v>1880708120</v>
          </cell>
          <cell r="F2334">
            <v>1.0177647752584174E-2</v>
          </cell>
          <cell r="G2334">
            <v>7.6903163725556868E-3</v>
          </cell>
        </row>
        <row r="2335">
          <cell r="B2335">
            <v>247.935</v>
          </cell>
          <cell r="D2335">
            <v>28021700.619887002</v>
          </cell>
          <cell r="E2335">
            <v>1923094540</v>
          </cell>
          <cell r="F2335">
            <v>2.379939141265079E-4</v>
          </cell>
          <cell r="G2335">
            <v>-1.9620215667317165E-4</v>
          </cell>
        </row>
        <row r="2336">
          <cell r="B2336">
            <v>250.43600000000001</v>
          </cell>
          <cell r="D2336">
            <v>24604021.891146</v>
          </cell>
          <cell r="E2336">
            <v>2060718961</v>
          </cell>
          <cell r="F2336">
            <v>1.0036783822656794E-2</v>
          </cell>
          <cell r="G2336">
            <v>3.289166381145364E-3</v>
          </cell>
        </row>
        <row r="2337">
          <cell r="B2337">
            <v>247.63200000000001</v>
          </cell>
          <cell r="D2337">
            <v>23812840.890896</v>
          </cell>
          <cell r="E2337">
            <v>2092018943</v>
          </cell>
          <cell r="F2337">
            <v>-1.1259625689679425E-2</v>
          </cell>
          <cell r="G2337">
            <v>-4.0961799296970009E-3</v>
          </cell>
        </row>
        <row r="2338">
          <cell r="B2338">
            <v>251.423</v>
          </cell>
          <cell r="D2338">
            <v>26451595.769184999</v>
          </cell>
          <cell r="E2338">
            <v>2130933628</v>
          </cell>
          <cell r="F2338">
            <v>1.5193006470054947E-2</v>
          </cell>
          <cell r="G2338">
            <v>1.1033158016154329E-2</v>
          </cell>
        </row>
        <row r="2339">
          <cell r="B2339">
            <v>252.62100000000001</v>
          </cell>
          <cell r="D2339">
            <v>25678614.158746</v>
          </cell>
          <cell r="E2339">
            <v>2205786949</v>
          </cell>
          <cell r="F2339">
            <v>4.7535622123007146E-3</v>
          </cell>
          <cell r="G2339">
            <v>3.6022533265398387E-3</v>
          </cell>
        </row>
        <row r="2340">
          <cell r="B2340">
            <v>250.679</v>
          </cell>
          <cell r="D2340">
            <v>23955610.271535002</v>
          </cell>
          <cell r="E2340">
            <v>1999877307</v>
          </cell>
          <cell r="F2340">
            <v>-7.7171056537548447E-3</v>
          </cell>
          <cell r="G2340">
            <v>-5.3205822668759327E-3</v>
          </cell>
        </row>
        <row r="2341">
          <cell r="B2341">
            <v>250.221</v>
          </cell>
          <cell r="D2341">
            <v>20357112.987824999</v>
          </cell>
          <cell r="E2341">
            <v>2292083378</v>
          </cell>
          <cell r="F2341">
            <v>-1.828708834641865E-3</v>
          </cell>
          <cell r="G2341">
            <v>-6.8256031307080047E-3</v>
          </cell>
        </row>
        <row r="2342">
          <cell r="B2342">
            <v>252.46799999999999</v>
          </cell>
          <cell r="D2342">
            <v>24803139.146276999</v>
          </cell>
          <cell r="E2342">
            <v>2126513143</v>
          </cell>
          <cell r="F2342">
            <v>8.9399806465203478E-3</v>
          </cell>
          <cell r="G2342">
            <v>9.2630254691135495E-3</v>
          </cell>
        </row>
        <row r="2343">
          <cell r="B2343">
            <v>249.155</v>
          </cell>
          <cell r="D2343">
            <v>26429581.63329</v>
          </cell>
          <cell r="E2343">
            <v>2392241341</v>
          </cell>
          <cell r="F2343">
            <v>-1.3209315252845301E-2</v>
          </cell>
          <cell r="G2343">
            <v>-9.2533518567931589E-3</v>
          </cell>
        </row>
        <row r="2344">
          <cell r="B2344">
            <v>253.01300000000001</v>
          </cell>
          <cell r="D2344">
            <v>22190648.272643998</v>
          </cell>
          <cell r="E2344">
            <v>2008642236</v>
          </cell>
          <cell r="F2344">
            <v>1.5365678048610058E-2</v>
          </cell>
          <cell r="G2344">
            <v>1.0869423861541933E-2</v>
          </cell>
        </row>
        <row r="2345">
          <cell r="B2345">
            <v>253.39500000000001</v>
          </cell>
          <cell r="D2345">
            <v>20398884.764616001</v>
          </cell>
          <cell r="E2345">
            <v>1937952599</v>
          </cell>
          <cell r="F2345">
            <v>1.5086652361531675E-3</v>
          </cell>
          <cell r="G2345">
            <v>1.7806378908788009E-3</v>
          </cell>
        </row>
        <row r="2346">
          <cell r="B2346">
            <v>253.80500000000001</v>
          </cell>
          <cell r="D2346">
            <v>32011551.332685001</v>
          </cell>
          <cell r="E2346">
            <v>2034702320</v>
          </cell>
          <cell r="F2346">
            <v>1.6167195950481268E-3</v>
          </cell>
          <cell r="G2346">
            <v>-2.1494231269923608E-4</v>
          </cell>
        </row>
        <row r="2347">
          <cell r="B2347">
            <v>246.626</v>
          </cell>
          <cell r="D2347">
            <v>48411403.784153998</v>
          </cell>
          <cell r="E2347">
            <v>2145349329</v>
          </cell>
          <cell r="F2347">
            <v>-2.8693236564314283E-2</v>
          </cell>
          <cell r="G2347">
            <v>-8.4588829283031668E-4</v>
          </cell>
        </row>
        <row r="2348">
          <cell r="B2348">
            <v>244.643</v>
          </cell>
          <cell r="D2348">
            <v>41894263.312743999</v>
          </cell>
          <cell r="E2348">
            <v>2502878449</v>
          </cell>
          <cell r="F2348">
            <v>-8.0730140510327439E-3</v>
          </cell>
          <cell r="G2348">
            <v>6.7400325437081072E-3</v>
          </cell>
        </row>
        <row r="2349">
          <cell r="B2349">
            <v>244.322</v>
          </cell>
          <cell r="D2349">
            <v>31940212.714179002</v>
          </cell>
          <cell r="E2349">
            <v>2428162998</v>
          </cell>
          <cell r="F2349">
            <v>-1.3129776000923934E-3</v>
          </cell>
          <cell r="G2349">
            <v>-7.2206437182024286E-3</v>
          </cell>
        </row>
        <row r="2350">
          <cell r="B2350">
            <v>244.00700000000001</v>
          </cell>
          <cell r="D2350">
            <v>20257708.444876999</v>
          </cell>
          <cell r="E2350">
            <v>2182103434</v>
          </cell>
          <cell r="F2350">
            <v>-1.2901140161257888E-3</v>
          </cell>
          <cell r="G2350">
            <v>2.7442656970409606E-3</v>
          </cell>
        </row>
        <row r="2351">
          <cell r="B2351">
            <v>240.071</v>
          </cell>
          <cell r="D2351">
            <v>33809403.486708</v>
          </cell>
          <cell r="E2351">
            <v>2552420121</v>
          </cell>
          <cell r="F2351">
            <v>-1.6262200481011835E-2</v>
          </cell>
          <cell r="G2351">
            <v>-6.7007377404054557E-3</v>
          </cell>
        </row>
        <row r="2352">
          <cell r="B2352">
            <v>238.78399999999999</v>
          </cell>
          <cell r="D2352">
            <v>22605616.065257002</v>
          </cell>
          <cell r="E2352">
            <v>1769152889</v>
          </cell>
          <cell r="F2352">
            <v>-5.3753353265797001E-3</v>
          </cell>
          <cell r="G2352">
            <v>7.0329145687402232E-4</v>
          </cell>
        </row>
        <row r="2353">
          <cell r="B2353">
            <v>241.94800000000001</v>
          </cell>
          <cell r="D2353">
            <v>27342970.676105998</v>
          </cell>
          <cell r="E2353">
            <v>2239080813</v>
          </cell>
          <cell r="F2353">
            <v>1.3163449435773616E-2</v>
          </cell>
          <cell r="G2353">
            <v>8.1322341159119176E-3</v>
          </cell>
        </row>
        <row r="2354">
          <cell r="B2354">
            <v>244.59299999999999</v>
          </cell>
          <cell r="D2354">
            <v>27902221.052446999</v>
          </cell>
          <cell r="E2354">
            <v>2048519190</v>
          </cell>
          <cell r="F2354">
            <v>1.0872777657013648E-2</v>
          </cell>
          <cell r="G2354">
            <v>7.3462962378118236E-3</v>
          </cell>
        </row>
        <row r="2355">
          <cell r="B2355">
            <v>239.476</v>
          </cell>
          <cell r="D2355">
            <v>30242099.891608</v>
          </cell>
          <cell r="E2355">
            <v>2320014566</v>
          </cell>
          <cell r="F2355">
            <v>-2.1142401630011184E-2</v>
          </cell>
          <cell r="G2355">
            <v>-1.0490499399026396E-2</v>
          </cell>
        </row>
        <row r="2356">
          <cell r="B2356">
            <v>238.547</v>
          </cell>
          <cell r="D2356">
            <v>34723417.058541</v>
          </cell>
          <cell r="E2356">
            <v>2432749321</v>
          </cell>
          <cell r="F2356">
            <v>-3.8868471583093471E-3</v>
          </cell>
          <cell r="G2356">
            <v>-8.711731693215893E-3</v>
          </cell>
        </row>
        <row r="2357">
          <cell r="B2357">
            <v>231.55600000000001</v>
          </cell>
          <cell r="D2357">
            <v>37864045.501529001</v>
          </cell>
          <cell r="E2357">
            <v>2406683784</v>
          </cell>
          <cell r="F2357">
            <v>-2.9744610982166589E-2</v>
          </cell>
          <cell r="G2357">
            <v>-2.1682768452684537E-2</v>
          </cell>
        </row>
        <row r="2358">
          <cell r="B2358">
            <v>235.464</v>
          </cell>
          <cell r="D2358">
            <v>30576940.611499</v>
          </cell>
          <cell r="E2358">
            <v>2163353723</v>
          </cell>
          <cell r="F2358">
            <v>1.673629060820668E-2</v>
          </cell>
          <cell r="G2358">
            <v>1.2099654192200689E-2</v>
          </cell>
        </row>
        <row r="2359">
          <cell r="B2359">
            <v>240.423</v>
          </cell>
          <cell r="D2359">
            <v>24669679.343246002</v>
          </cell>
          <cell r="E2359">
            <v>1904970402</v>
          </cell>
          <cell r="F2359">
            <v>2.0841836432271648E-2</v>
          </cell>
          <cell r="G2359">
            <v>1.480775516646066E-2</v>
          </cell>
        </row>
        <row r="2360">
          <cell r="B2360">
            <v>237.54300000000001</v>
          </cell>
          <cell r="D2360">
            <v>25773144.303916</v>
          </cell>
          <cell r="E2360">
            <v>2278897644</v>
          </cell>
          <cell r="F2360">
            <v>-1.2051212243245683E-2</v>
          </cell>
          <cell r="G2360">
            <v>-2.5332441694025701E-3</v>
          </cell>
        </row>
        <row r="2361">
          <cell r="B2361">
            <v>235.511</v>
          </cell>
          <cell r="D2361">
            <v>20816525.746179</v>
          </cell>
          <cell r="E2361">
            <v>2324677838</v>
          </cell>
          <cell r="F2361">
            <v>-8.591038223078518E-3</v>
          </cell>
          <cell r="G2361">
            <v>-8.5537819278382349E-3</v>
          </cell>
        </row>
        <row r="2362">
          <cell r="B2362">
            <v>236.096</v>
          </cell>
          <cell r="D2362">
            <v>26506328.058781002</v>
          </cell>
          <cell r="E2362">
            <v>2414067271</v>
          </cell>
          <cell r="F2362">
            <v>2.4808804790638042E-3</v>
          </cell>
          <cell r="G2362">
            <v>-2.9477755951036366E-3</v>
          </cell>
        </row>
        <row r="2363">
          <cell r="B2363">
            <v>239.35</v>
          </cell>
          <cell r="D2363">
            <v>22449932.243627001</v>
          </cell>
          <cell r="E2363">
            <v>2159532191</v>
          </cell>
          <cell r="F2363">
            <v>1.3688413864307625E-2</v>
          </cell>
          <cell r="G2363">
            <v>1.0499443868610717E-2</v>
          </cell>
        </row>
        <row r="2364">
          <cell r="B2364">
            <v>238.078</v>
          </cell>
          <cell r="D2364">
            <v>22514131.778811</v>
          </cell>
          <cell r="E2364">
            <v>2196798084</v>
          </cell>
          <cell r="F2364">
            <v>-5.3285647667100913E-3</v>
          </cell>
          <cell r="G2364">
            <v>-7.8412700139645676E-4</v>
          </cell>
        </row>
        <row r="2365">
          <cell r="B2365">
            <v>243.52</v>
          </cell>
          <cell r="D2365">
            <v>22049174.021850001</v>
          </cell>
          <cell r="E2365">
            <v>1848676717</v>
          </cell>
          <cell r="F2365">
            <v>2.2600723601513151E-2</v>
          </cell>
          <cell r="G2365">
            <v>9.8625111190549994E-3</v>
          </cell>
        </row>
        <row r="2366">
          <cell r="B2366">
            <v>244.43700000000001</v>
          </cell>
          <cell r="D2366">
            <v>18231529.506510999</v>
          </cell>
          <cell r="E2366">
            <v>2117333013</v>
          </cell>
          <cell r="F2366">
            <v>3.7585323276632791E-3</v>
          </cell>
          <cell r="G2366">
            <v>-2.1275639556263349E-3</v>
          </cell>
        </row>
        <row r="2367">
          <cell r="B2367">
            <v>244.214</v>
          </cell>
          <cell r="D2367">
            <v>18300830.727081001</v>
          </cell>
          <cell r="E2367">
            <v>2087338274</v>
          </cell>
          <cell r="F2367">
            <v>-9.1271691035480092E-4</v>
          </cell>
          <cell r="G2367">
            <v>1.8749737128450623E-3</v>
          </cell>
        </row>
        <row r="2368">
          <cell r="B2368">
            <v>242.10499999999999</v>
          </cell>
          <cell r="D2368">
            <v>25153647.353916999</v>
          </cell>
          <cell r="E2368">
            <v>3407781249</v>
          </cell>
          <cell r="F2368">
            <v>-8.6733737369960387E-3</v>
          </cell>
          <cell r="G2368">
            <v>1.1647198427041133E-3</v>
          </cell>
        </row>
        <row r="2369">
          <cell r="B2369">
            <v>242.45500000000001</v>
          </cell>
          <cell r="D2369">
            <v>18819163.190891001</v>
          </cell>
          <cell r="E2369">
            <v>1958464949</v>
          </cell>
          <cell r="F2369">
            <v>1.4446097939072385E-3</v>
          </cell>
          <cell r="G2369">
            <v>7.6859107720652112E-4</v>
          </cell>
        </row>
        <row r="2370">
          <cell r="B2370">
            <v>240.24799999999999</v>
          </cell>
          <cell r="D2370">
            <v>23904593.417672999</v>
          </cell>
          <cell r="E2370">
            <v>2096973335</v>
          </cell>
          <cell r="F2370">
            <v>-9.1444029935996273E-3</v>
          </cell>
          <cell r="G2370">
            <v>-4.9249657496948439E-4</v>
          </cell>
        </row>
        <row r="2371">
          <cell r="B2371">
            <v>240.149</v>
          </cell>
          <cell r="D2371">
            <v>19984629.549373999</v>
          </cell>
          <cell r="E2371">
            <v>2028836814</v>
          </cell>
          <cell r="F2371">
            <v>-4.1215911590401327E-4</v>
          </cell>
          <cell r="G2371">
            <v>1.4458704850342234E-3</v>
          </cell>
        </row>
        <row r="2372">
          <cell r="B2372">
            <v>238.596</v>
          </cell>
          <cell r="D2372">
            <v>26061364.444688</v>
          </cell>
          <cell r="E2372">
            <v>2194432214</v>
          </cell>
          <cell r="F2372">
            <v>-6.4878189740926635E-3</v>
          </cell>
          <cell r="G2372">
            <v>-3.6352984992414229E-3</v>
          </cell>
        </row>
        <row r="2373">
          <cell r="B2373">
            <v>243.529</v>
          </cell>
          <cell r="D2373">
            <v>26033954.787622999</v>
          </cell>
          <cell r="E2373">
            <v>1872715862</v>
          </cell>
          <cell r="F2373">
            <v>2.0464286876513995E-2</v>
          </cell>
          <cell r="G2373">
            <v>8.7952943520972007E-3</v>
          </cell>
        </row>
        <row r="2374">
          <cell r="B2374">
            <v>246.48099999999999</v>
          </cell>
          <cell r="D2374">
            <v>23766455.789933</v>
          </cell>
          <cell r="E2374">
            <v>1745172301</v>
          </cell>
          <cell r="F2374">
            <v>1.2048879464034112E-2</v>
          </cell>
          <cell r="G2374">
            <v>-7.9702856848250638E-4</v>
          </cell>
        </row>
        <row r="2375">
          <cell r="B2375">
            <v>245.268</v>
          </cell>
          <cell r="D2375">
            <v>23123698.717459001</v>
          </cell>
          <cell r="E2375">
            <v>2109263760</v>
          </cell>
          <cell r="F2375">
            <v>-4.9334211568515442E-3</v>
          </cell>
          <cell r="G2375">
            <v>1.7506961427659565E-4</v>
          </cell>
        </row>
        <row r="2376">
          <cell r="B2376">
            <v>246.26400000000001</v>
          </cell>
          <cell r="D2376">
            <v>18471810.390508</v>
          </cell>
          <cell r="E2376">
            <v>1792953976</v>
          </cell>
          <cell r="F2376">
            <v>4.0526409803765956E-3</v>
          </cell>
          <cell r="G2376">
            <v>-1.8255417468125729E-3</v>
          </cell>
        </row>
        <row r="2377">
          <cell r="B2377">
            <v>249.80099999999999</v>
          </cell>
          <cell r="D2377">
            <v>25295114.437984001</v>
          </cell>
          <cell r="E2377">
            <v>1949114428</v>
          </cell>
          <cell r="F2377">
            <v>1.4260469658008786E-2</v>
          </cell>
          <cell r="G2377">
            <v>4.641367023082649E-3</v>
          </cell>
        </row>
        <row r="2378">
          <cell r="B2378">
            <v>250.43600000000001</v>
          </cell>
          <cell r="D2378">
            <v>19565535.769986998</v>
          </cell>
          <cell r="E2378">
            <v>1679469973</v>
          </cell>
          <cell r="F2378">
            <v>2.5387979740566797E-3</v>
          </cell>
          <cell r="G2378">
            <v>1.9465941937430961E-3</v>
          </cell>
        </row>
        <row r="2379">
          <cell r="B2379">
            <v>252.38</v>
          </cell>
          <cell r="D2379">
            <v>19720801.873847999</v>
          </cell>
          <cell r="E2379">
            <v>1846240506</v>
          </cell>
          <cell r="F2379">
            <v>7.7324893646812907E-3</v>
          </cell>
          <cell r="G2379">
            <v>1.8135655401930488E-3</v>
          </cell>
        </row>
        <row r="2380">
          <cell r="B2380">
            <v>250.89400000000001</v>
          </cell>
          <cell r="D2380">
            <v>18576123.117228001</v>
          </cell>
          <cell r="E2380">
            <v>1830754386</v>
          </cell>
          <cell r="F2380">
            <v>-5.9053490482542676E-3</v>
          </cell>
          <cell r="G2380">
            <v>-2.0137061101785226E-3</v>
          </cell>
        </row>
        <row r="2381">
          <cell r="B2381">
            <v>249.93600000000001</v>
          </cell>
          <cell r="D2381">
            <v>28030555.622276001</v>
          </cell>
          <cell r="E2381">
            <v>2220452064</v>
          </cell>
          <cell r="F2381">
            <v>-3.8256540878572323E-3</v>
          </cell>
          <cell r="G2381">
            <v>-5.404786783292966E-3</v>
          </cell>
        </row>
        <row r="2382">
          <cell r="B2382">
            <v>253.346</v>
          </cell>
          <cell r="D2382">
            <v>28386427.612725999</v>
          </cell>
          <cell r="E2382">
            <v>2583091087</v>
          </cell>
          <cell r="F2382">
            <v>1.3551258273655848E-2</v>
          </cell>
          <cell r="G2382">
            <v>-4.3573191809956221E-4</v>
          </cell>
        </row>
        <row r="2383">
          <cell r="B2383">
            <v>251.93100000000001</v>
          </cell>
          <cell r="D2383">
            <v>38310084.124582998</v>
          </cell>
          <cell r="E2383">
            <v>3608789593</v>
          </cell>
          <cell r="F2383">
            <v>-5.6009028673666434E-3</v>
          </cell>
          <cell r="G2383">
            <v>-1.3211434948255869E-2</v>
          </cell>
        </row>
        <row r="2384">
          <cell r="B2384">
            <v>255.03399999999999</v>
          </cell>
          <cell r="D2384">
            <v>27491118.173007</v>
          </cell>
          <cell r="E2384">
            <v>2040521589</v>
          </cell>
          <cell r="F2384">
            <v>1.22416291087185E-2</v>
          </cell>
          <cell r="G2384">
            <v>1.3905201143734752E-2</v>
          </cell>
        </row>
        <row r="2385">
          <cell r="B2385">
            <v>257.82900000000001</v>
          </cell>
          <cell r="D2385">
            <v>25429469.057999</v>
          </cell>
          <cell r="E2385">
            <v>1786553582</v>
          </cell>
          <cell r="F2385">
            <v>1.0899704877426966E-2</v>
          </cell>
          <cell r="G2385">
            <v>5.1114294233350907E-3</v>
          </cell>
        </row>
        <row r="2386">
          <cell r="B2386">
            <v>257.60399999999998</v>
          </cell>
          <cell r="D2386">
            <v>20099940.12968</v>
          </cell>
          <cell r="E2386">
            <v>1771820909</v>
          </cell>
          <cell r="F2386">
            <v>-8.7305242113588151E-4</v>
          </cell>
          <cell r="G2386">
            <v>-1.0838474815418405E-3</v>
          </cell>
        </row>
        <row r="2387">
          <cell r="B2387">
            <v>258.97000000000003</v>
          </cell>
          <cell r="D2387">
            <v>22085546.182201002</v>
          </cell>
          <cell r="E2387">
            <v>1871426376</v>
          </cell>
          <cell r="F2387">
            <v>5.2887028149302042E-3</v>
          </cell>
          <cell r="G2387">
            <v>5.7943377765723673E-3</v>
          </cell>
        </row>
        <row r="2388">
          <cell r="B2388">
            <v>257.36</v>
          </cell>
          <cell r="D2388">
            <v>26373801.977818001</v>
          </cell>
          <cell r="E2388">
            <v>2751790926</v>
          </cell>
          <cell r="F2388">
            <v>-6.2363419441108948E-3</v>
          </cell>
          <cell r="G2388">
            <v>3.3250724723028176E-3</v>
          </cell>
        </row>
        <row r="2389">
          <cell r="B2389">
            <v>260.95499999999998</v>
          </cell>
          <cell r="D2389">
            <v>20173407.265932001</v>
          </cell>
          <cell r="E2389">
            <v>1992399601</v>
          </cell>
          <cell r="F2389">
            <v>1.3872095733852344E-2</v>
          </cell>
          <cell r="G2389">
            <v>2.3123663514123699E-3</v>
          </cell>
        </row>
        <row r="2390">
          <cell r="B2390">
            <v>263.553</v>
          </cell>
          <cell r="D2390">
            <v>20531551.108651999</v>
          </cell>
          <cell r="E2390">
            <v>1830630923</v>
          </cell>
          <cell r="F2390">
            <v>9.9065076110778586E-3</v>
          </cell>
          <cell r="G2390">
            <v>2.7731138634168957E-4</v>
          </cell>
        </row>
        <row r="2391">
          <cell r="B2391">
            <v>263.06400000000002</v>
          </cell>
          <cell r="D2391">
            <v>22301377.267138001</v>
          </cell>
          <cell r="E2391">
            <v>1949896699</v>
          </cell>
          <cell r="F2391">
            <v>-1.8571376941690541E-3</v>
          </cell>
          <cell r="G2391">
            <v>1.3272329146112091E-3</v>
          </cell>
        </row>
        <row r="2392">
          <cell r="B2392">
            <v>263.73899999999998</v>
          </cell>
          <cell r="D2392">
            <v>17223397.364369001</v>
          </cell>
          <cell r="E2392">
            <v>1803458464</v>
          </cell>
          <cell r="F2392">
            <v>2.5626291778804897E-3</v>
          </cell>
          <cell r="G2392">
            <v>5.2080549958111134E-3</v>
          </cell>
        </row>
        <row r="2393">
          <cell r="B2393">
            <v>269.62</v>
          </cell>
          <cell r="D2393">
            <v>27262805.722116001</v>
          </cell>
          <cell r="E2393">
            <v>1535619737</v>
          </cell>
          <cell r="F2393">
            <v>2.2053582503505444E-2</v>
          </cell>
          <cell r="G2393">
            <v>7.4721182313641664E-3</v>
          </cell>
        </row>
        <row r="2394">
          <cell r="B2394">
            <v>269.63</v>
          </cell>
          <cell r="D2394">
            <v>32505570.165240001</v>
          </cell>
          <cell r="E2394">
            <v>2075709900</v>
          </cell>
          <cell r="F2394">
            <v>3.7088548914691486E-5</v>
          </cell>
          <cell r="G2394">
            <v>-2.0239476634912454E-3</v>
          </cell>
        </row>
        <row r="2395">
          <cell r="B2395">
            <v>271.83499999999998</v>
          </cell>
          <cell r="D2395">
            <v>23952705.699703</v>
          </cell>
          <cell r="E2395">
            <v>1932877201</v>
          </cell>
          <cell r="F2395">
            <v>8.1446157701780993E-3</v>
          </cell>
          <cell r="G2395">
            <v>3.3533824363036076E-3</v>
          </cell>
        </row>
        <row r="2396">
          <cell r="B2396">
            <v>269.392</v>
          </cell>
          <cell r="D2396">
            <v>25351723.386080999</v>
          </cell>
          <cell r="E2396">
            <v>2063982824</v>
          </cell>
          <cell r="F2396">
            <v>-9.0276966665670862E-3</v>
          </cell>
          <cell r="G2396">
            <v>-8.5978672165738772E-3</v>
          </cell>
        </row>
        <row r="2397">
          <cell r="B2397">
            <v>269.90199999999999</v>
          </cell>
          <cell r="D2397">
            <v>24628893.503242999</v>
          </cell>
          <cell r="E2397">
            <v>1791690914</v>
          </cell>
          <cell r="F2397">
            <v>1.8913622329682219E-3</v>
          </cell>
          <cell r="G2397">
            <v>1.1214829918570923E-2</v>
          </cell>
        </row>
        <row r="2398">
          <cell r="B2398">
            <v>269.29399999999998</v>
          </cell>
          <cell r="D2398">
            <v>19495473.852600001</v>
          </cell>
          <cell r="E2398">
            <v>1707501002</v>
          </cell>
          <cell r="F2398">
            <v>-2.2552105642080875E-3</v>
          </cell>
          <cell r="G2398">
            <v>3.4452147239393167E-3</v>
          </cell>
        </row>
        <row r="2399">
          <cell r="B2399">
            <v>272.85199999999998</v>
          </cell>
          <cell r="D2399">
            <v>26897974.299835999</v>
          </cell>
          <cell r="E2399">
            <v>1764023047</v>
          </cell>
          <cell r="F2399">
            <v>1.312580405598994E-2</v>
          </cell>
          <cell r="G2399">
            <v>-3.5230289676471218E-3</v>
          </cell>
        </row>
        <row r="2400">
          <cell r="B2400">
            <v>274.34500000000003</v>
          </cell>
          <cell r="D2400">
            <v>23801977.157476999</v>
          </cell>
          <cell r="E2400">
            <v>2028264492</v>
          </cell>
          <cell r="F2400">
            <v>5.4569148035081977E-3</v>
          </cell>
          <cell r="G2400">
            <v>1.1642922750682311E-3</v>
          </cell>
        </row>
        <row r="2401">
          <cell r="B2401">
            <v>272.90100000000001</v>
          </cell>
          <cell r="D2401">
            <v>23277372.784240998</v>
          </cell>
          <cell r="E2401">
            <v>1995704829</v>
          </cell>
          <cell r="F2401">
            <v>-5.2773463902088856E-3</v>
          </cell>
          <cell r="G2401">
            <v>-3.267568936996537E-3</v>
          </cell>
        </row>
        <row r="2402">
          <cell r="B2402">
            <v>272.62599999999998</v>
          </cell>
          <cell r="D2402">
            <v>26966681.705931</v>
          </cell>
          <cell r="E2402">
            <v>2026420335</v>
          </cell>
          <cell r="F2402">
            <v>-1.0081994962451567E-3</v>
          </cell>
          <cell r="G2402">
            <v>-7.5675003916981084E-3</v>
          </cell>
        </row>
        <row r="2403">
          <cell r="B2403">
            <v>269.00299999999999</v>
          </cell>
          <cell r="D2403">
            <v>33916443.664737999</v>
          </cell>
          <cell r="E2403">
            <v>2838151098</v>
          </cell>
          <cell r="F2403">
            <v>-1.3378360601240121E-2</v>
          </cell>
          <cell r="G2403">
            <v>-1.5996800327963308E-2</v>
          </cell>
        </row>
        <row r="2404">
          <cell r="B2404">
            <v>271.24900000000002</v>
          </cell>
          <cell r="D2404">
            <v>27041745.998353999</v>
          </cell>
          <cell r="E2404">
            <v>2430577637</v>
          </cell>
          <cell r="F2404">
            <v>8.3146862559208001E-3</v>
          </cell>
          <cell r="G2404">
            <v>1.5048847488145101E-2</v>
          </cell>
        </row>
        <row r="2405">
          <cell r="B2405">
            <v>273.26100000000002</v>
          </cell>
          <cell r="D2405">
            <v>25089879.869954001</v>
          </cell>
          <cell r="E2405">
            <v>2101370626</v>
          </cell>
          <cell r="F2405">
            <v>7.3901642101242377E-3</v>
          </cell>
          <cell r="G2405">
            <v>8.2080686588838214E-3</v>
          </cell>
        </row>
        <row r="2406">
          <cell r="B2406">
            <v>277.86099999999999</v>
          </cell>
          <cell r="D2406">
            <v>24080425.978696998</v>
          </cell>
          <cell r="E2406">
            <v>1845434194</v>
          </cell>
          <cell r="F2406">
            <v>1.66936062269014E-2</v>
          </cell>
          <cell r="G2406">
            <v>2.0146302382427882E-3</v>
          </cell>
        </row>
        <row r="2407">
          <cell r="B2407">
            <v>281.291</v>
          </cell>
          <cell r="D2407">
            <v>23446094.928846002</v>
          </cell>
          <cell r="E2407">
            <v>1752390418</v>
          </cell>
          <cell r="F2407">
            <v>1.2268732022905137E-2</v>
          </cell>
          <cell r="G2407">
            <v>1.0094319060166316E-2</v>
          </cell>
        </row>
        <row r="2408">
          <cell r="B2408">
            <v>280.69400000000002</v>
          </cell>
          <cell r="D2408">
            <v>23866247.336105999</v>
          </cell>
          <cell r="E2408">
            <v>1812247096</v>
          </cell>
          <cell r="F2408">
            <v>-2.1246126660691275E-3</v>
          </cell>
          <cell r="G2408">
            <v>2.3794199422129485E-3</v>
          </cell>
        </row>
        <row r="2409">
          <cell r="B2409">
            <v>278.25200000000001</v>
          </cell>
          <cell r="D2409">
            <v>34604789.307724997</v>
          </cell>
          <cell r="E2409">
            <v>2085640391</v>
          </cell>
          <cell r="F2409">
            <v>-8.7379300951958925E-3</v>
          </cell>
          <cell r="G2409">
            <v>-4.7236186726493743E-3</v>
          </cell>
        </row>
        <row r="2410">
          <cell r="B2410">
            <v>277.94099999999997</v>
          </cell>
          <cell r="D2410">
            <v>34566459.607247002</v>
          </cell>
          <cell r="E2410">
            <v>2118843918</v>
          </cell>
          <cell r="F2410">
            <v>-1.1183169598045386E-3</v>
          </cell>
          <cell r="G2410">
            <v>-1.8631917437244311E-4</v>
          </cell>
        </row>
        <row r="2411">
          <cell r="B2411">
            <v>278.21300000000002</v>
          </cell>
          <cell r="D2411">
            <v>18709338.227742001</v>
          </cell>
          <cell r="E2411">
            <v>2019354788</v>
          </cell>
          <cell r="F2411">
            <v>9.7814641875036234E-4</v>
          </cell>
          <cell r="G2411">
            <v>4.1973850116203163E-3</v>
          </cell>
        </row>
        <row r="2412">
          <cell r="B2412">
            <v>276.66800000000001</v>
          </cell>
          <cell r="D2412">
            <v>21568575.39641</v>
          </cell>
          <cell r="E2412">
            <v>2245846882</v>
          </cell>
          <cell r="F2412">
            <v>-5.5687759815111785E-3</v>
          </cell>
          <cell r="G2412">
            <v>-5.4206823821932627E-3</v>
          </cell>
        </row>
        <row r="2413">
          <cell r="B2413">
            <v>276.58199999999999</v>
          </cell>
          <cell r="D2413">
            <v>16751791.956754001</v>
          </cell>
          <cell r="E2413">
            <v>1983436641</v>
          </cell>
          <cell r="F2413">
            <v>-3.108901968104942E-4</v>
          </cell>
          <cell r="G2413">
            <v>-1.8445946098472469E-3</v>
          </cell>
        </row>
        <row r="2414">
          <cell r="B2414">
            <v>278.81799999999998</v>
          </cell>
          <cell r="D2414">
            <v>18411478.839947999</v>
          </cell>
          <cell r="E2414">
            <v>2174964518</v>
          </cell>
          <cell r="F2414">
            <v>8.0518980214167157E-3</v>
          </cell>
          <cell r="G2414">
            <v>8.170019032652822E-3</v>
          </cell>
        </row>
        <row r="2415">
          <cell r="B2415">
            <v>278.22300000000001</v>
          </cell>
          <cell r="D2415">
            <v>16673471.922907</v>
          </cell>
          <cell r="E2415">
            <v>2331475675</v>
          </cell>
          <cell r="F2415">
            <v>-2.1362888056171226E-3</v>
          </cell>
          <cell r="G2415">
            <v>-4.6432082296428796E-3</v>
          </cell>
        </row>
        <row r="2416">
          <cell r="B2416">
            <v>281.14299999999997</v>
          </cell>
          <cell r="D2416">
            <v>14314107.778450999</v>
          </cell>
          <cell r="E2416">
            <v>1960628313</v>
          </cell>
          <cell r="F2416">
            <v>1.0440486279818679E-2</v>
          </cell>
          <cell r="G2416">
            <v>5.9874994315475697E-3</v>
          </cell>
        </row>
        <row r="2417">
          <cell r="B2417">
            <v>281.08300000000003</v>
          </cell>
          <cell r="D2417">
            <v>17083359.530310001</v>
          </cell>
          <cell r="E2417">
            <v>1838165082</v>
          </cell>
          <cell r="F2417">
            <v>-2.1343730182423279E-4</v>
          </cell>
          <cell r="G2417">
            <v>1.6738821949274498E-3</v>
          </cell>
        </row>
        <row r="2418">
          <cell r="B2418">
            <v>279.99099999999999</v>
          </cell>
          <cell r="D2418">
            <v>16597605.980944</v>
          </cell>
          <cell r="E2418">
            <v>1716583532</v>
          </cell>
          <cell r="F2418">
            <v>-3.8925395894993139E-3</v>
          </cell>
          <cell r="G2418">
            <v>-9.4036789518653135E-4</v>
          </cell>
        </row>
        <row r="2419">
          <cell r="B2419">
            <v>278.154</v>
          </cell>
          <cell r="D2419">
            <v>19170972.671284001</v>
          </cell>
          <cell r="E2419">
            <v>1916238169</v>
          </cell>
          <cell r="F2419">
            <v>-6.5825426477914275E-3</v>
          </cell>
          <cell r="G2419">
            <v>9.922089864754615E-4</v>
          </cell>
        </row>
        <row r="2420">
          <cell r="B2420">
            <v>278.65199999999999</v>
          </cell>
          <cell r="D2420">
            <v>14371535.780995</v>
          </cell>
          <cell r="E2420">
            <v>1871786539</v>
          </cell>
          <cell r="F2420">
            <v>1.7887743048318238E-3</v>
          </cell>
          <cell r="G2420">
            <v>1.2748955456659639E-3</v>
          </cell>
        </row>
        <row r="2421">
          <cell r="B2421">
            <v>281.42700000000002</v>
          </cell>
          <cell r="D2421">
            <v>15004292.198672</v>
          </cell>
          <cell r="E2421">
            <v>1628478428</v>
          </cell>
          <cell r="F2421">
            <v>9.9093974522321791E-3</v>
          </cell>
          <cell r="G2421">
            <v>4.1378253942716235E-3</v>
          </cell>
        </row>
        <row r="2422">
          <cell r="B2422">
            <v>284.38499999999999</v>
          </cell>
          <cell r="D2422">
            <v>18792495.801918</v>
          </cell>
          <cell r="E2422">
            <v>1532626658</v>
          </cell>
          <cell r="F2422">
            <v>1.0455865017324772E-2</v>
          </cell>
          <cell r="G2422">
            <v>1.6060338344795659E-3</v>
          </cell>
        </row>
        <row r="2423">
          <cell r="B2423">
            <v>286.07600000000002</v>
          </cell>
          <cell r="D2423">
            <v>23186545.788988002</v>
          </cell>
          <cell r="E2423">
            <v>1750996492</v>
          </cell>
          <cell r="F2423">
            <v>5.9285558623792438E-3</v>
          </cell>
          <cell r="G2423">
            <v>2.6174309818667143E-3</v>
          </cell>
        </row>
        <row r="2424">
          <cell r="B2424">
            <v>284.61200000000002</v>
          </cell>
          <cell r="D2424">
            <v>20673082.693257999</v>
          </cell>
          <cell r="E2424">
            <v>1917517410</v>
          </cell>
          <cell r="F2424">
            <v>-5.1306605763124158E-3</v>
          </cell>
          <cell r="G2424">
            <v>-7.0857697907681849E-3</v>
          </cell>
        </row>
        <row r="2425">
          <cell r="B2425">
            <v>282.863</v>
          </cell>
          <cell r="D2425">
            <v>22419646.681634001</v>
          </cell>
          <cell r="E2425">
            <v>1930293587</v>
          </cell>
          <cell r="F2425">
            <v>-6.1641677185918613E-3</v>
          </cell>
          <cell r="G2425">
            <v>-1.0806639720144598E-2</v>
          </cell>
        </row>
        <row r="2426">
          <cell r="B2426">
            <v>288.74299999999999</v>
          </cell>
          <cell r="D2426">
            <v>30680660.547561999</v>
          </cell>
          <cell r="E2426">
            <v>2214340942</v>
          </cell>
          <cell r="F2426">
            <v>2.057433762832234E-2</v>
          </cell>
          <cell r="G2426">
            <v>1.2559520255743905E-3</v>
          </cell>
        </row>
        <row r="2427">
          <cell r="B2427">
            <v>296.11599999999999</v>
          </cell>
          <cell r="D2427">
            <v>41952864.610783003</v>
          </cell>
          <cell r="E2427">
            <v>1834179903</v>
          </cell>
          <cell r="F2427">
            <v>2.5214250328472423E-2</v>
          </cell>
          <cell r="G2427">
            <v>8.1085771490773013E-3</v>
          </cell>
        </row>
        <row r="2428">
          <cell r="B2428">
            <v>296.39999999999998</v>
          </cell>
          <cell r="D2428">
            <v>23465108.254012998</v>
          </cell>
          <cell r="E2428">
            <v>1854558750</v>
          </cell>
          <cell r="F2428">
            <v>9.5862397555078786E-4</v>
          </cell>
          <cell r="G2428">
            <v>8.487698356534068E-3</v>
          </cell>
        </row>
        <row r="2429">
          <cell r="B2429">
            <v>294.43799999999999</v>
          </cell>
          <cell r="D2429">
            <v>18681278.446210001</v>
          </cell>
          <cell r="E2429">
            <v>1743330697</v>
          </cell>
          <cell r="F2429">
            <v>-6.6414388098554548E-3</v>
          </cell>
          <cell r="G2429">
            <v>1.4945751943348515E-3</v>
          </cell>
        </row>
        <row r="2430">
          <cell r="B2430">
            <v>293.84100000000001</v>
          </cell>
          <cell r="D2430">
            <v>20562464.271113999</v>
          </cell>
          <cell r="E2430">
            <v>1777933554</v>
          </cell>
          <cell r="F2430">
            <v>-2.0296498938225664E-3</v>
          </cell>
          <cell r="G2430">
            <v>2.2176660815180892E-3</v>
          </cell>
        </row>
        <row r="2431">
          <cell r="B2431">
            <v>290.988</v>
          </cell>
          <cell r="D2431">
            <v>18157412.245793998</v>
          </cell>
          <cell r="E2431">
            <v>1642206826</v>
          </cell>
          <cell r="F2431">
            <v>-9.7567755104363742E-3</v>
          </cell>
          <cell r="G2431">
            <v>-5.8419628594696153E-3</v>
          </cell>
        </row>
        <row r="2432">
          <cell r="B2432">
            <v>291.60399999999998</v>
          </cell>
          <cell r="D2432">
            <v>23234434.878681</v>
          </cell>
          <cell r="E2432">
            <v>1665809773</v>
          </cell>
          <cell r="F2432">
            <v>2.1146882537276318E-3</v>
          </cell>
          <cell r="G2432">
            <v>8.7690455528976891E-3</v>
          </cell>
        </row>
        <row r="2433">
          <cell r="B2433">
            <v>295.37599999999998</v>
          </cell>
          <cell r="D2433">
            <v>16802744.310077999</v>
          </cell>
          <cell r="E2433">
            <v>1564582288</v>
          </cell>
          <cell r="F2433">
            <v>1.2852403566668632E-2</v>
          </cell>
          <cell r="G2433">
            <v>4.2973414690568616E-3</v>
          </cell>
        </row>
        <row r="2434">
          <cell r="B2434">
            <v>293.714</v>
          </cell>
          <cell r="D2434">
            <v>27016385.001223002</v>
          </cell>
          <cell r="E2434">
            <v>2177504229</v>
          </cell>
          <cell r="F2434">
            <v>-5.6426162715901866E-3</v>
          </cell>
          <cell r="G2434">
            <v>-1.3500571571324227E-3</v>
          </cell>
        </row>
        <row r="2435">
          <cell r="B2435">
            <v>293.666</v>
          </cell>
          <cell r="D2435">
            <v>19511803.750635002</v>
          </cell>
          <cell r="E2435">
            <v>1943483583</v>
          </cell>
          <cell r="F2435">
            <v>-1.6343763868998108E-4</v>
          </cell>
          <cell r="G2435">
            <v>3.1171346489786849E-4</v>
          </cell>
        </row>
        <row r="2436">
          <cell r="B2436">
            <v>293.00200000000001</v>
          </cell>
          <cell r="D2436">
            <v>16743617.793375</v>
          </cell>
          <cell r="E2436">
            <v>1778239902</v>
          </cell>
          <cell r="F2436">
            <v>-2.2636321855961615E-3</v>
          </cell>
          <cell r="G2436">
            <v>2.8385281677768184E-3</v>
          </cell>
        </row>
        <row r="2437">
          <cell r="B2437">
            <v>292.99299999999999</v>
          </cell>
          <cell r="D2437">
            <v>15161881.345709</v>
          </cell>
          <cell r="E2437">
            <v>1529886805</v>
          </cell>
          <cell r="F2437">
            <v>-3.0716985642308516E-5</v>
          </cell>
          <cell r="G2437">
            <v>-3.3508296923669389E-4</v>
          </cell>
        </row>
        <row r="2438">
          <cell r="B2438">
            <v>292.053</v>
          </cell>
          <cell r="D2438">
            <v>17662006.139772002</v>
          </cell>
          <cell r="E2438">
            <v>1805777278</v>
          </cell>
          <cell r="F2438">
            <v>-3.2134252994733682E-3</v>
          </cell>
          <cell r="G2438">
            <v>-3.401266163481994E-3</v>
          </cell>
        </row>
        <row r="2439">
          <cell r="B2439">
            <v>292.08199999999999</v>
          </cell>
          <cell r="D2439">
            <v>15465300.065562</v>
          </cell>
          <cell r="E2439">
            <v>1783658630</v>
          </cell>
          <cell r="F2439">
            <v>9.9292115773954386E-5</v>
          </cell>
          <cell r="G2439">
            <v>-1.3194454045593487E-3</v>
          </cell>
        </row>
        <row r="2440">
          <cell r="B2440">
            <v>289.21199999999999</v>
          </cell>
          <cell r="D2440">
            <v>20481207.927073002</v>
          </cell>
          <cell r="E2440">
            <v>1837254326</v>
          </cell>
          <cell r="F2440">
            <v>-9.8746015632952579E-3</v>
          </cell>
          <cell r="G2440">
            <v>-4.6162382762889205E-3</v>
          </cell>
        </row>
        <row r="2441">
          <cell r="B2441">
            <v>287.70800000000003</v>
          </cell>
          <cell r="D2441">
            <v>20179404.792118002</v>
          </cell>
          <cell r="E2441">
            <v>1860497153</v>
          </cell>
          <cell r="F2441">
            <v>-5.2139062856630851E-3</v>
          </cell>
          <cell r="G2441">
            <v>-7.7526176231305427E-3</v>
          </cell>
        </row>
        <row r="2442">
          <cell r="B2442">
            <v>288.95800000000003</v>
          </cell>
          <cell r="D2442">
            <v>24310784.018068001</v>
          </cell>
          <cell r="E2442">
            <v>2060402092</v>
          </cell>
          <cell r="F2442">
            <v>4.3352719174302775E-3</v>
          </cell>
          <cell r="G2442">
            <v>2.273922239413449E-3</v>
          </cell>
        </row>
        <row r="2443">
          <cell r="B2443">
            <v>291.67399999999998</v>
          </cell>
          <cell r="D2443">
            <v>22461219.837722</v>
          </cell>
          <cell r="E2443">
            <v>2021922303</v>
          </cell>
          <cell r="F2443">
            <v>9.3553913991038171E-3</v>
          </cell>
          <cell r="G2443">
            <v>-5.7631743778016721E-3</v>
          </cell>
        </row>
        <row r="2444">
          <cell r="B2444">
            <v>296.565</v>
          </cell>
          <cell r="D2444">
            <v>29144948.816904999</v>
          </cell>
          <cell r="E2444">
            <v>2126502586</v>
          </cell>
          <cell r="F2444">
            <v>1.6629678464382402E-2</v>
          </cell>
          <cell r="G2444">
            <v>8.4382066732456781E-3</v>
          </cell>
        </row>
        <row r="2445">
          <cell r="B2445">
            <v>296.95800000000003</v>
          </cell>
          <cell r="D2445">
            <v>20094560.989601001</v>
          </cell>
          <cell r="E2445">
            <v>1846633558</v>
          </cell>
          <cell r="F2445">
            <v>1.3242959664096397E-3</v>
          </cell>
          <cell r="G2445">
            <v>-1.5523011230354105E-3</v>
          </cell>
        </row>
        <row r="2446">
          <cell r="B2446">
            <v>291.75</v>
          </cell>
          <cell r="D2446">
            <v>42523105.673983</v>
          </cell>
          <cell r="E2446">
            <v>3770722859</v>
          </cell>
          <cell r="F2446">
            <v>-1.7693443494697703E-2</v>
          </cell>
          <cell r="G2446">
            <v>-9.1526831464338165E-3</v>
          </cell>
        </row>
        <row r="2447">
          <cell r="B2447">
            <v>286.33199999999999</v>
          </cell>
          <cell r="D2447">
            <v>39343266.023166999</v>
          </cell>
          <cell r="E2447">
            <v>2601202238</v>
          </cell>
          <cell r="F2447">
            <v>-1.8745294438777215E-2</v>
          </cell>
          <cell r="G2447">
            <v>-1.7123020373769459E-2</v>
          </cell>
        </row>
        <row r="2448">
          <cell r="B2448">
            <v>286.82</v>
          </cell>
          <cell r="D2448">
            <v>22986092.45129</v>
          </cell>
          <cell r="E2448">
            <v>1926605020</v>
          </cell>
          <cell r="F2448">
            <v>1.7028645731781155E-3</v>
          </cell>
          <cell r="G2448">
            <v>-8.1267968365917188E-4</v>
          </cell>
        </row>
        <row r="2449">
          <cell r="B2449">
            <v>290.50099999999998</v>
          </cell>
          <cell r="D2449">
            <v>27366872.732503001</v>
          </cell>
          <cell r="E2449">
            <v>2024995238</v>
          </cell>
          <cell r="F2449">
            <v>1.2752177325766613E-2</v>
          </cell>
          <cell r="G2449">
            <v>9.4745406640912491E-3</v>
          </cell>
        </row>
        <row r="2450">
          <cell r="B2450">
            <v>291.44799999999998</v>
          </cell>
          <cell r="D2450">
            <v>19122031.096627999</v>
          </cell>
          <cell r="E2450">
            <v>1974708404</v>
          </cell>
          <cell r="F2450">
            <v>3.2545836006591532E-3</v>
          </cell>
          <cell r="G2450">
            <v>1.2061715863250257E-2</v>
          </cell>
        </row>
        <row r="2451">
          <cell r="B2451">
            <v>291.24299999999999</v>
          </cell>
          <cell r="D2451">
            <v>15416129.15566</v>
          </cell>
          <cell r="E2451">
            <v>1687771288</v>
          </cell>
          <cell r="F2451">
            <v>-7.0363197117483025E-4</v>
          </cell>
          <cell r="G2451">
            <v>1.4599428049598621E-3</v>
          </cell>
        </row>
        <row r="2452">
          <cell r="B2452">
            <v>286.20299999999997</v>
          </cell>
          <cell r="D2452">
            <v>24227318.274657998</v>
          </cell>
          <cell r="E2452">
            <v>2044774771</v>
          </cell>
          <cell r="F2452">
            <v>-1.745662100861077E-2</v>
          </cell>
          <cell r="G2452">
            <v>-2.7802175328761427E-3</v>
          </cell>
        </row>
        <row r="2453">
          <cell r="B2453">
            <v>275.85000000000002</v>
          </cell>
          <cell r="D2453">
            <v>44387330.928926997</v>
          </cell>
          <cell r="E2453">
            <v>2411082003</v>
          </cell>
          <cell r="F2453">
            <v>-3.6844109529266408E-2</v>
          </cell>
          <cell r="G2453">
            <v>-2.0574321587474437E-2</v>
          </cell>
        </row>
        <row r="2454">
          <cell r="B2454">
            <v>276.31900000000002</v>
          </cell>
          <cell r="D2454">
            <v>27086643.491675999</v>
          </cell>
          <cell r="E2454">
            <v>1899919741</v>
          </cell>
          <cell r="F2454">
            <v>1.6987556809077017E-3</v>
          </cell>
          <cell r="G2454">
            <v>1.5679363733049781E-3</v>
          </cell>
        </row>
        <row r="2455">
          <cell r="B2455">
            <v>274.29599999999999</v>
          </cell>
          <cell r="D2455">
            <v>33243174.766479999</v>
          </cell>
          <cell r="E2455">
            <v>2292980186</v>
          </cell>
          <cell r="F2455">
            <v>-7.3481801359410338E-3</v>
          </cell>
          <cell r="G2455">
            <v>-1.1981220973814677E-2</v>
          </cell>
        </row>
        <row r="2456">
          <cell r="B2456">
            <v>281.27100000000002</v>
          </cell>
          <cell r="D2456">
            <v>30923038.210942999</v>
          </cell>
          <cell r="E2456">
            <v>2202907200</v>
          </cell>
          <cell r="F2456">
            <v>2.5110802134473247E-2</v>
          </cell>
          <cell r="G2456">
            <v>1.1425952216359555E-2</v>
          </cell>
        </row>
        <row r="2457">
          <cell r="B2457">
            <v>275.45100000000002</v>
          </cell>
          <cell r="D2457">
            <v>32222672.854554001</v>
          </cell>
          <cell r="E2457">
            <v>2352030389</v>
          </cell>
          <cell r="F2457">
            <v>-2.0908863062799897E-2</v>
          </cell>
          <cell r="G2457">
            <v>-1.3070933999937525E-2</v>
          </cell>
        </row>
        <row r="2458">
          <cell r="B2458">
            <v>280.95100000000002</v>
          </cell>
          <cell r="D2458">
            <v>25688129.523782998</v>
          </cell>
          <cell r="E2458">
            <v>2026525955</v>
          </cell>
          <cell r="F2458">
            <v>1.9770522568990721E-2</v>
          </cell>
          <cell r="G2458">
            <v>1.0469458977261837E-2</v>
          </cell>
        </row>
        <row r="2459">
          <cell r="B2459">
            <v>285.178</v>
          </cell>
          <cell r="D2459">
            <v>28781365.428838</v>
          </cell>
          <cell r="E2459">
            <v>2062682920</v>
          </cell>
          <cell r="F2459">
            <v>1.4933269810786146E-2</v>
          </cell>
          <cell r="G2459">
            <v>4.0944935476352412E-3</v>
          </cell>
        </row>
        <row r="2460">
          <cell r="B2460">
            <v>286.86900000000003</v>
          </cell>
          <cell r="D2460">
            <v>20998682.431350999</v>
          </cell>
          <cell r="E2460">
            <v>1942954035</v>
          </cell>
          <cell r="F2460">
            <v>5.9121188485507861E-3</v>
          </cell>
          <cell r="G2460">
            <v>8.2640477350165494E-3</v>
          </cell>
        </row>
        <row r="2461">
          <cell r="B2461">
            <v>286.86900000000003</v>
          </cell>
          <cell r="D2461">
            <v>18177574.294822</v>
          </cell>
          <cell r="E2461">
            <v>1683911086</v>
          </cell>
          <cell r="F2461">
            <v>0</v>
          </cell>
          <cell r="G2461">
            <v>-1.9155742909790841E-3</v>
          </cell>
        </row>
        <row r="2462">
          <cell r="B2462">
            <v>286.26299999999998</v>
          </cell>
          <cell r="D2462">
            <v>19835367.114606999</v>
          </cell>
          <cell r="E2462">
            <v>1684626168</v>
          </cell>
          <cell r="F2462">
            <v>-2.114696879019697E-3</v>
          </cell>
          <cell r="G2462">
            <v>-6.8894637904681668E-3</v>
          </cell>
        </row>
        <row r="2463">
          <cell r="B2463">
            <v>284.96199999999999</v>
          </cell>
          <cell r="D2463">
            <v>18474039.242419999</v>
          </cell>
          <cell r="E2463">
            <v>1951341517</v>
          </cell>
          <cell r="F2463">
            <v>-4.5551306387498752E-3</v>
          </cell>
          <cell r="G2463">
            <v>-2.4196966754627294E-3</v>
          </cell>
        </row>
        <row r="2464">
          <cell r="B2464">
            <v>288.29199999999997</v>
          </cell>
          <cell r="D2464">
            <v>24075492.199473001</v>
          </cell>
          <cell r="E2464">
            <v>1928089452</v>
          </cell>
          <cell r="F2464">
            <v>1.1618017341009295E-2</v>
          </cell>
          <cell r="G2464">
            <v>3.0179781813102643E-3</v>
          </cell>
        </row>
        <row r="2465">
          <cell r="B2465">
            <v>294.56400000000002</v>
          </cell>
          <cell r="D2465">
            <v>28021137.519954</v>
          </cell>
          <cell r="E2465">
            <v>1941352446</v>
          </cell>
          <cell r="F2465">
            <v>2.1522441582236221E-2</v>
          </cell>
          <cell r="G2465">
            <v>1.6919170336133042E-2</v>
          </cell>
        </row>
        <row r="2466">
          <cell r="B2466">
            <v>295.97000000000003</v>
          </cell>
          <cell r="D2466">
            <v>26090804.332965001</v>
          </cell>
          <cell r="E2466">
            <v>2048713822</v>
          </cell>
          <cell r="F2466">
            <v>4.7618008674305068E-3</v>
          </cell>
          <cell r="G2466">
            <v>7.4324416209213713E-3</v>
          </cell>
        </row>
        <row r="2467">
          <cell r="B2467">
            <v>298.98099999999999</v>
          </cell>
          <cell r="D2467">
            <v>23361442.580304999</v>
          </cell>
          <cell r="E2467">
            <v>1871645425</v>
          </cell>
          <cell r="F2467">
            <v>1.0121928384792244E-2</v>
          </cell>
          <cell r="G2467">
            <v>3.3691227169670899E-3</v>
          </cell>
        </row>
        <row r="2468">
          <cell r="B2468">
            <v>299.89699999999999</v>
          </cell>
          <cell r="D2468">
            <v>18173914.145263001</v>
          </cell>
          <cell r="E2468">
            <v>1701720108</v>
          </cell>
          <cell r="F2468">
            <v>3.0590561493787911E-3</v>
          </cell>
          <cell r="G2468">
            <v>7.366160006043284E-3</v>
          </cell>
        </row>
        <row r="2469">
          <cell r="B2469">
            <v>299.09500000000003</v>
          </cell>
          <cell r="D2469">
            <v>16996997.405611001</v>
          </cell>
          <cell r="E2469">
            <v>1842279378</v>
          </cell>
          <cell r="F2469">
            <v>-2.6778336914280126E-3</v>
          </cell>
          <cell r="G2469">
            <v>3.6573205869523144E-3</v>
          </cell>
        </row>
        <row r="2470">
          <cell r="B2470">
            <v>302.35000000000002</v>
          </cell>
          <cell r="D2470">
            <v>17388626.241758</v>
          </cell>
          <cell r="E2470">
            <v>1903670277</v>
          </cell>
          <cell r="F2470">
            <v>1.0824038040165216E-2</v>
          </cell>
          <cell r="G2470">
            <v>2.9914274720985803E-3</v>
          </cell>
        </row>
        <row r="2471">
          <cell r="B2471">
            <v>300.79500000000002</v>
          </cell>
          <cell r="D2471">
            <v>17934632.507693</v>
          </cell>
          <cell r="E2471">
            <v>1820296105</v>
          </cell>
          <cell r="F2471">
            <v>-5.1563171221153791E-3</v>
          </cell>
          <cell r="G2471">
            <v>-1.0731549583585973E-3</v>
          </cell>
        </row>
        <row r="2472">
          <cell r="B2472">
            <v>299.79899999999998</v>
          </cell>
          <cell r="D2472">
            <v>18042693.432325002</v>
          </cell>
          <cell r="E2472">
            <v>1849843381</v>
          </cell>
          <cell r="F2472">
            <v>-3.3167194912104101E-3</v>
          </cell>
          <cell r="G2472">
            <v>4.7369422309476855E-3</v>
          </cell>
        </row>
        <row r="2473">
          <cell r="B2473">
            <v>301.714</v>
          </cell>
          <cell r="D2473">
            <v>28889069.040968999</v>
          </cell>
          <cell r="E2473">
            <v>2018287292</v>
          </cell>
          <cell r="F2473">
            <v>6.3672986947972809E-3</v>
          </cell>
          <cell r="G2473">
            <v>1.818128616510003E-3</v>
          </cell>
        </row>
        <row r="2474">
          <cell r="B2474">
            <v>314.42200000000003</v>
          </cell>
          <cell r="D2474">
            <v>54051284.728216998</v>
          </cell>
          <cell r="E2474">
            <v>2255666226</v>
          </cell>
          <cell r="F2474">
            <v>4.1256483860960591E-2</v>
          </cell>
          <cell r="G2474">
            <v>-5.0644004514438486E-3</v>
          </cell>
        </row>
        <row r="2475">
          <cell r="B2475">
            <v>315.57400000000001</v>
          </cell>
          <cell r="D2475">
            <v>27029340.394935999</v>
          </cell>
          <cell r="E2475">
            <v>2180879850</v>
          </cell>
          <cell r="F2475">
            <v>3.6571701534278377E-3</v>
          </cell>
          <cell r="G2475">
            <v>9.7813440400895506E-3</v>
          </cell>
        </row>
        <row r="2476">
          <cell r="B2476">
            <v>322.64400000000001</v>
          </cell>
          <cell r="D2476">
            <v>35732891.426159002</v>
          </cell>
          <cell r="E2476">
            <v>2350301616</v>
          </cell>
          <cell r="F2476">
            <v>2.2156345391999576E-2</v>
          </cell>
          <cell r="G2476">
            <v>1.9474456805769699E-3</v>
          </cell>
        </row>
        <row r="2477">
          <cell r="B2477">
            <v>320.45800000000003</v>
          </cell>
          <cell r="D2477">
            <v>27826140.108690999</v>
          </cell>
          <cell r="E2477">
            <v>2033758725</v>
          </cell>
          <cell r="F2477">
            <v>-6.7983256753441764E-3</v>
          </cell>
          <cell r="G2477">
            <v>1.7984504334932693E-3</v>
          </cell>
        </row>
        <row r="2478">
          <cell r="B2478">
            <v>324.11</v>
          </cell>
          <cell r="D2478">
            <v>27223767.539540999</v>
          </cell>
          <cell r="E2478">
            <v>2156232672</v>
          </cell>
          <cell r="F2478">
            <v>1.1331741814251952E-2</v>
          </cell>
          <cell r="G2478">
            <v>3.673611276116367E-3</v>
          </cell>
        </row>
        <row r="2479">
          <cell r="B2479">
            <v>324.96100000000001</v>
          </cell>
          <cell r="D2479">
            <v>22098040.857788999</v>
          </cell>
          <cell r="E2479">
            <v>2155080069</v>
          </cell>
          <cell r="F2479">
            <v>2.6222107831723237E-3</v>
          </cell>
          <cell r="G2479">
            <v>6.4405112404735685E-3</v>
          </cell>
        </row>
        <row r="2480">
          <cell r="B2480">
            <v>327.34300000000002</v>
          </cell>
          <cell r="D2480">
            <v>24659471.877200998</v>
          </cell>
          <cell r="E2480">
            <v>2514981463</v>
          </cell>
          <cell r="F2480">
            <v>7.3033756893747994E-3</v>
          </cell>
          <cell r="G2480">
            <v>4.1731721062601788E-3</v>
          </cell>
        </row>
        <row r="2481">
          <cell r="B2481">
            <v>326.97199999999998</v>
          </cell>
          <cell r="D2481">
            <v>23197817.001993999</v>
          </cell>
          <cell r="E2481">
            <v>2604934263</v>
          </cell>
          <cell r="F2481">
            <v>-1.1340104987910367E-3</v>
          </cell>
          <cell r="G2481">
            <v>3.7259083006282606E-3</v>
          </cell>
        </row>
        <row r="2482">
          <cell r="B2482">
            <v>327.87099999999998</v>
          </cell>
          <cell r="D2482">
            <v>21478187.619105</v>
          </cell>
          <cell r="E2482">
            <v>2208829524</v>
          </cell>
          <cell r="F2482">
            <v>2.7456980216203864E-3</v>
          </cell>
          <cell r="G2482">
            <v>8.8730678440489285E-4</v>
          </cell>
        </row>
        <row r="2483">
          <cell r="B2483">
            <v>326.86500000000001</v>
          </cell>
          <cell r="D2483">
            <v>21899969.944713999</v>
          </cell>
          <cell r="E2483">
            <v>2077878164</v>
          </cell>
          <cell r="F2483">
            <v>-3.0729967243711062E-3</v>
          </cell>
          <cell r="G2483">
            <v>-3.504869385575243E-3</v>
          </cell>
        </row>
        <row r="2484">
          <cell r="B2484">
            <v>321.85399999999998</v>
          </cell>
          <cell r="D2484">
            <v>26210169.232783001</v>
          </cell>
          <cell r="E2484">
            <v>2141600225</v>
          </cell>
          <cell r="F2484">
            <v>-1.5449215045839331E-2</v>
          </cell>
          <cell r="G2484">
            <v>-8.259833757375561E-3</v>
          </cell>
        </row>
        <row r="2485">
          <cell r="B2485">
            <v>323.43900000000002</v>
          </cell>
          <cell r="D2485">
            <v>17318471.156927999</v>
          </cell>
          <cell r="E2485">
            <v>1745650301</v>
          </cell>
          <cell r="F2485">
            <v>4.9125069930387394E-3</v>
          </cell>
          <cell r="G2485">
            <v>5.5077572557522153E-4</v>
          </cell>
        </row>
        <row r="2486">
          <cell r="B2486">
            <v>327.61700000000002</v>
          </cell>
          <cell r="D2486">
            <v>24493837.56786</v>
          </cell>
          <cell r="E2486">
            <v>1878873391</v>
          </cell>
          <cell r="F2486">
            <v>1.2834709620241119E-2</v>
          </cell>
          <cell r="G2486">
            <v>7.196680911038463E-3</v>
          </cell>
        </row>
        <row r="2487">
          <cell r="B2487">
            <v>326.98200000000003</v>
          </cell>
          <cell r="D2487">
            <v>17188108.403524</v>
          </cell>
          <cell r="E2487">
            <v>1821708114</v>
          </cell>
          <cell r="F2487">
            <v>-1.9401196738208337E-3</v>
          </cell>
          <cell r="G2487">
            <v>-1.0677315509449458E-5</v>
          </cell>
        </row>
        <row r="2488">
          <cell r="B2488">
            <v>330.322</v>
          </cell>
          <cell r="D2488">
            <v>21467736.484363001</v>
          </cell>
          <cell r="E2488">
            <v>1969710437</v>
          </cell>
          <cell r="F2488">
            <v>1.0162812783693411E-2</v>
          </cell>
          <cell r="G2488">
            <v>3.8577581225869607E-3</v>
          </cell>
        </row>
        <row r="2489">
          <cell r="B2489">
            <v>330.548</v>
          </cell>
          <cell r="D2489">
            <v>19547529.881790001</v>
          </cell>
          <cell r="E2489">
            <v>2073793765</v>
          </cell>
          <cell r="F2489">
            <v>6.8394694511748476E-4</v>
          </cell>
          <cell r="G2489">
            <v>-2.6050195943357248E-3</v>
          </cell>
        </row>
        <row r="2490">
          <cell r="B2490">
            <v>332.64600000000002</v>
          </cell>
          <cell r="D2490">
            <v>23046125.046976</v>
          </cell>
          <cell r="E2490">
            <v>2229419489</v>
          </cell>
          <cell r="F2490">
            <v>6.3269782256411382E-3</v>
          </cell>
          <cell r="G2490">
            <v>3.379039774514253E-3</v>
          </cell>
        </row>
        <row r="2491">
          <cell r="B2491">
            <v>334.43299999999999</v>
          </cell>
          <cell r="D2491">
            <v>22533024.293444999</v>
          </cell>
          <cell r="E2491">
            <v>2452147236</v>
          </cell>
          <cell r="F2491">
            <v>5.3576990870401308E-3</v>
          </cell>
          <cell r="G2491">
            <v>-1.3996279870592404E-3</v>
          </cell>
        </row>
        <row r="2492">
          <cell r="B2492">
            <v>331.24</v>
          </cell>
          <cell r="D2492">
            <v>31835905.106548999</v>
          </cell>
          <cell r="E2492">
            <v>2465454579</v>
          </cell>
          <cell r="F2492">
            <v>-9.5933723866070651E-3</v>
          </cell>
          <cell r="G2492">
            <v>-3.2022541195681504E-3</v>
          </cell>
        </row>
        <row r="2493">
          <cell r="B2493">
            <v>329.14100000000002</v>
          </cell>
          <cell r="D2493">
            <v>31216701.992332</v>
          </cell>
          <cell r="E2493">
            <v>2230377284</v>
          </cell>
          <cell r="F2493">
            <v>-6.356957782059993E-3</v>
          </cell>
          <cell r="G2493">
            <v>1.655707232782677E-3</v>
          </cell>
        </row>
        <row r="2494">
          <cell r="B2494">
            <v>329.36599999999999</v>
          </cell>
          <cell r="D2494">
            <v>22223093.066923</v>
          </cell>
          <cell r="E2494">
            <v>1849716721</v>
          </cell>
          <cell r="F2494">
            <v>6.8336406068869159E-4</v>
          </cell>
          <cell r="G2494">
            <v>2.2912737234973743E-3</v>
          </cell>
        </row>
        <row r="2495">
          <cell r="B2495">
            <v>321.34699999999998</v>
          </cell>
          <cell r="D2495">
            <v>24845316.355018999</v>
          </cell>
          <cell r="E2495">
            <v>2132760977</v>
          </cell>
          <cell r="F2495">
            <v>-2.4648058285782655E-2</v>
          </cell>
          <cell r="G2495">
            <v>-2.2987044973283768E-2</v>
          </cell>
        </row>
        <row r="2496">
          <cell r="B2496">
            <v>328.12400000000002</v>
          </cell>
          <cell r="D2496">
            <v>29304275.383188002</v>
          </cell>
          <cell r="E2496">
            <v>2505188610</v>
          </cell>
          <cell r="F2496">
            <v>2.087004956385129E-2</v>
          </cell>
          <cell r="G2496">
            <v>1.3113857392683798E-2</v>
          </cell>
        </row>
        <row r="2497">
          <cell r="B2497">
            <v>322.23500000000001</v>
          </cell>
          <cell r="D2497">
            <v>43997848.015431002</v>
          </cell>
          <cell r="E2497">
            <v>4064157980</v>
          </cell>
          <cell r="F2497">
            <v>-1.8110492697682366E-2</v>
          </cell>
          <cell r="G2497">
            <v>-1.9143376992336782E-2</v>
          </cell>
        </row>
        <row r="2498">
          <cell r="B2498">
            <v>321.73599999999999</v>
          </cell>
          <cell r="D2498">
            <v>34267405.423777997</v>
          </cell>
          <cell r="E2498">
            <v>3055980587</v>
          </cell>
          <cell r="F2498">
            <v>-1.5497595384667438E-3</v>
          </cell>
          <cell r="G2498">
            <v>-1.1885550113429818E-2</v>
          </cell>
        </row>
        <row r="2499">
          <cell r="B2499">
            <v>321.161</v>
          </cell>
          <cell r="D2499">
            <v>31563896.100917</v>
          </cell>
          <cell r="E2499">
            <v>2801558306</v>
          </cell>
          <cell r="F2499">
            <v>-1.7887784616207199E-3</v>
          </cell>
          <cell r="G2499">
            <v>1.4094625715697029E-2</v>
          </cell>
        </row>
        <row r="2500">
          <cell r="B2500">
            <v>314.84100000000001</v>
          </cell>
          <cell r="D2500">
            <v>42862824.886921003</v>
          </cell>
          <cell r="E2500">
            <v>2714009311</v>
          </cell>
          <cell r="F2500">
            <v>-1.9874805538730573E-2</v>
          </cell>
          <cell r="G2500">
            <v>-8.4844725376341974E-3</v>
          </cell>
        </row>
        <row r="2501">
          <cell r="B2501">
            <v>317.94799999999998</v>
          </cell>
          <cell r="D2501">
            <v>30811450.233098</v>
          </cell>
          <cell r="E2501">
            <v>2591430683</v>
          </cell>
          <cell r="F2501">
            <v>9.8200979107200652E-3</v>
          </cell>
          <cell r="G2501">
            <v>1.1662655055923081E-2</v>
          </cell>
        </row>
        <row r="2502">
          <cell r="B2502">
            <v>326.45400000000001</v>
          </cell>
          <cell r="D2502">
            <v>31826490.075681001</v>
          </cell>
          <cell r="E2502">
            <v>2483715209</v>
          </cell>
          <cell r="F2502">
            <v>2.6401203186124156E-2</v>
          </cell>
          <cell r="G2502">
            <v>2.0495586171745628E-2</v>
          </cell>
        </row>
        <row r="2503">
          <cell r="B2503">
            <v>326.50299999999999</v>
          </cell>
          <cell r="D2503">
            <v>25403164.100618999</v>
          </cell>
          <cell r="E2503">
            <v>2169237673</v>
          </cell>
          <cell r="F2503">
            <v>1.5008645314142004E-4</v>
          </cell>
          <cell r="G2503">
            <v>3.0805438956169962E-3</v>
          </cell>
        </row>
        <row r="2504">
          <cell r="B2504">
            <v>324.678</v>
          </cell>
          <cell r="D2504">
            <v>22790282.128490001</v>
          </cell>
          <cell r="E2504">
            <v>2021704694</v>
          </cell>
          <cell r="F2504">
            <v>-5.6052150729764922E-3</v>
          </cell>
          <cell r="G2504">
            <v>-7.2070383872084483E-3</v>
          </cell>
        </row>
        <row r="2505">
          <cell r="B2505">
            <v>333.87799999999999</v>
          </cell>
          <cell r="D2505">
            <v>39083705.621308997</v>
          </cell>
          <cell r="E2505">
            <v>2130792886</v>
          </cell>
          <cell r="F2505">
            <v>2.794173482577824E-2</v>
          </cell>
          <cell r="G2505">
            <v>9.5038068188789387E-3</v>
          </cell>
        </row>
        <row r="2506">
          <cell r="B2506">
            <v>330.82100000000003</v>
          </cell>
          <cell r="D2506">
            <v>29648937.589713</v>
          </cell>
          <cell r="E2506">
            <v>2427488597</v>
          </cell>
          <cell r="F2506">
            <v>-9.1982131871263667E-3</v>
          </cell>
          <cell r="G2506">
            <v>-9.1782002130428933E-3</v>
          </cell>
        </row>
        <row r="2507">
          <cell r="B2507">
            <v>320.03800000000001</v>
          </cell>
          <cell r="D2507">
            <v>45591217.083878003</v>
          </cell>
          <cell r="E2507">
            <v>2481788465</v>
          </cell>
          <cell r="F2507">
            <v>-3.3137704857807974E-2</v>
          </cell>
          <cell r="G2507">
            <v>-7.4986431218743987E-3</v>
          </cell>
        </row>
        <row r="2508">
          <cell r="B2508">
            <v>326.19099999999997</v>
          </cell>
          <cell r="D2508">
            <v>36298732.119342998</v>
          </cell>
          <cell r="E2508">
            <v>2575621271</v>
          </cell>
          <cell r="F2508">
            <v>1.9043360627425426E-2</v>
          </cell>
          <cell r="G2508">
            <v>1.6216212899904034E-2</v>
          </cell>
        </row>
        <row r="2509">
          <cell r="B2509">
            <v>316.68799999999999</v>
          </cell>
          <cell r="D2509">
            <v>35943460.086276002</v>
          </cell>
          <cell r="E2509">
            <v>2745064817</v>
          </cell>
          <cell r="F2509">
            <v>-2.9566037292595333E-2</v>
          </cell>
          <cell r="G2509">
            <v>-8.7818258427533567E-3</v>
          </cell>
        </row>
        <row r="2510">
          <cell r="B2510">
            <v>315.613</v>
          </cell>
          <cell r="D2510">
            <v>49228171.021505997</v>
          </cell>
          <cell r="E2510">
            <v>4573690712</v>
          </cell>
          <cell r="F2510">
            <v>-3.4002825735062045E-3</v>
          </cell>
          <cell r="G2510">
            <v>-1.0341010906645293E-2</v>
          </cell>
        </row>
        <row r="2511">
          <cell r="B2511">
            <v>311.822</v>
          </cell>
          <cell r="D2511">
            <v>29061181.047166001</v>
          </cell>
          <cell r="E2511">
            <v>2468207427</v>
          </cell>
          <cell r="F2511">
            <v>-1.2084267320266982E-2</v>
          </cell>
          <cell r="G2511">
            <v>-1.1453373010201799E-2</v>
          </cell>
        </row>
        <row r="2512">
          <cell r="B2512">
            <v>319.01100000000002</v>
          </cell>
          <cell r="D2512">
            <v>25382244.426228002</v>
          </cell>
          <cell r="E2512">
            <v>2298114520</v>
          </cell>
          <cell r="F2512">
            <v>2.2793072764342493E-2</v>
          </cell>
          <cell r="G2512">
            <v>1.7621763861808751E-2</v>
          </cell>
        </row>
        <row r="2513">
          <cell r="B2513">
            <v>324.774</v>
          </cell>
          <cell r="D2513">
            <v>25475497.870278001</v>
          </cell>
          <cell r="E2513">
            <v>1874604891</v>
          </cell>
          <cell r="F2513">
            <v>1.7903970873377344E-2</v>
          </cell>
          <cell r="G2513">
            <v>1.0128711352276767E-2</v>
          </cell>
        </row>
        <row r="2514">
          <cell r="B2514">
            <v>326.23099999999999</v>
          </cell>
          <cell r="D2514">
            <v>20126637.209376</v>
          </cell>
          <cell r="E2514">
            <v>1617243125</v>
          </cell>
          <cell r="F2514">
            <v>4.4761635708126402E-3</v>
          </cell>
          <cell r="G2514">
            <v>6.2044168953242747E-3</v>
          </cell>
        </row>
        <row r="2515">
          <cell r="B2515">
            <v>333.79</v>
          </cell>
          <cell r="D2515">
            <v>20464354.858011</v>
          </cell>
          <cell r="E2515">
            <v>1503734418</v>
          </cell>
          <cell r="F2515">
            <v>2.2906333327126806E-2</v>
          </cell>
          <cell r="G2515">
            <v>1.3744072068897223E-2</v>
          </cell>
        </row>
        <row r="2516">
          <cell r="B2516">
            <v>332.62599999999998</v>
          </cell>
          <cell r="D2516">
            <v>16067647.039261</v>
          </cell>
          <cell r="E2516">
            <v>1432143549</v>
          </cell>
          <cell r="F2516">
            <v>-3.4933170383556699E-3</v>
          </cell>
          <cell r="G2516">
            <v>-1.0106980314378653E-3</v>
          </cell>
        </row>
        <row r="2517">
          <cell r="B2517">
            <v>333.30200000000002</v>
          </cell>
          <cell r="D2517">
            <v>15432068.979015</v>
          </cell>
          <cell r="E2517">
            <v>1365873126</v>
          </cell>
          <cell r="F2517">
            <v>2.0302502138408174E-3</v>
          </cell>
          <cell r="G2517">
            <v>1.4009215802245781E-3</v>
          </cell>
        </row>
        <row r="2518">
          <cell r="B2518">
            <v>330.74299999999999</v>
          </cell>
          <cell r="D2518">
            <v>16409287.958696</v>
          </cell>
          <cell r="E2518">
            <v>1353236996</v>
          </cell>
          <cell r="F2518">
            <v>-7.7073471458106108E-3</v>
          </cell>
          <cell r="G2518">
            <v>-2.9942175300769428E-3</v>
          </cell>
        </row>
        <row r="2519">
          <cell r="B2519">
            <v>327.822</v>
          </cell>
          <cell r="D2519">
            <v>18467647.54628</v>
          </cell>
          <cell r="E2519">
            <v>1339318824</v>
          </cell>
          <cell r="F2519">
            <v>-8.870860598300943E-3</v>
          </cell>
          <cell r="G2519">
            <v>-2.6296753415458013E-3</v>
          </cell>
        </row>
        <row r="2520">
          <cell r="B2520">
            <v>326.28800000000001</v>
          </cell>
          <cell r="D2520">
            <v>29668002.105783001</v>
          </cell>
          <cell r="E2520">
            <v>2241373299</v>
          </cell>
          <cell r="F2520">
            <v>-4.6903512016477104E-3</v>
          </cell>
          <cell r="G2520">
            <v>6.3538488355527438E-3</v>
          </cell>
        </row>
        <row r="2521">
          <cell r="B2521">
            <v>320.69200000000001</v>
          </cell>
          <cell r="D2521">
            <v>33521714.707509</v>
          </cell>
          <cell r="E2521">
            <v>2841121018</v>
          </cell>
          <cell r="F2521">
            <v>-1.7299265993892348E-2</v>
          </cell>
          <cell r="G2521">
            <v>-6.2981618540545298E-4</v>
          </cell>
        </row>
        <row r="2522">
          <cell r="B2522">
            <v>308.38600000000002</v>
          </cell>
          <cell r="D2522">
            <v>41093135.920054004</v>
          </cell>
          <cell r="E2522">
            <v>2810603586</v>
          </cell>
          <cell r="F2522">
            <v>-3.9128915887478168E-2</v>
          </cell>
          <cell r="G2522">
            <v>-1.9583272775802296E-2</v>
          </cell>
        </row>
        <row r="2523">
          <cell r="B2523">
            <v>305.94200000000001</v>
          </cell>
          <cell r="D2523">
            <v>40674370.786264002</v>
          </cell>
          <cell r="E2523">
            <v>2389339330</v>
          </cell>
          <cell r="F2523">
            <v>-7.956703565346928E-3</v>
          </cell>
          <cell r="G2523">
            <v>-9.6417552908581125E-4</v>
          </cell>
        </row>
        <row r="2524">
          <cell r="B2524">
            <v>306.10000000000002</v>
          </cell>
          <cell r="D2524">
            <v>33568611.717501998</v>
          </cell>
          <cell r="E2524">
            <v>2414328227</v>
          </cell>
          <cell r="F2524">
            <v>5.16304448093066E-4</v>
          </cell>
          <cell r="G2524">
            <v>-4.0584367372055773E-3</v>
          </cell>
        </row>
        <row r="2525">
          <cell r="B2525">
            <v>306.32400000000001</v>
          </cell>
          <cell r="D2525">
            <v>45438114.307575002</v>
          </cell>
          <cell r="E2525">
            <v>2668776356</v>
          </cell>
          <cell r="F2525">
            <v>7.3151937216333045E-4</v>
          </cell>
          <cell r="G2525">
            <v>-1.4421248375173315E-3</v>
          </cell>
        </row>
        <row r="2526">
          <cell r="B2526">
            <v>307.01799999999997</v>
          </cell>
          <cell r="D2526">
            <v>30148920.162457</v>
          </cell>
          <cell r="E2526">
            <v>2238558923</v>
          </cell>
          <cell r="F2526">
            <v>2.2630124667068967E-3</v>
          </cell>
          <cell r="G2526">
            <v>9.118332112991406E-3</v>
          </cell>
        </row>
        <row r="2527">
          <cell r="B2527">
            <v>310.221</v>
          </cell>
          <cell r="D2527">
            <v>35263660.252623998</v>
          </cell>
          <cell r="E2527">
            <v>2122392627</v>
          </cell>
          <cell r="F2527">
            <v>1.0378568919965143E-2</v>
          </cell>
          <cell r="G2527">
            <v>2.8137340560308905E-3</v>
          </cell>
        </row>
        <row r="2528">
          <cell r="B2528">
            <v>297.09300000000002</v>
          </cell>
          <cell r="D2528">
            <v>46542545.752494</v>
          </cell>
          <cell r="E2528">
            <v>2392404427</v>
          </cell>
          <cell r="F2528">
            <v>-4.3239725609749112E-2</v>
          </cell>
          <cell r="G2528">
            <v>-1.4345962458906215E-2</v>
          </cell>
        </row>
        <row r="2529">
          <cell r="B2529">
            <v>302.36</v>
          </cell>
          <cell r="D2529">
            <v>40879830.594267003</v>
          </cell>
          <cell r="E2529">
            <v>2522462949</v>
          </cell>
          <cell r="F2529">
            <v>1.7573139323522696E-2</v>
          </cell>
          <cell r="G2529">
            <v>8.1957721271400563E-4</v>
          </cell>
        </row>
        <row r="2530">
          <cell r="B2530">
            <v>295.00400000000002</v>
          </cell>
          <cell r="D2530">
            <v>43534640.987352997</v>
          </cell>
          <cell r="E2530">
            <v>2741096372</v>
          </cell>
          <cell r="F2530">
            <v>-2.4629444854048957E-2</v>
          </cell>
          <cell r="G2530">
            <v>-1.8559054584436702E-2</v>
          </cell>
        </row>
        <row r="2531">
          <cell r="B2531">
            <v>295.65699999999998</v>
          </cell>
          <cell r="D2531">
            <v>47125149.418751001</v>
          </cell>
          <cell r="E2531">
            <v>2494214499</v>
          </cell>
          <cell r="F2531">
            <v>2.2110830613056038E-3</v>
          </cell>
          <cell r="G2531">
            <v>-9.7367691046557382E-3</v>
          </cell>
        </row>
        <row r="2532">
          <cell r="B2532">
            <v>293.97899999999998</v>
          </cell>
          <cell r="D2532">
            <v>36298273.448853001</v>
          </cell>
          <cell r="E2532">
            <v>2556569239</v>
          </cell>
          <cell r="F2532">
            <v>-5.6916624151215891E-3</v>
          </cell>
          <cell r="G2532">
            <v>-1.1098789654240207E-2</v>
          </cell>
        </row>
        <row r="2533">
          <cell r="B2533">
            <v>288.54700000000003</v>
          </cell>
          <cell r="D2533">
            <v>59488228.551974997</v>
          </cell>
          <cell r="E2533">
            <v>3210070654</v>
          </cell>
          <cell r="F2533">
            <v>-1.8650351924827259E-2</v>
          </cell>
          <cell r="G2533">
            <v>-1.9095986358635349E-2</v>
          </cell>
        </row>
        <row r="2534">
          <cell r="B2534">
            <v>288.88</v>
          </cell>
          <cell r="D2534">
            <v>88266721.147340998</v>
          </cell>
          <cell r="E2534">
            <v>3888349334</v>
          </cell>
          <cell r="F2534">
            <v>1.1533926779183712E-3</v>
          </cell>
          <cell r="G2534">
            <v>2.7679180076168289E-3</v>
          </cell>
        </row>
        <row r="2535">
          <cell r="B2535">
            <v>281.19299999999998</v>
          </cell>
          <cell r="D2535">
            <v>74737967.820566997</v>
          </cell>
          <cell r="E2535">
            <v>3069079477</v>
          </cell>
          <cell r="F2535">
            <v>-2.6970110656903232E-2</v>
          </cell>
          <cell r="G2535">
            <v>-1.2246661962160472E-2</v>
          </cell>
        </row>
        <row r="2536">
          <cell r="B2536">
            <v>289.21199999999999</v>
          </cell>
          <cell r="D2536">
            <v>92774126.222224995</v>
          </cell>
          <cell r="E2536">
            <v>3239353450</v>
          </cell>
          <cell r="F2536">
            <v>2.8118716887401141E-2</v>
          </cell>
          <cell r="G2536">
            <v>-1.4977525030699156E-3</v>
          </cell>
        </row>
        <row r="2537">
          <cell r="B2537">
            <v>292.26</v>
          </cell>
          <cell r="D2537">
            <v>54868355.015715003</v>
          </cell>
          <cell r="E2537">
            <v>3070684348</v>
          </cell>
          <cell r="F2537">
            <v>1.0483833846805927E-2</v>
          </cell>
          <cell r="G2537">
            <v>-5.3985406179990411E-3</v>
          </cell>
        </row>
        <row r="2538">
          <cell r="B2538">
            <v>300.464</v>
          </cell>
          <cell r="D2538">
            <v>51033801.121320002</v>
          </cell>
          <cell r="E2538">
            <v>2926083817</v>
          </cell>
          <cell r="F2538">
            <v>2.7684129419344318E-2</v>
          </cell>
          <cell r="G2538">
            <v>2.4055891707799003E-2</v>
          </cell>
        </row>
        <row r="2539">
          <cell r="B2539">
            <v>303.12</v>
          </cell>
          <cell r="D2539">
            <v>47649075.000614002</v>
          </cell>
          <cell r="E2539">
            <v>2960132803</v>
          </cell>
          <cell r="F2539">
            <v>8.8008202444947638E-3</v>
          </cell>
          <cell r="G2539">
            <v>1.8709891511396817E-2</v>
          </cell>
        </row>
        <row r="2540">
          <cell r="B2540">
            <v>300.952</v>
          </cell>
          <cell r="D2540">
            <v>42012444.678885996</v>
          </cell>
          <cell r="E2540">
            <v>2725815746</v>
          </cell>
          <cell r="F2540">
            <v>-7.1779831164511991E-3</v>
          </cell>
          <cell r="G2540">
            <v>6.8395085033043351E-3</v>
          </cell>
        </row>
        <row r="2541">
          <cell r="B2541">
            <v>305.53199999999998</v>
          </cell>
          <cell r="D2541">
            <v>37586143.399152003</v>
          </cell>
          <cell r="E2541">
            <v>2906346124</v>
          </cell>
          <cell r="F2541">
            <v>1.5103735849755572E-2</v>
          </cell>
          <cell r="G2541">
            <v>9.3784345745179347E-3</v>
          </cell>
        </row>
        <row r="2542">
          <cell r="B2542">
            <v>293.63600000000002</v>
          </cell>
          <cell r="D2542">
            <v>44864108.665372998</v>
          </cell>
          <cell r="E2542">
            <v>2707325899</v>
          </cell>
          <cell r="F2542">
            <v>-3.9713614416177698E-2</v>
          </cell>
          <cell r="G2542">
            <v>-2.4693484168175839E-2</v>
          </cell>
        </row>
        <row r="2543">
          <cell r="B2543">
            <v>298.20699999999999</v>
          </cell>
          <cell r="D2543">
            <v>36006715.661209002</v>
          </cell>
          <cell r="E2543">
            <v>2661230208</v>
          </cell>
          <cell r="F2543">
            <v>1.5446971206055508E-2</v>
          </cell>
          <cell r="G2543">
            <v>5.1437130908578545E-3</v>
          </cell>
        </row>
        <row r="2544">
          <cell r="B2544">
            <v>293.34199999999998</v>
          </cell>
          <cell r="D2544">
            <v>29273296.696369</v>
          </cell>
          <cell r="E2544">
            <v>2380580575</v>
          </cell>
          <cell r="F2544">
            <v>-1.6448712411298055E-2</v>
          </cell>
          <cell r="G2544">
            <v>-3.7086548006097621E-3</v>
          </cell>
        </row>
        <row r="2545">
          <cell r="B2545">
            <v>296.86099999999999</v>
          </cell>
          <cell r="D2545">
            <v>33262031.447484002</v>
          </cell>
          <cell r="E2545">
            <v>2540145869</v>
          </cell>
          <cell r="F2545">
            <v>1.1924851959970726E-2</v>
          </cell>
          <cell r="G2545">
            <v>8.3661309627788387E-3</v>
          </cell>
        </row>
        <row r="2546">
          <cell r="B2546">
            <v>303.346</v>
          </cell>
          <cell r="D2546">
            <v>32096038.846519001</v>
          </cell>
          <cell r="E2546">
            <v>2435234286</v>
          </cell>
          <cell r="F2546">
            <v>2.1610052430492955E-2</v>
          </cell>
          <cell r="G2546">
            <v>1.4412812398356309E-2</v>
          </cell>
        </row>
        <row r="2547">
          <cell r="B2547">
            <v>294.74</v>
          </cell>
          <cell r="D2547">
            <v>46563290.353996001</v>
          </cell>
          <cell r="E2547">
            <v>2709241305</v>
          </cell>
          <cell r="F2547">
            <v>-2.8780456427576328E-2</v>
          </cell>
          <cell r="G2547">
            <v>-1.8281803510329601E-2</v>
          </cell>
        </row>
        <row r="2548">
          <cell r="B2548">
            <v>287.58</v>
          </cell>
          <cell r="D2548">
            <v>40191639.547807001</v>
          </cell>
          <cell r="E2548">
            <v>2891247534</v>
          </cell>
          <cell r="F2548">
            <v>-2.4592529385522088E-2</v>
          </cell>
          <cell r="G2548">
            <v>-1.9151696234065794E-2</v>
          </cell>
        </row>
        <row r="2549">
          <cell r="B2549">
            <v>287.54000000000002</v>
          </cell>
          <cell r="D2549">
            <v>37302471.058196001</v>
          </cell>
          <cell r="E2549">
            <v>2520881740</v>
          </cell>
          <cell r="F2549">
            <v>-1.3910140514835487E-4</v>
          </cell>
          <cell r="G2549">
            <v>-3.8479420653191741E-3</v>
          </cell>
        </row>
        <row r="2550">
          <cell r="B2550">
            <v>292.87299999999999</v>
          </cell>
          <cell r="D2550">
            <v>28089575.661899999</v>
          </cell>
          <cell r="E2550">
            <v>2348139435</v>
          </cell>
          <cell r="F2550">
            <v>1.8377086958297106E-2</v>
          </cell>
          <cell r="G2550">
            <v>1.5643739212372925E-2</v>
          </cell>
        </row>
        <row r="2551">
          <cell r="B2551">
            <v>292.53199999999998</v>
          </cell>
          <cell r="D2551">
            <v>30696236.915507</v>
          </cell>
          <cell r="E2551">
            <v>2334132066</v>
          </cell>
          <cell r="F2551">
            <v>-1.1650055553615074E-3</v>
          </cell>
          <cell r="G2551">
            <v>8.8083277921570239E-4</v>
          </cell>
        </row>
        <row r="2552">
          <cell r="B2552">
            <v>283.96699999999998</v>
          </cell>
          <cell r="D2552">
            <v>33234751.815313</v>
          </cell>
          <cell r="E2552">
            <v>2308231918</v>
          </cell>
          <cell r="F2552">
            <v>-2.9716028170690564E-2</v>
          </cell>
          <cell r="G2552">
            <v>-2.1400503004023481E-2</v>
          </cell>
        </row>
        <row r="2553">
          <cell r="B2553">
            <v>281.23200000000003</v>
          </cell>
          <cell r="D2553">
            <v>35080110.151073001</v>
          </cell>
          <cell r="E2553">
            <v>2569037287</v>
          </cell>
          <cell r="F2553">
            <v>-9.6780827561490663E-3</v>
          </cell>
          <cell r="G2553">
            <v>-7.192042117620436E-3</v>
          </cell>
        </row>
        <row r="2554">
          <cell r="B2554">
            <v>281.02300000000002</v>
          </cell>
          <cell r="D2554">
            <v>42730190.281244002</v>
          </cell>
          <cell r="E2554">
            <v>2734224673</v>
          </cell>
          <cell r="F2554">
            <v>-7.4343495256111729E-4</v>
          </cell>
          <cell r="G2554">
            <v>-1.0194654042815754E-2</v>
          </cell>
        </row>
        <row r="2555">
          <cell r="B2555">
            <v>273.75099999999998</v>
          </cell>
          <cell r="D2555">
            <v>38711755.592068002</v>
          </cell>
          <cell r="E2555">
            <v>2496800402</v>
          </cell>
          <cell r="F2555">
            <v>-2.6217582425906546E-2</v>
          </cell>
          <cell r="G2555">
            <v>-1.858379019433392E-2</v>
          </cell>
        </row>
        <row r="2556">
          <cell r="B2556">
            <v>287.73599999999999</v>
          </cell>
          <cell r="D2556">
            <v>58347069.681838997</v>
          </cell>
          <cell r="E2556">
            <v>3557984906</v>
          </cell>
          <cell r="F2556">
            <v>4.982445898138723E-2</v>
          </cell>
          <cell r="G2556">
            <v>1.4846059711535551E-2</v>
          </cell>
        </row>
        <row r="2557">
          <cell r="B2557">
            <v>290.39400000000001</v>
          </cell>
          <cell r="D2557">
            <v>33321920.708641</v>
          </cell>
          <cell r="E2557">
            <v>2692920879</v>
          </cell>
          <cell r="F2557">
            <v>9.1952285067093721E-3</v>
          </cell>
          <cell r="G2557">
            <v>2.2126148364756827E-2</v>
          </cell>
        </row>
        <row r="2558">
          <cell r="B2558">
            <v>291.83999999999997</v>
          </cell>
          <cell r="D2558">
            <v>35452215.800660998</v>
          </cell>
          <cell r="E2558">
            <v>3226746590</v>
          </cell>
          <cell r="F2558">
            <v>4.967085305794974E-3</v>
          </cell>
          <cell r="G2558">
            <v>-2.445600339325641E-3</v>
          </cell>
        </row>
        <row r="2559">
          <cell r="B2559">
            <v>288.08800000000002</v>
          </cell>
          <cell r="D2559">
            <v>31961324.866365999</v>
          </cell>
          <cell r="E2559">
            <v>3136231628</v>
          </cell>
          <cell r="F2559">
            <v>-1.2939717867056586E-2</v>
          </cell>
          <cell r="G2559">
            <v>-1.5594426756135317E-2</v>
          </cell>
        </row>
        <row r="2560">
          <cell r="B2560">
            <v>293.20499999999998</v>
          </cell>
          <cell r="D2560">
            <v>32632160.149096999</v>
          </cell>
          <cell r="E2560">
            <v>2867342109</v>
          </cell>
          <cell r="F2560">
            <v>1.7606034054184917E-2</v>
          </cell>
          <cell r="G2560">
            <v>1.8470983448989332E-2</v>
          </cell>
        </row>
        <row r="2561">
          <cell r="B2561">
            <v>289.03500000000003</v>
          </cell>
          <cell r="D2561">
            <v>27965046.623794001</v>
          </cell>
          <cell r="E2561">
            <v>2617737783</v>
          </cell>
          <cell r="F2561">
            <v>-1.4324235027119561E-2</v>
          </cell>
          <cell r="G2561">
            <v>-5.2685655519010824E-3</v>
          </cell>
        </row>
        <row r="2562">
          <cell r="B2562">
            <v>283.11599999999999</v>
          </cell>
          <cell r="D2562">
            <v>33140637.340273999</v>
          </cell>
          <cell r="E2562">
            <v>2992345589</v>
          </cell>
          <cell r="F2562">
            <v>-2.06910803933988E-2</v>
          </cell>
          <cell r="G2562">
            <v>-7.9656579014163158E-3</v>
          </cell>
        </row>
        <row r="2563">
          <cell r="B2563">
            <v>272.423</v>
          </cell>
          <cell r="D2563">
            <v>44185098.195445001</v>
          </cell>
          <cell r="E2563">
            <v>3509191905</v>
          </cell>
          <cell r="F2563">
            <v>-3.8500702286704776E-2</v>
          </cell>
          <cell r="G2563">
            <v>-2.9962522550535008E-2</v>
          </cell>
        </row>
        <row r="2564">
          <cell r="B2564">
            <v>269.43200000000002</v>
          </cell>
          <cell r="D2564">
            <v>49306540.198620997</v>
          </cell>
          <cell r="E2564">
            <v>3636375797</v>
          </cell>
          <cell r="F2564">
            <v>-1.1039965964103924E-2</v>
          </cell>
          <cell r="G2564">
            <v>-7.2601279980952522E-3</v>
          </cell>
        </row>
        <row r="2565">
          <cell r="B2565">
            <v>281.78899999999999</v>
          </cell>
          <cell r="D2565">
            <v>36042982.368299</v>
          </cell>
          <cell r="E2565">
            <v>3018723346</v>
          </cell>
          <cell r="F2565">
            <v>4.4842524524498058E-2</v>
          </cell>
          <cell r="G2565">
            <v>2.5373672345635229E-2</v>
          </cell>
        </row>
        <row r="2566">
          <cell r="B2566">
            <v>278.94600000000003</v>
          </cell>
          <cell r="D2566">
            <v>31357511.785206001</v>
          </cell>
          <cell r="E2566">
            <v>2583441996</v>
          </cell>
          <cell r="F2566">
            <v>-1.0140349224903191E-2</v>
          </cell>
          <cell r="G2566">
            <v>-4.3010818993905854E-3</v>
          </cell>
        </row>
        <row r="2567">
          <cell r="B2567">
            <v>273.553</v>
          </cell>
          <cell r="D2567">
            <v>27857403.416930001</v>
          </cell>
          <cell r="E2567">
            <v>2335196408</v>
          </cell>
          <cell r="F2567">
            <v>-1.9522827335195309E-2</v>
          </cell>
          <cell r="G2567">
            <v>-1.3046288284512193E-2</v>
          </cell>
        </row>
        <row r="2568">
          <cell r="B2568">
            <v>270.01</v>
          </cell>
          <cell r="D2568">
            <v>31391026.469354998</v>
          </cell>
          <cell r="E2568">
            <v>2714056407</v>
          </cell>
          <cell r="F2568">
            <v>-1.3036392016609713E-2</v>
          </cell>
          <cell r="G2568">
            <v>-7.4486283971046856E-3</v>
          </cell>
        </row>
        <row r="2569">
          <cell r="B2569">
            <v>280.47000000000003</v>
          </cell>
          <cell r="D2569">
            <v>35060736.441950001</v>
          </cell>
          <cell r="E2569">
            <v>2630767161</v>
          </cell>
          <cell r="F2569">
            <v>3.8007772021776555E-2</v>
          </cell>
          <cell r="G2569">
            <v>2.1182551140656723E-2</v>
          </cell>
        </row>
        <row r="2570">
          <cell r="B2570">
            <v>287.54000000000002</v>
          </cell>
          <cell r="D2570">
            <v>38727278.721472003</v>
          </cell>
          <cell r="E2570">
            <v>2922879968</v>
          </cell>
          <cell r="F2570">
            <v>2.4895213623112363E-2</v>
          </cell>
          <cell r="G2570">
            <v>2.2136998842954763E-2</v>
          </cell>
        </row>
        <row r="2571">
          <cell r="B2571">
            <v>288.35199999999998</v>
          </cell>
          <cell r="D2571">
            <v>31550625.371240001</v>
          </cell>
          <cell r="E2571">
            <v>2435098356</v>
          </cell>
          <cell r="F2571">
            <v>2.8199750581801701E-3</v>
          </cell>
          <cell r="G2571">
            <v>1.2272191404503483E-2</v>
          </cell>
        </row>
        <row r="2572">
          <cell r="B2572">
            <v>293.44099999999997</v>
          </cell>
          <cell r="D2572">
            <v>44424105.449773997</v>
          </cell>
          <cell r="E2572">
            <v>4234433858</v>
          </cell>
          <cell r="F2572">
            <v>1.749464086135688E-2</v>
          </cell>
          <cell r="G2572">
            <v>1.1594770446318643E-2</v>
          </cell>
        </row>
        <row r="2573">
          <cell r="B2573">
            <v>292.2</v>
          </cell>
          <cell r="D2573">
            <v>29026516.615338001</v>
          </cell>
          <cell r="E2573">
            <v>2479499718</v>
          </cell>
          <cell r="F2573">
            <v>-4.2380975973844437E-3</v>
          </cell>
          <cell r="G2573">
            <v>-4.3476799985616853E-4</v>
          </cell>
        </row>
        <row r="2574">
          <cell r="B2574">
            <v>296.98599999999999</v>
          </cell>
          <cell r="D2574">
            <v>28257060.010474</v>
          </cell>
          <cell r="E2574">
            <v>2341523848</v>
          </cell>
          <cell r="F2574">
            <v>1.6246500327929753E-2</v>
          </cell>
          <cell r="G2574">
            <v>1.1240769260246017E-2</v>
          </cell>
        </row>
        <row r="2575">
          <cell r="B2575">
            <v>292.52199999999999</v>
          </cell>
          <cell r="D2575">
            <v>26327867.356802002</v>
          </cell>
          <cell r="E2575">
            <v>2181298863</v>
          </cell>
          <cell r="F2575">
            <v>-1.5145122125810683E-2</v>
          </cell>
          <cell r="G2575">
            <v>-1.2348713151043481E-2</v>
          </cell>
        </row>
        <row r="2576">
          <cell r="B2576">
            <v>297.02499999999998</v>
          </cell>
          <cell r="D2576">
            <v>25067628.208268002</v>
          </cell>
          <cell r="E2576">
            <v>2076509992</v>
          </cell>
          <cell r="F2576">
            <v>1.5276432825632841E-2</v>
          </cell>
          <cell r="G2576">
            <v>1.4242030309045384E-2</v>
          </cell>
        </row>
        <row r="2577">
          <cell r="B2577">
            <v>296.613</v>
          </cell>
          <cell r="D2577">
            <v>23103942.100382999</v>
          </cell>
          <cell r="E2577">
            <v>1997323727</v>
          </cell>
          <cell r="F2577">
            <v>-1.3880515268549932E-3</v>
          </cell>
          <cell r="G2577">
            <v>5.0534023741785035E-3</v>
          </cell>
        </row>
        <row r="2578">
          <cell r="B2578">
            <v>303.47199999999998</v>
          </cell>
          <cell r="D2578">
            <v>30282683.015634</v>
          </cell>
          <cell r="E2578">
            <v>2017538125</v>
          </cell>
          <cell r="F2578">
            <v>2.2861090424470369E-2</v>
          </cell>
          <cell r="G2578">
            <v>7.1195596488213336E-3</v>
          </cell>
        </row>
        <row r="2579">
          <cell r="B2579">
            <v>308.07299999999998</v>
          </cell>
          <cell r="D2579">
            <v>31117314.854290999</v>
          </cell>
          <cell r="E2579">
            <v>2449168296</v>
          </cell>
          <cell r="F2579">
            <v>1.5047418635480125E-2</v>
          </cell>
          <cell r="G2579">
            <v>1.2182027285255538E-2</v>
          </cell>
        </row>
        <row r="2580">
          <cell r="B2580">
            <v>306.55900000000003</v>
          </cell>
          <cell r="D2580">
            <v>28834356.203915998</v>
          </cell>
          <cell r="E2580">
            <v>2080196324</v>
          </cell>
          <cell r="F2580">
            <v>-4.9265351044465522E-3</v>
          </cell>
          <cell r="G2580">
            <v>-6.313610350948985E-3</v>
          </cell>
        </row>
        <row r="2581">
          <cell r="B2581">
            <v>301.13600000000002</v>
          </cell>
          <cell r="D2581">
            <v>34218118.822437003</v>
          </cell>
          <cell r="E2581">
            <v>2644203200</v>
          </cell>
          <cell r="F2581">
            <v>-1.7848242824791801E-2</v>
          </cell>
          <cell r="G2581">
            <v>-1.577632727939729E-2</v>
          </cell>
        </row>
        <row r="2582">
          <cell r="B2582">
            <v>302.22199999999998</v>
          </cell>
          <cell r="D2582">
            <v>27756249.168919999</v>
          </cell>
          <cell r="E2582">
            <v>2324492158</v>
          </cell>
          <cell r="F2582">
            <v>3.5998567112273008E-3</v>
          </cell>
          <cell r="G2582">
            <v>3.4044855260572872E-3</v>
          </cell>
        </row>
        <row r="2583">
          <cell r="B2583">
            <v>307.642</v>
          </cell>
          <cell r="D2583">
            <v>24915501.130573001</v>
          </cell>
          <cell r="E2583">
            <v>2280384041</v>
          </cell>
          <cell r="F2583">
            <v>1.7774922613473212E-2</v>
          </cell>
          <cell r="G2583">
            <v>8.0583226226329796E-3</v>
          </cell>
        </row>
        <row r="2584">
          <cell r="B2584">
            <v>303.64699999999999</v>
          </cell>
          <cell r="D2584">
            <v>23708267.090571001</v>
          </cell>
          <cell r="E2584">
            <v>2420827941</v>
          </cell>
          <cell r="F2584">
            <v>-1.3070926773947621E-2</v>
          </cell>
          <cell r="G2584">
            <v>-1.2631155137050305E-2</v>
          </cell>
        </row>
        <row r="2585">
          <cell r="B2585">
            <v>292.53199999999998</v>
          </cell>
          <cell r="D2585">
            <v>41065723.191535003</v>
          </cell>
          <cell r="E2585">
            <v>2718023074</v>
          </cell>
          <cell r="F2585">
            <v>-3.7291780101579013E-2</v>
          </cell>
          <cell r="G2585">
            <v>-9.7643862227005471E-3</v>
          </cell>
        </row>
        <row r="2586">
          <cell r="B2586">
            <v>294.35899999999998</v>
          </cell>
          <cell r="D2586">
            <v>32159307.731088001</v>
          </cell>
          <cell r="E2586">
            <v>2598710105</v>
          </cell>
          <cell r="F2586">
            <v>6.2260484545387726E-3</v>
          </cell>
          <cell r="G2586">
            <v>4.2443524395117957E-3</v>
          </cell>
        </row>
        <row r="2587">
          <cell r="B2587">
            <v>290.06099999999998</v>
          </cell>
          <cell r="D2587">
            <v>24942170.567182999</v>
          </cell>
          <cell r="E2587">
            <v>2247337166</v>
          </cell>
          <cell r="F2587">
            <v>-1.4708865163186733E-2</v>
          </cell>
          <cell r="G2587">
            <v>-2.6545074879774648E-3</v>
          </cell>
        </row>
        <row r="2588">
          <cell r="B2588">
            <v>278.62299999999999</v>
          </cell>
          <cell r="D2588">
            <v>35392636.756375998</v>
          </cell>
          <cell r="E2588">
            <v>2333774550</v>
          </cell>
          <cell r="F2588">
            <v>-4.0231632115238482E-2</v>
          </cell>
          <cell r="G2588">
            <v>-1.7021333762949849E-2</v>
          </cell>
        </row>
        <row r="2589">
          <cell r="B2589">
            <v>275.49900000000002</v>
          </cell>
          <cell r="D2589">
            <v>31704288.176022999</v>
          </cell>
          <cell r="E2589">
            <v>2167088424</v>
          </cell>
          <cell r="F2589">
            <v>-1.1275614751179552E-2</v>
          </cell>
          <cell r="G2589">
            <v>-3.4233936348681705E-3</v>
          </cell>
        </row>
        <row r="2590">
          <cell r="B2590">
            <v>280.93099999999998</v>
          </cell>
          <cell r="D2590">
            <v>22428962.402150001</v>
          </cell>
          <cell r="E2590">
            <v>2103002387</v>
          </cell>
          <cell r="F2590">
            <v>1.9525088757275245E-2</v>
          </cell>
          <cell r="G2590">
            <v>1.1112682823133003E-2</v>
          </cell>
        </row>
        <row r="2591">
          <cell r="B2591">
            <v>273.32100000000003</v>
          </cell>
          <cell r="D2591">
            <v>28893790.889855001</v>
          </cell>
          <cell r="E2591">
            <v>2438692580</v>
          </cell>
          <cell r="F2591">
            <v>-2.7462158958647731E-2</v>
          </cell>
          <cell r="G2591">
            <v>-1.2218479951525796E-2</v>
          </cell>
        </row>
        <row r="2592">
          <cell r="B2592">
            <v>273.99299999999999</v>
          </cell>
          <cell r="D2592">
            <v>21272891.621991001</v>
          </cell>
          <cell r="E2592">
            <v>2049261518</v>
          </cell>
          <cell r="F2592">
            <v>2.4556299955293013E-3</v>
          </cell>
          <cell r="G2592">
            <v>-2.0491150171664794E-4</v>
          </cell>
        </row>
        <row r="2593">
          <cell r="B2593">
            <v>278.66199999999998</v>
          </cell>
          <cell r="D2593">
            <v>22828808.402035002</v>
          </cell>
          <cell r="E2593">
            <v>2246729830</v>
          </cell>
          <cell r="F2593">
            <v>1.6897019248412672E-2</v>
          </cell>
          <cell r="G2593">
            <v>1.5930040161497565E-2</v>
          </cell>
        </row>
        <row r="2594">
          <cell r="B2594">
            <v>279.69900000000001</v>
          </cell>
          <cell r="D2594">
            <v>23452259.337377001</v>
          </cell>
          <cell r="E2594">
            <v>2382044298</v>
          </cell>
          <cell r="F2594">
            <v>3.7144470774307103E-3</v>
          </cell>
          <cell r="G2594">
            <v>-6.1871895769334236E-4</v>
          </cell>
        </row>
        <row r="2595">
          <cell r="B2595">
            <v>274.27600000000001</v>
          </cell>
          <cell r="D2595">
            <v>30156138.079771999</v>
          </cell>
          <cell r="E2595">
            <v>2634157914</v>
          </cell>
          <cell r="F2595">
            <v>-1.9579126269654235E-2</v>
          </cell>
          <cell r="G2595">
            <v>-1.4862847316476122E-2</v>
          </cell>
        </row>
        <row r="2596">
          <cell r="B2596">
            <v>267.654</v>
          </cell>
          <cell r="D2596">
            <v>30106187.020509001</v>
          </cell>
          <cell r="E2596">
            <v>2515855752</v>
          </cell>
          <cell r="F2596">
            <v>-2.44397970542303E-2</v>
          </cell>
          <cell r="G2596">
            <v>-2.813199052103028E-2</v>
          </cell>
        </row>
        <row r="2597">
          <cell r="B2597">
            <v>274.19099999999997</v>
          </cell>
          <cell r="D2597">
            <v>36528652.988403</v>
          </cell>
          <cell r="E2597">
            <v>2846155944</v>
          </cell>
          <cell r="F2597">
            <v>2.4129842213991805E-2</v>
          </cell>
          <cell r="G2597">
            <v>5.6816875728607956E-3</v>
          </cell>
        </row>
        <row r="2598">
          <cell r="B2598">
            <v>263.93299999999999</v>
          </cell>
          <cell r="D2598">
            <v>47626424.049884997</v>
          </cell>
          <cell r="E2598">
            <v>2644480439</v>
          </cell>
          <cell r="F2598">
            <v>-3.8129660774488996E-2</v>
          </cell>
          <cell r="G2598">
            <v>-2.8550028430273121E-2</v>
          </cell>
        </row>
        <row r="2599">
          <cell r="B2599">
            <v>276.63099999999997</v>
          </cell>
          <cell r="D2599">
            <v>64989609.436705001</v>
          </cell>
          <cell r="E2599">
            <v>2645379293</v>
          </cell>
          <cell r="F2599">
            <v>4.6989205091610073E-2</v>
          </cell>
          <cell r="G2599">
            <v>2.0959051404105173E-3</v>
          </cell>
        </row>
        <row r="2600">
          <cell r="B2600">
            <v>282.89299999999997</v>
          </cell>
          <cell r="D2600">
            <v>34447965.976595998</v>
          </cell>
          <cell r="E2600">
            <v>2765340120</v>
          </cell>
          <cell r="F2600">
            <v>2.2384246126147377E-2</v>
          </cell>
          <cell r="G2600">
            <v>2.444564600458133E-2</v>
          </cell>
        </row>
        <row r="2601">
          <cell r="B2601">
            <v>271.065</v>
          </cell>
          <cell r="D2601">
            <v>37956951.871257998</v>
          </cell>
          <cell r="E2601">
            <v>2846133680</v>
          </cell>
          <cell r="F2601">
            <v>-4.2710089757455209E-2</v>
          </cell>
          <cell r="G2601">
            <v>-3.6959202326858717E-2</v>
          </cell>
        </row>
        <row r="2602">
          <cell r="B2602">
            <v>277.85199999999998</v>
          </cell>
          <cell r="D2602">
            <v>35988336.07942</v>
          </cell>
          <cell r="E2602">
            <v>2741101346</v>
          </cell>
          <cell r="F2602">
            <v>2.4729953310273257E-2</v>
          </cell>
          <cell r="G2602">
            <v>5.6592700373755203E-3</v>
          </cell>
        </row>
        <row r="2603">
          <cell r="B2603">
            <v>275.22500000000002</v>
          </cell>
          <cell r="D2603">
            <v>26597364.936735</v>
          </cell>
          <cell r="E2603">
            <v>2504555235</v>
          </cell>
          <cell r="F2603">
            <v>-9.4996528720434764E-3</v>
          </cell>
          <cell r="G2603">
            <v>4.8254415515728731E-3</v>
          </cell>
        </row>
        <row r="2604">
          <cell r="B2604">
            <v>283.23399999999998</v>
          </cell>
          <cell r="D2604">
            <v>34399590.573325999</v>
          </cell>
          <cell r="E2604">
            <v>2875234248</v>
          </cell>
          <cell r="F2604">
            <v>2.8684466154068246E-2</v>
          </cell>
          <cell r="G2604">
            <v>2.9425235047606604E-2</v>
          </cell>
        </row>
        <row r="2605">
          <cell r="B2605">
            <v>270.899</v>
          </cell>
          <cell r="D2605">
            <v>44290764.409639001</v>
          </cell>
          <cell r="E2605">
            <v>2869945993</v>
          </cell>
          <cell r="F2605">
            <v>-4.4527353425339283E-2</v>
          </cell>
          <cell r="G2605">
            <v>-3.6300723991250602E-2</v>
          </cell>
        </row>
        <row r="2606">
          <cell r="B2606">
            <v>268.33800000000002</v>
          </cell>
          <cell r="D2606">
            <v>38680175.924048997</v>
          </cell>
          <cell r="E2606">
            <v>2737777030</v>
          </cell>
          <cell r="F2606">
            <v>-9.4986777816213393E-3</v>
          </cell>
          <cell r="G2606">
            <v>-5.6903182606495763E-3</v>
          </cell>
        </row>
        <row r="2607">
          <cell r="B2607">
            <v>258.42500000000001</v>
          </cell>
          <cell r="D2607">
            <v>48862691.522395</v>
          </cell>
          <cell r="E2607">
            <v>3077820809</v>
          </cell>
          <cell r="F2607">
            <v>-3.7641863449026133E-2</v>
          </cell>
          <cell r="G2607">
            <v>-3.2561554986877753E-2</v>
          </cell>
        </row>
        <row r="2608">
          <cell r="B2608">
            <v>263.23</v>
          </cell>
          <cell r="D2608">
            <v>40273341.252704002</v>
          </cell>
          <cell r="E2608">
            <v>2915264940</v>
          </cell>
          <cell r="F2608">
            <v>1.8422658264104008E-2</v>
          </cell>
          <cell r="G2608">
            <v>2.4548671098168664E-3</v>
          </cell>
        </row>
        <row r="2609">
          <cell r="B2609">
            <v>254.489</v>
          </cell>
          <cell r="D2609">
            <v>50142408.809492998</v>
          </cell>
          <cell r="E2609">
            <v>2767622340</v>
          </cell>
          <cell r="F2609">
            <v>-3.377056166610206E-2</v>
          </cell>
          <cell r="G2609">
            <v>-1.6600202520523653E-2</v>
          </cell>
        </row>
        <row r="2610">
          <cell r="B2610">
            <v>249.41</v>
          </cell>
          <cell r="D2610">
            <v>52249328.087598003</v>
          </cell>
          <cell r="E2610">
            <v>3137341972</v>
          </cell>
          <cell r="F2610">
            <v>-2.0159484379492432E-2</v>
          </cell>
          <cell r="G2610">
            <v>-1.2968422441889949E-3</v>
          </cell>
        </row>
        <row r="2611">
          <cell r="B2611">
            <v>255.04300000000001</v>
          </cell>
          <cell r="D2611">
            <v>35756940.912357002</v>
          </cell>
          <cell r="E2611">
            <v>2540467772</v>
          </cell>
          <cell r="F2611">
            <v>2.2334029720338031E-2</v>
          </cell>
          <cell r="G2611">
            <v>2.3589314531626496E-2</v>
          </cell>
        </row>
        <row r="2612">
          <cell r="B2612">
            <v>255.416</v>
          </cell>
          <cell r="D2612">
            <v>33326233.030304</v>
          </cell>
          <cell r="E2612">
            <v>2214046548</v>
          </cell>
          <cell r="F2612">
            <v>1.4614300713165977E-3</v>
          </cell>
          <cell r="G2612">
            <v>-3.9542376502765091E-3</v>
          </cell>
        </row>
        <row r="2613">
          <cell r="B2613">
            <v>260.61099999999999</v>
          </cell>
          <cell r="D2613">
            <v>29515445.024503998</v>
          </cell>
          <cell r="E2613">
            <v>2462826212</v>
          </cell>
          <cell r="F2613">
            <v>2.0135285619163303E-2</v>
          </cell>
          <cell r="G2613">
            <v>1.9968898134440815E-2</v>
          </cell>
        </row>
        <row r="2614">
          <cell r="B2614">
            <v>248.74600000000001</v>
          </cell>
          <cell r="D2614">
            <v>32028227.515965998</v>
          </cell>
          <cell r="E2614">
            <v>2719641498</v>
          </cell>
          <cell r="F2614">
            <v>-4.6596578576474715E-2</v>
          </cell>
          <cell r="G2614">
            <v>-4.1233767985439373E-2</v>
          </cell>
        </row>
        <row r="2615">
          <cell r="B2615">
            <v>247.82599999999999</v>
          </cell>
          <cell r="D2615">
            <v>33393177.539313</v>
          </cell>
          <cell r="E2615">
            <v>2774587225</v>
          </cell>
          <cell r="F2615">
            <v>-3.7054084911637931E-3</v>
          </cell>
          <cell r="G2615">
            <v>-5.8508922136055116E-3</v>
          </cell>
        </row>
        <row r="2616">
          <cell r="B2616">
            <v>247.25800000000001</v>
          </cell>
          <cell r="D2616">
            <v>40039674.284633003</v>
          </cell>
          <cell r="E2616">
            <v>3004732400</v>
          </cell>
          <cell r="F2616">
            <v>-2.2945611217913618E-3</v>
          </cell>
          <cell r="G2616">
            <v>1.4611357151915558E-4</v>
          </cell>
        </row>
        <row r="2617">
          <cell r="B2617">
            <v>255.179</v>
          </cell>
          <cell r="D2617">
            <v>33886627.594075002</v>
          </cell>
          <cell r="E2617">
            <v>2406253177</v>
          </cell>
          <cell r="F2617">
            <v>3.1532933789058651E-2</v>
          </cell>
          <cell r="G2617">
            <v>1.8385022946529016E-2</v>
          </cell>
        </row>
        <row r="2618">
          <cell r="B2618">
            <v>254.17099999999999</v>
          </cell>
          <cell r="D2618">
            <v>29666577.696853999</v>
          </cell>
          <cell r="E2618">
            <v>2437966527</v>
          </cell>
          <cell r="F2618">
            <v>-3.9579908350554065E-3</v>
          </cell>
          <cell r="G2618">
            <v>-8.1539459482493481E-3</v>
          </cell>
        </row>
        <row r="2619">
          <cell r="B2619">
            <v>257.01100000000002</v>
          </cell>
          <cell r="D2619">
            <v>29159987.850159001</v>
          </cell>
          <cell r="E2619">
            <v>2334313273</v>
          </cell>
          <cell r="F2619">
            <v>1.1111616687230421E-2</v>
          </cell>
          <cell r="G2619">
            <v>9.4063856025386056E-3</v>
          </cell>
        </row>
        <row r="2620">
          <cell r="B2620">
            <v>260.32</v>
          </cell>
          <cell r="D2620">
            <v>25538126.367839001</v>
          </cell>
          <cell r="E2620">
            <v>2400529721</v>
          </cell>
          <cell r="F2620">
            <v>1.2792757935047895E-2</v>
          </cell>
          <cell r="G2620">
            <v>1.9688139439344957E-2</v>
          </cell>
        </row>
        <row r="2621">
          <cell r="B2621">
            <v>267.50599999999997</v>
          </cell>
          <cell r="D2621">
            <v>27487748.103147</v>
          </cell>
          <cell r="E2621">
            <v>2163529907</v>
          </cell>
          <cell r="F2621">
            <v>2.7230352520329022E-2</v>
          </cell>
          <cell r="G2621">
            <v>2.4441095491293145E-2</v>
          </cell>
        </row>
        <row r="2622">
          <cell r="B2622">
            <v>266.16300000000001</v>
          </cell>
          <cell r="D2622">
            <v>38638684.827302001</v>
          </cell>
          <cell r="E2622">
            <v>3805436157</v>
          </cell>
          <cell r="F2622">
            <v>-5.0330929286674314E-3</v>
          </cell>
          <cell r="G2622">
            <v>-6.2940551963996914E-3</v>
          </cell>
        </row>
        <row r="2623">
          <cell r="B2623">
            <v>266.702</v>
          </cell>
          <cell r="D2623">
            <v>25834414.171502002</v>
          </cell>
          <cell r="E2623">
            <v>2172170316</v>
          </cell>
          <cell r="F2623">
            <v>2.0230271600786957E-3</v>
          </cell>
          <cell r="G2623">
            <v>-7.5109239121430331E-3</v>
          </cell>
        </row>
        <row r="2624">
          <cell r="B2624">
            <v>268.815</v>
          </cell>
          <cell r="D2624">
            <v>44951703.173165001</v>
          </cell>
          <cell r="E2624">
            <v>2072172553</v>
          </cell>
          <cell r="F2624">
            <v>7.8914804409938172E-3</v>
          </cell>
          <cell r="G2624">
            <v>1.8263262738202751E-2</v>
          </cell>
        </row>
        <row r="2625">
          <cell r="B2625">
            <v>264.35199999999998</v>
          </cell>
          <cell r="D2625">
            <v>28660515.390760999</v>
          </cell>
          <cell r="E2625">
            <v>1878566492</v>
          </cell>
          <cell r="F2625">
            <v>-1.6741862283366927E-2</v>
          </cell>
          <cell r="G2625">
            <v>-1.6482457202400495E-2</v>
          </cell>
        </row>
        <row r="2626">
          <cell r="B2626">
            <v>263.11</v>
          </cell>
          <cell r="D2626">
            <v>22880584.041976999</v>
          </cell>
          <cell r="E2626">
            <v>1919014089</v>
          </cell>
          <cell r="F2626">
            <v>-4.7093526943075151E-3</v>
          </cell>
          <cell r="G2626">
            <v>3.1324562641237242E-3</v>
          </cell>
        </row>
        <row r="2627">
          <cell r="B2627">
            <v>266.78100000000001</v>
          </cell>
          <cell r="D2627">
            <v>23350788.186849002</v>
          </cell>
          <cell r="E2627">
            <v>1973745637</v>
          </cell>
          <cell r="F2627">
            <v>1.3855901427012568E-2</v>
          </cell>
          <cell r="G2627">
            <v>9.4783319340661174E-3</v>
          </cell>
        </row>
        <row r="2628">
          <cell r="B2628">
            <v>264.73599999999999</v>
          </cell>
          <cell r="D2628">
            <v>17744787.479421999</v>
          </cell>
          <cell r="E2628">
            <v>1875032906</v>
          </cell>
          <cell r="F2628">
            <v>-7.6949941050274738E-3</v>
          </cell>
          <cell r="G2628">
            <v>-1.0852585537420805E-2</v>
          </cell>
        </row>
        <row r="2629">
          <cell r="B2629">
            <v>259.233</v>
          </cell>
          <cell r="D2629">
            <v>27006570.638564002</v>
          </cell>
          <cell r="E2629">
            <v>2040178588</v>
          </cell>
          <cell r="F2629">
            <v>-2.1005831818681098E-2</v>
          </cell>
          <cell r="G2629">
            <v>-2.4086469933734811E-2</v>
          </cell>
        </row>
        <row r="2630">
          <cell r="B2630">
            <v>247.68100000000001</v>
          </cell>
          <cell r="D2630">
            <v>32120009.943202998</v>
          </cell>
          <cell r="E2630">
            <v>2475868478</v>
          </cell>
          <cell r="F2630">
            <v>-4.5585643328179173E-2</v>
          </cell>
          <cell r="G2630">
            <v>-2.954242533536117E-2</v>
          </cell>
        </row>
        <row r="2631">
          <cell r="B2631">
            <v>237.17599999999999</v>
          </cell>
          <cell r="D2631">
            <v>47124895.444757</v>
          </cell>
          <cell r="E2631">
            <v>3067433318</v>
          </cell>
          <cell r="F2631">
            <v>-4.3339146294876188E-2</v>
          </cell>
          <cell r="G2631">
            <v>-3.9539873198958186E-2</v>
          </cell>
        </row>
        <row r="2632">
          <cell r="B2632">
            <v>239.35900000000001</v>
          </cell>
          <cell r="D2632">
            <v>29265747.649349</v>
          </cell>
          <cell r="E2632">
            <v>2639249798</v>
          </cell>
          <cell r="F2632">
            <v>9.1620354038627755E-3</v>
          </cell>
          <cell r="G2632">
            <v>-3.7808440639954524E-3</v>
          </cell>
        </row>
        <row r="2633">
          <cell r="B2633">
            <v>246.477</v>
          </cell>
          <cell r="D2633">
            <v>33821612.998571999</v>
          </cell>
          <cell r="E2633">
            <v>2761970436</v>
          </cell>
          <cell r="F2633">
            <v>2.9304165871511068E-2</v>
          </cell>
          <cell r="G2633">
            <v>1.4487056184644877E-2</v>
          </cell>
        </row>
        <row r="2634">
          <cell r="B2634">
            <v>239.82900000000001</v>
          </cell>
          <cell r="D2634">
            <v>33880275.264625996</v>
          </cell>
          <cell r="E2634">
            <v>3079954729</v>
          </cell>
          <cell r="F2634">
            <v>-2.7342513448176311E-2</v>
          </cell>
          <cell r="G2634">
            <v>-3.3052215017083934E-2</v>
          </cell>
        </row>
        <row r="2635">
          <cell r="B2635">
            <v>242.452</v>
          </cell>
          <cell r="D2635">
            <v>44008476.733081996</v>
          </cell>
          <cell r="E2635">
            <v>4667721829</v>
          </cell>
          <cell r="F2635">
            <v>1.0877583247634486E-2</v>
          </cell>
          <cell r="G2635">
            <v>2.1984287507105164E-3</v>
          </cell>
        </row>
        <row r="2636">
          <cell r="B2636">
            <v>248.41399999999999</v>
          </cell>
          <cell r="D2636">
            <v>30569931.242199</v>
          </cell>
          <cell r="E2636">
            <v>2677535781</v>
          </cell>
          <cell r="F2636">
            <v>2.4292956538785097E-2</v>
          </cell>
          <cell r="G2636">
            <v>2.4182488501784571E-2</v>
          </cell>
        </row>
        <row r="2637">
          <cell r="B2637">
            <v>247.816</v>
          </cell>
          <cell r="D2637">
            <v>26517798.77465</v>
          </cell>
          <cell r="E2637">
            <v>2479596731</v>
          </cell>
          <cell r="F2637">
            <v>-2.4101738688862614E-3</v>
          </cell>
          <cell r="G2637">
            <v>-1.3023811491289687E-3</v>
          </cell>
        </row>
        <row r="2638">
          <cell r="B2638">
            <v>253.42699999999999</v>
          </cell>
          <cell r="D2638">
            <v>26415893.886432</v>
          </cell>
          <cell r="E2638">
            <v>2511277193</v>
          </cell>
          <cell r="F2638">
            <v>2.2389277807782867E-2</v>
          </cell>
          <cell r="G2638">
            <v>9.4870490606574001E-3</v>
          </cell>
        </row>
        <row r="2639">
          <cell r="B2639">
            <v>262.08</v>
          </cell>
          <cell r="D2639">
            <v>34650512.830155998</v>
          </cell>
          <cell r="E2639">
            <v>3476679518</v>
          </cell>
          <cell r="F2639">
            <v>3.357398754615485E-2</v>
          </cell>
          <cell r="G2639">
            <v>3.0105537080807647E-2</v>
          </cell>
        </row>
        <row r="2640">
          <cell r="B2640">
            <v>259.33</v>
          </cell>
          <cell r="D2640">
            <v>25142838.648616999</v>
          </cell>
          <cell r="E2640">
            <v>2125082913</v>
          </cell>
          <cell r="F2640">
            <v>-1.0548418707466232E-2</v>
          </cell>
          <cell r="G2640">
            <v>-2.9775299301252065E-3</v>
          </cell>
        </row>
        <row r="2641">
          <cell r="B2641">
            <v>251.09700000000001</v>
          </cell>
          <cell r="D2641">
            <v>27967253.472004</v>
          </cell>
          <cell r="E2641">
            <v>2247996957</v>
          </cell>
          <cell r="F2641">
            <v>-3.2262063296372295E-2</v>
          </cell>
          <cell r="G2641">
            <v>-2.0348658383248716E-2</v>
          </cell>
        </row>
        <row r="2642">
          <cell r="B2642">
            <v>254.797</v>
          </cell>
          <cell r="D2642">
            <v>20500117.272693999</v>
          </cell>
          <cell r="E2642">
            <v>2113449461</v>
          </cell>
          <cell r="F2642">
            <v>1.4627831027483475E-2</v>
          </cell>
          <cell r="G2642">
            <v>-7.1200650096186937E-4</v>
          </cell>
        </row>
        <row r="2643">
          <cell r="B2643">
            <v>251.44</v>
          </cell>
          <cell r="D2643">
            <v>32411147.651177</v>
          </cell>
          <cell r="E2643">
            <v>2685491463</v>
          </cell>
          <cell r="F2643">
            <v>-1.3262757199037361E-2</v>
          </cell>
          <cell r="G2643">
            <v>-8.7978148306084494E-3</v>
          </cell>
        </row>
        <row r="2644">
          <cell r="B2644">
            <v>254.131</v>
          </cell>
          <cell r="D2644">
            <v>23327310.410296001</v>
          </cell>
          <cell r="E2644">
            <v>2192501778</v>
          </cell>
          <cell r="F2644">
            <v>1.0645489608415762E-2</v>
          </cell>
          <cell r="G2644">
            <v>1.0498459915641863E-2</v>
          </cell>
        </row>
        <row r="2645">
          <cell r="B2645">
            <v>257.33300000000003</v>
          </cell>
          <cell r="D2645">
            <v>23464123.999469999</v>
          </cell>
          <cell r="E2645">
            <v>2506625598</v>
          </cell>
          <cell r="F2645">
            <v>1.2521083921312173E-2</v>
          </cell>
          <cell r="G2645">
            <v>1.5829235665797978E-3</v>
          </cell>
        </row>
        <row r="2646">
          <cell r="B2646">
            <v>260.62099999999998</v>
          </cell>
          <cell r="D2646">
            <v>24335191.899335999</v>
          </cell>
          <cell r="E2646">
            <v>2201176371</v>
          </cell>
          <cell r="F2646">
            <v>1.2696278694425632E-2</v>
          </cell>
          <cell r="G2646">
            <v>3.5667473495814678E-3</v>
          </cell>
        </row>
        <row r="2647">
          <cell r="B2647">
            <v>262.76499999999999</v>
          </cell>
          <cell r="D2647">
            <v>21307089.872200999</v>
          </cell>
          <cell r="E2647">
            <v>2085966400</v>
          </cell>
          <cell r="F2647">
            <v>8.1928519012641147E-3</v>
          </cell>
          <cell r="G2647">
            <v>1.4853713471199018E-2</v>
          </cell>
        </row>
        <row r="2648">
          <cell r="B2648">
            <v>262.04199999999997</v>
          </cell>
          <cell r="D2648">
            <v>20080215.936694</v>
          </cell>
          <cell r="E2648">
            <v>1777058171</v>
          </cell>
          <cell r="F2648">
            <v>-2.7553003576502371E-3</v>
          </cell>
          <cell r="G2648">
            <v>-8.3055631536842949E-4</v>
          </cell>
        </row>
        <row r="2649">
          <cell r="B2649">
            <v>258.95699999999999</v>
          </cell>
          <cell r="D2649">
            <v>19937579.123498</v>
          </cell>
          <cell r="E2649">
            <v>1824655815</v>
          </cell>
          <cell r="F2649">
            <v>-1.1842771506936477E-2</v>
          </cell>
          <cell r="G2649">
            <v>-1.159442997810581E-2</v>
          </cell>
        </row>
        <row r="2650">
          <cell r="B2650">
            <v>248.345</v>
          </cell>
          <cell r="D2650">
            <v>36637435.476673998</v>
          </cell>
          <cell r="E2650">
            <v>2131307791</v>
          </cell>
          <cell r="F2650">
            <v>-4.1843116276440828E-2</v>
          </cell>
          <cell r="G2650">
            <v>-9.2868990190167582E-3</v>
          </cell>
        </row>
        <row r="2651">
          <cell r="B2651">
            <v>247.416</v>
          </cell>
          <cell r="D2651">
            <v>30129819.713165</v>
          </cell>
          <cell r="E2651">
            <v>2056282440</v>
          </cell>
          <cell r="F2651">
            <v>-3.7477780115090635E-3</v>
          </cell>
          <cell r="G2651">
            <v>-4.466859031662644E-3</v>
          </cell>
        </row>
        <row r="2652">
          <cell r="B2652">
            <v>248.74600000000001</v>
          </cell>
          <cell r="D2652">
            <v>25641003.666032001</v>
          </cell>
          <cell r="E2652">
            <v>2178874683</v>
          </cell>
          <cell r="F2652">
            <v>5.3611650452077162E-3</v>
          </cell>
          <cell r="G2652">
            <v>-3.0031001895847553E-3</v>
          </cell>
        </row>
        <row r="2653">
          <cell r="B2653">
            <v>251.33199999999999</v>
          </cell>
          <cell r="D2653">
            <v>30412377.333122998</v>
          </cell>
          <cell r="E2653">
            <v>2327434451</v>
          </cell>
          <cell r="F2653">
            <v>1.0342478778585689E-2</v>
          </cell>
          <cell r="G2653">
            <v>1.9019223492515371E-2</v>
          </cell>
        </row>
        <row r="2654">
          <cell r="B2654">
            <v>248.91300000000001</v>
          </cell>
          <cell r="D2654">
            <v>21424718.793148</v>
          </cell>
          <cell r="E2654">
            <v>2196942964</v>
          </cell>
          <cell r="F2654">
            <v>-9.6713364652003427E-3</v>
          </cell>
          <cell r="G2654">
            <v>-8.398790728860633E-3</v>
          </cell>
        </row>
        <row r="2655">
          <cell r="B2655">
            <v>254.08099999999999</v>
          </cell>
          <cell r="D2655">
            <v>25548807.555980999</v>
          </cell>
          <cell r="E2655">
            <v>2386374889</v>
          </cell>
          <cell r="F2655">
            <v>2.054967599850133E-2</v>
          </cell>
          <cell r="G2655">
            <v>2.7253558019802913E-2</v>
          </cell>
        </row>
        <row r="2656">
          <cell r="B2656">
            <v>256.76499999999999</v>
          </cell>
          <cell r="D2656">
            <v>23276841.106858</v>
          </cell>
          <cell r="E2656">
            <v>2346363953</v>
          </cell>
          <cell r="F2656">
            <v>1.0508155872914975E-2</v>
          </cell>
          <cell r="G2656">
            <v>5.8785037183350592E-3</v>
          </cell>
        </row>
        <row r="2657">
          <cell r="B2657">
            <v>259.28300000000002</v>
          </cell>
          <cell r="D2657">
            <v>22885009.937378</v>
          </cell>
          <cell r="E2657">
            <v>2498555021</v>
          </cell>
          <cell r="F2657">
            <v>9.7588595770827131E-3</v>
          </cell>
          <cell r="G2657">
            <v>9.8130542384489011E-3</v>
          </cell>
        </row>
        <row r="2658">
          <cell r="B2658">
            <v>254.89599999999999</v>
          </cell>
          <cell r="D2658">
            <v>22350404.060431998</v>
          </cell>
          <cell r="E2658">
            <v>2223130836</v>
          </cell>
          <cell r="F2658">
            <v>-1.7064510438746475E-2</v>
          </cell>
          <cell r="G2658">
            <v>-9.3762699234227094E-3</v>
          </cell>
        </row>
        <row r="2659">
          <cell r="B2659">
            <v>253.398</v>
          </cell>
          <cell r="D2659">
            <v>21507418.584353998</v>
          </cell>
          <cell r="E2659">
            <v>1945141683</v>
          </cell>
          <cell r="F2659">
            <v>-5.8942436344738749E-3</v>
          </cell>
          <cell r="G2659">
            <v>1.3142512363463167E-3</v>
          </cell>
        </row>
        <row r="2660">
          <cell r="B2660">
            <v>246.613</v>
          </cell>
          <cell r="D2660">
            <v>40191539.799640998</v>
          </cell>
          <cell r="E2660">
            <v>2144610066</v>
          </cell>
          <cell r="F2660">
            <v>-2.7141068904783596E-2</v>
          </cell>
          <cell r="G2660">
            <v>-1.161033289574997E-2</v>
          </cell>
        </row>
        <row r="2661">
          <cell r="B2661">
            <v>263.10000000000002</v>
          </cell>
          <cell r="D2661">
            <v>46980117.695313998</v>
          </cell>
          <cell r="E2661">
            <v>2459044831</v>
          </cell>
          <cell r="F2661">
            <v>6.4713881754965563E-2</v>
          </cell>
          <cell r="G2661">
            <v>2.5820034533563709E-2</v>
          </cell>
        </row>
        <row r="2662">
          <cell r="B2662">
            <v>270.61</v>
          </cell>
          <cell r="D2662">
            <v>34176663.169316001</v>
          </cell>
          <cell r="E2662">
            <v>2549741617</v>
          </cell>
          <cell r="F2662">
            <v>2.8144481922628289E-2</v>
          </cell>
          <cell r="G2662">
            <v>1.2060363275690102E-2</v>
          </cell>
        </row>
        <row r="2663">
          <cell r="B2663">
            <v>274.84800000000001</v>
          </cell>
          <cell r="D2663">
            <v>32842076.443156</v>
          </cell>
          <cell r="E2663">
            <v>2886406949</v>
          </cell>
          <cell r="F2663">
            <v>1.5539547614939007E-2</v>
          </cell>
          <cell r="G2663">
            <v>1.4107749538291978E-2</v>
          </cell>
        </row>
        <row r="2664">
          <cell r="B2664">
            <v>272.173</v>
          </cell>
          <cell r="D2664">
            <v>22001368.122811999</v>
          </cell>
          <cell r="E2664">
            <v>2290404134.7575998</v>
          </cell>
          <cell r="F2664">
            <v>-9.7803240570344483E-3</v>
          </cell>
          <cell r="G2664">
            <v>-2.8270386343186992E-3</v>
          </cell>
        </row>
        <row r="2665">
          <cell r="B2665">
            <v>269.05200000000002</v>
          </cell>
          <cell r="D2665">
            <v>23242012.078145999</v>
          </cell>
          <cell r="E2665">
            <v>2265723779</v>
          </cell>
          <cell r="F2665">
            <v>-1.1533224056445055E-2</v>
          </cell>
          <cell r="G2665">
            <v>-6.6847025099674136E-3</v>
          </cell>
        </row>
        <row r="2666">
          <cell r="B2666">
            <v>276.54199999999997</v>
          </cell>
          <cell r="D2666">
            <v>24023096.304944001</v>
          </cell>
          <cell r="E2666">
            <v>2432226005</v>
          </cell>
          <cell r="F2666">
            <v>2.745803869078724E-2</v>
          </cell>
          <cell r="G2666">
            <v>1.5517460750035557E-2</v>
          </cell>
        </row>
        <row r="2667">
          <cell r="B2667">
            <v>277.69600000000003</v>
          </cell>
          <cell r="D2667">
            <v>18486686.239960998</v>
          </cell>
          <cell r="E2667">
            <v>2259557509</v>
          </cell>
          <cell r="F2667">
            <v>4.1642820147636218E-3</v>
          </cell>
          <cell r="G2667">
            <v>-7.7764713908326987E-4</v>
          </cell>
        </row>
        <row r="2668">
          <cell r="B2668">
            <v>276.97399999999999</v>
          </cell>
          <cell r="D2668">
            <v>17134237.609142002</v>
          </cell>
          <cell r="E2668">
            <v>2024887684</v>
          </cell>
          <cell r="F2668">
            <v>-2.6033512098213763E-3</v>
          </cell>
          <cell r="G2668">
            <v>-1.6270689959386672E-3</v>
          </cell>
        </row>
        <row r="2669">
          <cell r="B2669">
            <v>274.43599999999998</v>
          </cell>
          <cell r="D2669">
            <v>19159967.789469998</v>
          </cell>
          <cell r="E2669">
            <v>2118308917</v>
          </cell>
          <cell r="F2669">
            <v>-9.2055563844125193E-3</v>
          </cell>
          <cell r="G2669">
            <v>-1.2383454103545306E-3</v>
          </cell>
        </row>
        <row r="2670">
          <cell r="B2670">
            <v>276.375</v>
          </cell>
          <cell r="D2670">
            <v>23907024.057108998</v>
          </cell>
          <cell r="E2670">
            <v>2045740859</v>
          </cell>
          <cell r="F2670">
            <v>7.0405565959586382E-3</v>
          </cell>
          <cell r="G2670">
            <v>-4.2577821983481121E-3</v>
          </cell>
        </row>
        <row r="2671">
          <cell r="B2671">
            <v>283.09100000000001</v>
          </cell>
          <cell r="D2671">
            <v>25217128.932130001</v>
          </cell>
          <cell r="E2671">
            <v>2239407036</v>
          </cell>
          <cell r="F2671">
            <v>2.4009761548290074E-2</v>
          </cell>
          <cell r="G2671">
            <v>2.1067154907856916E-2</v>
          </cell>
        </row>
        <row r="2672">
          <cell r="B2672">
            <v>280.995</v>
          </cell>
          <cell r="D2672">
            <v>20496132.638960999</v>
          </cell>
          <cell r="E2672">
            <v>2080941232</v>
          </cell>
          <cell r="F2672">
            <v>-7.4315251447686715E-3</v>
          </cell>
          <cell r="G2672">
            <v>-7.0567189661734585E-4</v>
          </cell>
        </row>
        <row r="2673">
          <cell r="B2673">
            <v>285.78399999999999</v>
          </cell>
          <cell r="D2673">
            <v>23104619.33303</v>
          </cell>
          <cell r="E2673">
            <v>1837439508</v>
          </cell>
          <cell r="F2673">
            <v>1.6899405142478466E-2</v>
          </cell>
          <cell r="G2673">
            <v>1.7174074409836079E-2</v>
          </cell>
        </row>
        <row r="2674">
          <cell r="B2674">
            <v>287.31</v>
          </cell>
          <cell r="D2674">
            <v>18473393.232170001</v>
          </cell>
          <cell r="E2674">
            <v>1775707808</v>
          </cell>
          <cell r="F2674">
            <v>5.3254914780271317E-3</v>
          </cell>
          <cell r="G2674">
            <v>3.9616294239327712E-3</v>
          </cell>
        </row>
        <row r="2675">
          <cell r="B2675">
            <v>286.565</v>
          </cell>
          <cell r="D2675">
            <v>18490990.584116001</v>
          </cell>
          <cell r="E2675">
            <v>1909934189</v>
          </cell>
          <cell r="F2675">
            <v>-2.5963856885812529E-3</v>
          </cell>
          <cell r="G2675">
            <v>1.8739092755182558E-3</v>
          </cell>
        </row>
        <row r="2676">
          <cell r="B2676">
            <v>285.81099999999998</v>
          </cell>
          <cell r="D2676">
            <v>18605200.626272999</v>
          </cell>
          <cell r="E2676">
            <v>1861058607</v>
          </cell>
          <cell r="F2676">
            <v>-2.6346333044869655E-3</v>
          </cell>
          <cell r="G2676">
            <v>-7.26407864047862E-3</v>
          </cell>
        </row>
        <row r="2677">
          <cell r="B2677">
            <v>284.68400000000003</v>
          </cell>
          <cell r="D2677">
            <v>17517464.466628</v>
          </cell>
          <cell r="E2677">
            <v>1747174197</v>
          </cell>
          <cell r="F2677">
            <v>-3.9509600120832154E-3</v>
          </cell>
          <cell r="G2677">
            <v>2.2669440331611829E-3</v>
          </cell>
        </row>
        <row r="2678">
          <cell r="B2678">
            <v>280.73899999999998</v>
          </cell>
          <cell r="D2678">
            <v>20966530.698298998</v>
          </cell>
          <cell r="E2678">
            <v>2044278522</v>
          </cell>
          <cell r="F2678">
            <v>-1.3954381111325834E-2</v>
          </cell>
          <cell r="G2678">
            <v>-1.2983869381359623E-2</v>
          </cell>
        </row>
        <row r="2679">
          <cell r="B2679">
            <v>272.49799999999999</v>
          </cell>
          <cell r="D2679">
            <v>25544134.687934</v>
          </cell>
          <cell r="E2679">
            <v>1980081528</v>
          </cell>
          <cell r="F2679">
            <v>-2.9794137458336749E-2</v>
          </cell>
          <cell r="G2679">
            <v>-2.1632427725287454E-2</v>
          </cell>
        </row>
        <row r="2680">
          <cell r="B2680">
            <v>271.21100000000001</v>
          </cell>
          <cell r="D2680">
            <v>17865258.595362999</v>
          </cell>
          <cell r="E2680">
            <v>1788639687</v>
          </cell>
          <cell r="F2680">
            <v>-4.7341589111602545E-3</v>
          </cell>
          <cell r="G2680">
            <v>-2.2403090640503252E-3</v>
          </cell>
        </row>
        <row r="2681">
          <cell r="B2681">
            <v>270.57499999999999</v>
          </cell>
          <cell r="D2681">
            <v>18486619.133724999</v>
          </cell>
          <cell r="E2681">
            <v>1736786606</v>
          </cell>
          <cell r="F2681">
            <v>-2.347791534453152E-3</v>
          </cell>
          <cell r="G2681">
            <v>2.9119072513373811E-3</v>
          </cell>
        </row>
        <row r="2682">
          <cell r="B2682">
            <v>273.57600000000002</v>
          </cell>
          <cell r="D2682">
            <v>16903060.483562998</v>
          </cell>
          <cell r="E2682">
            <v>1845810168</v>
          </cell>
          <cell r="F2682">
            <v>1.1030138421377044E-2</v>
          </cell>
          <cell r="G2682">
            <v>1.3993218645290096E-2</v>
          </cell>
        </row>
        <row r="2683">
          <cell r="B2683">
            <v>263.02100000000002</v>
          </cell>
          <cell r="D2683">
            <v>28080333.703518</v>
          </cell>
          <cell r="E2683">
            <v>2112956660</v>
          </cell>
          <cell r="F2683">
            <v>-3.934558570375199E-2</v>
          </cell>
          <cell r="G2683">
            <v>-3.4268526748985458E-2</v>
          </cell>
        </row>
        <row r="2684">
          <cell r="B2684">
            <v>260.21499999999997</v>
          </cell>
          <cell r="D2684">
            <v>20730579.631774001</v>
          </cell>
          <cell r="E2684">
            <v>1890889510</v>
          </cell>
          <cell r="F2684">
            <v>-1.072566451890513E-2</v>
          </cell>
          <cell r="G2684">
            <v>-6.6887235092639493E-3</v>
          </cell>
        </row>
        <row r="2685">
          <cell r="B2685">
            <v>257.99700000000001</v>
          </cell>
          <cell r="D2685">
            <v>23205917.707173999</v>
          </cell>
          <cell r="E2685">
            <v>2081001229</v>
          </cell>
          <cell r="F2685">
            <v>-8.5602554328940914E-3</v>
          </cell>
          <cell r="G2685">
            <v>-1.1089367791653617E-2</v>
          </cell>
        </row>
        <row r="2686">
          <cell r="B2686">
            <v>256.52699999999999</v>
          </cell>
          <cell r="D2686">
            <v>25269709.029059</v>
          </cell>
          <cell r="E2686">
            <v>2551854859.5204</v>
          </cell>
          <cell r="F2686">
            <v>-5.7140347180946538E-3</v>
          </cell>
          <cell r="G2686">
            <v>-7.8477602570987508E-3</v>
          </cell>
        </row>
        <row r="2687">
          <cell r="B2687">
            <v>255.476</v>
          </cell>
          <cell r="D2687">
            <v>23711845.295010999</v>
          </cell>
          <cell r="E2687">
            <v>2303306757.0706</v>
          </cell>
          <cell r="F2687">
            <v>-4.1054504610029555E-3</v>
          </cell>
          <cell r="G2687">
            <v>2.9917276491103818E-3</v>
          </cell>
        </row>
        <row r="2688">
          <cell r="B2688">
            <v>251.21600000000001</v>
          </cell>
          <cell r="D2688">
            <v>23295928.907421</v>
          </cell>
          <cell r="E2688">
            <v>2080325882</v>
          </cell>
          <cell r="F2688">
            <v>-1.6815344934772714E-2</v>
          </cell>
          <cell r="G2688">
            <v>-1.0794530441166154E-2</v>
          </cell>
        </row>
        <row r="2689">
          <cell r="B2689">
            <v>248.46100000000001</v>
          </cell>
          <cell r="D2689">
            <v>21739354.556882001</v>
          </cell>
          <cell r="E2689">
            <v>2245181905</v>
          </cell>
          <cell r="F2689">
            <v>-1.1027235263011132E-2</v>
          </cell>
          <cell r="G2689">
            <v>-4.1034472098145404E-3</v>
          </cell>
        </row>
        <row r="2690">
          <cell r="B2690">
            <v>253.21</v>
          </cell>
          <cell r="D2690">
            <v>24591754.237762999</v>
          </cell>
          <cell r="E2690">
            <v>2207203153</v>
          </cell>
          <cell r="F2690">
            <v>1.8933292390754523E-2</v>
          </cell>
          <cell r="G2690">
            <v>1.8174804228558855E-2</v>
          </cell>
        </row>
        <row r="2691">
          <cell r="B2691">
            <v>253.63</v>
          </cell>
          <cell r="D2691">
            <v>20711587.471356999</v>
          </cell>
          <cell r="E2691">
            <v>2287421470</v>
          </cell>
          <cell r="F2691">
            <v>1.6573281356473751E-3</v>
          </cell>
          <cell r="G2691">
            <v>6.5890133889801002E-3</v>
          </cell>
        </row>
        <row r="2692">
          <cell r="B2692">
            <v>259.45800000000003</v>
          </cell>
          <cell r="D2692">
            <v>22519047.313067999</v>
          </cell>
          <cell r="E2692">
            <v>2096049232</v>
          </cell>
          <cell r="F2692">
            <v>2.2718327699326385E-2</v>
          </cell>
          <cell r="G2692">
            <v>1.5155971507018435E-2</v>
          </cell>
        </row>
        <row r="2693">
          <cell r="B2693">
            <v>261.608</v>
          </cell>
          <cell r="D2693">
            <v>19109061.123392001</v>
          </cell>
          <cell r="E2693">
            <v>2144187292</v>
          </cell>
          <cell r="F2693">
            <v>8.2523603593257517E-3</v>
          </cell>
          <cell r="G2693">
            <v>1.0528639881468727E-2</v>
          </cell>
        </row>
        <row r="2694">
          <cell r="B2694">
            <v>247.22399999999999</v>
          </cell>
          <cell r="D2694">
            <v>33996219.925226003</v>
          </cell>
          <cell r="E2694">
            <v>2641640040</v>
          </cell>
          <cell r="F2694">
            <v>-5.6552391905706649E-2</v>
          </cell>
          <cell r="G2694">
            <v>-4.4199110119582059E-2</v>
          </cell>
        </row>
        <row r="2695">
          <cell r="B2695">
            <v>247.45099999999999</v>
          </cell>
          <cell r="D2695">
            <v>24373888.176456001</v>
          </cell>
          <cell r="E2695">
            <v>2482078227</v>
          </cell>
          <cell r="F2695">
            <v>9.1777436067589366E-4</v>
          </cell>
          <cell r="G2695">
            <v>3.3812717048818559E-3</v>
          </cell>
        </row>
        <row r="2696">
          <cell r="B2696">
            <v>240.739</v>
          </cell>
          <cell r="D2696">
            <v>32138722.829879999</v>
          </cell>
          <cell r="E2696">
            <v>2510590552</v>
          </cell>
          <cell r="F2696">
            <v>-2.7499223526151386E-2</v>
          </cell>
          <cell r="G2696">
            <v>-1.1382294724738607E-2</v>
          </cell>
        </row>
        <row r="2697">
          <cell r="B2697">
            <v>240.11</v>
          </cell>
          <cell r="D2697">
            <v>40558774.276717</v>
          </cell>
          <cell r="E2697">
            <v>4360545933</v>
          </cell>
          <cell r="F2697">
            <v>-2.6162074113411445E-3</v>
          </cell>
          <cell r="G2697">
            <v>-7.208044914246866E-3</v>
          </cell>
        </row>
        <row r="2698">
          <cell r="B2698">
            <v>239.89599999999999</v>
          </cell>
          <cell r="D2698">
            <v>27344033.543974001</v>
          </cell>
          <cell r="E2698">
            <v>2115778064</v>
          </cell>
          <cell r="F2698">
            <v>-8.9165558004865298E-4</v>
          </cell>
          <cell r="G2698">
            <v>6.8337454395362542E-3</v>
          </cell>
        </row>
        <row r="2699">
          <cell r="B2699">
            <v>237.86600000000001</v>
          </cell>
          <cell r="D2699">
            <v>27174189.628637999</v>
          </cell>
          <cell r="E2699">
            <v>2334817543</v>
          </cell>
          <cell r="F2699">
            <v>-8.4980061894572578E-3</v>
          </cell>
          <cell r="G2699">
            <v>-1.1336124553072551E-2</v>
          </cell>
        </row>
        <row r="2700">
          <cell r="B2700">
            <v>234.43299999999999</v>
          </cell>
          <cell r="D2700">
            <v>29177328.961816002</v>
          </cell>
          <cell r="E2700">
            <v>2485994709</v>
          </cell>
          <cell r="F2700">
            <v>-1.4537657126662485E-2</v>
          </cell>
          <cell r="G2700">
            <v>-1.7264673789774226E-2</v>
          </cell>
        </row>
        <row r="2701">
          <cell r="B2701">
            <v>236.42400000000001</v>
          </cell>
          <cell r="D2701">
            <v>31659881.469216</v>
          </cell>
          <cell r="E2701">
            <v>2445941297</v>
          </cell>
          <cell r="F2701">
            <v>8.4569704449707732E-3</v>
          </cell>
          <cell r="G2701">
            <v>-8.4633092689318096E-3</v>
          </cell>
        </row>
        <row r="2702">
          <cell r="B2702">
            <v>233.42</v>
          </cell>
          <cell r="D2702">
            <v>34834808.458429001</v>
          </cell>
          <cell r="E2702">
            <v>2807610763</v>
          </cell>
          <cell r="F2702">
            <v>-1.2787397237280191E-2</v>
          </cell>
          <cell r="G2702">
            <v>-1.7382826077567966E-2</v>
          </cell>
        </row>
        <row r="2703">
          <cell r="B2703">
            <v>232.96</v>
          </cell>
          <cell r="D2703">
            <v>28228009.395977002</v>
          </cell>
          <cell r="E2703">
            <v>2631140662</v>
          </cell>
          <cell r="F2703">
            <v>-1.9726409758863729E-3</v>
          </cell>
          <cell r="G2703">
            <v>-1.0394376865970473E-2</v>
          </cell>
        </row>
        <row r="2704">
          <cell r="B2704">
            <v>231.94</v>
          </cell>
          <cell r="D2704">
            <v>27539531.604403999</v>
          </cell>
          <cell r="E2704">
            <v>2543929467</v>
          </cell>
          <cell r="F2704">
            <v>-4.3880474797639742E-3</v>
          </cell>
          <cell r="G2704">
            <v>-2.1226109775338642E-3</v>
          </cell>
        </row>
        <row r="2705">
          <cell r="B2705">
            <v>236.511</v>
          </cell>
          <cell r="D2705">
            <v>29589240.615961999</v>
          </cell>
          <cell r="E2705">
            <v>2634239753</v>
          </cell>
          <cell r="F2705">
            <v>1.951600094970523E-2</v>
          </cell>
          <cell r="G2705">
            <v>1.9481144387776417E-2</v>
          </cell>
        </row>
        <row r="2706">
          <cell r="B2706">
            <v>233.01</v>
          </cell>
          <cell r="D2706">
            <v>28014005.369545002</v>
          </cell>
          <cell r="E2706">
            <v>2604839600</v>
          </cell>
          <cell r="F2706">
            <v>-1.4913347378596821E-2</v>
          </cell>
          <cell r="G2706">
            <v>-2.1352776272162088E-2</v>
          </cell>
        </row>
        <row r="2707">
          <cell r="B2707">
            <v>228.49600000000001</v>
          </cell>
          <cell r="D2707">
            <v>36382867.781429999</v>
          </cell>
          <cell r="E2707">
            <v>3142945550</v>
          </cell>
          <cell r="F2707">
            <v>-1.9562666389088237E-2</v>
          </cell>
          <cell r="G2707">
            <v>-1.5181392276394085E-2</v>
          </cell>
        </row>
        <row r="2708">
          <cell r="B2708">
            <v>236.18600000000001</v>
          </cell>
          <cell r="D2708">
            <v>29437040.359553002</v>
          </cell>
          <cell r="E2708">
            <v>2734042230</v>
          </cell>
          <cell r="F2708">
            <v>3.3100925492485535E-2</v>
          </cell>
          <cell r="G2708">
            <v>2.5554628797407629E-2</v>
          </cell>
        </row>
        <row r="2709">
          <cell r="B2709">
            <v>244.17400000000001</v>
          </cell>
          <cell r="D2709">
            <v>35560907.708755001</v>
          </cell>
          <cell r="E2709">
            <v>2850684686</v>
          </cell>
          <cell r="F2709">
            <v>3.3261455698727238E-2</v>
          </cell>
          <cell r="G2709">
            <v>3.012534086530393E-2</v>
          </cell>
        </row>
        <row r="2710">
          <cell r="B2710">
            <v>244.48599999999999</v>
          </cell>
          <cell r="D2710">
            <v>20739337.246881001</v>
          </cell>
          <cell r="E2710">
            <v>2406097925</v>
          </cell>
          <cell r="F2710">
            <v>1.2769616600351768E-3</v>
          </cell>
          <cell r="G2710">
            <v>-2.0200133350643033E-3</v>
          </cell>
        </row>
        <row r="2711">
          <cell r="B2711">
            <v>242.12299999999999</v>
          </cell>
          <cell r="D2711">
            <v>20630019.949365001</v>
          </cell>
          <cell r="E2711">
            <v>2451917428</v>
          </cell>
          <cell r="F2711">
            <v>-9.7121860649605641E-3</v>
          </cell>
          <cell r="G2711">
            <v>-1.0297920383574249E-2</v>
          </cell>
        </row>
        <row r="2712">
          <cell r="B2712">
            <v>229.81100000000001</v>
          </cell>
          <cell r="D2712">
            <v>38497630.013309002</v>
          </cell>
          <cell r="E2712">
            <v>2670998010</v>
          </cell>
          <cell r="F2712">
            <v>-5.218862951677853E-2</v>
          </cell>
          <cell r="G2712">
            <v>-2.8403167167490584E-2</v>
          </cell>
        </row>
        <row r="2713">
          <cell r="B2713">
            <v>224.916</v>
          </cell>
          <cell r="D2713">
            <v>30316930.955345999</v>
          </cell>
          <cell r="E2713">
            <v>2379975370</v>
          </cell>
          <cell r="F2713">
            <v>-2.1530232815237874E-2</v>
          </cell>
          <cell r="G2713">
            <v>-7.5206675446196497E-3</v>
          </cell>
        </row>
        <row r="2714">
          <cell r="B2714">
            <v>221.148</v>
          </cell>
          <cell r="D2714">
            <v>31061354.740635</v>
          </cell>
          <cell r="E2714">
            <v>2730730478</v>
          </cell>
          <cell r="F2714">
            <v>-1.6894838526947929E-2</v>
          </cell>
          <cell r="G2714">
            <v>-6.5405726393698588E-3</v>
          </cell>
        </row>
        <row r="2715">
          <cell r="B2715">
            <v>221.482</v>
          </cell>
          <cell r="D2715">
            <v>22326146.366615999</v>
          </cell>
          <cell r="E2715">
            <v>2370590416</v>
          </cell>
          <cell r="F2715">
            <v>1.5091614368313597E-3</v>
          </cell>
          <cell r="G2715">
            <v>-3.2961833504644216E-3</v>
          </cell>
        </row>
        <row r="2716">
          <cell r="B2716">
            <v>229.81100000000001</v>
          </cell>
          <cell r="D2716">
            <v>43372025.624141999</v>
          </cell>
          <cell r="E2716">
            <v>3197128807</v>
          </cell>
          <cell r="F2716">
            <v>3.6915909905354517E-2</v>
          </cell>
          <cell r="G2716">
            <v>2.5634291446897169E-2</v>
          </cell>
        </row>
        <row r="2717">
          <cell r="B2717">
            <v>224.238</v>
          </cell>
          <cell r="D2717">
            <v>30780680.922938</v>
          </cell>
          <cell r="E2717">
            <v>2661937030</v>
          </cell>
          <cell r="F2717">
            <v>-2.4549244178668592E-2</v>
          </cell>
          <cell r="G2717">
            <v>-2.3947163771951822E-2</v>
          </cell>
        </row>
        <row r="2718">
          <cell r="B2718">
            <v>233.03800000000001</v>
          </cell>
          <cell r="D2718">
            <v>28684724.324058</v>
          </cell>
          <cell r="E2718">
            <v>2577719660</v>
          </cell>
          <cell r="F2718">
            <v>3.8493542595289323E-2</v>
          </cell>
          <cell r="G2718">
            <v>2.613555691190645E-2</v>
          </cell>
        </row>
        <row r="2719">
          <cell r="B2719">
            <v>233.99100000000001</v>
          </cell>
          <cell r="D2719">
            <v>26837107.066147</v>
          </cell>
          <cell r="E2719">
            <v>2659756947</v>
          </cell>
          <cell r="F2719">
            <v>4.0811226828693413E-3</v>
          </cell>
          <cell r="G2719">
            <v>1.1362760181543908E-2</v>
          </cell>
        </row>
        <row r="2720">
          <cell r="B2720">
            <v>232.00899999999999</v>
          </cell>
          <cell r="D2720">
            <v>20370932.348235</v>
          </cell>
          <cell r="E2720">
            <v>2400354825</v>
          </cell>
          <cell r="F2720">
            <v>-8.5064890622507713E-3</v>
          </cell>
          <cell r="G2720">
            <v>-6.694436704711702E-3</v>
          </cell>
        </row>
        <row r="2721">
          <cell r="B2721">
            <v>231.685</v>
          </cell>
          <cell r="D2721">
            <v>22231433.248482</v>
          </cell>
          <cell r="E2721">
            <v>2641513546</v>
          </cell>
          <cell r="F2721">
            <v>-1.3974735611379987E-3</v>
          </cell>
          <cell r="G2721">
            <v>-7.9827185160930587E-3</v>
          </cell>
        </row>
        <row r="2722">
          <cell r="B2722">
            <v>237.542</v>
          </cell>
          <cell r="D2722">
            <v>26806673.538228001</v>
          </cell>
          <cell r="E2722">
            <v>3007722663</v>
          </cell>
          <cell r="F2722">
            <v>2.4965759489049878E-2</v>
          </cell>
          <cell r="G2722">
            <v>2.3447767852436571E-2</v>
          </cell>
        </row>
        <row r="2723">
          <cell r="B2723">
            <v>242.57499999999999</v>
          </cell>
          <cell r="D2723">
            <v>25391388.099856</v>
          </cell>
          <cell r="E2723">
            <v>2587423726</v>
          </cell>
          <cell r="F2723">
            <v>2.0966490966125916E-2</v>
          </cell>
          <cell r="G2723">
            <v>1.1811917059798283E-2</v>
          </cell>
        </row>
        <row r="2724">
          <cell r="B2724">
            <v>245.92099999999999</v>
          </cell>
          <cell r="D2724">
            <v>35445820.292625003</v>
          </cell>
          <cell r="E2724">
            <v>2722411722</v>
          </cell>
          <cell r="F2724">
            <v>1.3699405233699927E-2</v>
          </cell>
          <cell r="G2724">
            <v>1.6135765325269211E-2</v>
          </cell>
        </row>
        <row r="2725">
          <cell r="B2725">
            <v>226.946</v>
          </cell>
          <cell r="D2725">
            <v>84278637.858439997</v>
          </cell>
          <cell r="E2725">
            <v>2946134171</v>
          </cell>
          <cell r="F2725">
            <v>-8.0298242425450098E-2</v>
          </cell>
          <cell r="G2725">
            <v>-7.4151380567922306E-3</v>
          </cell>
        </row>
        <row r="2726">
          <cell r="B2726">
            <v>222.46199999999999</v>
          </cell>
          <cell r="D2726">
            <v>41203850.298166998</v>
          </cell>
          <cell r="E2726">
            <v>3088618697</v>
          </cell>
          <cell r="F2726">
            <v>-1.9955803215849811E-2</v>
          </cell>
          <cell r="G2726">
            <v>-6.1011723843323405E-3</v>
          </cell>
        </row>
        <row r="2727">
          <cell r="B2727">
            <v>231.40899999999999</v>
          </cell>
          <cell r="D2727">
            <v>41431229.257726997</v>
          </cell>
          <cell r="E2727">
            <v>2899801373</v>
          </cell>
          <cell r="F2727">
            <v>3.9430407190052308E-2</v>
          </cell>
          <cell r="G2727">
            <v>2.4328034575769396E-2</v>
          </cell>
        </row>
        <row r="2728">
          <cell r="B2728">
            <v>227.74</v>
          </cell>
          <cell r="D2728">
            <v>28903865.499015</v>
          </cell>
          <cell r="E2728">
            <v>2800978345</v>
          </cell>
          <cell r="F2728">
            <v>-1.5982080311356277E-2</v>
          </cell>
          <cell r="G2728">
            <v>-7.4823069661265037E-3</v>
          </cell>
        </row>
        <row r="2729">
          <cell r="B2729">
            <v>223.857</v>
          </cell>
          <cell r="D2729">
            <v>31181952.360123999</v>
          </cell>
          <cell r="E2729">
            <v>2616622589</v>
          </cell>
          <cell r="F2729">
            <v>-1.719717224404824E-2</v>
          </cell>
          <cell r="G2729">
            <v>-4.1096940897468529E-3</v>
          </cell>
        </row>
        <row r="2730">
          <cell r="B2730">
            <v>215.93600000000001</v>
          </cell>
          <cell r="D2730">
            <v>39147322.333504997</v>
          </cell>
          <cell r="E2730">
            <v>3112059344</v>
          </cell>
          <cell r="F2730">
            <v>-3.6025387654962299E-2</v>
          </cell>
          <cell r="G2730">
            <v>-2.5319802827619801E-2</v>
          </cell>
        </row>
        <row r="2731">
          <cell r="B2731">
            <v>210.197</v>
          </cell>
          <cell r="D2731">
            <v>37340059.211966999</v>
          </cell>
          <cell r="E2731">
            <v>2853782123</v>
          </cell>
          <cell r="F2731">
            <v>-2.6936881264234182E-2</v>
          </cell>
          <cell r="G2731">
            <v>-1.064240923898342E-2</v>
          </cell>
        </row>
        <row r="2732">
          <cell r="B2732">
            <v>217.20400000000001</v>
          </cell>
          <cell r="D2732">
            <v>37498190.632517003</v>
          </cell>
          <cell r="E2732">
            <v>3019479207</v>
          </cell>
          <cell r="F2732">
            <v>3.2791817877251377E-2</v>
          </cell>
          <cell r="G2732">
            <v>1.3526781457993704E-2</v>
          </cell>
        </row>
        <row r="2733">
          <cell r="B2733">
            <v>223.56100000000001</v>
          </cell>
          <cell r="D2733">
            <v>34143669.338522002</v>
          </cell>
          <cell r="E2733">
            <v>2492839587</v>
          </cell>
          <cell r="F2733">
            <v>2.8847303367133481E-2</v>
          </cell>
          <cell r="G2733">
            <v>9.5680618026735623E-3</v>
          </cell>
        </row>
        <row r="2734">
          <cell r="B2734">
            <v>224.541</v>
          </cell>
          <cell r="D2734">
            <v>28735973.496263999</v>
          </cell>
          <cell r="E2734">
            <v>2585450787</v>
          </cell>
          <cell r="F2734">
            <v>4.3740111065962237E-3</v>
          </cell>
          <cell r="G2734">
            <v>5.5822675939800961E-3</v>
          </cell>
        </row>
        <row r="2735">
          <cell r="B2735">
            <v>220.26400000000001</v>
          </cell>
          <cell r="D2735">
            <v>28389788.803546</v>
          </cell>
          <cell r="E2735">
            <v>2535204840</v>
          </cell>
          <cell r="F2735">
            <v>-1.9231491642351609E-2</v>
          </cell>
          <cell r="G2735">
            <v>-2.0996774887089925E-2</v>
          </cell>
        </row>
        <row r="2736">
          <cell r="B2736">
            <v>238.38499999999999</v>
          </cell>
          <cell r="D2736">
            <v>47159860.299984999</v>
          </cell>
          <cell r="E2736">
            <v>3342969435</v>
          </cell>
          <cell r="F2736">
            <v>7.9060186820751305E-2</v>
          </cell>
          <cell r="G2736">
            <v>5.3952504280963931E-2</v>
          </cell>
        </row>
        <row r="2737">
          <cell r="B2737">
            <v>242.43700000000001</v>
          </cell>
          <cell r="D2737">
            <v>35287568.597566001</v>
          </cell>
          <cell r="E2737">
            <v>3015063689</v>
          </cell>
          <cell r="F2737">
            <v>1.6854869062251056E-2</v>
          </cell>
          <cell r="G2737">
            <v>9.1983590448269908E-3</v>
          </cell>
        </row>
        <row r="2738">
          <cell r="B2738">
            <v>236.98099999999999</v>
          </cell>
          <cell r="D2738">
            <v>31723257.981337</v>
          </cell>
          <cell r="E2738">
            <v>2607905944</v>
          </cell>
          <cell r="F2738">
            <v>-2.2761913665774319E-2</v>
          </cell>
          <cell r="G2738">
            <v>-8.9759576650217388E-3</v>
          </cell>
        </row>
        <row r="2739">
          <cell r="B2739">
            <v>237.39500000000001</v>
          </cell>
          <cell r="D2739">
            <v>31995177.241753999</v>
          </cell>
          <cell r="E2739">
            <v>2796620692</v>
          </cell>
          <cell r="F2739">
            <v>1.7454513091206365E-3</v>
          </cell>
          <cell r="G2739">
            <v>8.6753813075978112E-3</v>
          </cell>
        </row>
        <row r="2740">
          <cell r="B2740">
            <v>237.827</v>
          </cell>
          <cell r="D2740">
            <v>24488668.283983</v>
          </cell>
          <cell r="E2740">
            <v>2405874725</v>
          </cell>
          <cell r="F2740">
            <v>1.8180981478016422E-3</v>
          </cell>
          <cell r="G2740">
            <v>-8.2862978720850793E-3</v>
          </cell>
        </row>
        <row r="2741">
          <cell r="B2741">
            <v>237.77799999999999</v>
          </cell>
          <cell r="D2741">
            <v>23503026.013489999</v>
          </cell>
          <cell r="E2741">
            <v>2196018180</v>
          </cell>
          <cell r="F2741">
            <v>-2.0605334331374819E-4</v>
          </cell>
          <cell r="G2741">
            <v>-3.094109623737159E-3</v>
          </cell>
        </row>
        <row r="2742">
          <cell r="B2742">
            <v>237.32499999999999</v>
          </cell>
          <cell r="D2742">
            <v>28066690.356509</v>
          </cell>
          <cell r="E2742">
            <v>2233622593</v>
          </cell>
          <cell r="F2742">
            <v>-1.906955490818136E-3</v>
          </cell>
          <cell r="G2742">
            <v>4.7472883302355929E-3</v>
          </cell>
        </row>
        <row r="2743">
          <cell r="B2743">
            <v>238.14099999999999</v>
          </cell>
          <cell r="D2743">
            <v>26827865.171457</v>
          </cell>
          <cell r="E2743">
            <v>2114062649</v>
          </cell>
          <cell r="F2743">
            <v>3.432425456898629E-3</v>
          </cell>
          <cell r="G2743">
            <v>-3.8912128014762935E-3</v>
          </cell>
        </row>
        <row r="2744">
          <cell r="B2744">
            <v>241.07499999999999</v>
          </cell>
          <cell r="D2744">
            <v>19988434.089967001</v>
          </cell>
          <cell r="E2744">
            <v>1997281888</v>
          </cell>
          <cell r="F2744">
            <v>1.2245153171687305E-2</v>
          </cell>
          <cell r="G2744">
            <v>1.3488571921957369E-2</v>
          </cell>
        </row>
        <row r="2745">
          <cell r="B2745">
            <v>243.58099999999999</v>
          </cell>
          <cell r="D2745">
            <v>19828616.663137</v>
          </cell>
          <cell r="E2745">
            <v>1753489062</v>
          </cell>
          <cell r="F2745">
            <v>1.034144768146401E-2</v>
          </cell>
          <cell r="G2745">
            <v>5.8972831306427134E-3</v>
          </cell>
        </row>
        <row r="2746">
          <cell r="B2746">
            <v>243.494</v>
          </cell>
          <cell r="D2746">
            <v>9351766.4792295992</v>
          </cell>
          <cell r="E2746">
            <v>901913979</v>
          </cell>
          <cell r="F2746">
            <v>-3.5723451593782372E-4</v>
          </cell>
          <cell r="G2746">
            <v>-2.8311094412904197E-4</v>
          </cell>
        </row>
        <row r="2747">
          <cell r="B2747">
            <v>237.857</v>
          </cell>
          <cell r="D2747">
            <v>25217434.002103001</v>
          </cell>
          <cell r="E2747">
            <v>2094426126</v>
          </cell>
          <cell r="F2747">
            <v>-2.3422648803524338E-2</v>
          </cell>
          <cell r="G2747">
            <v>-1.5564652905563017E-2</v>
          </cell>
        </row>
        <row r="2748">
          <cell r="B2748">
            <v>236.45</v>
          </cell>
          <cell r="D2748">
            <v>18250995.243003</v>
          </cell>
          <cell r="E2748">
            <v>1912517741</v>
          </cell>
          <cell r="F2748">
            <v>-5.9328836685651736E-3</v>
          </cell>
          <cell r="G2748">
            <v>-1.5931188727940442E-3</v>
          </cell>
        </row>
        <row r="2749">
          <cell r="B2749">
            <v>251.02199999999999</v>
          </cell>
          <cell r="D2749">
            <v>48375311.211346</v>
          </cell>
          <cell r="E2749">
            <v>3721831565</v>
          </cell>
          <cell r="F2749">
            <v>5.9803815603305097E-2</v>
          </cell>
          <cell r="G2749">
            <v>3.047858758258928E-2</v>
          </cell>
        </row>
        <row r="2750">
          <cell r="B2750">
            <v>250.577</v>
          </cell>
          <cell r="D2750">
            <v>26468893.176709</v>
          </cell>
          <cell r="E2750">
            <v>2316143021</v>
          </cell>
          <cell r="F2750">
            <v>-1.7743261718901919E-3</v>
          </cell>
          <cell r="G2750">
            <v>-8.6800027027179102E-4</v>
          </cell>
        </row>
        <row r="2751">
          <cell r="B2751">
            <v>250.90299999999999</v>
          </cell>
          <cell r="D2751">
            <v>21881825.968889002</v>
          </cell>
          <cell r="E2751">
            <v>2073993715</v>
          </cell>
          <cell r="F2751">
            <v>1.3001517345552073E-3</v>
          </cell>
          <cell r="G2751">
            <v>-1.1953459028422096E-3</v>
          </cell>
        </row>
        <row r="2752">
          <cell r="B2752">
            <v>246.16</v>
          </cell>
          <cell r="D2752">
            <v>23819892.163406</v>
          </cell>
          <cell r="E2752">
            <v>2283039476</v>
          </cell>
          <cell r="F2752">
            <v>-1.9084679242068549E-2</v>
          </cell>
          <cell r="G2752">
            <v>-1.8056283602075441E-2</v>
          </cell>
        </row>
        <row r="2753">
          <cell r="B2753">
            <v>241.16300000000001</v>
          </cell>
          <cell r="D2753">
            <v>22832380.712962002</v>
          </cell>
          <cell r="E2753">
            <v>2363290230</v>
          </cell>
          <cell r="F2753">
            <v>-2.0508677596013498E-2</v>
          </cell>
          <cell r="G2753">
            <v>-1.4503849921748772E-2</v>
          </cell>
        </row>
        <row r="2754">
          <cell r="B2754">
            <v>240.42400000000001</v>
          </cell>
          <cell r="D2754">
            <v>20817645.615302999</v>
          </cell>
          <cell r="E2754">
            <v>2261360347</v>
          </cell>
          <cell r="F2754">
            <v>-3.0690221291146485E-3</v>
          </cell>
          <cell r="G2754">
            <v>-1.8640849162627044E-3</v>
          </cell>
        </row>
        <row r="2755">
          <cell r="B2755">
            <v>243.405</v>
          </cell>
          <cell r="D2755">
            <v>22982840.043106001</v>
          </cell>
          <cell r="E2755">
            <v>2156493372</v>
          </cell>
          <cell r="F2755">
            <v>1.2322691370951412E-2</v>
          </cell>
          <cell r="G2755">
            <v>7.493612090724109E-3</v>
          </cell>
        </row>
        <row r="2756">
          <cell r="B2756">
            <v>241.458</v>
          </cell>
          <cell r="D2756">
            <v>20947970.858633999</v>
          </cell>
          <cell r="E2756">
            <v>2120259740</v>
          </cell>
          <cell r="F2756">
            <v>-8.0311777350875642E-3</v>
          </cell>
          <cell r="G2756">
            <v>-7.3766872148234497E-3</v>
          </cell>
        </row>
        <row r="2757">
          <cell r="B2757">
            <v>248.43299999999999</v>
          </cell>
          <cell r="D2757">
            <v>31168315.480207998</v>
          </cell>
          <cell r="E2757">
            <v>2283766184</v>
          </cell>
          <cell r="F2757">
            <v>2.847764655253553E-2</v>
          </cell>
          <cell r="G2757">
            <v>1.4178262831053962E-2</v>
          </cell>
        </row>
        <row r="2758">
          <cell r="B2758">
            <v>252.77099999999999</v>
          </cell>
          <cell r="D2758">
            <v>42889379.860639997</v>
          </cell>
          <cell r="E2758">
            <v>3099177403</v>
          </cell>
          <cell r="F2758">
            <v>1.7310749025480437E-2</v>
          </cell>
          <cell r="G2758">
            <v>7.2632622332616968E-3</v>
          </cell>
        </row>
        <row r="2759">
          <cell r="B2759">
            <v>253.066</v>
          </cell>
          <cell r="D2759">
            <v>35992064.168923996</v>
          </cell>
          <cell r="E2759">
            <v>2606576359</v>
          </cell>
          <cell r="F2759">
            <v>1.1663837696507971E-3</v>
          </cell>
          <cell r="G2759">
            <v>-6.0711580284131088E-3</v>
          </cell>
        </row>
        <row r="2760">
          <cell r="B2760">
            <v>244.989</v>
          </cell>
          <cell r="D2760">
            <v>36151803.332102999</v>
          </cell>
          <cell r="E2760">
            <v>2677417769</v>
          </cell>
          <cell r="F2760">
            <v>-3.2437012694589352E-2</v>
          </cell>
          <cell r="G2760">
            <v>-2.5237460791963953E-2</v>
          </cell>
        </row>
        <row r="2761">
          <cell r="B2761">
            <v>240.739</v>
          </cell>
          <cell r="D2761">
            <v>87515019.531406999</v>
          </cell>
          <cell r="E2761">
            <v>5019888337</v>
          </cell>
          <cell r="F2761">
            <v>-1.7499952493573296E-2</v>
          </cell>
          <cell r="G2761">
            <v>-1.1200267830704025E-2</v>
          </cell>
        </row>
        <row r="2762">
          <cell r="B2762">
            <v>236.56700000000001</v>
          </cell>
          <cell r="D2762">
            <v>30183786.179832</v>
          </cell>
          <cell r="E2762">
            <v>2294959950</v>
          </cell>
          <cell r="F2762">
            <v>-1.7481893176115794E-2</v>
          </cell>
          <cell r="G2762">
            <v>-9.0482780342915972E-3</v>
          </cell>
        </row>
        <row r="2763">
          <cell r="B2763">
            <v>237.89699999999999</v>
          </cell>
          <cell r="D2763">
            <v>25563553.478918999</v>
          </cell>
          <cell r="E2763">
            <v>2223745612</v>
          </cell>
          <cell r="F2763">
            <v>5.606340981011179E-3</v>
          </cell>
          <cell r="G2763">
            <v>1.036747011419641E-3</v>
          </cell>
        </row>
        <row r="2764">
          <cell r="B2764">
            <v>240.48400000000001</v>
          </cell>
          <cell r="D2764">
            <v>24079395.121975001</v>
          </cell>
          <cell r="E2764">
            <v>2145800787</v>
          </cell>
          <cell r="F2764">
            <v>1.081575237727604E-2</v>
          </cell>
          <cell r="G2764">
            <v>1.4758594440961796E-2</v>
          </cell>
        </row>
        <row r="2765">
          <cell r="B2765">
            <v>234.345</v>
          </cell>
          <cell r="D2765">
            <v>29121868.357280001</v>
          </cell>
          <cell r="E2765">
            <v>2363139365</v>
          </cell>
          <cell r="F2765">
            <v>-2.5859170734221733E-2</v>
          </cell>
          <cell r="G2765">
            <v>-1.4557129502374849E-2</v>
          </cell>
        </row>
        <row r="2766">
          <cell r="B2766">
            <v>234.87700000000001</v>
          </cell>
          <cell r="D2766">
            <v>21555011.187454998</v>
          </cell>
          <cell r="E2766">
            <v>1579202603</v>
          </cell>
          <cell r="F2766">
            <v>2.2675843330417621E-3</v>
          </cell>
          <cell r="G2766">
            <v>5.8509063889847814E-3</v>
          </cell>
        </row>
        <row r="2767">
          <cell r="B2767">
            <v>233.13300000000001</v>
          </cell>
          <cell r="D2767">
            <v>16962526.508652002</v>
          </cell>
          <cell r="E2767">
            <v>1753561968</v>
          </cell>
          <cell r="F2767">
            <v>-7.4528667018431667E-3</v>
          </cell>
          <cell r="G2767">
            <v>-4.0578262550561321E-3</v>
          </cell>
        </row>
        <row r="2768">
          <cell r="B2768">
            <v>230.74299999999999</v>
          </cell>
          <cell r="D2768">
            <v>17743593.691009998</v>
          </cell>
          <cell r="E2768">
            <v>1741218670</v>
          </cell>
          <cell r="F2768">
            <v>-1.0304569101676578E-2</v>
          </cell>
          <cell r="G2768">
            <v>-1.209346269904926E-2</v>
          </cell>
        </row>
        <row r="2769">
          <cell r="B2769">
            <v>237.119</v>
          </cell>
          <cell r="D2769">
            <v>20095151.153462</v>
          </cell>
          <cell r="E2769">
            <v>1734474936</v>
          </cell>
          <cell r="F2769">
            <v>2.7257587763376976E-2</v>
          </cell>
          <cell r="G2769">
            <v>1.7310618960093668E-2</v>
          </cell>
        </row>
        <row r="2770">
          <cell r="B2770">
            <v>235.94900000000001</v>
          </cell>
          <cell r="D2770">
            <v>22298505.718336999</v>
          </cell>
          <cell r="E2770">
            <v>1704123413</v>
          </cell>
          <cell r="F2770">
            <v>-4.946444847516128E-3</v>
          </cell>
          <cell r="G2770">
            <v>-2.5439680351095257E-3</v>
          </cell>
        </row>
        <row r="2771">
          <cell r="B2771">
            <v>235.71100000000001</v>
          </cell>
          <cell r="D2771">
            <v>26162457.437153999</v>
          </cell>
          <cell r="E2771">
            <v>2351704257</v>
          </cell>
          <cell r="F2771">
            <v>-1.0092016291397103E-3</v>
          </cell>
          <cell r="G2771">
            <v>-4.0085443908070935E-3</v>
          </cell>
        </row>
        <row r="2772">
          <cell r="B2772">
            <v>225.40199999999999</v>
          </cell>
          <cell r="D2772">
            <v>51454177.874860004</v>
          </cell>
          <cell r="E2772">
            <v>2574150675</v>
          </cell>
          <cell r="F2772">
            <v>-4.4721003667446219E-2</v>
          </cell>
          <cell r="G2772">
            <v>7.5106740753847724E-3</v>
          </cell>
        </row>
        <row r="2773">
          <cell r="B2773">
            <v>218.721</v>
          </cell>
          <cell r="D2773">
            <v>40235265.283262998</v>
          </cell>
          <cell r="E2773">
            <v>2254045861</v>
          </cell>
          <cell r="F2773">
            <v>-3.0088529659989427E-2</v>
          </cell>
          <cell r="G2773">
            <v>-1.1713902384519219E-2</v>
          </cell>
        </row>
        <row r="2774">
          <cell r="B2774">
            <v>221.297</v>
          </cell>
          <cell r="D2774">
            <v>44329319.254144996</v>
          </cell>
          <cell r="E2774">
            <v>2462500481</v>
          </cell>
          <cell r="F2774">
            <v>1.1708745685860618E-2</v>
          </cell>
          <cell r="G2774">
            <v>2.2583841176026541E-2</v>
          </cell>
        </row>
        <row r="2775">
          <cell r="B2775">
            <v>223.452</v>
          </cell>
          <cell r="D2775">
            <v>27818951.339621998</v>
          </cell>
          <cell r="E2775">
            <v>2498158582</v>
          </cell>
          <cell r="F2775">
            <v>9.6909351809812173E-3</v>
          </cell>
          <cell r="G2775">
            <v>-7.6792985049440666E-4</v>
          </cell>
        </row>
        <row r="2776">
          <cell r="B2776">
            <v>225.154</v>
          </cell>
          <cell r="D2776">
            <v>27477535.813221</v>
          </cell>
          <cell r="E2776">
            <v>2140005783</v>
          </cell>
          <cell r="F2776">
            <v>7.5879866359646357E-3</v>
          </cell>
          <cell r="G2776">
            <v>6.9540205524518915E-3</v>
          </cell>
        </row>
        <row r="2777">
          <cell r="B2777">
            <v>231.964</v>
          </cell>
          <cell r="D2777">
            <v>29139825.291588001</v>
          </cell>
          <cell r="E2777">
            <v>2353913282</v>
          </cell>
          <cell r="F2777">
            <v>2.9797574688442109E-2</v>
          </cell>
          <cell r="G2777">
            <v>1.2767544131228952E-2</v>
          </cell>
        </row>
        <row r="2778">
          <cell r="B2778">
            <v>234.65799999999999</v>
          </cell>
          <cell r="D2778">
            <v>27717007.342495002</v>
          </cell>
          <cell r="E2778">
            <v>2468086405</v>
          </cell>
          <cell r="F2778">
            <v>1.1546947777722248E-2</v>
          </cell>
          <cell r="G2778">
            <v>3.4101315868827887E-3</v>
          </cell>
        </row>
        <row r="2779">
          <cell r="B2779">
            <v>235.36699999999999</v>
          </cell>
          <cell r="D2779">
            <v>21683366.626139998</v>
          </cell>
          <cell r="E2779">
            <v>2305645309</v>
          </cell>
          <cell r="F2779">
            <v>3.0168630934299585E-3</v>
          </cell>
          <cell r="G2779">
            <v>3.988850553225138E-3</v>
          </cell>
        </row>
        <row r="2780">
          <cell r="B2780">
            <v>236.47</v>
          </cell>
          <cell r="D2780">
            <v>30320819.736200999</v>
          </cell>
          <cell r="E2780">
            <v>2561165091</v>
          </cell>
          <cell r="F2780">
            <v>4.6753519083833194E-3</v>
          </cell>
          <cell r="G2780">
            <v>-2.0325261125498277E-3</v>
          </cell>
        </row>
        <row r="2781">
          <cell r="B2781">
            <v>232.00399999999999</v>
          </cell>
          <cell r="D2781">
            <v>30521494.855074</v>
          </cell>
          <cell r="E2781">
            <v>2644401366</v>
          </cell>
          <cell r="F2781">
            <v>-1.9066737094578179E-2</v>
          </cell>
          <cell r="G2781">
            <v>-1.5685001660276407E-2</v>
          </cell>
        </row>
        <row r="2782">
          <cell r="B2782">
            <v>228.185</v>
          </cell>
          <cell r="D2782">
            <v>29092767.492040999</v>
          </cell>
          <cell r="E2782">
            <v>2550553130</v>
          </cell>
          <cell r="F2782">
            <v>-1.659790944364252E-2</v>
          </cell>
          <cell r="G2782">
            <v>-7.6676696075208299E-3</v>
          </cell>
        </row>
        <row r="2783">
          <cell r="B2783">
            <v>236.34100000000001</v>
          </cell>
          <cell r="D2783">
            <v>35970593.501560003</v>
          </cell>
          <cell r="E2783">
            <v>2708753252</v>
          </cell>
          <cell r="F2783">
            <v>3.5118973940921186E-2</v>
          </cell>
          <cell r="G2783">
            <v>1.8741671559172491E-2</v>
          </cell>
        </row>
        <row r="2784">
          <cell r="B2784">
            <v>238.66300000000001</v>
          </cell>
          <cell r="D2784">
            <v>32458021.186826002</v>
          </cell>
          <cell r="E2784">
            <v>2469489503</v>
          </cell>
          <cell r="F2784">
            <v>9.7768376517621096E-3</v>
          </cell>
          <cell r="G2784">
            <v>1.1811328415709267E-2</v>
          </cell>
        </row>
        <row r="2785">
          <cell r="B2785">
            <v>238.131</v>
          </cell>
          <cell r="D2785">
            <v>40894734.127705999</v>
          </cell>
          <cell r="E2785">
            <v>2103117935</v>
          </cell>
          <cell r="F2785">
            <v>-2.2315726321065106E-3</v>
          </cell>
          <cell r="G2785">
            <v>-7.1172963252109358E-4</v>
          </cell>
        </row>
        <row r="2786">
          <cell r="B2786">
            <v>236.72399999999999</v>
          </cell>
          <cell r="D2786">
            <v>67618414.115634993</v>
          </cell>
          <cell r="E2786">
            <v>2427959152</v>
          </cell>
          <cell r="F2786">
            <v>-5.9260368641917728E-3</v>
          </cell>
          <cell r="G2786">
            <v>-1.8174643434897735E-4</v>
          </cell>
        </row>
        <row r="2787">
          <cell r="B2787">
            <v>243.994</v>
          </cell>
          <cell r="D2787">
            <v>34003514.869566001</v>
          </cell>
          <cell r="E2787">
            <v>2436722285</v>
          </cell>
          <cell r="F2787">
            <v>3.024872927719241E-2</v>
          </cell>
          <cell r="G2787">
            <v>1.0947717569977039E-2</v>
          </cell>
        </row>
        <row r="2788">
          <cell r="B2788">
            <v>244.15299999999999</v>
          </cell>
          <cell r="D2788">
            <v>26933814.844597001</v>
          </cell>
          <cell r="E2788">
            <v>2573674311</v>
          </cell>
          <cell r="F2788">
            <v>6.514431334127866E-4</v>
          </cell>
          <cell r="G2788">
            <v>2.4917027916841637E-3</v>
          </cell>
        </row>
        <row r="2789">
          <cell r="B2789">
            <v>238.79300000000001</v>
          </cell>
          <cell r="D2789">
            <v>26291876.041813999</v>
          </cell>
          <cell r="E2789">
            <v>2323118481</v>
          </cell>
          <cell r="F2789">
            <v>-2.2198010104362106E-2</v>
          </cell>
          <cell r="G2789">
            <v>-1.3053559781991077E-2</v>
          </cell>
        </row>
        <row r="2790">
          <cell r="B2790">
            <v>243.81</v>
          </cell>
          <cell r="D2790">
            <v>26976639.292052999</v>
          </cell>
          <cell r="E2790">
            <v>2868839133</v>
          </cell>
          <cell r="F2790">
            <v>2.0792165577248112E-2</v>
          </cell>
          <cell r="G2790">
            <v>1.4536285322318165E-2</v>
          </cell>
        </row>
        <row r="2791">
          <cell r="B2791">
            <v>248.67099999999999</v>
          </cell>
          <cell r="D2791">
            <v>31772920.488113999</v>
          </cell>
          <cell r="E2791">
            <v>2963113965</v>
          </cell>
          <cell r="F2791">
            <v>1.9741504224050653E-2</v>
          </cell>
          <cell r="G2791">
            <v>1.0398089735210484E-2</v>
          </cell>
        </row>
        <row r="2792">
          <cell r="B2792">
            <v>260.32900000000001</v>
          </cell>
          <cell r="D2792">
            <v>40595902.159337997</v>
          </cell>
          <cell r="E2792">
            <v>3410570676</v>
          </cell>
          <cell r="F2792">
            <v>4.5815478049263059E-2</v>
          </cell>
          <cell r="G2792">
            <v>1.4592431217642185E-2</v>
          </cell>
        </row>
        <row r="2793">
          <cell r="B2793">
            <v>254.179</v>
          </cell>
          <cell r="D2793">
            <v>29554444.775805</v>
          </cell>
          <cell r="E2793">
            <v>2898791369</v>
          </cell>
          <cell r="F2793">
            <v>-2.3907472480195736E-2</v>
          </cell>
          <cell r="G2793">
            <v>-1.0408643989373002E-2</v>
          </cell>
        </row>
        <row r="2794">
          <cell r="B2794">
            <v>252.62299999999999</v>
          </cell>
          <cell r="D2794">
            <v>22887541.341529999</v>
          </cell>
          <cell r="E2794">
            <v>2285621270</v>
          </cell>
          <cell r="F2794">
            <v>-6.1404844067298485E-3</v>
          </cell>
          <cell r="G2794">
            <v>-6.1594169191690872E-3</v>
          </cell>
        </row>
        <row r="2795">
          <cell r="B2795">
            <v>263.24</v>
          </cell>
          <cell r="D2795">
            <v>51675726.011390999</v>
          </cell>
          <cell r="E2795">
            <v>2622828899</v>
          </cell>
          <cell r="F2795">
            <v>4.1167904768307118E-2</v>
          </cell>
          <cell r="G2795">
            <v>1.2790383040919152E-2</v>
          </cell>
        </row>
        <row r="2796">
          <cell r="B2796">
            <v>262.42399999999998</v>
          </cell>
          <cell r="D2796">
            <v>55583505.375386</v>
          </cell>
          <cell r="E2796">
            <v>2562865048</v>
          </cell>
          <cell r="F2796">
            <v>-3.1046472858734095E-3</v>
          </cell>
          <cell r="G2796">
            <v>-1.1142539811002886E-2</v>
          </cell>
        </row>
        <row r="2797">
          <cell r="B2797">
            <v>259.36399999999998</v>
          </cell>
          <cell r="D2797">
            <v>43070522.608052</v>
          </cell>
          <cell r="E2797">
            <v>2664804958</v>
          </cell>
          <cell r="F2797">
            <v>-1.1729035854950649E-2</v>
          </cell>
          <cell r="G2797">
            <v>-8.869043032445954E-3</v>
          </cell>
        </row>
        <row r="2798">
          <cell r="B2798">
            <v>258.85399999999998</v>
          </cell>
          <cell r="D2798">
            <v>26242197.934537999</v>
          </cell>
          <cell r="E2798">
            <v>2311050934</v>
          </cell>
          <cell r="F2798">
            <v>-1.9682842535421814E-3</v>
          </cell>
          <cell r="G2798">
            <v>2.1928652588764841E-3</v>
          </cell>
        </row>
        <row r="2799">
          <cell r="B2799">
            <v>266.94</v>
          </cell>
          <cell r="D2799">
            <v>45363362.003204003</v>
          </cell>
          <cell r="E2799">
            <v>2125294422</v>
          </cell>
          <cell r="F2799">
            <v>3.0759717852453242E-2</v>
          </cell>
          <cell r="G2799">
            <v>1.1383550959928976E-2</v>
          </cell>
        </row>
        <row r="2800">
          <cell r="B2800">
            <v>267.77499999999998</v>
          </cell>
          <cell r="D2800">
            <v>37655919.936745003</v>
          </cell>
          <cell r="E2800">
            <v>2220641124</v>
          </cell>
          <cell r="F2800">
            <v>3.1231616046878182E-3</v>
          </cell>
          <cell r="G2800">
            <v>-2.8041608128225108E-4</v>
          </cell>
        </row>
        <row r="2801">
          <cell r="B2801">
            <v>265.63499999999999</v>
          </cell>
          <cell r="D2801">
            <v>29363915.286979999</v>
          </cell>
          <cell r="E2801">
            <v>2124554103</v>
          </cell>
          <cell r="F2801">
            <v>-8.0238896218212397E-3</v>
          </cell>
          <cell r="G2801">
            <v>2.7692856551893739E-3</v>
          </cell>
        </row>
        <row r="2802">
          <cell r="B2802">
            <v>258.56200000000001</v>
          </cell>
          <cell r="D2802">
            <v>30014266.282953002</v>
          </cell>
          <cell r="E2802">
            <v>2270678476</v>
          </cell>
          <cell r="F2802">
            <v>-2.6987675577542714E-2</v>
          </cell>
          <cell r="G2802">
            <v>-1.3884644172642286E-2</v>
          </cell>
        </row>
        <row r="2803">
          <cell r="B2803">
            <v>254.53</v>
          </cell>
          <cell r="D2803">
            <v>30416204.536405999</v>
          </cell>
          <cell r="E2803">
            <v>2399670093</v>
          </cell>
          <cell r="F2803">
            <v>-1.5716803215305736E-2</v>
          </cell>
          <cell r="G2803">
            <v>-2.7712852059047503E-3</v>
          </cell>
        </row>
        <row r="2804">
          <cell r="B2804">
            <v>249.21299999999999</v>
          </cell>
          <cell r="D2804">
            <v>28791362.716340002</v>
          </cell>
          <cell r="E2804">
            <v>2364296677</v>
          </cell>
          <cell r="F2804">
            <v>-2.1110754749183377E-2</v>
          </cell>
          <cell r="G2804">
            <v>-2.0244784414123935E-2</v>
          </cell>
        </row>
        <row r="2805">
          <cell r="B2805">
            <v>248.06899999999999</v>
          </cell>
          <cell r="D2805">
            <v>22803043.512279</v>
          </cell>
          <cell r="E2805">
            <v>2271027470</v>
          </cell>
          <cell r="F2805">
            <v>-4.6010192130286022E-3</v>
          </cell>
          <cell r="G2805">
            <v>-1.5747857327715093E-3</v>
          </cell>
        </row>
        <row r="2806">
          <cell r="B2806">
            <v>251.28399999999999</v>
          </cell>
          <cell r="D2806">
            <v>29624411.351535</v>
          </cell>
          <cell r="E2806">
            <v>2316029436</v>
          </cell>
          <cell r="F2806">
            <v>1.2876840327175246E-2</v>
          </cell>
          <cell r="G2806">
            <v>5.3152734602749932E-3</v>
          </cell>
        </row>
        <row r="2807">
          <cell r="B2807">
            <v>245.81</v>
          </cell>
          <cell r="D2807">
            <v>25337569.482119001</v>
          </cell>
          <cell r="E2807">
            <v>2185600426</v>
          </cell>
          <cell r="F2807">
            <v>-2.2024893814096811E-2</v>
          </cell>
          <cell r="G2807">
            <v>-1.0593457421727142E-2</v>
          </cell>
        </row>
        <row r="2808">
          <cell r="B2808">
            <v>246.73599999999999</v>
          </cell>
          <cell r="D2808">
            <v>21483982.332934</v>
          </cell>
          <cell r="E2808">
            <v>2074394964</v>
          </cell>
          <cell r="F2808">
            <v>3.7600593284103992E-3</v>
          </cell>
          <cell r="G2808">
            <v>3.0683048311681872E-3</v>
          </cell>
        </row>
        <row r="2809">
          <cell r="B2809">
            <v>246.00899999999999</v>
          </cell>
          <cell r="D2809">
            <v>22802936.041887</v>
          </cell>
          <cell r="E2809">
            <v>2776247907</v>
          </cell>
          <cell r="F2809">
            <v>-2.9508184863123554E-3</v>
          </cell>
          <cell r="G2809">
            <v>-3.0405976856194583E-3</v>
          </cell>
        </row>
        <row r="2810">
          <cell r="B2810">
            <v>242.9</v>
          </cell>
          <cell r="D2810">
            <v>27947633.957438</v>
          </cell>
          <cell r="E2810">
            <v>2234879789</v>
          </cell>
          <cell r="F2810">
            <v>-1.271828462086144E-2</v>
          </cell>
          <cell r="G2810">
            <v>-4.7364616152703798E-3</v>
          </cell>
        </row>
        <row r="2811">
          <cell r="B2811">
            <v>247.67500000000001</v>
          </cell>
          <cell r="D2811">
            <v>25178129.044119999</v>
          </cell>
          <cell r="E2811">
            <v>2252768227</v>
          </cell>
          <cell r="F2811">
            <v>1.946756685096707E-2</v>
          </cell>
          <cell r="G2811">
            <v>7.5535420169248321E-3</v>
          </cell>
        </row>
        <row r="2812">
          <cell r="B2812">
            <v>251.797</v>
          </cell>
          <cell r="D2812">
            <v>31186829.095601998</v>
          </cell>
          <cell r="E2812">
            <v>2232453315</v>
          </cell>
          <cell r="F2812">
            <v>1.650580446254481E-2</v>
          </cell>
          <cell r="G2812">
            <v>1.6018800257414187E-2</v>
          </cell>
        </row>
        <row r="2813">
          <cell r="B2813">
            <v>253.35499999999999</v>
          </cell>
          <cell r="D2813">
            <v>24444291.802994002</v>
          </cell>
          <cell r="E2813">
            <v>2189913632</v>
          </cell>
          <cell r="F2813">
            <v>6.1684599492507373E-3</v>
          </cell>
          <cell r="G2813">
            <v>6.8692352399550452E-4</v>
          </cell>
        </row>
        <row r="2814">
          <cell r="B2814">
            <v>250.672</v>
          </cell>
          <cell r="D2814">
            <v>21771046.903443001</v>
          </cell>
          <cell r="E2814">
            <v>2279768642</v>
          </cell>
          <cell r="F2814">
            <v>-1.0646355619758395E-2</v>
          </cell>
          <cell r="G2814">
            <v>-1.5445639173959797E-2</v>
          </cell>
        </row>
        <row r="2815">
          <cell r="B2815">
            <v>250.22900000000001</v>
          </cell>
          <cell r="D2815">
            <v>17580754.001207002</v>
          </cell>
          <cell r="E2815">
            <v>2040746669</v>
          </cell>
          <cell r="F2815">
            <v>-1.7688130608688726E-3</v>
          </cell>
          <cell r="G2815">
            <v>1.4138210863556078E-3</v>
          </cell>
        </row>
        <row r="2816">
          <cell r="B2816">
            <v>248.86799999999999</v>
          </cell>
          <cell r="D2816">
            <v>27023112.810293</v>
          </cell>
          <cell r="E2816">
            <v>2610567322</v>
          </cell>
          <cell r="F2816">
            <v>-5.4538631710244279E-3</v>
          </cell>
          <cell r="G2816">
            <v>-1.8631872945282475E-2</v>
          </cell>
        </row>
        <row r="2817">
          <cell r="B2817">
            <v>245.18899999999999</v>
          </cell>
          <cell r="D2817">
            <v>28726967.673900001</v>
          </cell>
          <cell r="E2817">
            <v>3224149593</v>
          </cell>
          <cell r="F2817">
            <v>-1.4893293701165065E-2</v>
          </cell>
          <cell r="G2817">
            <v>-1.4583974750190179E-2</v>
          </cell>
        </row>
        <row r="2818">
          <cell r="B2818">
            <v>250.447</v>
          </cell>
          <cell r="D2818">
            <v>33802197.133396</v>
          </cell>
          <cell r="E2818">
            <v>3998505947</v>
          </cell>
          <cell r="F2818">
            <v>2.1217979575000715E-2</v>
          </cell>
          <cell r="G2818">
            <v>-1.5108816132590817E-3</v>
          </cell>
        </row>
        <row r="2819">
          <cell r="B2819">
            <v>257.221</v>
          </cell>
          <cell r="D2819">
            <v>34086661.123185001</v>
          </cell>
          <cell r="E2819">
            <v>3434041869</v>
          </cell>
          <cell r="F2819">
            <v>2.668831625988206E-2</v>
          </cell>
          <cell r="G2819">
            <v>1.6342380801371525E-2</v>
          </cell>
        </row>
        <row r="2820">
          <cell r="B2820">
            <v>261.80799999999999</v>
          </cell>
          <cell r="D2820">
            <v>46666530.843470998</v>
          </cell>
          <cell r="E2820">
            <v>3692412901</v>
          </cell>
          <cell r="F2820">
            <v>1.7675773133584032E-2</v>
          </cell>
          <cell r="G2820">
            <v>-7.0053363982352087E-3</v>
          </cell>
        </row>
        <row r="2821">
          <cell r="B2821">
            <v>272.42200000000003</v>
          </cell>
          <cell r="D2821">
            <v>55592750.926918998</v>
          </cell>
          <cell r="E2821">
            <v>3620888964</v>
          </cell>
          <cell r="F2821">
            <v>3.9740923910581316E-2</v>
          </cell>
          <cell r="G2821">
            <v>1.7409551286964531E-2</v>
          </cell>
        </row>
        <row r="2822">
          <cell r="B2822">
            <v>275.60500000000002</v>
          </cell>
          <cell r="D2822">
            <v>70491828.672133997</v>
          </cell>
          <cell r="E2822">
            <v>5743241303</v>
          </cell>
          <cell r="F2822">
            <v>1.1616346612937587E-2</v>
          </cell>
          <cell r="G2822">
            <v>-1.1080586449227313E-2</v>
          </cell>
        </row>
        <row r="2823">
          <cell r="B2823">
            <v>268.50599999999997</v>
          </cell>
          <cell r="D2823">
            <v>44069602.088935003</v>
          </cell>
          <cell r="E2823">
            <v>2958330107</v>
          </cell>
          <cell r="F2823">
            <v>-2.6095421142100582E-2</v>
          </cell>
          <cell r="G2823">
            <v>8.878824909597214E-3</v>
          </cell>
        </row>
        <row r="2824">
          <cell r="B2824">
            <v>270.03399999999999</v>
          </cell>
          <cell r="D2824">
            <v>35038089.409406997</v>
          </cell>
          <cell r="E2824">
            <v>2998269348</v>
          </cell>
          <cell r="F2824">
            <v>5.6746169283387856E-3</v>
          </cell>
          <cell r="G2824">
            <v>1.289863554198477E-2</v>
          </cell>
        </row>
        <row r="2825">
          <cell r="B2825">
            <v>268.565</v>
          </cell>
          <cell r="D2825">
            <v>35357079.783540003</v>
          </cell>
          <cell r="E2825">
            <v>2722934161</v>
          </cell>
          <cell r="F2825">
            <v>-5.4549066843026942E-3</v>
          </cell>
          <cell r="G2825">
            <v>-1.6600211922495948E-2</v>
          </cell>
        </row>
        <row r="2826">
          <cell r="B2826">
            <v>273.86099999999999</v>
          </cell>
          <cell r="D2826">
            <v>37118731.413046002</v>
          </cell>
          <cell r="E2826">
            <v>2821295818</v>
          </cell>
          <cell r="F2826">
            <v>1.952770808619347E-2</v>
          </cell>
          <cell r="G2826">
            <v>2.9800838470393862E-3</v>
          </cell>
        </row>
        <row r="2827">
          <cell r="B2827">
            <v>276.73099999999999</v>
          </cell>
          <cell r="D2827">
            <v>28591141.319936998</v>
          </cell>
          <cell r="E2827">
            <v>2609179699</v>
          </cell>
          <cell r="F2827">
            <v>1.0425236813889861E-2</v>
          </cell>
          <cell r="G2827">
            <v>5.623958124210314E-3</v>
          </cell>
        </row>
        <row r="2828">
          <cell r="B2828">
            <v>272.59800000000001</v>
          </cell>
          <cell r="D2828">
            <v>27212529.37678</v>
          </cell>
          <cell r="E2828">
            <v>2462252346</v>
          </cell>
          <cell r="F2828">
            <v>-1.5047732733712764E-2</v>
          </cell>
          <cell r="G2828">
            <v>1.6455897389303137E-3</v>
          </cell>
        </row>
        <row r="2829">
          <cell r="B2829">
            <v>271.46499999999997</v>
          </cell>
          <cell r="D2829">
            <v>22182139.403804999</v>
          </cell>
          <cell r="E2829">
            <v>1993129645</v>
          </cell>
          <cell r="F2829">
            <v>-4.1649648582575806E-3</v>
          </cell>
          <cell r="G2829">
            <v>-1.5750808409301009E-3</v>
          </cell>
        </row>
        <row r="2830">
          <cell r="B2830">
            <v>276.67099999999999</v>
          </cell>
          <cell r="D2830">
            <v>25435029.919891</v>
          </cell>
          <cell r="E2830">
            <v>2265665116</v>
          </cell>
          <cell r="F2830">
            <v>1.8995857030371086E-2</v>
          </cell>
          <cell r="G2830">
            <v>1.4136861145886559E-2</v>
          </cell>
        </row>
        <row r="2831">
          <cell r="B2831">
            <v>280.16300000000001</v>
          </cell>
          <cell r="D2831">
            <v>25400941.528089002</v>
          </cell>
          <cell r="E2831">
            <v>2136728201</v>
          </cell>
          <cell r="F2831">
            <v>1.2542501996493351E-2</v>
          </cell>
          <cell r="G2831">
            <v>5.698994460609173E-3</v>
          </cell>
        </row>
        <row r="2832">
          <cell r="B2832">
            <v>284.35500000000002</v>
          </cell>
          <cell r="D2832">
            <v>33220493.357461002</v>
          </cell>
          <cell r="E2832">
            <v>2525400584</v>
          </cell>
          <cell r="F2832">
            <v>1.4851880914666502E-2</v>
          </cell>
          <cell r="G2832">
            <v>1.4333332809426856E-2</v>
          </cell>
        </row>
        <row r="2833">
          <cell r="B2833">
            <v>283.29899999999998</v>
          </cell>
          <cell r="D2833">
            <v>25228514.408434998</v>
          </cell>
          <cell r="E2833">
            <v>2427596313</v>
          </cell>
          <cell r="F2833">
            <v>-3.7205805584355897E-3</v>
          </cell>
          <cell r="G2833">
            <v>3.6920936495169121E-3</v>
          </cell>
        </row>
        <row r="2834">
          <cell r="B2834">
            <v>283.25099999999998</v>
          </cell>
          <cell r="D2834">
            <v>26182524.011815999</v>
          </cell>
          <cell r="E2834">
            <v>2263558030</v>
          </cell>
          <cell r="F2834">
            <v>-1.6944665118645536E-4</v>
          </cell>
          <cell r="G2834">
            <v>-5.8139203852082119E-3</v>
          </cell>
        </row>
        <row r="2835">
          <cell r="B2835">
            <v>280.45100000000002</v>
          </cell>
          <cell r="D2835">
            <v>22370844.232411001</v>
          </cell>
          <cell r="E2835">
            <v>2329609104</v>
          </cell>
          <cell r="F2835">
            <v>-9.9344087060417377E-3</v>
          </cell>
          <cell r="G2835">
            <v>-2.4954291924703361E-3</v>
          </cell>
        </row>
        <row r="2836">
          <cell r="B2836">
            <v>287.61</v>
          </cell>
          <cell r="D2836">
            <v>30183296.932659999</v>
          </cell>
          <cell r="E2836">
            <v>2074707142</v>
          </cell>
          <cell r="F2836">
            <v>2.5206374111040639E-2</v>
          </cell>
          <cell r="G2836">
            <v>3.5727397253701647E-3</v>
          </cell>
        </row>
        <row r="2837">
          <cell r="B2837">
            <v>285.43099999999998</v>
          </cell>
          <cell r="D2837">
            <v>23423470.087216999</v>
          </cell>
          <cell r="E2837">
            <v>1951641661</v>
          </cell>
          <cell r="F2837">
            <v>-7.6050771315181133E-3</v>
          </cell>
          <cell r="G2837">
            <v>9.9584504701190541E-4</v>
          </cell>
        </row>
        <row r="2838">
          <cell r="B2838">
            <v>278.96100000000001</v>
          </cell>
          <cell r="D2838">
            <v>27654959.635224</v>
          </cell>
          <cell r="E2838">
            <v>2000949147</v>
          </cell>
          <cell r="F2838">
            <v>-2.29283315211938E-2</v>
          </cell>
          <cell r="G2838">
            <v>-4.1372345026909729E-5</v>
          </cell>
        </row>
        <row r="2839">
          <cell r="B2839">
            <v>279.61099999999999</v>
          </cell>
          <cell r="D2839">
            <v>27783562.153852999</v>
          </cell>
          <cell r="E2839">
            <v>2249009085</v>
          </cell>
          <cell r="F2839">
            <v>2.3273643985035463E-3</v>
          </cell>
          <cell r="G2839">
            <v>-4.1434586507983449E-3</v>
          </cell>
        </row>
        <row r="2840">
          <cell r="B2840">
            <v>285.87400000000002</v>
          </cell>
          <cell r="D2840">
            <v>24558685.924658999</v>
          </cell>
          <cell r="E2840">
            <v>2198579364</v>
          </cell>
          <cell r="F2840">
            <v>2.2151802801663848E-2</v>
          </cell>
          <cell r="G2840">
            <v>1.3175446748330008E-2</v>
          </cell>
        </row>
        <row r="2841">
          <cell r="B2841">
            <v>282.22500000000002</v>
          </cell>
          <cell r="D2841">
            <v>21279053.530572001</v>
          </cell>
          <cell r="E2841">
            <v>2089948592</v>
          </cell>
          <cell r="F2841">
            <v>-1.2846529156859621E-2</v>
          </cell>
          <cell r="G2841">
            <v>-2.0714988104920951E-3</v>
          </cell>
        </row>
        <row r="2842">
          <cell r="B2842">
            <v>284.84899999999999</v>
          </cell>
          <cell r="D2842">
            <v>24166870.165518001</v>
          </cell>
          <cell r="E2842">
            <v>2134208037</v>
          </cell>
          <cell r="F2842">
            <v>9.2545901530071053E-3</v>
          </cell>
          <cell r="G2842">
            <v>3.3007789687629755E-3</v>
          </cell>
        </row>
        <row r="2843">
          <cell r="B2843">
            <v>284.42399999999998</v>
          </cell>
          <cell r="D2843">
            <v>20441522.568918999</v>
          </cell>
          <cell r="E2843">
            <v>2125370001</v>
          </cell>
          <cell r="F2843">
            <v>-1.4931327463608209E-3</v>
          </cell>
          <cell r="G2843">
            <v>8.547842551524592E-4</v>
          </cell>
        </row>
        <row r="2844">
          <cell r="B2844">
            <v>284.50400000000002</v>
          </cell>
          <cell r="D2844">
            <v>17388173.141376</v>
          </cell>
          <cell r="E2844">
            <v>2167627544</v>
          </cell>
          <cell r="F2844">
            <v>2.8123066724538795E-4</v>
          </cell>
          <cell r="G2844">
            <v>-8.4242044291161936E-5</v>
          </cell>
        </row>
        <row r="2845">
          <cell r="B2845">
            <v>282.19499999999999</v>
          </cell>
          <cell r="D2845">
            <v>23566800.105082002</v>
          </cell>
          <cell r="E2845">
            <v>2452866920</v>
          </cell>
          <cell r="F2845">
            <v>-8.1489918902990198E-3</v>
          </cell>
          <cell r="G2845">
            <v>-5.9703399458197028E-3</v>
          </cell>
        </row>
        <row r="2846">
          <cell r="B2846">
            <v>281.85199999999998</v>
          </cell>
          <cell r="D2846">
            <v>21977073.728774998</v>
          </cell>
          <cell r="E2846">
            <v>2298537544</v>
          </cell>
          <cell r="F2846">
            <v>-1.2162108557605962E-3</v>
          </cell>
          <cell r="G2846">
            <v>9.0278599092536804E-4</v>
          </cell>
        </row>
        <row r="2847">
          <cell r="B2847">
            <v>277.91500000000002</v>
          </cell>
          <cell r="D2847">
            <v>26980152.027894001</v>
          </cell>
          <cell r="E2847">
            <v>2122318243</v>
          </cell>
          <cell r="F2847">
            <v>-1.4066798933200363E-2</v>
          </cell>
          <cell r="G2847">
            <v>8.5121206122392508E-4</v>
          </cell>
        </row>
        <row r="2848">
          <cell r="B2848">
            <v>271.65100000000001</v>
          </cell>
          <cell r="D2848">
            <v>46407171.329007998</v>
          </cell>
          <cell r="E2848">
            <v>2574200878</v>
          </cell>
          <cell r="F2848">
            <v>-2.2797157344050027E-2</v>
          </cell>
          <cell r="G2848">
            <v>-1.5937145594967939E-2</v>
          </cell>
        </row>
        <row r="2849">
          <cell r="B2849">
            <v>291.32900000000001</v>
          </cell>
          <cell r="D2849">
            <v>65495277.678542003</v>
          </cell>
          <cell r="E2849">
            <v>2706613848</v>
          </cell>
          <cell r="F2849">
            <v>6.9935058536735678E-2</v>
          </cell>
          <cell r="G2849">
            <v>-3.8486098771117832E-3</v>
          </cell>
        </row>
        <row r="2850">
          <cell r="B2850">
            <v>300.65899999999999</v>
          </cell>
          <cell r="D2850">
            <v>47107150.327191003</v>
          </cell>
          <cell r="E2850">
            <v>2719396344</v>
          </cell>
          <cell r="F2850">
            <v>3.152351944313081E-2</v>
          </cell>
          <cell r="G2850">
            <v>1.9377167380002121E-2</v>
          </cell>
        </row>
        <row r="2851">
          <cell r="B2851">
            <v>303.05500000000001</v>
          </cell>
          <cell r="D2851">
            <v>36975505.823959</v>
          </cell>
          <cell r="E2851">
            <v>2732583160</v>
          </cell>
          <cell r="F2851">
            <v>7.9375750106988364E-3</v>
          </cell>
          <cell r="G2851">
            <v>8.2193596125703667E-3</v>
          </cell>
        </row>
        <row r="2852">
          <cell r="B2852">
            <v>301.38</v>
          </cell>
          <cell r="D2852">
            <v>21589498.994644001</v>
          </cell>
          <cell r="E2852">
            <v>2224868817</v>
          </cell>
          <cell r="F2852">
            <v>-5.5423801987496734E-3</v>
          </cell>
          <cell r="G2852">
            <v>-3.8621384972729493E-4</v>
          </cell>
        </row>
        <row r="2853">
          <cell r="B2853">
            <v>301.23200000000003</v>
          </cell>
          <cell r="D2853">
            <v>26770703.385825001</v>
          </cell>
          <cell r="E2853">
            <v>2648056928</v>
          </cell>
          <cell r="F2853">
            <v>-4.9119500765226884E-4</v>
          </cell>
          <cell r="G2853">
            <v>-1.1653897528004022E-2</v>
          </cell>
        </row>
        <row r="2854">
          <cell r="B2854">
            <v>300.23500000000001</v>
          </cell>
          <cell r="D2854">
            <v>22670934.011696</v>
          </cell>
          <cell r="E2854">
            <v>2576228540</v>
          </cell>
          <cell r="F2854">
            <v>-3.3152306382506617E-3</v>
          </cell>
          <cell r="G2854">
            <v>-7.0228890905811598E-3</v>
          </cell>
        </row>
        <row r="2855">
          <cell r="B2855">
            <v>301.23200000000003</v>
          </cell>
          <cell r="D2855">
            <v>22832294.722555</v>
          </cell>
          <cell r="E2855">
            <v>2878155272</v>
          </cell>
          <cell r="F2855">
            <v>3.3152306382505125E-3</v>
          </cell>
          <cell r="G2855">
            <v>-7.2449062412514361E-3</v>
          </cell>
        </row>
        <row r="2856">
          <cell r="B2856">
            <v>306.399</v>
          </cell>
          <cell r="D2856">
            <v>28588190.953506</v>
          </cell>
          <cell r="E2856">
            <v>2466850794</v>
          </cell>
          <cell r="F2856">
            <v>1.700744217118233E-2</v>
          </cell>
          <cell r="G2856">
            <v>1.8306159168068423E-2</v>
          </cell>
        </row>
        <row r="2857">
          <cell r="B2857">
            <v>304.42700000000002</v>
          </cell>
          <cell r="D2857">
            <v>21614336.821732</v>
          </cell>
          <cell r="E2857">
            <v>2114263205</v>
          </cell>
          <cell r="F2857">
            <v>-6.4568530193808565E-3</v>
          </cell>
          <cell r="G2857">
            <v>4.5199816586328297E-4</v>
          </cell>
        </row>
        <row r="2858">
          <cell r="B2858">
            <v>302.8</v>
          </cell>
          <cell r="D2858">
            <v>21636860.99377</v>
          </cell>
          <cell r="E2858">
            <v>2062396327</v>
          </cell>
          <cell r="F2858">
            <v>-5.3587995708640097E-3</v>
          </cell>
          <cell r="G2858">
            <v>-4.5898916638410408E-3</v>
          </cell>
        </row>
        <row r="2859">
          <cell r="B2859">
            <v>308.03699999999998</v>
          </cell>
          <cell r="D2859">
            <v>30495275.370629001</v>
          </cell>
          <cell r="E2859">
            <v>2341053558</v>
          </cell>
          <cell r="F2859">
            <v>1.7147384065395486E-2</v>
          </cell>
          <cell r="G2859">
            <v>4.4738902330266894E-3</v>
          </cell>
        </row>
        <row r="2860">
          <cell r="B2860">
            <v>305.86799999999999</v>
          </cell>
          <cell r="D2860">
            <v>32119634.587802</v>
          </cell>
          <cell r="E2860">
            <v>2245650154</v>
          </cell>
          <cell r="F2860">
            <v>-7.0662692932317497E-3</v>
          </cell>
          <cell r="G2860">
            <v>-1.6980602174566785E-3</v>
          </cell>
        </row>
        <row r="2861">
          <cell r="B2861">
            <v>304.74299999999999</v>
          </cell>
          <cell r="D2861">
            <v>20049003.182868998</v>
          </cell>
          <cell r="E2861">
            <v>2076453332</v>
          </cell>
          <cell r="F2861">
            <v>-3.6848378851348442E-3</v>
          </cell>
          <cell r="G2861">
            <v>-1.5845521626198357E-3</v>
          </cell>
        </row>
        <row r="2862">
          <cell r="B2862">
            <v>305.226</v>
          </cell>
          <cell r="D2862">
            <v>16563161.466558</v>
          </cell>
          <cell r="E2862">
            <v>2051963971</v>
          </cell>
          <cell r="F2862">
            <v>1.5836873708324022E-3</v>
          </cell>
          <cell r="G2862">
            <v>2.9538685652344835E-3</v>
          </cell>
        </row>
        <row r="2863">
          <cell r="B2863">
            <v>307.47500000000002</v>
          </cell>
          <cell r="D2863">
            <v>27101140.370613001</v>
          </cell>
          <cell r="E2863">
            <v>2204940543</v>
          </cell>
          <cell r="F2863">
            <v>7.3412973073190904E-3</v>
          </cell>
          <cell r="G2863">
            <v>-6.398135861993161E-3</v>
          </cell>
        </row>
        <row r="2864">
          <cell r="B2864">
            <v>310.38099999999997</v>
          </cell>
          <cell r="D2864">
            <v>24598526.562755998</v>
          </cell>
          <cell r="E2864">
            <v>2448302781</v>
          </cell>
          <cell r="F2864">
            <v>9.4067919668925394E-3</v>
          </cell>
          <cell r="G2864">
            <v>1.1820660164447881E-2</v>
          </cell>
        </row>
        <row r="2865">
          <cell r="B2865">
            <v>314.84800000000001</v>
          </cell>
          <cell r="D2865">
            <v>27594030.763340998</v>
          </cell>
          <cell r="E2865">
            <v>2416803411</v>
          </cell>
          <cell r="F2865">
            <v>1.4289407587988233E-2</v>
          </cell>
          <cell r="G2865">
            <v>9.4007742847056677E-3</v>
          </cell>
        </row>
        <row r="2866">
          <cell r="B2866">
            <v>314.67099999999999</v>
          </cell>
          <cell r="D2866">
            <v>27867897.258894999</v>
          </cell>
          <cell r="E2866">
            <v>2350593331</v>
          </cell>
          <cell r="F2866">
            <v>-5.6233411434526909E-4</v>
          </cell>
          <cell r="G2866">
            <v>-1.4469557460591439E-3</v>
          </cell>
        </row>
        <row r="2867">
          <cell r="B2867">
            <v>317.47899999999998</v>
          </cell>
          <cell r="D2867">
            <v>24396854.152591001</v>
          </cell>
          <cell r="E2867">
            <v>2222520734</v>
          </cell>
          <cell r="F2867">
            <v>8.8840258439923554E-3</v>
          </cell>
          <cell r="G2867">
            <v>1.550459714410593E-4</v>
          </cell>
        </row>
        <row r="2868">
          <cell r="B2868">
            <v>311.62599999999998</v>
          </cell>
          <cell r="D2868">
            <v>31156269.965991002</v>
          </cell>
          <cell r="E2868">
            <v>2437496305</v>
          </cell>
          <cell r="F2868">
            <v>-1.8607923589270499E-2</v>
          </cell>
          <cell r="G2868">
            <v>-1.1285515564489972E-2</v>
          </cell>
        </row>
        <row r="2869">
          <cell r="B2869">
            <v>310.233</v>
          </cell>
          <cell r="D2869">
            <v>23657556.247003</v>
          </cell>
          <cell r="E2869">
            <v>2295840859</v>
          </cell>
          <cell r="F2869">
            <v>-4.4801227608374716E-3</v>
          </cell>
          <cell r="G2869">
            <v>-7.3455507858671458E-3</v>
          </cell>
        </row>
        <row r="2870">
          <cell r="B2870">
            <v>322.16300000000001</v>
          </cell>
          <cell r="D2870">
            <v>43806644.035345003</v>
          </cell>
          <cell r="E2870">
            <v>2827444614</v>
          </cell>
          <cell r="F2870">
            <v>3.7734000579981442E-2</v>
          </cell>
          <cell r="G2870">
            <v>8.719564785563249E-3</v>
          </cell>
        </row>
        <row r="2871">
          <cell r="B2871">
            <v>329.053</v>
          </cell>
          <cell r="D2871">
            <v>37057748.474936999</v>
          </cell>
          <cell r="E2871">
            <v>2591254017</v>
          </cell>
          <cell r="F2871">
            <v>2.1161203373139127E-2</v>
          </cell>
          <cell r="G2871">
            <v>1.296458273531355E-2</v>
          </cell>
        </row>
        <row r="2872">
          <cell r="B2872">
            <v>327.39299999999997</v>
          </cell>
          <cell r="D2872">
            <v>29847077.643962</v>
          </cell>
          <cell r="E2872">
            <v>2568042721</v>
          </cell>
          <cell r="F2872">
            <v>-5.0575478817690665E-3</v>
          </cell>
          <cell r="G2872">
            <v>1.6644929182328236E-5</v>
          </cell>
        </row>
        <row r="2873">
          <cell r="B2873">
            <v>324.60399999999998</v>
          </cell>
          <cell r="D2873">
            <v>46486339.325838998</v>
          </cell>
          <cell r="E2873">
            <v>4396247534</v>
          </cell>
          <cell r="F2873">
            <v>-8.5553062707773089E-3</v>
          </cell>
          <cell r="G2873">
            <v>-6.1273722329718457E-3</v>
          </cell>
        </row>
        <row r="2874">
          <cell r="B2874">
            <v>328.74700000000001</v>
          </cell>
          <cell r="D2874">
            <v>27086035.779491998</v>
          </cell>
          <cell r="E2874">
            <v>2593535081</v>
          </cell>
          <cell r="F2874">
            <v>1.2682480111583511E-2</v>
          </cell>
          <cell r="G2874">
            <v>9.806229149665344E-3</v>
          </cell>
        </row>
        <row r="2875">
          <cell r="B2875">
            <v>331.53300000000002</v>
          </cell>
          <cell r="D2875">
            <v>26175458.767000001</v>
          </cell>
          <cell r="E2875">
            <v>2727572445</v>
          </cell>
          <cell r="F2875">
            <v>8.4388942076530186E-3</v>
          </cell>
          <cell r="G2875">
            <v>1.442978965214366E-2</v>
          </cell>
        </row>
        <row r="2876">
          <cell r="B2876">
            <v>332.06700000000001</v>
          </cell>
          <cell r="D2876">
            <v>21555494.572429001</v>
          </cell>
          <cell r="E2876">
            <v>2188378526</v>
          </cell>
          <cell r="F2876">
            <v>1.6094036023597876E-3</v>
          </cell>
          <cell r="G2876">
            <v>-2.0055732655681105E-3</v>
          </cell>
        </row>
        <row r="2877">
          <cell r="B2877">
            <v>329.83499999999998</v>
          </cell>
          <cell r="D2877">
            <v>20634044.237585001</v>
          </cell>
          <cell r="E2877">
            <v>2246423347</v>
          </cell>
          <cell r="F2877">
            <v>-6.744226366220997E-3</v>
          </cell>
          <cell r="G2877">
            <v>2.3511165774900327E-3</v>
          </cell>
        </row>
        <row r="2878">
          <cell r="B2878">
            <v>319.65300000000002</v>
          </cell>
          <cell r="D2878">
            <v>41191893.274232</v>
          </cell>
          <cell r="E2878">
            <v>2720308985</v>
          </cell>
          <cell r="F2878">
            <v>-3.1356496985015268E-2</v>
          </cell>
          <cell r="G2878">
            <v>-3.8192757067673886E-3</v>
          </cell>
        </row>
        <row r="2879">
          <cell r="B2879">
            <v>321.51100000000002</v>
          </cell>
          <cell r="D2879">
            <v>23549127.533149999</v>
          </cell>
          <cell r="E2879">
            <v>2225615199</v>
          </cell>
          <cell r="F2879">
            <v>5.7957252775127843E-3</v>
          </cell>
          <cell r="G2879">
            <v>6.16953524709693E-3</v>
          </cell>
        </row>
        <row r="2880">
          <cell r="B2880">
            <v>323.02300000000002</v>
          </cell>
          <cell r="D2880">
            <v>22791638.967976</v>
          </cell>
          <cell r="E2880">
            <v>2136702819</v>
          </cell>
          <cell r="F2880">
            <v>4.691770406527458E-3</v>
          </cell>
          <cell r="G2880">
            <v>1.1474737636884458E-3</v>
          </cell>
        </row>
        <row r="2881">
          <cell r="B2881">
            <v>328.02499999999998</v>
          </cell>
          <cell r="D2881">
            <v>24590171.262299001</v>
          </cell>
          <cell r="E2881">
            <v>2453364699</v>
          </cell>
          <cell r="F2881">
            <v>1.5366296873910931E-2</v>
          </cell>
          <cell r="G2881">
            <v>9.2779026656844323E-3</v>
          </cell>
        </row>
        <row r="2882">
          <cell r="B2882">
            <v>330.43799999999999</v>
          </cell>
          <cell r="D2882">
            <v>23218892.350566</v>
          </cell>
          <cell r="E2882">
            <v>2543848564</v>
          </cell>
          <cell r="F2882">
            <v>7.3292221481958937E-3</v>
          </cell>
          <cell r="G2882">
            <v>6.9086648833658285E-3</v>
          </cell>
        </row>
        <row r="2883">
          <cell r="B2883">
            <v>333.452</v>
          </cell>
          <cell r="D2883">
            <v>26306996.831664</v>
          </cell>
          <cell r="E2883">
            <v>2632647795</v>
          </cell>
          <cell r="F2883">
            <v>9.0798798210875373E-3</v>
          </cell>
          <cell r="G2883">
            <v>8.1907206921961594E-4</v>
          </cell>
        </row>
        <row r="2884">
          <cell r="B2884">
            <v>344.08800000000002</v>
          </cell>
          <cell r="D2884">
            <v>39352640.650728002</v>
          </cell>
          <cell r="E2884">
            <v>2574876443</v>
          </cell>
          <cell r="F2884">
            <v>3.139851165101392E-2</v>
          </cell>
          <cell r="G2884">
            <v>1.2104580063652602E-2</v>
          </cell>
        </row>
        <row r="2885">
          <cell r="B2885">
            <v>338.38499999999999</v>
          </cell>
          <cell r="D2885">
            <v>47094784.060626</v>
          </cell>
          <cell r="E2885">
            <v>4185054291</v>
          </cell>
          <cell r="F2885">
            <v>-1.6713138103579987E-2</v>
          </cell>
          <cell r="G2885">
            <v>-3.6783763376504303E-3</v>
          </cell>
        </row>
        <row r="2886">
          <cell r="B2886">
            <v>334.15499999999997</v>
          </cell>
          <cell r="D2886">
            <v>26682945.897498</v>
          </cell>
          <cell r="E2886">
            <v>2438264940</v>
          </cell>
          <cell r="F2886">
            <v>-1.2579343323549753E-2</v>
          </cell>
          <cell r="G2886">
            <v>-4.7463803686906532E-3</v>
          </cell>
        </row>
        <row r="2887">
          <cell r="B2887">
            <v>329.71600000000001</v>
          </cell>
          <cell r="D2887">
            <v>25410674.109453999</v>
          </cell>
          <cell r="E2887">
            <v>2342110707</v>
          </cell>
          <cell r="F2887">
            <v>-1.3373279319027232E-2</v>
          </cell>
          <cell r="G2887">
            <v>-5.2590818461865788E-3</v>
          </cell>
        </row>
        <row r="2888">
          <cell r="B2888">
            <v>335.79500000000002</v>
          </cell>
          <cell r="D2888">
            <v>23831437.343587998</v>
          </cell>
          <cell r="E2888">
            <v>2101340593</v>
          </cell>
          <cell r="F2888">
            <v>1.8269176851300056E-2</v>
          </cell>
          <cell r="G2888">
            <v>3.7038857650539521E-3</v>
          </cell>
        </row>
        <row r="2889">
          <cell r="B2889">
            <v>331.15800000000002</v>
          </cell>
          <cell r="D2889">
            <v>23416795.315338001</v>
          </cell>
          <cell r="E2889">
            <v>3062977301</v>
          </cell>
          <cell r="F2889">
            <v>-1.3905251841588051E-2</v>
          </cell>
          <cell r="G2889">
            <v>-7.688274822307147E-3</v>
          </cell>
        </row>
        <row r="2890">
          <cell r="B2890">
            <v>324.81299999999999</v>
          </cell>
          <cell r="D2890">
            <v>21771513.333942998</v>
          </cell>
          <cell r="E2890">
            <v>2249250625</v>
          </cell>
          <cell r="F2890">
            <v>-1.9345970758531113E-2</v>
          </cell>
          <cell r="G2890">
            <v>-4.4968757892660969E-3</v>
          </cell>
        </row>
        <row r="2891">
          <cell r="B2891">
            <v>330.714</v>
          </cell>
          <cell r="D2891">
            <v>24638080.447884999</v>
          </cell>
          <cell r="E2891">
            <v>2289549269</v>
          </cell>
          <cell r="F2891">
            <v>1.8004321416661782E-2</v>
          </cell>
          <cell r="G2891">
            <v>1.1390657230512101E-2</v>
          </cell>
        </row>
        <row r="2892">
          <cell r="B2892">
            <v>331.97800000000001</v>
          </cell>
          <cell r="D2892">
            <v>20495750.307023</v>
          </cell>
          <cell r="E2892">
            <v>2283456075</v>
          </cell>
          <cell r="F2892">
            <v>3.8147481268590313E-3</v>
          </cell>
          <cell r="G2892">
            <v>-3.5407246519950932E-4</v>
          </cell>
        </row>
        <row r="2893">
          <cell r="B2893">
            <v>331.18799999999999</v>
          </cell>
          <cell r="D2893">
            <v>17195228.574236002</v>
          </cell>
          <cell r="E2893">
            <v>2158939109</v>
          </cell>
          <cell r="F2893">
            <v>-2.3825116899654141E-3</v>
          </cell>
          <cell r="G2893">
            <v>4.4635502053141703E-3</v>
          </cell>
        </row>
        <row r="2894">
          <cell r="B2894">
            <v>336.61599999999999</v>
          </cell>
          <cell r="D2894">
            <v>27145627.615481</v>
          </cell>
          <cell r="E2894">
            <v>2491966612</v>
          </cell>
          <cell r="F2894">
            <v>1.6256624821518167E-2</v>
          </cell>
          <cell r="G2894">
            <v>1.2194363266362706E-2</v>
          </cell>
        </row>
        <row r="2895">
          <cell r="B2895">
            <v>334.09500000000003</v>
          </cell>
          <cell r="D2895">
            <v>12654544.132133</v>
          </cell>
          <cell r="E2895">
            <v>1236150700</v>
          </cell>
          <cell r="F2895">
            <v>-7.5174311206165738E-3</v>
          </cell>
          <cell r="G2895">
            <v>1.1700018289601843E-3</v>
          </cell>
        </row>
        <row r="2896">
          <cell r="B2896">
            <v>334.25299999999999</v>
          </cell>
          <cell r="D2896">
            <v>18384269.065606002</v>
          </cell>
          <cell r="E2896">
            <v>2115015525</v>
          </cell>
          <cell r="F2896">
            <v>4.728075880927905E-4</v>
          </cell>
          <cell r="G2896">
            <v>-1.9702536362673942E-3</v>
          </cell>
        </row>
        <row r="2897">
          <cell r="B2897">
            <v>337.33699999999999</v>
          </cell>
          <cell r="D2897">
            <v>28524295.692311</v>
          </cell>
          <cell r="E2897">
            <v>2224381526</v>
          </cell>
          <cell r="F2897">
            <v>9.184239425794721E-3</v>
          </cell>
          <cell r="G2897">
            <v>-7.9540652874783013E-3</v>
          </cell>
        </row>
        <row r="2898">
          <cell r="B2898">
            <v>333.33300000000003</v>
          </cell>
          <cell r="D2898">
            <v>21462190.176513001</v>
          </cell>
          <cell r="E2898">
            <v>2111125773</v>
          </cell>
          <cell r="F2898">
            <v>-1.194044037191775E-2</v>
          </cell>
          <cell r="G2898">
            <v>-2.8692926136023467E-3</v>
          </cell>
        </row>
        <row r="2899">
          <cell r="B2899">
            <v>328.005</v>
          </cell>
          <cell r="D2899">
            <v>33173799.349050999</v>
          </cell>
          <cell r="E2899">
            <v>2168941075</v>
          </cell>
          <cell r="F2899">
            <v>-1.6113138143131832E-2</v>
          </cell>
          <cell r="G2899">
            <v>2.4022317330228151E-3</v>
          </cell>
        </row>
        <row r="2900">
          <cell r="B2900">
            <v>328.63799999999998</v>
          </cell>
          <cell r="D2900">
            <v>27009520.893975001</v>
          </cell>
          <cell r="E2900">
            <v>2129927844</v>
          </cell>
          <cell r="F2900">
            <v>1.9279888648144887E-3</v>
          </cell>
          <cell r="G2900">
            <v>6.7195880716203853E-3</v>
          </cell>
        </row>
        <row r="2901">
          <cell r="B2901">
            <v>333.31400000000002</v>
          </cell>
          <cell r="D2901">
            <v>30345008.633506998</v>
          </cell>
          <cell r="E2901">
            <v>2330249912</v>
          </cell>
          <cell r="F2901">
            <v>1.4128147596752377E-2</v>
          </cell>
          <cell r="G2901">
            <v>7.383817501052891E-3</v>
          </cell>
        </row>
        <row r="2902">
          <cell r="B2902">
            <v>338.71</v>
          </cell>
          <cell r="D2902">
            <v>20806973.362050001</v>
          </cell>
          <cell r="E2902">
            <v>2254150794</v>
          </cell>
          <cell r="F2902">
            <v>1.605929540900497E-2</v>
          </cell>
          <cell r="G2902">
            <v>8.434509266769535E-3</v>
          </cell>
        </row>
        <row r="2903">
          <cell r="B2903">
            <v>341.26100000000002</v>
          </cell>
          <cell r="D2903">
            <v>28683323.595856</v>
          </cell>
          <cell r="E2903">
            <v>2379047405</v>
          </cell>
          <cell r="F2903">
            <v>7.5032963709185611E-3</v>
          </cell>
          <cell r="G2903">
            <v>-1.0249061954501163E-3</v>
          </cell>
        </row>
        <row r="2904">
          <cell r="B2904">
            <v>341.745</v>
          </cell>
          <cell r="D2904">
            <v>20601371.664202001</v>
          </cell>
          <cell r="E2904">
            <v>2359710601</v>
          </cell>
          <cell r="F2904">
            <v>1.417264507237305E-3</v>
          </cell>
          <cell r="G2904">
            <v>3.8479435973795429E-3</v>
          </cell>
        </row>
        <row r="2905">
          <cell r="B2905">
            <v>355.346</v>
          </cell>
          <cell r="D2905">
            <v>65629124.803242996</v>
          </cell>
          <cell r="E2905">
            <v>2538849602</v>
          </cell>
          <cell r="F2905">
            <v>3.9027117782757491E-2</v>
          </cell>
          <cell r="G2905">
            <v>7.0920798661324126E-3</v>
          </cell>
        </row>
        <row r="2906">
          <cell r="B2906">
            <v>350.98700000000002</v>
          </cell>
          <cell r="D2906">
            <v>40196189.11411</v>
          </cell>
          <cell r="E2906">
            <v>2597461645</v>
          </cell>
          <cell r="F2906">
            <v>-1.2342776958939865E-2</v>
          </cell>
          <cell r="G2906">
            <v>2.3550834835142126E-3</v>
          </cell>
        </row>
        <row r="2907">
          <cell r="B2907">
            <v>342.87200000000001</v>
          </cell>
          <cell r="D2907">
            <v>34172253.201223001</v>
          </cell>
          <cell r="E2907">
            <v>2595426819</v>
          </cell>
          <cell r="F2907">
            <v>-2.339198606774559E-2</v>
          </cell>
          <cell r="G2907">
            <v>-6.7798061818515913E-3</v>
          </cell>
        </row>
        <row r="2908">
          <cell r="B2908">
            <v>339.80799999999999</v>
          </cell>
          <cell r="D2908">
            <v>70214653.100942001</v>
          </cell>
          <cell r="E2908">
            <v>3277670172</v>
          </cell>
          <cell r="F2908">
            <v>-8.9764474537602917E-3</v>
          </cell>
          <cell r="G2908">
            <v>3.2410230010493271E-4</v>
          </cell>
        </row>
        <row r="2909">
          <cell r="B2909">
            <v>341.13200000000001</v>
          </cell>
          <cell r="D2909">
            <v>27030754.62703</v>
          </cell>
          <cell r="E2909">
            <v>2156130111</v>
          </cell>
          <cell r="F2909">
            <v>3.8887469336480202E-3</v>
          </cell>
          <cell r="G2909">
            <v>4.0259740353417468E-3</v>
          </cell>
        </row>
        <row r="2910">
          <cell r="B2910">
            <v>346.935</v>
          </cell>
          <cell r="D2910">
            <v>42123237.644488998</v>
          </cell>
          <cell r="E2910">
            <v>2305628861</v>
          </cell>
          <cell r="F2910">
            <v>1.6867943360488958E-2</v>
          </cell>
          <cell r="G2910">
            <v>2.8107581456501534E-3</v>
          </cell>
        </row>
        <row r="2911">
          <cell r="B2911">
            <v>333.87599999999998</v>
          </cell>
          <cell r="D2911">
            <v>59064459.621859998</v>
          </cell>
          <cell r="E2911">
            <v>2320509101</v>
          </cell>
          <cell r="F2911">
            <v>-3.8367775957023634E-2</v>
          </cell>
          <cell r="G2911">
            <v>-1.5545953102232801E-4</v>
          </cell>
        </row>
        <row r="2912">
          <cell r="B2912">
            <v>326.90899999999999</v>
          </cell>
          <cell r="D2912">
            <v>40097411.637254998</v>
          </cell>
          <cell r="E2912">
            <v>2680598316</v>
          </cell>
          <cell r="F2912">
            <v>-2.1087821852209872E-2</v>
          </cell>
          <cell r="G2912">
            <v>-6.4454274911412875E-3</v>
          </cell>
        </row>
        <row r="2913">
          <cell r="B2913">
            <v>334.47</v>
          </cell>
          <cell r="D2913">
            <v>28817003.344872002</v>
          </cell>
          <cell r="E2913">
            <v>2363048132</v>
          </cell>
          <cell r="F2913">
            <v>2.2865344741251223E-2</v>
          </cell>
          <cell r="G2913">
            <v>9.8294145087675765E-3</v>
          </cell>
        </row>
        <row r="2914">
          <cell r="B2914">
            <v>332.048</v>
          </cell>
          <cell r="D2914">
            <v>25742724.210191</v>
          </cell>
          <cell r="E2914">
            <v>2415231060</v>
          </cell>
          <cell r="F2914">
            <v>-7.2676526682854421E-3</v>
          </cell>
          <cell r="G2914">
            <v>1.4676396864565879E-3</v>
          </cell>
        </row>
        <row r="2915">
          <cell r="B2915">
            <v>332.464</v>
          </cell>
          <cell r="D2915">
            <v>18595579.561188001</v>
          </cell>
          <cell r="E2915">
            <v>2179828757</v>
          </cell>
          <cell r="F2915">
            <v>1.2520467782196839E-3</v>
          </cell>
          <cell r="G2915">
            <v>-2.668649552448092E-3</v>
          </cell>
        </row>
        <row r="2916">
          <cell r="B2916">
            <v>323.72500000000002</v>
          </cell>
          <cell r="D2916">
            <v>28084954.995292999</v>
          </cell>
          <cell r="E2916">
            <v>2467424038</v>
          </cell>
          <cell r="F2916">
            <v>-2.6637193602620419E-2</v>
          </cell>
          <cell r="G2916">
            <v>-1.3936235197657028E-2</v>
          </cell>
        </row>
        <row r="2917">
          <cell r="B2917">
            <v>322.89600000000002</v>
          </cell>
          <cell r="D2917">
            <v>18574434.854219001</v>
          </cell>
          <cell r="E2917">
            <v>2363725888</v>
          </cell>
          <cell r="F2917">
            <v>-2.564100003544084E-3</v>
          </cell>
          <cell r="G2917">
            <v>-2.5512255276715053E-3</v>
          </cell>
        </row>
        <row r="2918">
          <cell r="B2918">
            <v>324</v>
          </cell>
          <cell r="D2918">
            <v>24018311.190357</v>
          </cell>
          <cell r="E2918">
            <v>2411632698</v>
          </cell>
          <cell r="F2918">
            <v>3.4132258409697493E-3</v>
          </cell>
          <cell r="G2918">
            <v>-5.3140910274567365E-3</v>
          </cell>
        </row>
        <row r="2919">
          <cell r="B2919">
            <v>326.30599999999998</v>
          </cell>
          <cell r="D2919">
            <v>17948393.304302</v>
          </cell>
          <cell r="E2919">
            <v>2051647102</v>
          </cell>
          <cell r="F2919">
            <v>7.092075624404076E-3</v>
          </cell>
          <cell r="G2919">
            <v>8.9835839552586446E-3</v>
          </cell>
        </row>
        <row r="2920">
          <cell r="B2920">
            <v>322.29199999999997</v>
          </cell>
          <cell r="D2920">
            <v>22587914.911203999</v>
          </cell>
          <cell r="E2920">
            <v>2169756994</v>
          </cell>
          <cell r="F2920">
            <v>-1.2377624498189629E-2</v>
          </cell>
          <cell r="G2920">
            <v>-4.227192022498048E-3</v>
          </cell>
        </row>
        <row r="2921">
          <cell r="B2921">
            <v>318.51600000000002</v>
          </cell>
          <cell r="D2921">
            <v>22634141.706106</v>
          </cell>
          <cell r="E2921">
            <v>2058789858</v>
          </cell>
          <cell r="F2921">
            <v>-1.1785257689278185E-2</v>
          </cell>
          <cell r="G2921">
            <v>-7.0636364040070568E-3</v>
          </cell>
        </row>
        <row r="2922">
          <cell r="B2922">
            <v>319.20800000000003</v>
          </cell>
          <cell r="D2922">
            <v>20348252.293212</v>
          </cell>
          <cell r="E2922">
            <v>2116254445</v>
          </cell>
          <cell r="F2922">
            <v>2.1702186889667346E-3</v>
          </cell>
          <cell r="G2922">
            <v>2.5065629558288107E-4</v>
          </cell>
        </row>
        <row r="2923">
          <cell r="B2923">
            <v>317.31</v>
          </cell>
          <cell r="D2923">
            <v>24639477.550430998</v>
          </cell>
          <cell r="E2923">
            <v>1849920370</v>
          </cell>
          <cell r="F2923">
            <v>-5.9637139101610366E-3</v>
          </cell>
          <cell r="G2923">
            <v>-1.0702036647139679E-3</v>
          </cell>
        </row>
        <row r="2924">
          <cell r="B2924">
            <v>320.30500000000001</v>
          </cell>
          <cell r="D2924">
            <v>19055769.560437001</v>
          </cell>
          <cell r="E2924">
            <v>1957703753</v>
          </cell>
          <cell r="F2924">
            <v>9.3944528504834486E-3</v>
          </cell>
          <cell r="G2924">
            <v>5.7339132747375263E-3</v>
          </cell>
        </row>
        <row r="2925">
          <cell r="B2925">
            <v>318.149</v>
          </cell>
          <cell r="D2925">
            <v>17164112.945689</v>
          </cell>
          <cell r="E2925">
            <v>1976890010</v>
          </cell>
          <cell r="F2925">
            <v>-6.7538403561532108E-3</v>
          </cell>
          <cell r="G2925">
            <v>-1.1618060736365813E-2</v>
          </cell>
        </row>
        <row r="2926">
          <cell r="B2926">
            <v>317.37799999999999</v>
          </cell>
          <cell r="D2926">
            <v>20895973.244406998</v>
          </cell>
          <cell r="E2926">
            <v>2007563221</v>
          </cell>
          <cell r="F2926">
            <v>-2.4263339818636387E-3</v>
          </cell>
          <cell r="G2926">
            <v>-7.5841303382103969E-3</v>
          </cell>
        </row>
        <row r="2927">
          <cell r="B2927">
            <v>313.89100000000002</v>
          </cell>
          <cell r="D2927">
            <v>21459586.743894</v>
          </cell>
          <cell r="E2927">
            <v>2222818962</v>
          </cell>
          <cell r="F2927">
            <v>-1.1047700635116059E-2</v>
          </cell>
          <cell r="G2927">
            <v>-7.7427623561250646E-3</v>
          </cell>
        </row>
        <row r="2928">
          <cell r="B2928">
            <v>313.49400000000003</v>
          </cell>
          <cell r="D2928">
            <v>24990746.758710001</v>
          </cell>
          <cell r="E2928">
            <v>2159681725</v>
          </cell>
          <cell r="F2928">
            <v>-1.2655707515753969E-3</v>
          </cell>
          <cell r="G2928">
            <v>-1.4874022775515319E-4</v>
          </cell>
        </row>
        <row r="2929">
          <cell r="B2929">
            <v>318.84399999999999</v>
          </cell>
          <cell r="D2929">
            <v>24268881.488990001</v>
          </cell>
          <cell r="E2929">
            <v>2058836126</v>
          </cell>
          <cell r="F2929">
            <v>1.6921733824537676E-2</v>
          </cell>
          <cell r="G2929">
            <v>6.8556214812669266E-3</v>
          </cell>
        </row>
        <row r="2930">
          <cell r="B2930">
            <v>319.41899999999998</v>
          </cell>
          <cell r="D2930">
            <v>16255358.877898</v>
          </cell>
          <cell r="E2930">
            <v>1904585562</v>
          </cell>
          <cell r="F2930">
            <v>1.8017655905315118E-3</v>
          </cell>
          <cell r="G2930">
            <v>-2.7812820922299762E-3</v>
          </cell>
        </row>
        <row r="2931">
          <cell r="B2931">
            <v>323.91699999999997</v>
          </cell>
          <cell r="D2931">
            <v>21367943.281955</v>
          </cell>
          <cell r="E2931">
            <v>2021761268</v>
          </cell>
          <cell r="F2931">
            <v>1.3983589586041057E-2</v>
          </cell>
          <cell r="G2931">
            <v>1.0984339030271489E-2</v>
          </cell>
        </row>
        <row r="2932">
          <cell r="B2932">
            <v>316.95299999999997</v>
          </cell>
          <cell r="D2932">
            <v>23503136.305231001</v>
          </cell>
          <cell r="E2932">
            <v>2082566773</v>
          </cell>
          <cell r="F2932">
            <v>-2.1733812234242363E-2</v>
          </cell>
          <cell r="G2932">
            <v>-1.3549420207499292E-2</v>
          </cell>
        </row>
        <row r="2933">
          <cell r="B2933">
            <v>319.93400000000003</v>
          </cell>
          <cell r="D2933">
            <v>21890595.397551</v>
          </cell>
          <cell r="E2933">
            <v>1892067072</v>
          </cell>
          <cell r="F2933">
            <v>9.3612266206020475E-3</v>
          </cell>
          <cell r="G2933">
            <v>6.6955233154781116E-3</v>
          </cell>
        </row>
        <row r="2934">
          <cell r="B2934">
            <v>320.64600000000002</v>
          </cell>
          <cell r="D2934">
            <v>14949498.854734</v>
          </cell>
          <cell r="E2934">
            <v>1631738412</v>
          </cell>
          <cell r="F2934">
            <v>2.2229863349016066E-3</v>
          </cell>
          <cell r="G2934">
            <v>6.2450565111568821E-3</v>
          </cell>
        </row>
        <row r="2935">
          <cell r="B2935">
            <v>325.31200000000001</v>
          </cell>
          <cell r="D2935">
            <v>19468231.525621999</v>
          </cell>
          <cell r="E2935">
            <v>1884706898</v>
          </cell>
          <cell r="F2935">
            <v>1.444701096821977E-2</v>
          </cell>
          <cell r="G2935">
            <v>1.4404107984150809E-2</v>
          </cell>
        </row>
        <row r="2936">
          <cell r="B2936">
            <v>325.68799999999999</v>
          </cell>
          <cell r="D2936">
            <v>15367065.71353</v>
          </cell>
          <cell r="E2936">
            <v>1788662114</v>
          </cell>
          <cell r="F2936">
            <v>1.1551460577879644E-3</v>
          </cell>
          <cell r="G2936">
            <v>3.8258021699069606E-3</v>
          </cell>
        </row>
        <row r="2937">
          <cell r="B2937">
            <v>324.66800000000001</v>
          </cell>
          <cell r="D2937">
            <v>26662457.811368998</v>
          </cell>
          <cell r="E2937">
            <v>2319094206</v>
          </cell>
          <cell r="F2937">
            <v>-3.1367461400519875E-3</v>
          </cell>
          <cell r="G2937">
            <v>-1.5982216816604765E-3</v>
          </cell>
        </row>
        <row r="2938">
          <cell r="B2938">
            <v>325.56</v>
          </cell>
          <cell r="D2938">
            <v>15084312.536248</v>
          </cell>
          <cell r="E2938">
            <v>1927089047</v>
          </cell>
          <cell r="F2938">
            <v>2.7436547166674215E-3</v>
          </cell>
          <cell r="G2938">
            <v>1.7975431036151848E-3</v>
          </cell>
        </row>
        <row r="2939">
          <cell r="B2939">
            <v>330.404</v>
          </cell>
          <cell r="D2939">
            <v>18730541.987449002</v>
          </cell>
          <cell r="E2939">
            <v>2126482524</v>
          </cell>
          <cell r="F2939">
            <v>1.4769371652229092E-2</v>
          </cell>
          <cell r="G2939">
            <v>-4.203010869610265E-3</v>
          </cell>
        </row>
        <row r="2940">
          <cell r="B2940">
            <v>329.74</v>
          </cell>
          <cell r="D2940">
            <v>17702761.051428001</v>
          </cell>
          <cell r="E2940">
            <v>2134658586</v>
          </cell>
          <cell r="F2940">
            <v>-2.0116829780372292E-3</v>
          </cell>
          <cell r="G2940">
            <v>-6.9959927442528732E-3</v>
          </cell>
        </row>
        <row r="2941">
          <cell r="B2941">
            <v>326.798</v>
          </cell>
          <cell r="D2941">
            <v>18556031.853998002</v>
          </cell>
          <cell r="E2941">
            <v>2443175221</v>
          </cell>
          <cell r="F2941">
            <v>-8.9622221169521014E-3</v>
          </cell>
          <cell r="G2941">
            <v>-3.2164682050081963E-3</v>
          </cell>
        </row>
        <row r="2942">
          <cell r="B2942">
            <v>331.11599999999999</v>
          </cell>
          <cell r="D2942">
            <v>19734316.473467</v>
          </cell>
          <cell r="E2942">
            <v>2079878833</v>
          </cell>
          <cell r="F2942">
            <v>1.3126524138818372E-2</v>
          </cell>
          <cell r="G2942">
            <v>1.4255841976643817E-3</v>
          </cell>
        </row>
        <row r="2943">
          <cell r="B2943">
            <v>334.75099999999998</v>
          </cell>
          <cell r="D2943">
            <v>16741242.157412</v>
          </cell>
          <cell r="E2943">
            <v>2165432407</v>
          </cell>
          <cell r="F2943">
            <v>1.091820471587914E-2</v>
          </cell>
          <cell r="G2943">
            <v>6.7010127829867268E-3</v>
          </cell>
        </row>
        <row r="2944">
          <cell r="B2944">
            <v>328.64</v>
          </cell>
          <cell r="D2944">
            <v>17732752.961569</v>
          </cell>
          <cell r="E2944">
            <v>2188365100</v>
          </cell>
          <cell r="F2944">
            <v>-1.8424045130584616E-2</v>
          </cell>
          <cell r="G2944">
            <v>-5.7121558411206055E-3</v>
          </cell>
        </row>
        <row r="2945">
          <cell r="B2945">
            <v>332.89</v>
          </cell>
          <cell r="D2945">
            <v>16701959.609786</v>
          </cell>
          <cell r="E2945">
            <v>2265557149</v>
          </cell>
          <cell r="F2945">
            <v>1.284917833883863E-2</v>
          </cell>
          <cell r="G2945">
            <v>1.2408533465711885E-3</v>
          </cell>
        </row>
        <row r="2946">
          <cell r="B2946">
            <v>335.505</v>
          </cell>
          <cell r="D2946">
            <v>20460045.186592001</v>
          </cell>
          <cell r="E2946">
            <v>2273685163</v>
          </cell>
          <cell r="F2946">
            <v>7.8247543513112281E-3</v>
          </cell>
          <cell r="G2946">
            <v>8.394550741111827E-3</v>
          </cell>
        </row>
        <row r="2947">
          <cell r="B2947">
            <v>327.10500000000002</v>
          </cell>
          <cell r="D2947">
            <v>38038605.668738</v>
          </cell>
          <cell r="E2947">
            <v>4239330106</v>
          </cell>
          <cell r="F2947">
            <v>-2.5355639157524947E-2</v>
          </cell>
          <cell r="G2947">
            <v>-1.2234084667107637E-2</v>
          </cell>
        </row>
        <row r="2948">
          <cell r="B2948">
            <v>325.95600000000002</v>
          </cell>
          <cell r="D2948">
            <v>16994515.252565999</v>
          </cell>
          <cell r="E2948">
            <v>1925329039</v>
          </cell>
          <cell r="F2948">
            <v>-3.5188173404428246E-3</v>
          </cell>
          <cell r="G2948">
            <v>7.2103643683838804E-4</v>
          </cell>
        </row>
        <row r="2949">
          <cell r="B2949">
            <v>325.55</v>
          </cell>
          <cell r="D2949">
            <v>16671749.642739</v>
          </cell>
          <cell r="E2949">
            <v>2013002833</v>
          </cell>
          <cell r="F2949">
            <v>-1.2463432495042255E-3</v>
          </cell>
          <cell r="G2949">
            <v>-2.1534195529618974E-3</v>
          </cell>
        </row>
        <row r="2950">
          <cell r="B2950">
            <v>317.74400000000003</v>
          </cell>
          <cell r="D2950">
            <v>21640658.774948999</v>
          </cell>
          <cell r="E2950">
            <v>1981250299</v>
          </cell>
          <cell r="F2950">
            <v>-2.4270032561062149E-2</v>
          </cell>
          <cell r="G2950">
            <v>-9.4392046231101256E-3</v>
          </cell>
        </row>
        <row r="2951">
          <cell r="B2951">
            <v>316.51499999999999</v>
          </cell>
          <cell r="D2951">
            <v>35898992.955045</v>
          </cell>
          <cell r="E2951">
            <v>2292425252</v>
          </cell>
          <cell r="F2951">
            <v>-3.8753932956792601E-3</v>
          </cell>
          <cell r="G2951">
            <v>-1.653687395146802E-2</v>
          </cell>
        </row>
        <row r="2952">
          <cell r="B2952">
            <v>314.01900000000001</v>
          </cell>
          <cell r="D2952">
            <v>21652128.971960001</v>
          </cell>
          <cell r="E2952">
            <v>2131667228</v>
          </cell>
          <cell r="F2952">
            <v>-7.9171401943653932E-3</v>
          </cell>
          <cell r="G2952">
            <v>-2.2982509659402743E-3</v>
          </cell>
        </row>
        <row r="2953">
          <cell r="B2953">
            <v>314.54399999999998</v>
          </cell>
          <cell r="D2953">
            <v>18005810.682760999</v>
          </cell>
          <cell r="E2953">
            <v>1860152658</v>
          </cell>
          <cell r="F2953">
            <v>1.67047733348642E-3</v>
          </cell>
          <cell r="G2953">
            <v>4.0150212758186272E-3</v>
          </cell>
        </row>
        <row r="2954">
          <cell r="B2954">
            <v>309.19600000000003</v>
          </cell>
          <cell r="D2954">
            <v>26547997.117176998</v>
          </cell>
          <cell r="E2954">
            <v>2130315512</v>
          </cell>
          <cell r="F2954">
            <v>-1.7148590946270442E-2</v>
          </cell>
          <cell r="G2954">
            <v>-1.4844128717961364E-2</v>
          </cell>
        </row>
        <row r="2955">
          <cell r="B2955">
            <v>309.839</v>
          </cell>
          <cell r="D2955">
            <v>19594918.549334001</v>
          </cell>
          <cell r="E2955">
            <v>2299352689</v>
          </cell>
          <cell r="F2955">
            <v>2.0774277100644107E-3</v>
          </cell>
          <cell r="G2955">
            <v>2.2929233000634007E-4</v>
          </cell>
        </row>
        <row r="2956">
          <cell r="B2956">
            <v>310.68099999999998</v>
          </cell>
          <cell r="D2956">
            <v>19871004.838651001</v>
          </cell>
          <cell r="E2956">
            <v>2240204319</v>
          </cell>
          <cell r="F2956">
            <v>2.7138545631982323E-3</v>
          </cell>
          <cell r="G2956">
            <v>5.8757768874731896E-3</v>
          </cell>
        </row>
        <row r="2957">
          <cell r="B2957">
            <v>312.77100000000002</v>
          </cell>
          <cell r="D2957">
            <v>24377245.675547</v>
          </cell>
          <cell r="E2957">
            <v>2406132169</v>
          </cell>
          <cell r="F2957">
            <v>6.7046310835404159E-3</v>
          </cell>
          <cell r="G2957">
            <v>-2.7131686755154211E-3</v>
          </cell>
        </row>
        <row r="2958">
          <cell r="B2958">
            <v>318.76400000000001</v>
          </cell>
          <cell r="D2958">
            <v>20765888.167259</v>
          </cell>
          <cell r="E2958">
            <v>2374624170</v>
          </cell>
          <cell r="F2958">
            <v>1.8979723700956099E-2</v>
          </cell>
          <cell r="G2958">
            <v>7.9286976922361474E-5</v>
          </cell>
        </row>
        <row r="2959">
          <cell r="B2959">
            <v>310.43400000000003</v>
          </cell>
          <cell r="D2959">
            <v>21233787.809246998</v>
          </cell>
          <cell r="E2959">
            <v>2421468261</v>
          </cell>
          <cell r="F2959">
            <v>-2.6479698683840217E-2</v>
          </cell>
          <cell r="G2959">
            <v>-1.3839410161483797E-2</v>
          </cell>
        </row>
        <row r="2960">
          <cell r="B2960">
            <v>315.94600000000003</v>
          </cell>
          <cell r="D2960">
            <v>20917455.887639999</v>
          </cell>
          <cell r="E2960">
            <v>2324498903</v>
          </cell>
          <cell r="F2960">
            <v>1.7599994515374393E-2</v>
          </cell>
          <cell r="G2960">
            <v>8.0770937870001339E-3</v>
          </cell>
        </row>
        <row r="2961">
          <cell r="B2961">
            <v>316.34800000000001</v>
          </cell>
          <cell r="D2961">
            <v>17127187.736416001</v>
          </cell>
          <cell r="E2961">
            <v>2214792439</v>
          </cell>
          <cell r="F2961">
            <v>1.2715605530496058E-3</v>
          </cell>
          <cell r="G2961">
            <v>-1.3048673867472557E-3</v>
          </cell>
        </row>
        <row r="2962">
          <cell r="B2962">
            <v>324.173</v>
          </cell>
          <cell r="D2962">
            <v>25918112.489980999</v>
          </cell>
          <cell r="E2962">
            <v>2489880710</v>
          </cell>
          <cell r="F2962">
            <v>2.4434450447382468E-2</v>
          </cell>
          <cell r="G2962">
            <v>1.1745628333713317E-2</v>
          </cell>
        </row>
        <row r="2963">
          <cell r="B2963">
            <v>326.70800000000003</v>
          </cell>
          <cell r="D2963">
            <v>20080597.905260999</v>
          </cell>
          <cell r="E2963">
            <v>1988768924</v>
          </cell>
          <cell r="F2963">
            <v>7.7894816957242239E-3</v>
          </cell>
          <cell r="G2963">
            <v>6.2840320810455159E-3</v>
          </cell>
        </row>
        <row r="2964">
          <cell r="B2964">
            <v>325.29300000000001</v>
          </cell>
          <cell r="D2964">
            <v>20752853.210049</v>
          </cell>
          <cell r="E2964">
            <v>2166155537</v>
          </cell>
          <cell r="F2964">
            <v>-4.340490954869802E-3</v>
          </cell>
          <cell r="G2964">
            <v>5.1944583608864153E-3</v>
          </cell>
        </row>
        <row r="2965">
          <cell r="B2965">
            <v>329.28500000000003</v>
          </cell>
          <cell r="D2965">
            <v>20254302.439591002</v>
          </cell>
          <cell r="E2965">
            <v>2123886315</v>
          </cell>
          <cell r="F2965">
            <v>1.2197322526125674E-2</v>
          </cell>
          <cell r="G2965">
            <v>4.2838286545689866E-3</v>
          </cell>
        </row>
        <row r="2966">
          <cell r="B2966">
            <v>328.036</v>
          </cell>
          <cell r="D2966">
            <v>19497010.998991001</v>
          </cell>
          <cell r="E2966">
            <v>2346632881</v>
          </cell>
          <cell r="F2966">
            <v>-3.8002787167410192E-3</v>
          </cell>
          <cell r="G2966">
            <v>-6.2659488852716012E-3</v>
          </cell>
        </row>
        <row r="2967">
          <cell r="B2967">
            <v>324.63799999999998</v>
          </cell>
          <cell r="D2967">
            <v>21286487.923188999</v>
          </cell>
          <cell r="E2967">
            <v>2302984817</v>
          </cell>
          <cell r="F2967">
            <v>-1.0412643070698297E-2</v>
          </cell>
          <cell r="G2967">
            <v>-5.0314774496886677E-3</v>
          </cell>
        </row>
        <row r="2968">
          <cell r="B2968">
            <v>329.50099999999998</v>
          </cell>
          <cell r="D2968">
            <v>22369052.628022999</v>
          </cell>
          <cell r="E2968">
            <v>2131763895</v>
          </cell>
          <cell r="F2968">
            <v>1.4868673451075646E-2</v>
          </cell>
          <cell r="G2968">
            <v>1.0538619453747615E-2</v>
          </cell>
        </row>
        <row r="2969">
          <cell r="B2969">
            <v>328.92700000000002</v>
          </cell>
          <cell r="D2969">
            <v>18513155.405531</v>
          </cell>
          <cell r="E2969">
            <v>2356409078</v>
          </cell>
          <cell r="F2969">
            <v>-1.7435471924377457E-3</v>
          </cell>
          <cell r="G2969">
            <v>-9.8321334779938874E-5</v>
          </cell>
        </row>
        <row r="2970">
          <cell r="B2970">
            <v>326.995</v>
          </cell>
          <cell r="D2970">
            <v>23374086.998381</v>
          </cell>
          <cell r="E2970">
            <v>2398222110</v>
          </cell>
          <cell r="F2970">
            <v>-5.8909613864099285E-3</v>
          </cell>
          <cell r="G2970">
            <v>-1.349038622382619E-2</v>
          </cell>
        </row>
        <row r="2971">
          <cell r="B2971">
            <v>328.19499999999999</v>
          </cell>
          <cell r="D2971">
            <v>25290634.564920999</v>
          </cell>
          <cell r="E2971">
            <v>2651568444</v>
          </cell>
          <cell r="F2971">
            <v>3.6630636664273094E-3</v>
          </cell>
          <cell r="G2971">
            <v>-8.5190096941524674E-3</v>
          </cell>
        </row>
        <row r="2972">
          <cell r="B2972">
            <v>323.58800000000002</v>
          </cell>
          <cell r="D2972">
            <v>25266046.629836999</v>
          </cell>
          <cell r="E2972">
            <v>2734214474</v>
          </cell>
          <cell r="F2972">
            <v>-1.4136842248444E-2</v>
          </cell>
          <cell r="G2972">
            <v>-1.2665186185757991E-2</v>
          </cell>
        </row>
        <row r="2973">
          <cell r="B2973">
            <v>326.21300000000002</v>
          </cell>
          <cell r="D2973">
            <v>24606861.615554001</v>
          </cell>
          <cell r="E2973">
            <v>2453362856</v>
          </cell>
          <cell r="F2973">
            <v>8.0794405653637543E-3</v>
          </cell>
          <cell r="G2973">
            <v>-1.6869643388467898E-3</v>
          </cell>
        </row>
        <row r="2974">
          <cell r="B2974">
            <v>327.41199999999998</v>
          </cell>
          <cell r="D2974">
            <v>31450237.369729001</v>
          </cell>
          <cell r="E2974">
            <v>2494717609</v>
          </cell>
          <cell r="F2974">
            <v>3.6687744344801806E-3</v>
          </cell>
          <cell r="G2974">
            <v>7.2394913997594025E-3</v>
          </cell>
        </row>
        <row r="2975">
          <cell r="B2975">
            <v>337.45699999999999</v>
          </cell>
          <cell r="D2975">
            <v>55578089.545890003</v>
          </cell>
          <cell r="E2975">
            <v>2679078988</v>
          </cell>
          <cell r="F2975">
            <v>3.0218778109862243E-2</v>
          </cell>
          <cell r="G2975">
            <v>-1.4443397939346892E-2</v>
          </cell>
        </row>
        <row r="2976">
          <cell r="B2976">
            <v>324.79700000000003</v>
          </cell>
          <cell r="D2976">
            <v>38188773.181123003</v>
          </cell>
          <cell r="E2976">
            <v>3005920212</v>
          </cell>
          <cell r="F2976">
            <v>-3.8237722996499253E-2</v>
          </cell>
          <cell r="G2976">
            <v>-1.1903071819740901E-2</v>
          </cell>
        </row>
        <row r="2977">
          <cell r="B2977">
            <v>326.69799999999998</v>
          </cell>
          <cell r="D2977">
            <v>30140836.950426999</v>
          </cell>
          <cell r="E2977">
            <v>2806304532</v>
          </cell>
          <cell r="F2977">
            <v>5.8358249723176273E-3</v>
          </cell>
          <cell r="G2977">
            <v>-4.811871761208667E-3</v>
          </cell>
        </row>
        <row r="2978">
          <cell r="B2978">
            <v>334.12900000000002</v>
          </cell>
          <cell r="D2978">
            <v>23045467.166368999</v>
          </cell>
          <cell r="E2978">
            <v>2612198547</v>
          </cell>
          <cell r="F2978">
            <v>2.2490949190969382E-2</v>
          </cell>
          <cell r="G2978">
            <v>1.1938544947970331E-2</v>
          </cell>
        </row>
        <row r="2979">
          <cell r="B2979">
            <v>334.92099999999999</v>
          </cell>
          <cell r="D2979">
            <v>20458262.369488999</v>
          </cell>
          <cell r="E2979">
            <v>2707294939</v>
          </cell>
          <cell r="F2979">
            <v>2.3675371644729069E-3</v>
          </cell>
          <cell r="G2979">
            <v>6.4540892074659807E-3</v>
          </cell>
        </row>
        <row r="2980">
          <cell r="B2980">
            <v>342.80599999999998</v>
          </cell>
          <cell r="D2980">
            <v>28426967.219944999</v>
          </cell>
          <cell r="E2980">
            <v>2816162441</v>
          </cell>
          <cell r="F2980">
            <v>2.3270006368178872E-2</v>
          </cell>
          <cell r="G2980">
            <v>1.0451180679737281E-2</v>
          </cell>
        </row>
        <row r="2981">
          <cell r="B2981">
            <v>345.03300000000002</v>
          </cell>
          <cell r="D2981">
            <v>24579931.587786999</v>
          </cell>
          <cell r="E2981">
            <v>2832866448</v>
          </cell>
          <cell r="F2981">
            <v>6.4753751432920911E-3</v>
          </cell>
          <cell r="G2981">
            <v>1.8682956430735833E-2</v>
          </cell>
        </row>
        <row r="2982">
          <cell r="B2982">
            <v>349.471</v>
          </cell>
          <cell r="D2982">
            <v>23862767.665320002</v>
          </cell>
          <cell r="E2982">
            <v>2684012374</v>
          </cell>
          <cell r="F2982">
            <v>1.2780517920755361E-2</v>
          </cell>
          <cell r="G2982">
            <v>9.3498696374369732E-3</v>
          </cell>
        </row>
        <row r="2983">
          <cell r="B2983">
            <v>353.16699999999997</v>
          </cell>
          <cell r="D2983">
            <v>24055210.960161</v>
          </cell>
          <cell r="E2983">
            <v>2179931864</v>
          </cell>
          <cell r="F2983">
            <v>1.0520450329582525E-2</v>
          </cell>
          <cell r="G2983">
            <v>1.7514263468030517E-3</v>
          </cell>
        </row>
        <row r="2984">
          <cell r="B2984">
            <v>357.12900000000002</v>
          </cell>
          <cell r="D2984">
            <v>26079939.989647001</v>
          </cell>
          <cell r="E2984">
            <v>2281729918</v>
          </cell>
          <cell r="F2984">
            <v>1.1156028167006211E-2</v>
          </cell>
          <cell r="G2984">
            <v>2.8361156932399829E-3</v>
          </cell>
        </row>
        <row r="2985">
          <cell r="B2985">
            <v>359.774</v>
          </cell>
          <cell r="D2985">
            <v>27022730.218378</v>
          </cell>
          <cell r="E2985">
            <v>2290395761</v>
          </cell>
          <cell r="F2985">
            <v>7.378995489160523E-3</v>
          </cell>
          <cell r="G2985">
            <v>1.0044332873557552E-3</v>
          </cell>
        </row>
        <row r="2986">
          <cell r="B2986">
            <v>357.28800000000001</v>
          </cell>
          <cell r="D2986">
            <v>25083944.885619</v>
          </cell>
          <cell r="E2986">
            <v>2359322477</v>
          </cell>
          <cell r="F2986">
            <v>-6.933877294534015E-3</v>
          </cell>
          <cell r="G2986">
            <v>-8.1167621824379983E-3</v>
          </cell>
        </row>
        <row r="2987">
          <cell r="B2987">
            <v>366.18299999999999</v>
          </cell>
          <cell r="D2987">
            <v>28332420.370698001</v>
          </cell>
          <cell r="E2987">
            <v>2250329104</v>
          </cell>
          <cell r="F2987">
            <v>2.4591029200151441E-2</v>
          </cell>
          <cell r="G2987">
            <v>1.5495728650985885E-2</v>
          </cell>
        </row>
        <row r="2988">
          <cell r="B2988">
            <v>363.221</v>
          </cell>
          <cell r="D2988">
            <v>20176831.666954</v>
          </cell>
          <cell r="E2988">
            <v>1990746804</v>
          </cell>
          <cell r="F2988">
            <v>-8.1217440040952538E-3</v>
          </cell>
          <cell r="G2988">
            <v>-8.3609108519786131E-4</v>
          </cell>
        </row>
        <row r="2989">
          <cell r="B2989">
            <v>366.77800000000002</v>
          </cell>
          <cell r="D2989">
            <v>27947487.342969999</v>
          </cell>
          <cell r="E2989">
            <v>2683327879</v>
          </cell>
          <cell r="F2989">
            <v>9.7452959548749926E-3</v>
          </cell>
          <cell r="G2989">
            <v>1.8895282757298078E-2</v>
          </cell>
        </row>
        <row r="2990">
          <cell r="B2990">
            <v>366.92700000000002</v>
          </cell>
          <cell r="D2990">
            <v>27060951.316950001</v>
          </cell>
          <cell r="E2990">
            <v>2571112283</v>
          </cell>
          <cell r="F2990">
            <v>4.0615779379539447E-4</v>
          </cell>
          <cell r="G2990">
            <v>1.5958076771483444E-3</v>
          </cell>
        </row>
        <row r="2991">
          <cell r="B2991">
            <v>373.37900000000002</v>
          </cell>
          <cell r="D2991">
            <v>27385580.836442001</v>
          </cell>
          <cell r="E2991">
            <v>2502760821</v>
          </cell>
          <cell r="F2991">
            <v>1.7431071381353535E-2</v>
          </cell>
          <cell r="G2991">
            <v>1.1896413835666805E-3</v>
          </cell>
        </row>
        <row r="2992">
          <cell r="B2992">
            <v>367.10399999999998</v>
          </cell>
          <cell r="D2992">
            <v>40626918.909593001</v>
          </cell>
          <cell r="E2992">
            <v>2272264722</v>
          </cell>
          <cell r="F2992">
            <v>-1.6948802911955031E-2</v>
          </cell>
          <cell r="G2992">
            <v>1.2812755985166719E-3</v>
          </cell>
        </row>
        <row r="2993">
          <cell r="B2993">
            <v>374.63799999999998</v>
          </cell>
          <cell r="D2993">
            <v>52921768.799918003</v>
          </cell>
          <cell r="E2993">
            <v>2181326784</v>
          </cell>
          <cell r="F2993">
            <v>2.0315039745792404E-2</v>
          </cell>
          <cell r="G2993">
            <v>7.3631338909269815E-3</v>
          </cell>
        </row>
        <row r="2994">
          <cell r="B2994">
            <v>370.30099999999999</v>
          </cell>
          <cell r="D2994">
            <v>28635689.602722</v>
          </cell>
          <cell r="E2994">
            <v>2063417712</v>
          </cell>
          <cell r="F2994">
            <v>-1.1644037973765273E-2</v>
          </cell>
          <cell r="G2994">
            <v>-2.0229887908321687E-3</v>
          </cell>
        </row>
        <row r="2995">
          <cell r="B2995">
            <v>375.04599999999999</v>
          </cell>
          <cell r="D2995">
            <v>23535875.91296</v>
          </cell>
          <cell r="E2995">
            <v>1886708097</v>
          </cell>
          <cell r="F2995">
            <v>1.2732496685119029E-2</v>
          </cell>
          <cell r="G2995">
            <v>4.0528664649777243E-3</v>
          </cell>
        </row>
        <row r="2996">
          <cell r="B2996">
            <v>374.62799999999999</v>
          </cell>
          <cell r="D2996">
            <v>10252748.665211</v>
          </cell>
          <cell r="E2996">
            <v>891720277</v>
          </cell>
          <cell r="F2996">
            <v>-1.1151515013657907E-3</v>
          </cell>
          <cell r="G2996">
            <v>5.9675559803246874E-4</v>
          </cell>
        </row>
        <row r="2997">
          <cell r="B2997">
            <v>375.8</v>
          </cell>
          <cell r="D2997">
            <v>22345081.398839001</v>
          </cell>
          <cell r="E2997">
            <v>2024029146</v>
          </cell>
          <cell r="F2997">
            <v>3.1235533665937201E-3</v>
          </cell>
          <cell r="G2997">
            <v>-1.9561422168003027E-3</v>
          </cell>
        </row>
        <row r="2998">
          <cell r="B2998">
            <v>379.86</v>
          </cell>
          <cell r="D2998">
            <v>20606057.726606</v>
          </cell>
          <cell r="E2998">
            <v>2097781469</v>
          </cell>
          <cell r="F2998">
            <v>1.0745676804725143E-2</v>
          </cell>
          <cell r="G2998">
            <v>9.7964714182290037E-4</v>
          </cell>
        </row>
        <row r="2999">
          <cell r="B2999">
            <v>376.03800000000001</v>
          </cell>
          <cell r="D2999">
            <v>29179983.552269999</v>
          </cell>
          <cell r="E2999">
            <v>2434604114</v>
          </cell>
          <cell r="F2999">
            <v>-1.0112561671013253E-2</v>
          </cell>
          <cell r="G2999">
            <v>-9.4668376742538802E-4</v>
          </cell>
        </row>
        <row r="3000">
          <cell r="B3000">
            <v>376.09800000000001</v>
          </cell>
          <cell r="D3000">
            <v>30782896.964173</v>
          </cell>
          <cell r="E3000">
            <v>3550309990</v>
          </cell>
          <cell r="F3000">
            <v>1.5954561442959014E-4</v>
          </cell>
          <cell r="G3000">
            <v>3.7769911916856066E-3</v>
          </cell>
        </row>
        <row r="3001">
          <cell r="B3001">
            <v>371.73099999999999</v>
          </cell>
          <cell r="D3001">
            <v>33287544.376929998</v>
          </cell>
          <cell r="E3001">
            <v>2544483462</v>
          </cell>
          <cell r="F3001">
            <v>-1.1679273310060845E-2</v>
          </cell>
          <cell r="G3001">
            <v>5.8565417006152948E-3</v>
          </cell>
        </row>
        <row r="3002">
          <cell r="B3002">
            <v>366.40100000000001</v>
          </cell>
          <cell r="D3002">
            <v>32303070.248468</v>
          </cell>
          <cell r="E3002">
            <v>2490316718</v>
          </cell>
          <cell r="F3002">
            <v>-1.4442112363552894E-2</v>
          </cell>
          <cell r="G3002">
            <v>-5.4231665551195962E-3</v>
          </cell>
        </row>
        <row r="3003">
          <cell r="B3003">
            <v>369.755</v>
          </cell>
          <cell r="D3003">
            <v>23237512.349034999</v>
          </cell>
          <cell r="E3003">
            <v>2338779937</v>
          </cell>
          <cell r="F3003">
            <v>9.1122620960257649E-3</v>
          </cell>
          <cell r="G3003">
            <v>-5.691170958779145E-4</v>
          </cell>
        </row>
        <row r="3004">
          <cell r="B3004">
            <v>366.06200000000001</v>
          </cell>
          <cell r="D3004">
            <v>21340468.795219999</v>
          </cell>
          <cell r="E3004">
            <v>2403741486</v>
          </cell>
          <cell r="F3004">
            <v>-1.0037906187822998E-2</v>
          </cell>
          <cell r="G3004">
            <v>-3.9137791113844191E-3</v>
          </cell>
        </row>
        <row r="3005">
          <cell r="B3005">
            <v>368.19600000000003</v>
          </cell>
          <cell r="D3005">
            <v>23291743.875335999</v>
          </cell>
          <cell r="E3005">
            <v>2469802159</v>
          </cell>
          <cell r="F3005">
            <v>5.8126871168183592E-3</v>
          </cell>
          <cell r="G3005">
            <v>7.9366104133129379E-3</v>
          </cell>
        </row>
        <row r="3006">
          <cell r="B3006">
            <v>371.45100000000002</v>
          </cell>
          <cell r="D3006">
            <v>20305077.742651001</v>
          </cell>
          <cell r="E3006">
            <v>2333925302</v>
          </cell>
          <cell r="F3006">
            <v>8.8015526676535564E-3</v>
          </cell>
          <cell r="G3006">
            <v>4.0870746210065929E-3</v>
          </cell>
        </row>
        <row r="3007">
          <cell r="B3007">
            <v>368.54399999999998</v>
          </cell>
          <cell r="D3007">
            <v>27915959.501639999</v>
          </cell>
          <cell r="E3007">
            <v>2434162631</v>
          </cell>
          <cell r="F3007">
            <v>-7.8568502600704308E-3</v>
          </cell>
          <cell r="G3007">
            <v>3.9168516750811289E-3</v>
          </cell>
        </row>
        <row r="3008">
          <cell r="B3008">
            <v>371.601</v>
          </cell>
          <cell r="D3008">
            <v>25023990.243932001</v>
          </cell>
          <cell r="E3008">
            <v>2365341118</v>
          </cell>
          <cell r="F3008">
            <v>8.2605905152276626E-3</v>
          </cell>
          <cell r="G3008">
            <v>4.5887580600857377E-3</v>
          </cell>
        </row>
        <row r="3009">
          <cell r="B3009">
            <v>371.59100000000001</v>
          </cell>
          <cell r="D3009">
            <v>31187012.45775</v>
          </cell>
          <cell r="E3009">
            <v>3014960633</v>
          </cell>
          <cell r="F3009">
            <v>-2.6910946298167384E-5</v>
          </cell>
          <cell r="G3009">
            <v>1.3558420429298217E-2</v>
          </cell>
        </row>
        <row r="3010">
          <cell r="B3010">
            <v>363.214</v>
          </cell>
          <cell r="D3010">
            <v>43601084.256857999</v>
          </cell>
          <cell r="E3010">
            <v>3872955047</v>
          </cell>
          <cell r="F3010">
            <v>-2.2801594815669457E-2</v>
          </cell>
          <cell r="G3010">
            <v>2.6435733742609306E-3</v>
          </cell>
        </row>
        <row r="3011">
          <cell r="B3011">
            <v>367.97800000000001</v>
          </cell>
          <cell r="D3011">
            <v>79089354.227208003</v>
          </cell>
          <cell r="E3011">
            <v>5311921335</v>
          </cell>
          <cell r="F3011">
            <v>1.3030961533426833E-2</v>
          </cell>
          <cell r="G3011">
            <v>-7.6281368101049259E-5</v>
          </cell>
        </row>
        <row r="3012">
          <cell r="B3012">
            <v>369.88400000000001</v>
          </cell>
          <cell r="D3012">
            <v>21965917.102207001</v>
          </cell>
          <cell r="E3012">
            <v>2434634036</v>
          </cell>
          <cell r="F3012">
            <v>5.1662891959369777E-3</v>
          </cell>
          <cell r="G3012">
            <v>4.5180974872495441E-3</v>
          </cell>
        </row>
        <row r="3013">
          <cell r="B3013">
            <v>370.48899999999998</v>
          </cell>
          <cell r="D3013">
            <v>20757729.490125999</v>
          </cell>
          <cell r="E3013">
            <v>2325208666</v>
          </cell>
          <cell r="F3013">
            <v>1.6343117176386239E-3</v>
          </cell>
          <cell r="G3013">
            <v>5.8492552349014293E-3</v>
          </cell>
        </row>
        <row r="3014">
          <cell r="B3014">
            <v>367.87</v>
          </cell>
          <cell r="D3014">
            <v>26513442.505516998</v>
          </cell>
          <cell r="E3014">
            <v>2485662722</v>
          </cell>
          <cell r="F3014">
            <v>-7.0941397987134436E-3</v>
          </cell>
          <cell r="G3014">
            <v>-1.4793144174519959E-2</v>
          </cell>
        </row>
        <row r="3015">
          <cell r="B3015">
            <v>370.76799999999997</v>
          </cell>
          <cell r="D3015">
            <v>17840424.178927001</v>
          </cell>
          <cell r="E3015">
            <v>2154794168</v>
          </cell>
          <cell r="F3015">
            <v>7.8469151874790317E-3</v>
          </cell>
          <cell r="G3015">
            <v>1.024879009249407E-2</v>
          </cell>
        </row>
        <row r="3016">
          <cell r="B3016">
            <v>371.80099999999999</v>
          </cell>
          <cell r="D3016">
            <v>17235411.553068001</v>
          </cell>
          <cell r="E3016">
            <v>1743793044</v>
          </cell>
          <cell r="F3016">
            <v>2.7822348262759042E-3</v>
          </cell>
          <cell r="G3016">
            <v>1.6587067997896167E-3</v>
          </cell>
        </row>
        <row r="3017">
          <cell r="B3017">
            <v>371.87900000000002</v>
          </cell>
          <cell r="D3017">
            <v>12767817.429063</v>
          </cell>
          <cell r="E3017">
            <v>1447990937</v>
          </cell>
          <cell r="F3017">
            <v>2.097676427657572E-4</v>
          </cell>
          <cell r="G3017">
            <v>4.2227363999498384E-3</v>
          </cell>
        </row>
        <row r="3018">
          <cell r="B3018">
            <v>371.29399999999998</v>
          </cell>
          <cell r="D3018">
            <v>15016872.743417</v>
          </cell>
          <cell r="E3018">
            <v>1611192991</v>
          </cell>
          <cell r="F3018">
            <v>-1.574330931903596E-3</v>
          </cell>
          <cell r="G3018">
            <v>1.429419277681746E-3</v>
          </cell>
        </row>
        <row r="3019">
          <cell r="B3019">
            <v>372.49400000000003</v>
          </cell>
          <cell r="D3019">
            <v>14434148.550492</v>
          </cell>
          <cell r="E3019">
            <v>1482518840</v>
          </cell>
          <cell r="F3019">
            <v>3.2267286946756281E-3</v>
          </cell>
          <cell r="G3019">
            <v>3.7010203319937546E-4</v>
          </cell>
        </row>
        <row r="3020">
          <cell r="B3020">
            <v>373.24900000000002</v>
          </cell>
          <cell r="D3020">
            <v>18870904.784352999</v>
          </cell>
          <cell r="E3020">
            <v>1742503214</v>
          </cell>
          <cell r="F3020">
            <v>2.0248269389148235E-3</v>
          </cell>
          <cell r="G3020">
            <v>-2.8304729998547477E-3</v>
          </cell>
        </row>
        <row r="3021">
          <cell r="B3021">
            <v>368.11599999999999</v>
          </cell>
          <cell r="D3021">
            <v>25447513.791209999</v>
          </cell>
          <cell r="E3021">
            <v>2438700029</v>
          </cell>
          <cell r="F3021">
            <v>-1.3847651356582306E-2</v>
          </cell>
          <cell r="G3021">
            <v>-5.6766608929654707E-3</v>
          </cell>
        </row>
        <row r="3022">
          <cell r="B3022">
            <v>367.85</v>
          </cell>
          <cell r="D3022">
            <v>23256080.166191999</v>
          </cell>
          <cell r="E3022">
            <v>2459537218</v>
          </cell>
          <cell r="F3022">
            <v>-7.2285951139760727E-4</v>
          </cell>
          <cell r="G3022">
            <v>-8.0486143089745707E-3</v>
          </cell>
        </row>
        <row r="3023">
          <cell r="B3023">
            <v>365.209</v>
          </cell>
          <cell r="D3023">
            <v>21057800.729042001</v>
          </cell>
          <cell r="E3023">
            <v>2371772728</v>
          </cell>
          <cell r="F3023">
            <v>-7.205453930451044E-3</v>
          </cell>
          <cell r="G3023">
            <v>-3.434296699869414E-3</v>
          </cell>
        </row>
        <row r="3024">
          <cell r="B3024">
            <v>365.02</v>
          </cell>
          <cell r="D3024">
            <v>21161644.495607</v>
          </cell>
          <cell r="E3024">
            <v>2211672077</v>
          </cell>
          <cell r="F3024">
            <v>-5.1764584594787507E-4</v>
          </cell>
          <cell r="G3024">
            <v>1.8240092336748459E-3</v>
          </cell>
        </row>
        <row r="3025">
          <cell r="B3025">
            <v>371.90899999999999</v>
          </cell>
          <cell r="D3025">
            <v>23306959.813616998</v>
          </cell>
          <cell r="E3025">
            <v>2311628659</v>
          </cell>
          <cell r="F3025">
            <v>1.8697054090111232E-2</v>
          </cell>
          <cell r="G3025">
            <v>1.4015987132365047E-2</v>
          </cell>
        </row>
        <row r="3026">
          <cell r="B3026">
            <v>373</v>
          </cell>
          <cell r="D3026">
            <v>20985716.694873001</v>
          </cell>
          <cell r="E3026">
            <v>2241198577</v>
          </cell>
          <cell r="F3026">
            <v>2.9292189518298865E-3</v>
          </cell>
          <cell r="G3026">
            <v>-1.4789856520085827E-3</v>
          </cell>
        </row>
        <row r="3027">
          <cell r="B3027">
            <v>379.92899999999997</v>
          </cell>
          <cell r="D3027">
            <v>25705037.224691</v>
          </cell>
          <cell r="E3027">
            <v>2165979629</v>
          </cell>
          <cell r="F3027">
            <v>1.840597351419198E-2</v>
          </cell>
          <cell r="G3027">
            <v>5.6499398196109933E-3</v>
          </cell>
        </row>
        <row r="3028">
          <cell r="B3028">
            <v>381.77600000000001</v>
          </cell>
          <cell r="D3028">
            <v>28059111.024808001</v>
          </cell>
          <cell r="E3028">
            <v>2320989197</v>
          </cell>
          <cell r="F3028">
            <v>4.8496560216616481E-3</v>
          </cell>
          <cell r="G3028">
            <v>-6.7128903604016395E-4</v>
          </cell>
        </row>
        <row r="3029">
          <cell r="B3029">
            <v>385.58699999999999</v>
          </cell>
          <cell r="D3029">
            <v>21823132.300983999</v>
          </cell>
          <cell r="E3029">
            <v>2251917810</v>
          </cell>
          <cell r="F3029">
            <v>9.9327992954560337E-3</v>
          </cell>
          <cell r="G3029">
            <v>7.5072645194105983E-4</v>
          </cell>
        </row>
        <row r="3030">
          <cell r="B3030">
            <v>387.37400000000002</v>
          </cell>
          <cell r="D3030">
            <v>27405683.042396002</v>
          </cell>
          <cell r="E3030">
            <v>2601533887</v>
          </cell>
          <cell r="F3030">
            <v>4.6237861515591788E-3</v>
          </cell>
          <cell r="G3030">
            <v>-3.7382986232446964E-3</v>
          </cell>
        </row>
        <row r="3031">
          <cell r="B3031">
            <v>386.57900000000001</v>
          </cell>
          <cell r="D3031">
            <v>22400371.784382001</v>
          </cell>
          <cell r="E3031">
            <v>2323282256</v>
          </cell>
          <cell r="F3031">
            <v>-2.0543890381174777E-3</v>
          </cell>
          <cell r="G3031">
            <v>-5.6327271267556144E-3</v>
          </cell>
        </row>
        <row r="3032">
          <cell r="B3032">
            <v>390.94600000000003</v>
          </cell>
          <cell r="D3032">
            <v>23566990.859517999</v>
          </cell>
          <cell r="E3032">
            <v>2595424433</v>
          </cell>
          <cell r="F3032">
            <v>1.1233197442211884E-2</v>
          </cell>
          <cell r="G3032">
            <v>8.7667247395320728E-3</v>
          </cell>
        </row>
        <row r="3033">
          <cell r="B3033">
            <v>395.71100000000001</v>
          </cell>
          <cell r="D3033">
            <v>29550470.442001</v>
          </cell>
          <cell r="E3033">
            <v>2778139489</v>
          </cell>
          <cell r="F3033">
            <v>1.2114703811722725E-2</v>
          </cell>
          <cell r="G3033">
            <v>1.2238283870230153E-2</v>
          </cell>
        </row>
        <row r="3034">
          <cell r="B3034">
            <v>393.56599999999997</v>
          </cell>
          <cell r="D3034">
            <v>27218930.899418999</v>
          </cell>
          <cell r="E3034">
            <v>2674489114</v>
          </cell>
          <cell r="F3034">
            <v>-5.4353675093737801E-3</v>
          </cell>
          <cell r="G3034">
            <v>2.1918970535104105E-3</v>
          </cell>
        </row>
        <row r="3035">
          <cell r="B3035">
            <v>395.93900000000002</v>
          </cell>
          <cell r="D3035">
            <v>20679371.891256001</v>
          </cell>
          <cell r="E3035">
            <v>2409552852</v>
          </cell>
          <cell r="F3035">
            <v>6.0113796518711932E-3</v>
          </cell>
          <cell r="G3035">
            <v>2.917131506229948E-3</v>
          </cell>
        </row>
        <row r="3036">
          <cell r="B3036">
            <v>399.572</v>
          </cell>
          <cell r="D3036">
            <v>25052904.858821001</v>
          </cell>
          <cell r="E3036">
            <v>2709582602</v>
          </cell>
          <cell r="F3036">
            <v>9.1338152643076122E-3</v>
          </cell>
          <cell r="G3036">
            <v>8.1165916827587409E-4</v>
          </cell>
        </row>
        <row r="3037">
          <cell r="B3037">
            <v>401.86500000000001</v>
          </cell>
          <cell r="D3037">
            <v>21178348.478703</v>
          </cell>
          <cell r="E3037">
            <v>2925824199</v>
          </cell>
          <cell r="F3037">
            <v>5.7222370737280972E-3</v>
          </cell>
          <cell r="G3037">
            <v>5.2465060919916033E-3</v>
          </cell>
        </row>
        <row r="3038">
          <cell r="B3038">
            <v>400.93099999999998</v>
          </cell>
          <cell r="D3038">
            <v>17936401.558277</v>
          </cell>
          <cell r="E3038">
            <v>2391994169</v>
          </cell>
          <cell r="F3038">
            <v>-2.3268686476125384E-3</v>
          </cell>
          <cell r="G3038">
            <v>-6.52009756234213E-4</v>
          </cell>
        </row>
        <row r="3039">
          <cell r="B3039">
            <v>406.68</v>
          </cell>
          <cell r="D3039">
            <v>24693520.375224002</v>
          </cell>
          <cell r="E3039">
            <v>2318280410</v>
          </cell>
          <cell r="F3039">
            <v>1.4237292731538424E-2</v>
          </cell>
          <cell r="G3039">
            <v>7.5283737614565433E-3</v>
          </cell>
        </row>
        <row r="3040">
          <cell r="B3040">
            <v>405.55799999999999</v>
          </cell>
          <cell r="D3040">
            <v>33727951.238365002</v>
          </cell>
          <cell r="E3040">
            <v>2599908804</v>
          </cell>
          <cell r="F3040">
            <v>-2.7627387875469177E-3</v>
          </cell>
          <cell r="G3040">
            <v>-6.0083834993726029E-4</v>
          </cell>
        </row>
        <row r="3041">
          <cell r="B3041">
            <v>394.62799999999999</v>
          </cell>
          <cell r="D3041">
            <v>48229070.872832</v>
          </cell>
          <cell r="E3041">
            <v>3304847212</v>
          </cell>
          <cell r="F3041">
            <v>-2.7320347616210251E-2</v>
          </cell>
          <cell r="G3041">
            <v>-1.6236787963987382E-2</v>
          </cell>
        </row>
        <row r="3042">
          <cell r="B3042">
            <v>400.78300000000002</v>
          </cell>
          <cell r="D3042">
            <v>30886980.510471001</v>
          </cell>
          <cell r="E3042">
            <v>2850372778</v>
          </cell>
          <cell r="F3042">
            <v>1.5476584698242596E-2</v>
          </cell>
          <cell r="G3042">
            <v>1.2416277903485802E-2</v>
          </cell>
        </row>
        <row r="3043">
          <cell r="B3043">
            <v>408.16800000000001</v>
          </cell>
          <cell r="D3043">
            <v>28467969.724199999</v>
          </cell>
          <cell r="E3043">
            <v>2805437389</v>
          </cell>
          <cell r="F3043">
            <v>1.8258720656776275E-2</v>
          </cell>
          <cell r="G3043">
            <v>1.0627786351803241E-2</v>
          </cell>
        </row>
        <row r="3044">
          <cell r="B3044">
            <v>402.63900000000001</v>
          </cell>
          <cell r="D3044">
            <v>25541867.116232999</v>
          </cell>
          <cell r="E3044">
            <v>2594978093</v>
          </cell>
          <cell r="F3044">
            <v>-1.3638475501387538E-2</v>
          </cell>
          <cell r="G3044">
            <v>-3.191464135615035E-3</v>
          </cell>
        </row>
        <row r="3045">
          <cell r="B3045">
            <v>402.48</v>
          </cell>
          <cell r="D3045">
            <v>18520086.885090999</v>
          </cell>
          <cell r="E3045">
            <v>2488633314</v>
          </cell>
          <cell r="F3045">
            <v>-3.9497267377134828E-4</v>
          </cell>
          <cell r="G3045">
            <v>2.3077617284261594E-3</v>
          </cell>
        </row>
        <row r="3046">
          <cell r="B3046">
            <v>410.97699999999998</v>
          </cell>
          <cell r="D3046">
            <v>22507585.564424001</v>
          </cell>
          <cell r="E3046">
            <v>2600464337</v>
          </cell>
          <cell r="F3046">
            <v>2.0891845676732589E-2</v>
          </cell>
          <cell r="G3046">
            <v>8.2076669213310503E-3</v>
          </cell>
        </row>
        <row r="3047">
          <cell r="B3047">
            <v>411.03699999999998</v>
          </cell>
          <cell r="D3047">
            <v>21383976.727065001</v>
          </cell>
          <cell r="E3047">
            <v>2439217345</v>
          </cell>
          <cell r="F3047">
            <v>1.4598291539199472E-4</v>
          </cell>
          <cell r="G3047">
            <v>5.7040100736248747E-4</v>
          </cell>
        </row>
        <row r="3048">
          <cell r="B3048">
            <v>417.428</v>
          </cell>
          <cell r="D3048">
            <v>22197602.758216999</v>
          </cell>
          <cell r="E3048">
            <v>2314039033</v>
          </cell>
          <cell r="F3048">
            <v>1.5428839553813066E-2</v>
          </cell>
          <cell r="G3048">
            <v>5.7259755908601927E-3</v>
          </cell>
        </row>
        <row r="3049">
          <cell r="B3049">
            <v>412.178</v>
          </cell>
          <cell r="D3049">
            <v>21361473.701345999</v>
          </cell>
          <cell r="E3049">
            <v>2243585026</v>
          </cell>
          <cell r="F3049">
            <v>-1.2656779446428129E-2</v>
          </cell>
          <cell r="G3049">
            <v>-9.4940022755554091E-4</v>
          </cell>
        </row>
        <row r="3050">
          <cell r="B3050">
            <v>403.30500000000001</v>
          </cell>
          <cell r="D3050">
            <v>28033007.273178</v>
          </cell>
          <cell r="E3050">
            <v>2596243811</v>
          </cell>
          <cell r="F3050">
            <v>-2.1762195361281624E-2</v>
          </cell>
          <cell r="G3050">
            <v>-1.3768624761212093E-2</v>
          </cell>
        </row>
        <row r="3051">
          <cell r="B3051">
            <v>407.20299999999997</v>
          </cell>
          <cell r="D3051">
            <v>20515808.617931001</v>
          </cell>
          <cell r="E3051">
            <v>2324738755</v>
          </cell>
          <cell r="F3051">
            <v>9.6187330749161505E-3</v>
          </cell>
          <cell r="G3051">
            <v>9.5341290968955009E-3</v>
          </cell>
        </row>
        <row r="3052">
          <cell r="B3052">
            <v>404.28899999999999</v>
          </cell>
          <cell r="D3052">
            <v>21948145.862367</v>
          </cell>
          <cell r="E3052">
            <v>2448592265</v>
          </cell>
          <cell r="F3052">
            <v>-7.1818638387822729E-3</v>
          </cell>
          <cell r="G3052">
            <v>5.8043999917945753E-3</v>
          </cell>
        </row>
        <row r="3053">
          <cell r="B3053">
            <v>401.803</v>
          </cell>
          <cell r="D3053">
            <v>22421761.881078999</v>
          </cell>
          <cell r="E3053">
            <v>2321398576</v>
          </cell>
          <cell r="F3053">
            <v>-6.1680500032697851E-3</v>
          </cell>
          <cell r="G3053">
            <v>-4.8150123419915631E-3</v>
          </cell>
        </row>
        <row r="3054">
          <cell r="B3054">
            <v>400.54</v>
          </cell>
          <cell r="D3054">
            <v>24444482.505233001</v>
          </cell>
          <cell r="E3054">
            <v>2479202447</v>
          </cell>
          <cell r="F3054">
            <v>-3.1482820768776658E-3</v>
          </cell>
          <cell r="G3054">
            <v>-6.0234144772223523E-3</v>
          </cell>
        </row>
        <row r="3055">
          <cell r="B3055">
            <v>399.93299999999999</v>
          </cell>
          <cell r="D3055">
            <v>18735745.684388001</v>
          </cell>
          <cell r="E3055">
            <v>2285353273</v>
          </cell>
          <cell r="F3055">
            <v>-1.5166035989872542E-3</v>
          </cell>
          <cell r="G3055">
            <v>1.2633935945864823E-3</v>
          </cell>
        </row>
        <row r="3056">
          <cell r="B3056">
            <v>409.351</v>
          </cell>
          <cell r="D3056">
            <v>27161616.709582999</v>
          </cell>
          <cell r="E3056">
            <v>2587708301</v>
          </cell>
          <cell r="F3056">
            <v>2.3275945638459188E-2</v>
          </cell>
          <cell r="G3056">
            <v>2.0902891694828028E-2</v>
          </cell>
        </row>
        <row r="3057">
          <cell r="B3057">
            <v>408.04700000000003</v>
          </cell>
          <cell r="D3057">
            <v>16387433.028414</v>
          </cell>
          <cell r="E3057">
            <v>2261782711</v>
          </cell>
          <cell r="F3057">
            <v>-3.1906148687150934E-3</v>
          </cell>
          <cell r="G3057">
            <v>3.4788317372660206E-4</v>
          </cell>
        </row>
        <row r="3058">
          <cell r="B3058">
            <v>405.26299999999998</v>
          </cell>
          <cell r="D3058">
            <v>16284483.867534</v>
          </cell>
          <cell r="E3058">
            <v>2259650376</v>
          </cell>
          <cell r="F3058">
            <v>-6.8461247831651702E-3</v>
          </cell>
          <cell r="G3058">
            <v>-3.7939352461026604E-3</v>
          </cell>
        </row>
        <row r="3059">
          <cell r="B3059">
            <v>405.20299999999997</v>
          </cell>
          <cell r="D3059">
            <v>14919178.117587</v>
          </cell>
          <cell r="E3059">
            <v>2154332795</v>
          </cell>
          <cell r="F3059">
            <v>-1.4806296651459158E-4</v>
          </cell>
          <cell r="G3059">
            <v>1.7048185442892359E-3</v>
          </cell>
        </row>
        <row r="3060">
          <cell r="B3060">
            <v>405.44200000000001</v>
          </cell>
          <cell r="D3060">
            <v>13257190.85437</v>
          </cell>
          <cell r="E3060">
            <v>2091422108</v>
          </cell>
          <cell r="F3060">
            <v>5.8965393464430009E-4</v>
          </cell>
          <cell r="G3060">
            <v>-1.659450476103029E-3</v>
          </cell>
        </row>
        <row r="3061">
          <cell r="B3061">
            <v>411.32900000000001</v>
          </cell>
          <cell r="D3061">
            <v>32126750.134413999</v>
          </cell>
          <cell r="E3061">
            <v>3317173868</v>
          </cell>
          <cell r="F3061">
            <v>1.4415550862703345E-2</v>
          </cell>
          <cell r="G3061">
            <v>5.2154203933401618E-3</v>
          </cell>
        </row>
        <row r="3062">
          <cell r="B3062">
            <v>413.17899999999997</v>
          </cell>
          <cell r="D3062">
            <v>17923581.248555001</v>
          </cell>
          <cell r="E3062">
            <v>2477695327</v>
          </cell>
          <cell r="F3062">
            <v>4.4875322121770127E-3</v>
          </cell>
          <cell r="G3062">
            <v>7.9759250577916968E-3</v>
          </cell>
        </row>
        <row r="3063">
          <cell r="B3063">
            <v>412.60199999999998</v>
          </cell>
          <cell r="D3063">
            <v>17694814.162581999</v>
          </cell>
          <cell r="E3063">
            <v>2818607654</v>
          </cell>
          <cell r="F3063">
            <v>-1.3974651727330836E-3</v>
          </cell>
          <cell r="G3063">
            <v>-1.1939974324694175E-3</v>
          </cell>
        </row>
        <row r="3064">
          <cell r="B3064">
            <v>400.40100000000001</v>
          </cell>
          <cell r="D3064">
            <v>27070415.180888999</v>
          </cell>
          <cell r="E3064">
            <v>2679706658</v>
          </cell>
          <cell r="F3064">
            <v>-3.0016902994701989E-2</v>
          </cell>
          <cell r="G3064">
            <v>-1.0245348981574391E-2</v>
          </cell>
        </row>
        <row r="3065">
          <cell r="B3065">
            <v>399.84399999999999</v>
          </cell>
          <cell r="D3065">
            <v>22469683.612305</v>
          </cell>
          <cell r="E3065">
            <v>2601927495</v>
          </cell>
          <cell r="F3065">
            <v>-1.3920739022410665E-3</v>
          </cell>
          <cell r="G3065">
            <v>5.1279595372516517E-3</v>
          </cell>
        </row>
        <row r="3066">
          <cell r="B3066">
            <v>406.85399999999998</v>
          </cell>
          <cell r="D3066">
            <v>18823643.75719</v>
          </cell>
          <cell r="E3066">
            <v>2385022115</v>
          </cell>
          <cell r="F3066">
            <v>1.7379927689412964E-2</v>
          </cell>
          <cell r="G3066">
            <v>1.0251382881397443E-2</v>
          </cell>
        </row>
        <row r="3067">
          <cell r="B3067">
            <v>403.95</v>
          </cell>
          <cell r="D3067">
            <v>18103326.456955999</v>
          </cell>
          <cell r="E3067">
            <v>2426961467</v>
          </cell>
          <cell r="F3067">
            <v>-7.1632908018985624E-3</v>
          </cell>
          <cell r="G3067">
            <v>-6.5499380656454595E-3</v>
          </cell>
        </row>
        <row r="3068">
          <cell r="B3068">
            <v>402.26100000000002</v>
          </cell>
          <cell r="D3068">
            <v>16211322.124304</v>
          </cell>
          <cell r="E3068">
            <v>2202734060</v>
          </cell>
          <cell r="F3068">
            <v>-4.1899762493746414E-3</v>
          </cell>
          <cell r="G3068">
            <v>-1.1228682551799477E-3</v>
          </cell>
        </row>
        <row r="3069">
          <cell r="B3069">
            <v>412.959</v>
          </cell>
          <cell r="D3069">
            <v>22583171.652256001</v>
          </cell>
          <cell r="E3069">
            <v>2310772429</v>
          </cell>
          <cell r="F3069">
            <v>2.6247182748990846E-2</v>
          </cell>
          <cell r="G3069">
            <v>1.1139497364012345E-2</v>
          </cell>
        </row>
        <row r="3070">
          <cell r="B3070">
            <v>412.78199999999998</v>
          </cell>
          <cell r="D3070">
            <v>17212092.270780001</v>
          </cell>
          <cell r="E3070">
            <v>2415696749</v>
          </cell>
          <cell r="F3070">
            <v>-4.287058598541398E-4</v>
          </cell>
          <cell r="G3070">
            <v>-1.926391571868686E-3</v>
          </cell>
        </row>
        <row r="3071">
          <cell r="B3071">
            <v>422.84399999999999</v>
          </cell>
          <cell r="D3071">
            <v>34349202.629329003</v>
          </cell>
          <cell r="E3071">
            <v>2640696835</v>
          </cell>
          <cell r="F3071">
            <v>2.4083708133205043E-2</v>
          </cell>
          <cell r="G3071">
            <v>-2.8752059156686048E-3</v>
          </cell>
        </row>
        <row r="3072">
          <cell r="B3072">
            <v>414.09300000000002</v>
          </cell>
          <cell r="D3072">
            <v>45333172.352342002</v>
          </cell>
          <cell r="E3072">
            <v>5130706705</v>
          </cell>
          <cell r="F3072">
            <v>-2.0912730419477017E-2</v>
          </cell>
          <cell r="G3072">
            <v>-6.5039961169264899E-3</v>
          </cell>
        </row>
        <row r="3073">
          <cell r="B3073">
            <v>414.98899999999998</v>
          </cell>
          <cell r="D3073">
            <v>20218937.042815</v>
          </cell>
          <cell r="E3073">
            <v>2399639733</v>
          </cell>
          <cell r="F3073">
            <v>2.1614275761031427E-3</v>
          </cell>
          <cell r="G3073">
            <v>6.2981688751588584E-3</v>
          </cell>
        </row>
        <row r="3074">
          <cell r="B3074">
            <v>419.05500000000001</v>
          </cell>
          <cell r="D3074">
            <v>19949369.008317001</v>
          </cell>
          <cell r="E3074">
            <v>2203396793</v>
          </cell>
          <cell r="F3074">
            <v>9.7501623688091513E-3</v>
          </cell>
          <cell r="G3074">
            <v>5.6332831318901015E-3</v>
          </cell>
        </row>
        <row r="3075">
          <cell r="B3075">
            <v>422.85399999999998</v>
          </cell>
          <cell r="D3075">
            <v>17960427.100575</v>
          </cell>
          <cell r="E3075">
            <v>2325178060</v>
          </cell>
          <cell r="F3075">
            <v>9.0247895786194458E-3</v>
          </cell>
          <cell r="G3075">
            <v>8.8646978273410684E-3</v>
          </cell>
        </row>
        <row r="3076">
          <cell r="B3076">
            <v>426.971</v>
          </cell>
          <cell r="D3076">
            <v>21415869.115329001</v>
          </cell>
          <cell r="E3076">
            <v>2526285033</v>
          </cell>
          <cell r="F3076">
            <v>9.6891294286433737E-3</v>
          </cell>
          <cell r="G3076">
            <v>3.2313725131378058E-3</v>
          </cell>
        </row>
        <row r="3077">
          <cell r="B3077">
            <v>426.34500000000003</v>
          </cell>
          <cell r="D3077">
            <v>17747626.215271</v>
          </cell>
          <cell r="E3077">
            <v>2016955324</v>
          </cell>
          <cell r="F3077">
            <v>-1.4672175660612593E-3</v>
          </cell>
          <cell r="G3077">
            <v>-1.4032464064151588E-3</v>
          </cell>
        </row>
        <row r="3078">
          <cell r="B3078">
            <v>420.49799999999999</v>
          </cell>
          <cell r="D3078">
            <v>18161917.797623999</v>
          </cell>
          <cell r="E3078">
            <v>2087907897</v>
          </cell>
          <cell r="F3078">
            <v>-1.3809154506198433E-2</v>
          </cell>
          <cell r="G3078">
            <v>-3.0595955699421543E-3</v>
          </cell>
        </row>
        <row r="3079">
          <cell r="B3079">
            <v>419.29500000000002</v>
          </cell>
          <cell r="D3079">
            <v>16819615.564732999</v>
          </cell>
          <cell r="E3079">
            <v>2263813090</v>
          </cell>
          <cell r="F3079">
            <v>-2.8649936898040278E-3</v>
          </cell>
          <cell r="G3079">
            <v>-2.8037482252575453E-3</v>
          </cell>
        </row>
        <row r="3080">
          <cell r="B3080">
            <v>419.07499999999999</v>
          </cell>
          <cell r="D3080">
            <v>16798830.441496</v>
          </cell>
          <cell r="E3080">
            <v>2286418193</v>
          </cell>
          <cell r="F3080">
            <v>-5.2482795197784373E-4</v>
          </cell>
          <cell r="G3080">
            <v>8.5935659407079552E-3</v>
          </cell>
        </row>
        <row r="3081">
          <cell r="B3081">
            <v>418.37</v>
          </cell>
          <cell r="D3081">
            <v>21994038.256000999</v>
          </cell>
          <cell r="E3081">
            <v>2404021251</v>
          </cell>
          <cell r="F3081">
            <v>-1.683693058160903E-3</v>
          </cell>
          <cell r="G3081">
            <v>1.1158887706710923E-3</v>
          </cell>
        </row>
        <row r="3082">
          <cell r="B3082">
            <v>422.19900000000001</v>
          </cell>
          <cell r="D3082">
            <v>16407627.853749</v>
          </cell>
          <cell r="E3082">
            <v>1976432105</v>
          </cell>
          <cell r="F3082">
            <v>9.1105584065217168E-3</v>
          </cell>
          <cell r="G3082">
            <v>-2.0155996658250933E-3</v>
          </cell>
        </row>
        <row r="3083">
          <cell r="B3083">
            <v>419.08499999999998</v>
          </cell>
          <cell r="D3083">
            <v>18012625.726142</v>
          </cell>
          <cell r="E3083">
            <v>2374146858</v>
          </cell>
          <cell r="F3083">
            <v>-7.4030035558618349E-3</v>
          </cell>
          <cell r="G3083">
            <v>-7.2653957344673645E-3</v>
          </cell>
        </row>
        <row r="3084">
          <cell r="B3084">
            <v>418.101</v>
          </cell>
          <cell r="D3084">
            <v>16594977.547219999</v>
          </cell>
          <cell r="E3084">
            <v>2287219066</v>
          </cell>
          <cell r="F3084">
            <v>-2.3507331778781599E-3</v>
          </cell>
          <cell r="G3084">
            <v>1.0904938060488179E-3</v>
          </cell>
        </row>
        <row r="3085">
          <cell r="B3085">
            <v>415.54599999999999</v>
          </cell>
          <cell r="D3085">
            <v>19479705.069256</v>
          </cell>
          <cell r="E3085">
            <v>2526870842</v>
          </cell>
          <cell r="F3085">
            <v>-6.1297119763916285E-3</v>
          </cell>
          <cell r="G3085">
            <v>-1.2410983057457463E-2</v>
          </cell>
        </row>
        <row r="3086">
          <cell r="B3086">
            <v>423.14299999999997</v>
          </cell>
          <cell r="D3086">
            <v>16647769.487544</v>
          </cell>
          <cell r="E3086">
            <v>2189563251</v>
          </cell>
          <cell r="F3086">
            <v>1.8116865226526117E-2</v>
          </cell>
          <cell r="G3086">
            <v>1.1038072569656417E-2</v>
          </cell>
        </row>
        <row r="3087">
          <cell r="B3087">
            <v>422.28699999999998</v>
          </cell>
          <cell r="D3087">
            <v>14341271.443273</v>
          </cell>
          <cell r="E3087">
            <v>2000910024</v>
          </cell>
          <cell r="F3087">
            <v>-2.0250057190136753E-3</v>
          </cell>
          <cell r="G3087">
            <v>-3.747574930495873E-4</v>
          </cell>
        </row>
        <row r="3088">
          <cell r="B3088">
            <v>423.89800000000002</v>
          </cell>
          <cell r="D3088">
            <v>12582585.942105999</v>
          </cell>
          <cell r="E3088">
            <v>2035068912</v>
          </cell>
          <cell r="F3088">
            <v>3.8076825904879573E-3</v>
          </cell>
          <cell r="G3088">
            <v>1.4444457627020377E-3</v>
          </cell>
        </row>
        <row r="3089">
          <cell r="B3089">
            <v>420.89600000000002</v>
          </cell>
          <cell r="D3089">
            <v>16307689.513854999</v>
          </cell>
          <cell r="E3089">
            <v>2297703488</v>
          </cell>
          <cell r="F3089">
            <v>-7.1070879672030674E-3</v>
          </cell>
          <cell r="G3089">
            <v>-9.5019783338873547E-3</v>
          </cell>
        </row>
        <row r="3090">
          <cell r="B3090">
            <v>425.53899999999999</v>
          </cell>
          <cell r="D3090">
            <v>18067362.532125998</v>
          </cell>
          <cell r="E3090">
            <v>2225501129</v>
          </cell>
          <cell r="F3090">
            <v>1.097082840109162E-2</v>
          </cell>
          <cell r="G3090">
            <v>7.4172372058720279E-3</v>
          </cell>
        </row>
        <row r="3091">
          <cell r="B3091">
            <v>419.54199999999997</v>
          </cell>
          <cell r="D3091">
            <v>19361922.033836</v>
          </cell>
          <cell r="E3091">
            <v>2437575759</v>
          </cell>
          <cell r="F3091">
            <v>-1.4192960602279101E-2</v>
          </cell>
          <cell r="G3091">
            <v>-1.4657607029448559E-2</v>
          </cell>
        </row>
        <row r="3092">
          <cell r="B3092">
            <v>411.32900000000001</v>
          </cell>
          <cell r="D3092">
            <v>20387439.439383</v>
          </cell>
          <cell r="E3092">
            <v>2319451668</v>
          </cell>
          <cell r="F3092">
            <v>-1.9770259189478202E-2</v>
          </cell>
          <cell r="G3092">
            <v>-1.2094130563305876E-2</v>
          </cell>
        </row>
        <row r="3093">
          <cell r="B3093">
            <v>412.26400000000001</v>
          </cell>
          <cell r="D3093">
            <v>16859809.119846001</v>
          </cell>
          <cell r="E3093">
            <v>2347349557</v>
          </cell>
          <cell r="F3093">
            <v>2.2705399431219141E-3</v>
          </cell>
          <cell r="G3093">
            <v>-2.0586901863485071E-3</v>
          </cell>
        </row>
        <row r="3094">
          <cell r="B3094">
            <v>409.53800000000001</v>
          </cell>
          <cell r="D3094">
            <v>15944564.792763</v>
          </cell>
          <cell r="E3094">
            <v>2295627862</v>
          </cell>
          <cell r="F3094">
            <v>-6.6342257581951461E-3</v>
          </cell>
          <cell r="G3094">
            <v>-5.797336366096615E-3</v>
          </cell>
        </row>
        <row r="3095">
          <cell r="B3095">
            <v>402.01100000000002</v>
          </cell>
          <cell r="D3095">
            <v>21148067.952064</v>
          </cell>
          <cell r="E3095">
            <v>2217368600</v>
          </cell>
          <cell r="F3095">
            <v>-1.8550243651893526E-2</v>
          </cell>
          <cell r="G3095">
            <v>-2.2106328639260849E-3</v>
          </cell>
        </row>
        <row r="3096">
          <cell r="B3096">
            <v>396.89</v>
          </cell>
          <cell r="D3096">
            <v>30167538.324081998</v>
          </cell>
          <cell r="E3096">
            <v>2735280288</v>
          </cell>
          <cell r="F3096">
            <v>-1.2820287220412455E-2</v>
          </cell>
          <cell r="G3096">
            <v>-8.7971023365461913E-3</v>
          </cell>
        </row>
        <row r="3097">
          <cell r="B3097">
            <v>398.72</v>
          </cell>
          <cell r="D3097">
            <v>20400851.369743001</v>
          </cell>
          <cell r="E3097">
            <v>2352808739</v>
          </cell>
          <cell r="F3097">
            <v>4.6002519507105594E-3</v>
          </cell>
          <cell r="G3097">
            <v>8.6933277348877659E-3</v>
          </cell>
        </row>
        <row r="3098">
          <cell r="B3098">
            <v>405.29300000000001</v>
          </cell>
          <cell r="D3098">
            <v>15822901.076586001</v>
          </cell>
          <cell r="E3098">
            <v>2346599683</v>
          </cell>
          <cell r="F3098">
            <v>1.6350846168913503E-2</v>
          </cell>
          <cell r="G3098">
            <v>1.1893624576650831E-2</v>
          </cell>
        </row>
        <row r="3099">
          <cell r="B3099">
            <v>406.77499999999998</v>
          </cell>
          <cell r="D3099">
            <v>15149970.518679</v>
          </cell>
          <cell r="E3099">
            <v>2548618761</v>
          </cell>
          <cell r="F3099">
            <v>3.649944697435497E-3</v>
          </cell>
          <cell r="G3099">
            <v>2.1297196541228134E-4</v>
          </cell>
        </row>
        <row r="3100">
          <cell r="B3100">
            <v>396.81099999999998</v>
          </cell>
          <cell r="D3100">
            <v>40814474.091031998</v>
          </cell>
          <cell r="E3100">
            <v>2714067024</v>
          </cell>
          <cell r="F3100">
            <v>-2.4800110224712638E-2</v>
          </cell>
          <cell r="G3100">
            <v>-4.5869419014574458E-3</v>
          </cell>
        </row>
        <row r="3101">
          <cell r="B3101">
            <v>404.04899999999998</v>
          </cell>
          <cell r="D3101">
            <v>29861485.454509001</v>
          </cell>
          <cell r="E3101">
            <v>2411681661</v>
          </cell>
          <cell r="F3101">
            <v>1.807606093450391E-2</v>
          </cell>
          <cell r="G3101">
            <v>1.0157373516560254E-2</v>
          </cell>
        </row>
        <row r="3102">
          <cell r="B3102">
            <v>400.00299999999999</v>
          </cell>
          <cell r="D3102">
            <v>19692107.729740001</v>
          </cell>
          <cell r="E3102">
            <v>2358542839</v>
          </cell>
          <cell r="F3102">
            <v>-1.0064110655316693E-2</v>
          </cell>
          <cell r="G3102">
            <v>3.1734156874775382E-3</v>
          </cell>
        </row>
        <row r="3103">
          <cell r="B3103">
            <v>387.15499999999997</v>
          </cell>
          <cell r="D3103">
            <v>28943074.435612999</v>
          </cell>
          <cell r="E3103">
            <v>2794500429</v>
          </cell>
          <cell r="F3103">
            <v>-3.2646917439651896E-2</v>
          </cell>
          <cell r="G3103">
            <v>-1.5855554753445709E-2</v>
          </cell>
        </row>
        <row r="3104">
          <cell r="B3104">
            <v>392.73399999999998</v>
          </cell>
          <cell r="D3104">
            <v>23694860.484101001</v>
          </cell>
          <cell r="E3104">
            <v>2897659203</v>
          </cell>
          <cell r="F3104">
            <v>1.4307408282499486E-2</v>
          </cell>
          <cell r="G3104">
            <v>-3.4413923648739225E-3</v>
          </cell>
        </row>
        <row r="3105">
          <cell r="B3105">
            <v>395.61799999999999</v>
          </cell>
          <cell r="D3105">
            <v>17808859.315033998</v>
          </cell>
          <cell r="E3105">
            <v>2623809616</v>
          </cell>
          <cell r="F3105">
            <v>7.3165612962969358E-3</v>
          </cell>
          <cell r="G3105">
            <v>9.0870134013374317E-3</v>
          </cell>
        </row>
        <row r="3106">
          <cell r="B3106">
            <v>404.38900000000001</v>
          </cell>
          <cell r="D3106">
            <v>17544743.742587999</v>
          </cell>
          <cell r="E3106">
            <v>2454686447</v>
          </cell>
          <cell r="F3106">
            <v>2.1928186766070838E-2</v>
          </cell>
          <cell r="G3106">
            <v>1.247858860899914E-2</v>
          </cell>
        </row>
        <row r="3107">
          <cell r="B3107">
            <v>411.22899999999998</v>
          </cell>
          <cell r="D3107">
            <v>17092130.060651001</v>
          </cell>
          <cell r="E3107">
            <v>2196280800</v>
          </cell>
          <cell r="F3107">
            <v>1.677295096092029E-2</v>
          </cell>
          <cell r="G3107">
            <v>1.0273136069376812E-2</v>
          </cell>
        </row>
        <row r="3108">
          <cell r="B3108">
            <v>407.053</v>
          </cell>
          <cell r="D3108">
            <v>20130695.048578002</v>
          </cell>
          <cell r="E3108">
            <v>2293458854</v>
          </cell>
          <cell r="F3108">
            <v>-1.0206838851211894E-2</v>
          </cell>
          <cell r="G3108">
            <v>1.3425358193505205E-3</v>
          </cell>
        </row>
        <row r="3109">
          <cell r="B3109">
            <v>408.24700000000001</v>
          </cell>
          <cell r="D3109">
            <v>11858559.921832999</v>
          </cell>
          <cell r="E3109">
            <v>2107757418</v>
          </cell>
          <cell r="F3109">
            <v>2.9289852903370654E-3</v>
          </cell>
          <cell r="G3109">
            <v>-5.7829262956225704E-6</v>
          </cell>
        </row>
        <row r="3110">
          <cell r="B3110">
            <v>410.017</v>
          </cell>
          <cell r="D3110">
            <v>14772257.293896001</v>
          </cell>
          <cell r="E3110">
            <v>1975552229</v>
          </cell>
          <cell r="F3110">
            <v>4.3262388682863157E-3</v>
          </cell>
          <cell r="G3110">
            <v>5.0780025958913483E-3</v>
          </cell>
        </row>
        <row r="3111">
          <cell r="B3111">
            <v>412.42200000000003</v>
          </cell>
          <cell r="D3111">
            <v>13477578.123616001</v>
          </cell>
          <cell r="E3111">
            <v>1878510189</v>
          </cell>
          <cell r="F3111">
            <v>5.848474732300944E-3</v>
          </cell>
          <cell r="G3111">
            <v>1.6480214063461682E-3</v>
          </cell>
        </row>
        <row r="3112">
          <cell r="B3112">
            <v>411.40899999999999</v>
          </cell>
          <cell r="D3112">
            <v>15526972.771373</v>
          </cell>
          <cell r="E3112">
            <v>1961589631</v>
          </cell>
          <cell r="F3112">
            <v>-2.459243486932927E-3</v>
          </cell>
          <cell r="G3112">
            <v>-2.4128455417182781E-4</v>
          </cell>
        </row>
        <row r="3113">
          <cell r="B3113">
            <v>414.233</v>
          </cell>
          <cell r="D3113">
            <v>15194193.586048</v>
          </cell>
          <cell r="E3113">
            <v>2035819885</v>
          </cell>
          <cell r="F3113">
            <v>6.840763945298688E-3</v>
          </cell>
          <cell r="G3113">
            <v>4.8261000617198218E-3</v>
          </cell>
        </row>
        <row r="3114">
          <cell r="B3114">
            <v>421.47500000000002</v>
          </cell>
          <cell r="D3114">
            <v>22324213.483964998</v>
          </cell>
          <cell r="E3114">
            <v>2316274995</v>
          </cell>
          <cell r="F3114">
            <v>1.7331846257794294E-2</v>
          </cell>
          <cell r="G3114">
            <v>1.1647879688045933E-2</v>
          </cell>
        </row>
        <row r="3115">
          <cell r="B3115">
            <v>419.39400000000001</v>
          </cell>
          <cell r="D3115">
            <v>17596798.394308999</v>
          </cell>
          <cell r="E3115">
            <v>2208658193</v>
          </cell>
          <cell r="F3115">
            <v>-4.9496514880245212E-3</v>
          </cell>
          <cell r="G3115">
            <v>-2.08387430730016E-3</v>
          </cell>
        </row>
        <row r="3116">
          <cell r="B3116">
            <v>418.61599999999999</v>
          </cell>
          <cell r="D3116">
            <v>15410695.039903</v>
          </cell>
          <cell r="E3116">
            <v>1970449920</v>
          </cell>
          <cell r="F3116">
            <v>-1.8567802854895787E-3</v>
          </cell>
          <cell r="G3116">
            <v>1.1641104408194052E-3</v>
          </cell>
        </row>
        <row r="3117">
          <cell r="B3117">
            <v>423.72699999999998</v>
          </cell>
          <cell r="D3117">
            <v>16334095.694739999</v>
          </cell>
          <cell r="E3117">
            <v>1850085770</v>
          </cell>
          <cell r="F3117">
            <v>1.2135348007108094E-2</v>
          </cell>
          <cell r="G3117">
            <v>9.159960683443537E-4</v>
          </cell>
        </row>
        <row r="3118">
          <cell r="B3118">
            <v>427.41199999999998</v>
          </cell>
          <cell r="D3118">
            <v>21534941.608079001</v>
          </cell>
          <cell r="E3118">
            <v>1989595940</v>
          </cell>
          <cell r="F3118">
            <v>8.6590392985415338E-3</v>
          </cell>
          <cell r="G3118">
            <v>2.498698327390512E-3</v>
          </cell>
        </row>
        <row r="3119">
          <cell r="B3119">
            <v>428.887</v>
          </cell>
          <cell r="D3119">
            <v>18142516.418699998</v>
          </cell>
          <cell r="E3119">
            <v>2094854091</v>
          </cell>
          <cell r="F3119">
            <v>3.4450617338805641E-3</v>
          </cell>
          <cell r="G3119">
            <v>-2.7097176835470336E-3</v>
          </cell>
        </row>
        <row r="3120">
          <cell r="B3120">
            <v>425.38099999999997</v>
          </cell>
          <cell r="D3120">
            <v>17277225.185242001</v>
          </cell>
          <cell r="E3120">
            <v>2298491779</v>
          </cell>
          <cell r="F3120">
            <v>-8.2082430449958825E-3</v>
          </cell>
          <cell r="G3120">
            <v>-7.4081767856449404E-3</v>
          </cell>
        </row>
        <row r="3121">
          <cell r="B3121">
            <v>428.52800000000002</v>
          </cell>
          <cell r="D3121">
            <v>11900425.843171</v>
          </cell>
          <cell r="E3121">
            <v>1742668171</v>
          </cell>
          <cell r="F3121">
            <v>7.370842204145734E-3</v>
          </cell>
          <cell r="G3121">
            <v>6.9765789150719763E-3</v>
          </cell>
        </row>
        <row r="3122">
          <cell r="B3122">
            <v>428.68799999999999</v>
          </cell>
          <cell r="D3122">
            <v>15777872.823232999</v>
          </cell>
          <cell r="E3122">
            <v>2121768716</v>
          </cell>
          <cell r="F3122">
            <v>3.7330148260884762E-4</v>
          </cell>
          <cell r="G3122">
            <v>2.4880404548013993E-4</v>
          </cell>
        </row>
        <row r="3123">
          <cell r="B3123">
            <v>427.54199999999997</v>
          </cell>
          <cell r="D3123">
            <v>15576213.888054</v>
          </cell>
          <cell r="E3123">
            <v>2262811675</v>
          </cell>
          <cell r="F3123">
            <v>-2.6768524445742788E-3</v>
          </cell>
          <cell r="G3123">
            <v>-7.3943469365055463E-3</v>
          </cell>
        </row>
        <row r="3124">
          <cell r="B3124">
            <v>413.09699999999998</v>
          </cell>
          <cell r="D3124">
            <v>28533079.029899001</v>
          </cell>
          <cell r="E3124">
            <v>2347065836</v>
          </cell>
          <cell r="F3124">
            <v>-3.4370096952841434E-2</v>
          </cell>
          <cell r="G3124">
            <v>-5.9929167225422977E-3</v>
          </cell>
        </row>
        <row r="3125">
          <cell r="B3125">
            <v>413.55500000000001</v>
          </cell>
          <cell r="D3125">
            <v>48177999.385880001</v>
          </cell>
          <cell r="E3125">
            <v>3926771337</v>
          </cell>
          <cell r="F3125">
            <v>1.1080842890672168E-3</v>
          </cell>
          <cell r="G3125">
            <v>7.9958649115222311E-3</v>
          </cell>
        </row>
        <row r="3126">
          <cell r="B3126">
            <v>411.95100000000002</v>
          </cell>
          <cell r="D3126">
            <v>17551250.621932998</v>
          </cell>
          <cell r="E3126">
            <v>2312234085</v>
          </cell>
          <cell r="F3126">
            <v>-3.8861062635757097E-3</v>
          </cell>
          <cell r="G3126">
            <v>1.1154342969859781E-3</v>
          </cell>
        </row>
        <row r="3127">
          <cell r="B3127">
            <v>414.49099999999999</v>
          </cell>
          <cell r="D3127">
            <v>14403552.735199001</v>
          </cell>
          <cell r="E3127">
            <v>2176202870</v>
          </cell>
          <cell r="F3127">
            <v>6.1468511947882004E-3</v>
          </cell>
          <cell r="G3127">
            <v>1.5016920495655548E-3</v>
          </cell>
        </row>
        <row r="3128">
          <cell r="B3128">
            <v>422.40199999999999</v>
          </cell>
          <cell r="D3128">
            <v>17052722.599243</v>
          </cell>
          <cell r="E3128">
            <v>2173890233</v>
          </cell>
          <cell r="F3128">
            <v>1.8906205796823054E-2</v>
          </cell>
          <cell r="G3128">
            <v>1.1778026448059028E-2</v>
          </cell>
        </row>
        <row r="3129">
          <cell r="B3129">
            <v>422.90899999999999</v>
          </cell>
          <cell r="D3129">
            <v>14917837.526660001</v>
          </cell>
          <cell r="E3129">
            <v>2038598824</v>
          </cell>
          <cell r="F3129">
            <v>1.1995586495272376E-3</v>
          </cell>
          <cell r="G3129">
            <v>-1.9986943175659869E-4</v>
          </cell>
        </row>
        <row r="3130">
          <cell r="B3130">
            <v>422.24200000000002</v>
          </cell>
          <cell r="D3130">
            <v>13673516.552881001</v>
          </cell>
          <cell r="E3130">
            <v>1873173209</v>
          </cell>
          <cell r="F3130">
            <v>-1.5784164923905992E-3</v>
          </cell>
          <cell r="G3130">
            <v>-1.1158931807150971E-3</v>
          </cell>
        </row>
        <row r="3131">
          <cell r="B3131">
            <v>426.24700000000001</v>
          </cell>
          <cell r="D3131">
            <v>14056352.731831999</v>
          </cell>
          <cell r="E3131">
            <v>2464401855</v>
          </cell>
          <cell r="F3131">
            <v>9.4403810633279257E-3</v>
          </cell>
          <cell r="G3131">
            <v>2.5775665246065955E-3</v>
          </cell>
        </row>
        <row r="3132">
          <cell r="B3132">
            <v>431.03899999999999</v>
          </cell>
          <cell r="D3132">
            <v>14606506.582253</v>
          </cell>
          <cell r="E3132">
            <v>2345183455</v>
          </cell>
          <cell r="F3132">
            <v>1.1179582799211848E-2</v>
          </cell>
          <cell r="G3132">
            <v>2.7067548434573357E-3</v>
          </cell>
        </row>
        <row r="3133">
          <cell r="B3133">
            <v>439.387</v>
          </cell>
          <cell r="D3133">
            <v>22451395.913938999</v>
          </cell>
          <cell r="E3133">
            <v>2719670709</v>
          </cell>
          <cell r="F3133">
            <v>1.9182000465021207E-2</v>
          </cell>
          <cell r="G3133">
            <v>8.4677271718827819E-3</v>
          </cell>
        </row>
        <row r="3134">
          <cell r="B3134">
            <v>439.90499999999997</v>
          </cell>
          <cell r="D3134">
            <v>16021337.335847</v>
          </cell>
          <cell r="E3134">
            <v>2422956962</v>
          </cell>
          <cell r="F3134">
            <v>1.1782207956495038E-3</v>
          </cell>
          <cell r="G3134">
            <v>2.341828672305396E-3</v>
          </cell>
        </row>
        <row r="3135">
          <cell r="B3135">
            <v>440.89100000000002</v>
          </cell>
          <cell r="D3135">
            <v>13633700.522219</v>
          </cell>
          <cell r="E3135">
            <v>2263451050</v>
          </cell>
          <cell r="F3135">
            <v>2.2388848538574149E-3</v>
          </cell>
          <cell r="G3135">
            <v>-3.9391312700216223E-4</v>
          </cell>
        </row>
        <row r="3136">
          <cell r="B3136">
            <v>446.66899999999998</v>
          </cell>
          <cell r="D3136">
            <v>20869191.275646001</v>
          </cell>
          <cell r="E3136">
            <v>2441679412</v>
          </cell>
          <cell r="F3136">
            <v>1.3020148780268035E-2</v>
          </cell>
          <cell r="G3136">
            <v>7.6351859201040807E-3</v>
          </cell>
        </row>
        <row r="3137">
          <cell r="B3137">
            <v>444.64699999999999</v>
          </cell>
          <cell r="D3137">
            <v>17177662.522914</v>
          </cell>
          <cell r="E3137">
            <v>2464316280</v>
          </cell>
          <cell r="F3137">
            <v>-4.5371192004793979E-3</v>
          </cell>
          <cell r="G3137">
            <v>2.5181897678469146E-3</v>
          </cell>
        </row>
        <row r="3138">
          <cell r="B3138">
            <v>444.00900000000001</v>
          </cell>
          <cell r="D3138">
            <v>19953064.211082</v>
          </cell>
          <cell r="E3138">
            <v>2911217741</v>
          </cell>
          <cell r="F3138">
            <v>-1.4358764462646975E-3</v>
          </cell>
          <cell r="G3138">
            <v>-2.5291522760688338E-3</v>
          </cell>
        </row>
        <row r="3139">
          <cell r="B3139">
            <v>448.07400000000001</v>
          </cell>
          <cell r="D3139">
            <v>34617483.468413003</v>
          </cell>
          <cell r="E3139">
            <v>5250419839</v>
          </cell>
          <cell r="F3139">
            <v>9.1135648488797003E-3</v>
          </cell>
          <cell r="G3139">
            <v>-1.5633874377691908E-3</v>
          </cell>
        </row>
        <row r="3140">
          <cell r="B3140">
            <v>445.97199999999998</v>
          </cell>
          <cell r="D3140">
            <v>15974312.962409001</v>
          </cell>
          <cell r="E3140">
            <v>2784702853</v>
          </cell>
          <cell r="F3140">
            <v>-4.7022275656934875E-3</v>
          </cell>
          <cell r="G3140">
            <v>-3.0698792218004059E-3</v>
          </cell>
        </row>
        <row r="3141">
          <cell r="B3141">
            <v>449.24</v>
          </cell>
          <cell r="D3141">
            <v>16811297.823785</v>
          </cell>
          <cell r="E3141">
            <v>2621644040</v>
          </cell>
          <cell r="F3141">
            <v>7.3010963145932369E-3</v>
          </cell>
          <cell r="G3141">
            <v>3.9259309005764296E-3</v>
          </cell>
        </row>
        <row r="3142">
          <cell r="B3142">
            <v>450.44400000000002</v>
          </cell>
          <cell r="D3142">
            <v>16569883.086403999</v>
          </cell>
          <cell r="E3142">
            <v>2599403409</v>
          </cell>
          <cell r="F3142">
            <v>2.6764969005814445E-3</v>
          </cell>
          <cell r="G3142">
            <v>1.5711783413408377E-3</v>
          </cell>
        </row>
        <row r="3143">
          <cell r="B3143">
            <v>451.13200000000001</v>
          </cell>
          <cell r="D3143">
            <v>14862701.383556999</v>
          </cell>
          <cell r="E3143">
            <v>2479600758</v>
          </cell>
          <cell r="F3143">
            <v>1.5262166107985788E-3</v>
          </cell>
          <cell r="G3143">
            <v>9.068706560974762E-4</v>
          </cell>
        </row>
        <row r="3144">
          <cell r="B3144">
            <v>445.255</v>
          </cell>
          <cell r="D3144">
            <v>28470264.762037002</v>
          </cell>
          <cell r="E3144">
            <v>4197548072</v>
          </cell>
          <cell r="F3144">
            <v>-1.311282785323015E-2</v>
          </cell>
          <cell r="G3144">
            <v>-4.0919885121458088E-3</v>
          </cell>
        </row>
        <row r="3145">
          <cell r="B3145">
            <v>454.99700000000001</v>
          </cell>
          <cell r="D3145">
            <v>17730071.929136999</v>
          </cell>
          <cell r="E3145">
            <v>2433991467</v>
          </cell>
          <cell r="F3145">
            <v>2.1643673769635354E-2</v>
          </cell>
          <cell r="G3145">
            <v>2.6720159429360979E-3</v>
          </cell>
        </row>
        <row r="3146">
          <cell r="B3146">
            <v>457.53800000000001</v>
          </cell>
          <cell r="D3146">
            <v>14033009.184799001</v>
          </cell>
          <cell r="E3146">
            <v>2342512009</v>
          </cell>
          <cell r="F3146">
            <v>5.5691158529452243E-3</v>
          </cell>
          <cell r="G3146">
            <v>6.1762197767835335E-3</v>
          </cell>
        </row>
        <row r="3147">
          <cell r="B3147">
            <v>459.02199999999999</v>
          </cell>
          <cell r="D3147">
            <v>9970650.7964862008</v>
          </cell>
          <cell r="E3147">
            <v>1561072809</v>
          </cell>
          <cell r="F3147">
            <v>3.2381978195845248E-3</v>
          </cell>
          <cell r="G3147">
            <v>5.0715161981972666E-3</v>
          </cell>
        </row>
        <row r="3148">
          <cell r="B3148">
            <v>465.78699999999998</v>
          </cell>
          <cell r="D3148">
            <v>16061213.594968</v>
          </cell>
          <cell r="E3148">
            <v>2263729908</v>
          </cell>
          <cell r="F3148">
            <v>1.463030889181921E-2</v>
          </cell>
          <cell r="G3148">
            <v>5.4339884131971751E-3</v>
          </cell>
        </row>
        <row r="3149">
          <cell r="B3149">
            <v>464.471</v>
          </cell>
          <cell r="D3149">
            <v>13011677.055074999</v>
          </cell>
          <cell r="E3149">
            <v>2332765276</v>
          </cell>
          <cell r="F3149">
            <v>-2.8293245054381985E-3</v>
          </cell>
          <cell r="G3149">
            <v>1.0161544279964853E-3</v>
          </cell>
        </row>
        <row r="3150">
          <cell r="B3150">
            <v>457.79700000000003</v>
          </cell>
          <cell r="D3150">
            <v>17294107.222394999</v>
          </cell>
          <cell r="E3150">
            <v>2413050509</v>
          </cell>
          <cell r="F3150">
            <v>-1.4473269164483838E-2</v>
          </cell>
          <cell r="G3150">
            <v>7.4081850375864739E-4</v>
          </cell>
        </row>
        <row r="3151">
          <cell r="B3151">
            <v>464.48099999999999</v>
          </cell>
          <cell r="D3151">
            <v>18265384.483369</v>
          </cell>
          <cell r="E3151">
            <v>2301402646</v>
          </cell>
          <cell r="F3151">
            <v>1.4494798802184027E-2</v>
          </cell>
          <cell r="G3151">
            <v>1.0156283642139425E-2</v>
          </cell>
        </row>
        <row r="3152">
          <cell r="B3152">
            <v>452.97500000000002</v>
          </cell>
          <cell r="D3152">
            <v>23199174.396570001</v>
          </cell>
          <cell r="E3152">
            <v>2887487972</v>
          </cell>
          <cell r="F3152">
            <v>-2.5083716897060026E-2</v>
          </cell>
          <cell r="G3152">
            <v>-8.8016292301766504E-3</v>
          </cell>
        </row>
        <row r="3153">
          <cell r="B3153">
            <v>451.83</v>
          </cell>
          <cell r="D3153">
            <v>16386431.214484001</v>
          </cell>
          <cell r="E3153">
            <v>2472649993</v>
          </cell>
          <cell r="F3153">
            <v>-2.5309334303043403E-3</v>
          </cell>
          <cell r="G3153">
            <v>5.5018536287759819E-3</v>
          </cell>
        </row>
        <row r="3154">
          <cell r="B3154">
            <v>452.238</v>
          </cell>
          <cell r="D3154">
            <v>14484389.36571</v>
          </cell>
          <cell r="E3154">
            <v>2410721815</v>
          </cell>
          <cell r="F3154">
            <v>9.025870348215772E-4</v>
          </cell>
          <cell r="G3154">
            <v>2.822195662042845E-3</v>
          </cell>
        </row>
        <row r="3155">
          <cell r="B3155">
            <v>447.815</v>
          </cell>
          <cell r="D3155">
            <v>17241078.071561001</v>
          </cell>
          <cell r="E3155">
            <v>2528071451</v>
          </cell>
          <cell r="F3155">
            <v>-9.828389226131079E-3</v>
          </cell>
          <cell r="G3155">
            <v>6.3690536600414091E-3</v>
          </cell>
        </row>
        <row r="3156">
          <cell r="B3156">
            <v>441.83800000000002</v>
          </cell>
          <cell r="D3156">
            <v>21836852.821444001</v>
          </cell>
          <cell r="E3156">
            <v>3173114918</v>
          </cell>
          <cell r="F3156">
            <v>-1.3436901643309159E-2</v>
          </cell>
          <cell r="G3156">
            <v>-1.4025410555021933E-2</v>
          </cell>
        </row>
        <row r="3157">
          <cell r="B3157">
            <v>438.7</v>
          </cell>
          <cell r="D3157">
            <v>20874001.521931998</v>
          </cell>
          <cell r="E3157">
            <v>2935073001</v>
          </cell>
          <cell r="F3157">
            <v>-7.127490885080039E-3</v>
          </cell>
          <cell r="G3157">
            <v>-7.8470804696827295E-3</v>
          </cell>
        </row>
        <row r="3158">
          <cell r="B3158">
            <v>435.452</v>
          </cell>
          <cell r="D3158">
            <v>21020150.897558998</v>
          </cell>
          <cell r="E3158">
            <v>2649224224</v>
          </cell>
          <cell r="F3158">
            <v>-7.4312360941452141E-3</v>
          </cell>
          <cell r="G3158">
            <v>-7.1659074070294041E-3</v>
          </cell>
        </row>
        <row r="3159">
          <cell r="B3159">
            <v>441.26</v>
          </cell>
          <cell r="D3159">
            <v>15868949.295639001</v>
          </cell>
          <cell r="E3159">
            <v>2525550865</v>
          </cell>
          <cell r="F3159">
            <v>1.3249698802202399E-2</v>
          </cell>
          <cell r="G3159">
            <v>1.0734189165974961E-2</v>
          </cell>
        </row>
        <row r="3160">
          <cell r="B3160">
            <v>443.16300000000001</v>
          </cell>
          <cell r="D3160">
            <v>13156957.133273</v>
          </cell>
          <cell r="E3160">
            <v>2425966152</v>
          </cell>
          <cell r="F3160">
            <v>4.3033773133732437E-3</v>
          </cell>
          <cell r="G3160">
            <v>-1.5593317997995005E-3</v>
          </cell>
        </row>
        <row r="3161">
          <cell r="B3161">
            <v>427.27300000000002</v>
          </cell>
          <cell r="D3161">
            <v>26907867.256406002</v>
          </cell>
          <cell r="E3161">
            <v>3050597564</v>
          </cell>
          <cell r="F3161">
            <v>-3.6514494996150788E-2</v>
          </cell>
          <cell r="G3161">
            <v>-2.3421178443889513E-2</v>
          </cell>
        </row>
        <row r="3162">
          <cell r="B3162">
            <v>416.81299999999999</v>
          </cell>
          <cell r="D3162">
            <v>30057810.660866</v>
          </cell>
          <cell r="E3162">
            <v>3529408636</v>
          </cell>
          <cell r="F3162">
            <v>-2.4785473225495635E-2</v>
          </cell>
          <cell r="G3162">
            <v>-5.1559504042484414E-3</v>
          </cell>
        </row>
        <row r="3163">
          <cell r="B3163">
            <v>423.65699999999998</v>
          </cell>
          <cell r="D3163">
            <v>23673638.138330001</v>
          </cell>
          <cell r="E3163">
            <v>2644512496</v>
          </cell>
          <cell r="F3163">
            <v>1.6286485609307677E-2</v>
          </cell>
          <cell r="G3163">
            <v>1.1029442312488889E-2</v>
          </cell>
        </row>
        <row r="3164">
          <cell r="B3164">
            <v>425.11099999999999</v>
          </cell>
          <cell r="D3164">
            <v>15183429.975236</v>
          </cell>
          <cell r="E3164">
            <v>2380028599</v>
          </cell>
          <cell r="F3164">
            <v>3.4261457131079236E-3</v>
          </cell>
          <cell r="G3164">
            <v>8.129903108684501E-4</v>
          </cell>
        </row>
        <row r="3165">
          <cell r="B3165">
            <v>421.31599999999997</v>
          </cell>
          <cell r="D3165">
            <v>32812041.041768</v>
          </cell>
          <cell r="E3165">
            <v>3024984923</v>
          </cell>
          <cell r="F3165">
            <v>-8.9671653424231029E-3</v>
          </cell>
          <cell r="G3165">
            <v>-4.9724964337360253E-3</v>
          </cell>
        </row>
        <row r="3166">
          <cell r="B3166">
            <v>416.76299999999998</v>
          </cell>
          <cell r="D3166">
            <v>43054681.55302</v>
          </cell>
          <cell r="E3166">
            <v>3466915317</v>
          </cell>
          <cell r="F3166">
            <v>-1.0865431046309111E-2</v>
          </cell>
          <cell r="G3166">
            <v>1.567000529191805E-2</v>
          </cell>
        </row>
        <row r="3167">
          <cell r="B3167">
            <v>415.52800000000002</v>
          </cell>
          <cell r="D3167">
            <v>30411758.259294</v>
          </cell>
          <cell r="E3167">
            <v>3465998526</v>
          </cell>
          <cell r="F3167">
            <v>-2.9677141923212494E-3</v>
          </cell>
          <cell r="G3167">
            <v>-1.3788191433053192E-2</v>
          </cell>
        </row>
        <row r="3168">
          <cell r="B3168">
            <v>406.94</v>
          </cell>
          <cell r="D3168">
            <v>29549989.3869</v>
          </cell>
          <cell r="E3168">
            <v>4005791030</v>
          </cell>
          <cell r="F3168">
            <v>-2.0884246285557708E-2</v>
          </cell>
          <cell r="G3168">
            <v>-1.8552885294602865E-2</v>
          </cell>
        </row>
        <row r="3169">
          <cell r="B3169">
            <v>393.65100000000001</v>
          </cell>
          <cell r="D3169">
            <v>40864244.760963999</v>
          </cell>
          <cell r="E3169">
            <v>4013798197</v>
          </cell>
          <cell r="F3169">
            <v>-3.3201024472804937E-2</v>
          </cell>
          <cell r="G3169">
            <v>-3.0427045496882188E-2</v>
          </cell>
        </row>
        <row r="3170">
          <cell r="B3170">
            <v>398.09399999999999</v>
          </cell>
          <cell r="D3170">
            <v>25041512.777407002</v>
          </cell>
          <cell r="E3170">
            <v>3179578829</v>
          </cell>
          <cell r="F3170">
            <v>1.1223428347689251E-2</v>
          </cell>
          <cell r="G3170">
            <v>1.0300905557719547E-2</v>
          </cell>
        </row>
        <row r="3171">
          <cell r="B3171">
            <v>396.91899999999998</v>
          </cell>
          <cell r="D3171">
            <v>20729537.539358001</v>
          </cell>
          <cell r="E3171">
            <v>2994459938</v>
          </cell>
          <cell r="F3171">
            <v>-2.9559286591493393E-3</v>
          </cell>
          <cell r="G3171">
            <v>-7.7647563892511828E-3</v>
          </cell>
        </row>
        <row r="3172">
          <cell r="B3172">
            <v>401.16199999999998</v>
          </cell>
          <cell r="D3172">
            <v>20279956.181766</v>
          </cell>
          <cell r="E3172">
            <v>2714860214</v>
          </cell>
          <cell r="F3172">
            <v>1.0633106106016289E-2</v>
          </cell>
          <cell r="G3172">
            <v>2.2781128575607587E-2</v>
          </cell>
        </row>
        <row r="3173">
          <cell r="B3173">
            <v>404.48</v>
          </cell>
          <cell r="D3173">
            <v>19350064.906628001</v>
          </cell>
          <cell r="E3173">
            <v>2195024918</v>
          </cell>
          <cell r="F3173">
            <v>8.2369557689297972E-3</v>
          </cell>
          <cell r="G3173">
            <v>4.660780212150723E-3</v>
          </cell>
        </row>
        <row r="3174">
          <cell r="B3174">
            <v>405.267</v>
          </cell>
          <cell r="D3174">
            <v>16826710.286529999</v>
          </cell>
          <cell r="E3174">
            <v>2285608247</v>
          </cell>
          <cell r="F3174">
            <v>1.9438176314374054E-3</v>
          </cell>
          <cell r="G3174">
            <v>4.3036707511422095E-5</v>
          </cell>
        </row>
        <row r="3175">
          <cell r="B3175">
            <v>412.43900000000002</v>
          </cell>
          <cell r="D3175">
            <v>19488193.859085999</v>
          </cell>
          <cell r="E3175">
            <v>2602423658</v>
          </cell>
          <cell r="F3175">
            <v>1.7542206901835528E-2</v>
          </cell>
          <cell r="G3175">
            <v>1.6707226654933075E-2</v>
          </cell>
        </row>
        <row r="3176">
          <cell r="B3176">
            <v>415.279</v>
          </cell>
          <cell r="D3176">
            <v>18336534.370003</v>
          </cell>
          <cell r="E3176">
            <v>2352132914</v>
          </cell>
          <cell r="F3176">
            <v>6.8622674504931914E-3</v>
          </cell>
          <cell r="G3176">
            <v>3.816476067632372E-3</v>
          </cell>
        </row>
        <row r="3177">
          <cell r="B3177">
            <v>420.18900000000002</v>
          </cell>
          <cell r="D3177">
            <v>20793682.319441002</v>
          </cell>
          <cell r="E3177">
            <v>2676735788</v>
          </cell>
          <cell r="F3177">
            <v>1.1754026555574719E-2</v>
          </cell>
          <cell r="G3177">
            <v>1.6004444012785939E-2</v>
          </cell>
        </row>
        <row r="3178">
          <cell r="B3178">
            <v>417.63400000000001</v>
          </cell>
          <cell r="D3178">
            <v>22821181.535695001</v>
          </cell>
          <cell r="E3178">
            <v>2290560567</v>
          </cell>
          <cell r="F3178">
            <v>-6.0991591790636153E-3</v>
          </cell>
          <cell r="G3178">
            <v>1.9878411263283945E-3</v>
          </cell>
        </row>
        <row r="3179">
          <cell r="B3179">
            <v>420.68799999999999</v>
          </cell>
          <cell r="D3179">
            <v>15264449.896166001</v>
          </cell>
          <cell r="E3179">
            <v>2091521270</v>
          </cell>
          <cell r="F3179">
            <v>7.2860154221892374E-3</v>
          </cell>
          <cell r="G3179">
            <v>9.6753274361777754E-3</v>
          </cell>
        </row>
        <row r="3180">
          <cell r="B3180">
            <v>423.95100000000002</v>
          </cell>
          <cell r="D3180">
            <v>16420383.035994001</v>
          </cell>
          <cell r="E3180">
            <v>2143953087</v>
          </cell>
          <cell r="F3180">
            <v>7.7264162150484667E-3</v>
          </cell>
          <cell r="G3180">
            <v>-1.9865481747165059E-3</v>
          </cell>
        </row>
        <row r="3181">
          <cell r="B3181">
            <v>423.29300000000001</v>
          </cell>
          <cell r="D3181">
            <v>16099458.944762001</v>
          </cell>
          <cell r="E3181">
            <v>2043181668</v>
          </cell>
          <cell r="F3181">
            <v>-1.5532718609842266E-3</v>
          </cell>
          <cell r="G3181">
            <v>4.2307182841846242E-3</v>
          </cell>
        </row>
        <row r="3182">
          <cell r="B3182">
            <v>414.72</v>
          </cell>
          <cell r="D3182">
            <v>19400656.553580999</v>
          </cell>
          <cell r="E3182">
            <v>2229614521</v>
          </cell>
          <cell r="F3182">
            <v>-2.0461016931113421E-2</v>
          </cell>
          <cell r="G3182">
            <v>-8.9729494254644684E-3</v>
          </cell>
        </row>
        <row r="3183">
          <cell r="B3183">
            <v>415.95699999999999</v>
          </cell>
          <cell r="D3183">
            <v>18530801.895955998</v>
          </cell>
          <cell r="E3183">
            <v>2217187088</v>
          </cell>
          <cell r="F3183">
            <v>2.9782958102230078E-3</v>
          </cell>
          <cell r="G3183">
            <v>1.1417986208502448E-2</v>
          </cell>
        </row>
        <row r="3184">
          <cell r="B3184">
            <v>412.66399999999999</v>
          </cell>
          <cell r="D3184">
            <v>13179157.229326</v>
          </cell>
          <cell r="E3184">
            <v>2019362094</v>
          </cell>
          <cell r="F3184">
            <v>-7.9481870140668664E-3</v>
          </cell>
          <cell r="G3184">
            <v>-3.1587066155747872E-3</v>
          </cell>
        </row>
        <row r="3185">
          <cell r="B3185">
            <v>413.01299999999998</v>
          </cell>
          <cell r="D3185">
            <v>13519918.949025</v>
          </cell>
          <cell r="E3185">
            <v>1985907243</v>
          </cell>
          <cell r="F3185">
            <v>8.4536694320974475E-4</v>
          </cell>
          <cell r="G3185">
            <v>1.5939320118754585E-3</v>
          </cell>
        </row>
        <row r="3186">
          <cell r="B3186">
            <v>409.78</v>
          </cell>
          <cell r="D3186">
            <v>14912449.726074001</v>
          </cell>
          <cell r="E3186">
            <v>2195175203</v>
          </cell>
          <cell r="F3186">
            <v>-7.8586391441681225E-3</v>
          </cell>
          <cell r="G3186">
            <v>-5.9939669454233853E-3</v>
          </cell>
        </row>
        <row r="3187">
          <cell r="B3187">
            <v>412.29500000000002</v>
          </cell>
          <cell r="D3187">
            <v>17079359.434491001</v>
          </cell>
          <cell r="E3187">
            <v>2330884305</v>
          </cell>
          <cell r="F3187">
            <v>6.1186822283440983E-3</v>
          </cell>
          <cell r="G3187">
            <v>-3.934142455813639E-5</v>
          </cell>
        </row>
        <row r="3188">
          <cell r="B3188">
            <v>416.30700000000002</v>
          </cell>
          <cell r="D3188">
            <v>24356980.511220999</v>
          </cell>
          <cell r="E3188">
            <v>2763540635</v>
          </cell>
          <cell r="F3188">
            <v>9.6838563091867936E-3</v>
          </cell>
          <cell r="G3188">
            <v>1.0042467382856683E-2</v>
          </cell>
        </row>
        <row r="3189">
          <cell r="B3189">
            <v>408.62200000000001</v>
          </cell>
          <cell r="D3189">
            <v>20354263.518277999</v>
          </cell>
          <cell r="E3189">
            <v>2918660358</v>
          </cell>
          <cell r="F3189">
            <v>-1.8632445533867583E-2</v>
          </cell>
          <cell r="G3189">
            <v>-2.137801245458143E-2</v>
          </cell>
        </row>
        <row r="3190">
          <cell r="B3190">
            <v>408.08300000000003</v>
          </cell>
          <cell r="D3190">
            <v>15166102.433208</v>
          </cell>
          <cell r="E3190">
            <v>2507929516</v>
          </cell>
          <cell r="F3190">
            <v>-1.3199382353614628E-3</v>
          </cell>
          <cell r="G3190">
            <v>-1.6037653903594354E-3</v>
          </cell>
        </row>
        <row r="3191">
          <cell r="B3191">
            <v>407.57400000000001</v>
          </cell>
          <cell r="D3191">
            <v>14223930.311226999</v>
          </cell>
          <cell r="E3191">
            <v>2459175279</v>
          </cell>
          <cell r="F3191">
            <v>-1.2480738008058513E-3</v>
          </cell>
          <cell r="G3191">
            <v>-3.0226412501879545E-3</v>
          </cell>
        </row>
        <row r="3192">
          <cell r="B3192">
            <v>400.89800000000002</v>
          </cell>
          <cell r="D3192">
            <v>19648777.209662002</v>
          </cell>
          <cell r="E3192">
            <v>2846447424</v>
          </cell>
          <cell r="F3192">
            <v>-1.6515480425787401E-2</v>
          </cell>
          <cell r="G3192">
            <v>-1.7410901670867562E-2</v>
          </cell>
        </row>
        <row r="3193">
          <cell r="B3193">
            <v>404.91</v>
          </cell>
          <cell r="D3193">
            <v>15325749.35049</v>
          </cell>
          <cell r="E3193">
            <v>2596711180</v>
          </cell>
          <cell r="F3193">
            <v>9.9577893285387378E-3</v>
          </cell>
          <cell r="G3193">
            <v>1.1513555690021488E-2</v>
          </cell>
        </row>
        <row r="3194">
          <cell r="B3194">
            <v>413.37299999999999</v>
          </cell>
          <cell r="D3194">
            <v>19633507.706671</v>
          </cell>
          <cell r="E3194">
            <v>2556010161</v>
          </cell>
          <cell r="F3194">
            <v>2.0685512878998811E-2</v>
          </cell>
          <cell r="G3194">
            <v>4.4626607244902189E-3</v>
          </cell>
        </row>
        <row r="3195">
          <cell r="B3195">
            <v>422.19499999999999</v>
          </cell>
          <cell r="D3195">
            <v>19305488.441826999</v>
          </cell>
          <cell r="E3195">
            <v>2840609874</v>
          </cell>
          <cell r="F3195">
            <v>2.1116959547230717E-2</v>
          </cell>
          <cell r="G3195">
            <v>1.0608580303038784E-2</v>
          </cell>
        </row>
        <row r="3196">
          <cell r="B3196">
            <v>426.14699999999999</v>
          </cell>
          <cell r="D3196">
            <v>17453625.083023001</v>
          </cell>
          <cell r="E3196">
            <v>2599880993</v>
          </cell>
          <cell r="F3196">
            <v>9.3170645532701171E-3</v>
          </cell>
          <cell r="G3196">
            <v>7.46737294203047E-3</v>
          </cell>
        </row>
        <row r="3197">
          <cell r="B3197">
            <v>429.73</v>
          </cell>
          <cell r="D3197">
            <v>15906330.142682999</v>
          </cell>
          <cell r="E3197">
            <v>2218001699</v>
          </cell>
          <cell r="F3197">
            <v>8.3727473259183182E-3</v>
          </cell>
          <cell r="G3197">
            <v>5.3930968783714164E-3</v>
          </cell>
        </row>
        <row r="3198">
          <cell r="B3198">
            <v>430.47800000000001</v>
          </cell>
          <cell r="D3198">
            <v>13862389.08152</v>
          </cell>
          <cell r="E3198">
            <v>2355704324</v>
          </cell>
          <cell r="F3198">
            <v>1.7391146990691372E-3</v>
          </cell>
          <cell r="G3198">
            <v>1.2558720767880025E-3</v>
          </cell>
        </row>
        <row r="3199">
          <cell r="B3199">
            <v>434.28100000000001</v>
          </cell>
          <cell r="D3199">
            <v>18912010.413851</v>
          </cell>
          <cell r="E3199">
            <v>2352005863</v>
          </cell>
          <cell r="F3199">
            <v>8.7955708290900353E-3</v>
          </cell>
          <cell r="G3199">
            <v>2.6447349073670164E-4</v>
          </cell>
        </row>
        <row r="3200">
          <cell r="B3200">
            <v>429.94900000000001</v>
          </cell>
          <cell r="D3200">
            <v>18935869.074898999</v>
          </cell>
          <cell r="E3200">
            <v>2478222849</v>
          </cell>
          <cell r="F3200">
            <v>-1.002519302051989E-2</v>
          </cell>
          <cell r="G3200">
            <v>-2.9006031263851696E-3</v>
          </cell>
        </row>
        <row r="3201">
          <cell r="B3201">
            <v>437.81400000000002</v>
          </cell>
          <cell r="D3201">
            <v>21750007.714586001</v>
          </cell>
          <cell r="E3201">
            <v>2802061343</v>
          </cell>
          <cell r="F3201">
            <v>1.8127565647296499E-2</v>
          </cell>
          <cell r="G3201">
            <v>1.6834291247586949E-2</v>
          </cell>
        </row>
        <row r="3202">
          <cell r="B3202">
            <v>434.4</v>
          </cell>
          <cell r="D3202">
            <v>55277530.680537</v>
          </cell>
          <cell r="E3202">
            <v>5746133311</v>
          </cell>
          <cell r="F3202">
            <v>-7.8283940299284129E-3</v>
          </cell>
          <cell r="G3202">
            <v>-1.942855451501775E-3</v>
          </cell>
        </row>
        <row r="3203">
          <cell r="B3203">
            <v>432.64400000000001</v>
          </cell>
          <cell r="D3203">
            <v>15159173.591868</v>
          </cell>
          <cell r="E3203">
            <v>2421690533</v>
          </cell>
          <cell r="F3203">
            <v>-4.0505496857907849E-3</v>
          </cell>
          <cell r="G3203">
            <v>2.8053309143568263E-3</v>
          </cell>
        </row>
        <row r="3204">
          <cell r="B3204">
            <v>428.31299999999999</v>
          </cell>
          <cell r="D3204">
            <v>17049813.412135001</v>
          </cell>
          <cell r="E3204">
            <v>2560831360</v>
          </cell>
          <cell r="F3204">
            <v>-1.0060982216619852E-2</v>
          </cell>
          <cell r="G3204">
            <v>2.5079697029956895E-3</v>
          </cell>
        </row>
        <row r="3205">
          <cell r="B3205">
            <v>431.24700000000001</v>
          </cell>
          <cell r="D3205">
            <v>13423178.696697</v>
          </cell>
          <cell r="E3205">
            <v>2461681291</v>
          </cell>
          <cell r="F3205">
            <v>6.8267750823187215E-3</v>
          </cell>
          <cell r="G3205">
            <v>-1.8629115860669923E-3</v>
          </cell>
        </row>
        <row r="3206">
          <cell r="B3206">
            <v>430.44799999999998</v>
          </cell>
          <cell r="D3206">
            <v>14521051.853503</v>
          </cell>
          <cell r="E3206">
            <v>2772978914</v>
          </cell>
          <cell r="F3206">
            <v>-1.8544850068475784E-3</v>
          </cell>
          <cell r="G3206">
            <v>4.0304808028723289E-3</v>
          </cell>
        </row>
        <row r="3207">
          <cell r="B3207">
            <v>427.16500000000002</v>
          </cell>
          <cell r="D3207">
            <v>14925947.690165</v>
          </cell>
          <cell r="E3207">
            <v>2330866872</v>
          </cell>
          <cell r="F3207">
            <v>-7.656171342102956E-3</v>
          </cell>
          <cell r="G3207">
            <v>-1.2539688882457197E-3</v>
          </cell>
        </row>
        <row r="3208">
          <cell r="B3208">
            <v>429.44</v>
          </cell>
          <cell r="D3208">
            <v>16888342.851868</v>
          </cell>
          <cell r="E3208">
            <v>2525809879</v>
          </cell>
          <cell r="F3208">
            <v>5.3116788925790977E-3</v>
          </cell>
          <cell r="G3208">
            <v>4.227593432856073E-3</v>
          </cell>
        </row>
        <row r="3209">
          <cell r="B3209">
            <v>419.85</v>
          </cell>
          <cell r="D3209">
            <v>19131162.200521</v>
          </cell>
          <cell r="E3209">
            <v>2660892168</v>
          </cell>
          <cell r="F3209">
            <v>-2.2584529713689992E-2</v>
          </cell>
          <cell r="G3209">
            <v>-9.3678520838370288E-3</v>
          </cell>
        </row>
        <row r="3210">
          <cell r="B3210">
            <v>416.29700000000003</v>
          </cell>
          <cell r="D3210">
            <v>16615448.707242999</v>
          </cell>
          <cell r="E3210">
            <v>2249151383</v>
          </cell>
          <cell r="F3210">
            <v>-8.4985567961888293E-3</v>
          </cell>
          <cell r="G3210">
            <v>1.3837448536698041E-4</v>
          </cell>
        </row>
        <row r="3211">
          <cell r="B3211">
            <v>415.70800000000003</v>
          </cell>
          <cell r="D3211">
            <v>13713816.286362</v>
          </cell>
          <cell r="E3211">
            <v>2210219663</v>
          </cell>
          <cell r="F3211">
            <v>-1.4158571123850489E-3</v>
          </cell>
          <cell r="G3211">
            <v>-1.6828115331257495E-3</v>
          </cell>
        </row>
        <row r="3212">
          <cell r="B3212">
            <v>415.22899999999998</v>
          </cell>
          <cell r="D3212">
            <v>19229326.297178</v>
          </cell>
          <cell r="E3212">
            <v>2221127200</v>
          </cell>
          <cell r="F3212">
            <v>-1.1529154510097706E-3</v>
          </cell>
          <cell r="G3212">
            <v>8.9302759844378885E-3</v>
          </cell>
        </row>
        <row r="3213">
          <cell r="B3213">
            <v>408.72199999999998</v>
          </cell>
          <cell r="D3213">
            <v>20961634.828315999</v>
          </cell>
          <cell r="E3213">
            <v>2292762825</v>
          </cell>
          <cell r="F3213">
            <v>-1.5794956933914424E-2</v>
          </cell>
          <cell r="G3213">
            <v>-9.6322841074211688E-3</v>
          </cell>
        </row>
        <row r="3214">
          <cell r="B3214">
            <v>413.88200000000001</v>
          </cell>
          <cell r="D3214">
            <v>19267751.056065001</v>
          </cell>
          <cell r="E3214">
            <v>2187473625</v>
          </cell>
          <cell r="F3214">
            <v>1.2545690707546511E-2</v>
          </cell>
          <cell r="G3214">
            <v>9.6427168941927138E-3</v>
          </cell>
        </row>
        <row r="3215">
          <cell r="B3215">
            <v>416.62599999999998</v>
          </cell>
          <cell r="D3215">
            <v>15004230.070284</v>
          </cell>
          <cell r="E3215">
            <v>2172928121</v>
          </cell>
          <cell r="F3215">
            <v>6.6080278214264493E-3</v>
          </cell>
          <cell r="G3215">
            <v>7.0882038963943272E-3</v>
          </cell>
        </row>
        <row r="3216">
          <cell r="B3216">
            <v>415.00900000000001</v>
          </cell>
          <cell r="D3216">
            <v>13876095.461952001</v>
          </cell>
          <cell r="E3216">
            <v>2067810368</v>
          </cell>
          <cell r="F3216">
            <v>-3.8887301225149135E-3</v>
          </cell>
          <cell r="G3216">
            <v>-2.0722279710146596E-3</v>
          </cell>
        </row>
        <row r="3217">
          <cell r="B3217">
            <v>415.488</v>
          </cell>
          <cell r="D3217">
            <v>14173257.084294001</v>
          </cell>
          <cell r="E3217">
            <v>2127780848</v>
          </cell>
          <cell r="F3217">
            <v>1.153526269484376E-3</v>
          </cell>
          <cell r="G3217">
            <v>6.0336118627852325E-3</v>
          </cell>
        </row>
        <row r="3218">
          <cell r="B3218">
            <v>418.303</v>
          </cell>
          <cell r="D3218">
            <v>16686419.481396001</v>
          </cell>
          <cell r="E3218">
            <v>1983168494</v>
          </cell>
          <cell r="F3218">
            <v>6.7523172966243213E-3</v>
          </cell>
          <cell r="G3218">
            <v>7.6780609629941675E-3</v>
          </cell>
        </row>
        <row r="3219">
          <cell r="B3219">
            <v>417.904</v>
          </cell>
          <cell r="D3219">
            <v>18938032.396439999</v>
          </cell>
          <cell r="E3219">
            <v>2826023465</v>
          </cell>
          <cell r="F3219">
            <v>-9.5430923271628686E-4</v>
          </cell>
          <cell r="G3219">
            <v>-7.6385090687541464E-3</v>
          </cell>
        </row>
        <row r="3220">
          <cell r="B3220">
            <v>415.28899999999999</v>
          </cell>
          <cell r="D3220">
            <v>15539975.297098</v>
          </cell>
          <cell r="E3220">
            <v>2269908582</v>
          </cell>
          <cell r="F3220">
            <v>-6.2770776669568611E-3</v>
          </cell>
          <cell r="G3220">
            <v>4.6681557065759915E-3</v>
          </cell>
        </row>
        <row r="3221">
          <cell r="B3221">
            <v>415.88799999999998</v>
          </cell>
          <cell r="D3221">
            <v>14849668.311325001</v>
          </cell>
          <cell r="E3221">
            <v>2347819901</v>
          </cell>
          <cell r="F3221">
            <v>1.4413298339546853E-3</v>
          </cell>
          <cell r="G3221">
            <v>-1.7117513483320916E-4</v>
          </cell>
        </row>
        <row r="3222">
          <cell r="B3222">
            <v>417.32499999999999</v>
          </cell>
          <cell r="D3222">
            <v>17179635.750604998</v>
          </cell>
          <cell r="E3222">
            <v>2151748587</v>
          </cell>
          <cell r="F3222">
            <v>3.449301498529241E-3</v>
          </cell>
          <cell r="G3222">
            <v>3.9637370431245362E-3</v>
          </cell>
        </row>
        <row r="3223">
          <cell r="B3223">
            <v>417.94299999999998</v>
          </cell>
          <cell r="D3223">
            <v>14234550.526608</v>
          </cell>
          <cell r="E3223">
            <v>2106670973</v>
          </cell>
          <cell r="F3223">
            <v>1.4797648485748414E-3</v>
          </cell>
          <cell r="G3223">
            <v>-1.8244427413090425E-3</v>
          </cell>
        </row>
        <row r="3224">
          <cell r="B3224">
            <v>426.65600000000001</v>
          </cell>
          <cell r="D3224">
            <v>25533203.182255</v>
          </cell>
          <cell r="E3224">
            <v>2281964492</v>
          </cell>
          <cell r="F3224">
            <v>2.063300834302122E-2</v>
          </cell>
          <cell r="G3224">
            <v>-4.7500338350551163E-4</v>
          </cell>
        </row>
        <row r="3225">
          <cell r="B3225">
            <v>423.75200000000001</v>
          </cell>
          <cell r="D3225">
            <v>19693719.989216</v>
          </cell>
          <cell r="E3225">
            <v>2403900391</v>
          </cell>
          <cell r="F3225">
            <v>-6.8296894855142077E-3</v>
          </cell>
          <cell r="G3225">
            <v>-9.2337774119530536E-3</v>
          </cell>
        </row>
        <row r="3226">
          <cell r="B3226">
            <v>423.88200000000001</v>
          </cell>
          <cell r="D3226">
            <v>13608816.534516999</v>
          </cell>
          <cell r="E3226">
            <v>2309079983</v>
          </cell>
          <cell r="F3226">
            <v>3.0673616447486255E-4</v>
          </cell>
          <cell r="G3226">
            <v>2.1434831869283494E-3</v>
          </cell>
        </row>
        <row r="3227">
          <cell r="B3227">
            <v>427.29500000000002</v>
          </cell>
          <cell r="D3227">
            <v>16932889.840775002</v>
          </cell>
          <cell r="E3227">
            <v>2285689375</v>
          </cell>
          <cell r="F3227">
            <v>8.0195265887459798E-3</v>
          </cell>
          <cell r="G3227">
            <v>-2.9953572187414154E-4</v>
          </cell>
        </row>
        <row r="3228">
          <cell r="B3228">
            <v>425.738</v>
          </cell>
          <cell r="D3228">
            <v>14912233.293719999</v>
          </cell>
          <cell r="E3228">
            <v>2229819590</v>
          </cell>
          <cell r="F3228">
            <v>-3.6505076100803928E-3</v>
          </cell>
          <cell r="G3228">
            <v>2.6479514493707988E-3</v>
          </cell>
        </row>
        <row r="3229">
          <cell r="B3229">
            <v>431.08699999999999</v>
          </cell>
          <cell r="D3229">
            <v>17679397.094526999</v>
          </cell>
          <cell r="E3229">
            <v>2703268392</v>
          </cell>
          <cell r="F3229">
            <v>1.248579229135419E-2</v>
          </cell>
          <cell r="G3229">
            <v>1.6128426925638532E-3</v>
          </cell>
        </row>
        <row r="3230">
          <cell r="B3230">
            <v>431.666</v>
          </cell>
          <cell r="D3230">
            <v>29808696.083629001</v>
          </cell>
          <cell r="E3230">
            <v>2883407623</v>
          </cell>
          <cell r="F3230">
            <v>1.3422151807628848E-3</v>
          </cell>
          <cell r="G3230">
            <v>-3.3056916281390038E-3</v>
          </cell>
        </row>
        <row r="3231">
          <cell r="B3231">
            <v>405.53800000000001</v>
          </cell>
          <cell r="D3231">
            <v>54079011.469012</v>
          </cell>
          <cell r="E3231">
            <v>3348081587</v>
          </cell>
          <cell r="F3231">
            <v>-6.2437560430644787E-2</v>
          </cell>
          <cell r="G3231">
            <v>-1.8790182599519829E-2</v>
          </cell>
        </row>
        <row r="3232">
          <cell r="B3232">
            <v>409.55</v>
          </cell>
          <cell r="D3232">
            <v>24278942.619502001</v>
          </cell>
          <cell r="E3232">
            <v>2795181639</v>
          </cell>
          <cell r="F3232">
            <v>9.844415329464359E-3</v>
          </cell>
          <cell r="G3232">
            <v>4.0842263302362366E-3</v>
          </cell>
        </row>
        <row r="3233">
          <cell r="B3233">
            <v>407.64400000000001</v>
          </cell>
          <cell r="D3233">
            <v>19711662.832582001</v>
          </cell>
          <cell r="E3233">
            <v>2435296825</v>
          </cell>
          <cell r="F3233">
            <v>-4.6647514695340436E-3</v>
          </cell>
          <cell r="G3233">
            <v>-2.8160686495115016E-3</v>
          </cell>
        </row>
        <row r="3234">
          <cell r="B3234">
            <v>410.63799999999998</v>
          </cell>
          <cell r="D3234">
            <v>17661291.926895</v>
          </cell>
          <cell r="E3234">
            <v>2415526221</v>
          </cell>
          <cell r="F3234">
            <v>7.3178033019771754E-3</v>
          </cell>
          <cell r="G3234">
            <v>1.219106130274809E-2</v>
          </cell>
        </row>
        <row r="3235">
          <cell r="B3235">
            <v>419.34100000000001</v>
          </cell>
          <cell r="D3235">
            <v>26735249.439553</v>
          </cell>
          <cell r="E3235">
            <v>4188415588</v>
          </cell>
          <cell r="F3235">
            <v>2.0972383619961333E-2</v>
          </cell>
          <cell r="G3235">
            <v>2.4981233838896531E-2</v>
          </cell>
        </row>
        <row r="3236">
          <cell r="B3236">
            <v>424.58</v>
          </cell>
          <cell r="D3236">
            <v>19941618.200932</v>
          </cell>
          <cell r="E3236">
            <v>3113022582</v>
          </cell>
          <cell r="F3236">
            <v>1.2416013589840156E-2</v>
          </cell>
          <cell r="G3236">
            <v>7.4037444129894632E-3</v>
          </cell>
        </row>
        <row r="3237">
          <cell r="B3237">
            <v>421.69600000000003</v>
          </cell>
          <cell r="D3237">
            <v>16925224.52823</v>
          </cell>
          <cell r="E3237">
            <v>2776355347</v>
          </cell>
          <cell r="F3237">
            <v>-6.815769712501028E-3</v>
          </cell>
          <cell r="G3237">
            <v>3.7498038697994338E-3</v>
          </cell>
        </row>
        <row r="3238">
          <cell r="B3238">
            <v>417.17500000000001</v>
          </cell>
          <cell r="D3238">
            <v>24552367.824995998</v>
          </cell>
          <cell r="E3238">
            <v>2765183831</v>
          </cell>
          <cell r="F3238">
            <v>-1.0778877258388199E-2</v>
          </cell>
          <cell r="G3238">
            <v>9.6858443383637458E-4</v>
          </cell>
        </row>
        <row r="3239">
          <cell r="B3239">
            <v>422.185</v>
          </cell>
          <cell r="D3239">
            <v>19440038.224034</v>
          </cell>
          <cell r="E3239">
            <v>2635771640</v>
          </cell>
          <cell r="F3239">
            <v>1.193780856441874E-2</v>
          </cell>
          <cell r="G3239">
            <v>-2.8968743715661891E-3</v>
          </cell>
        </row>
        <row r="3240">
          <cell r="B3240">
            <v>424.351</v>
          </cell>
          <cell r="D3240">
            <v>21545224.631432999</v>
          </cell>
          <cell r="E3240">
            <v>2606607974</v>
          </cell>
          <cell r="F3240">
            <v>5.1173363608285494E-3</v>
          </cell>
          <cell r="G3240">
            <v>2.322595101076364E-4</v>
          </cell>
        </row>
        <row r="3241">
          <cell r="B3241">
            <v>426.03699999999998</v>
          </cell>
          <cell r="D3241">
            <v>30307424.36386</v>
          </cell>
          <cell r="E3241">
            <v>2650482299</v>
          </cell>
          <cell r="F3241">
            <v>3.96525399962011E-3</v>
          </cell>
          <cell r="G3241">
            <v>-6.0681150291174617E-3</v>
          </cell>
        </row>
        <row r="3242">
          <cell r="B3242">
            <v>414.17099999999999</v>
          </cell>
          <cell r="D3242">
            <v>28304185.611311</v>
          </cell>
          <cell r="E3242">
            <v>3307311778</v>
          </cell>
          <cell r="F3242">
            <v>-2.8247264933234418E-2</v>
          </cell>
          <cell r="G3242">
            <v>-1.3291463960568205E-2</v>
          </cell>
        </row>
        <row r="3243">
          <cell r="B3243">
            <v>414.92899999999997</v>
          </cell>
          <cell r="D3243">
            <v>24791537.600427002</v>
          </cell>
          <cell r="E3243">
            <v>2873987244</v>
          </cell>
          <cell r="F3243">
            <v>1.8284892321546358E-3</v>
          </cell>
          <cell r="G3243">
            <v>3.9101598241076656E-3</v>
          </cell>
        </row>
        <row r="3244">
          <cell r="B3244">
            <v>416.95499999999998</v>
          </cell>
          <cell r="D3244">
            <v>18169825.795173999</v>
          </cell>
          <cell r="E3244">
            <v>2728398371</v>
          </cell>
          <cell r="F3244">
            <v>4.8708810498834998E-3</v>
          </cell>
          <cell r="G3244">
            <v>3.9557737052673715E-3</v>
          </cell>
        </row>
        <row r="3245">
          <cell r="B3245">
            <v>414.66</v>
          </cell>
          <cell r="D3245">
            <v>19230069.782395002</v>
          </cell>
          <cell r="E3245">
            <v>2623316625</v>
          </cell>
          <cell r="F3245">
            <v>-5.5193949752797098E-3</v>
          </cell>
          <cell r="G3245">
            <v>2.1970426117316337E-5</v>
          </cell>
        </row>
        <row r="3246">
          <cell r="B3246">
            <v>412.87</v>
          </cell>
          <cell r="D3246">
            <v>20780162</v>
          </cell>
          <cell r="E3246">
            <v>2889328509</v>
          </cell>
          <cell r="F3246">
            <v>-4.3261338965792356E-3</v>
          </cell>
          <cell r="G3246">
            <v>5.3262353051749837E-3</v>
          </cell>
        </row>
        <row r="3247">
          <cell r="B3247">
            <v>417</v>
          </cell>
          <cell r="D3247">
            <v>24814626</v>
          </cell>
          <cell r="E3247">
            <v>2642080825</v>
          </cell>
          <cell r="F3247">
            <v>9.9534483640226559E-3</v>
          </cell>
          <cell r="G3247">
            <v>3.4619792004100735E-3</v>
          </cell>
        </row>
        <row r="3248">
          <cell r="B3248">
            <v>418.79</v>
          </cell>
          <cell r="D3248">
            <v>27691090</v>
          </cell>
          <cell r="E3248">
            <v>3980582178</v>
          </cell>
          <cell r="F3248">
            <v>4.2833791665618029E-3</v>
          </cell>
          <cell r="G3248">
            <v>3.015882072251307E-3</v>
          </cell>
        </row>
        <row r="3249">
          <cell r="B3249">
            <v>427.99</v>
          </cell>
          <cell r="D3249">
            <v>23458889</v>
          </cell>
          <cell r="E3249">
            <v>2440492719</v>
          </cell>
          <cell r="F3249">
            <v>2.1730229857498513E-2</v>
          </cell>
          <cell r="G3249">
            <v>5.7057361888066833E-3</v>
          </cell>
        </row>
        <row r="3250">
          <cell r="B3250">
            <v>422.99</v>
          </cell>
          <cell r="D3250">
            <v>18332444</v>
          </cell>
          <cell r="E3250">
            <v>2099481940</v>
          </cell>
          <cell r="F3250">
            <v>-1.1751292717967056E-2</v>
          </cell>
          <cell r="G3250">
            <v>-3.8085396153748753E-3</v>
          </cell>
        </row>
        <row r="3251">
          <cell r="B3251">
            <v>423.46</v>
          </cell>
          <cell r="D3251">
            <v>16271921</v>
          </cell>
          <cell r="E3251">
            <v>1465439728</v>
          </cell>
          <cell r="F3251">
            <v>1.1105205228955624E-3</v>
          </cell>
          <cell r="G3251">
            <v>5.5921788939180331E-3</v>
          </cell>
        </row>
        <row r="3252">
          <cell r="B3252">
            <v>430.98</v>
          </cell>
          <cell r="D3252">
            <v>20207223</v>
          </cell>
          <cell r="E3252">
            <v>2758054562</v>
          </cell>
          <cell r="F3252">
            <v>1.760262668697498E-2</v>
          </cell>
          <cell r="G3252">
            <v>2.4454606033056034E-3</v>
          </cell>
        </row>
        <row r="3253">
          <cell r="B3253">
            <v>431.2</v>
          </cell>
          <cell r="D3253">
            <v>18301987</v>
          </cell>
          <cell r="E3253">
            <v>2655568059</v>
          </cell>
          <cell r="F3253">
            <v>5.103342800221258E-4</v>
          </cell>
          <cell r="G3253">
            <v>4.5135046310470323E-4</v>
          </cell>
        </row>
        <row r="3254">
          <cell r="B3254">
            <v>437.42</v>
          </cell>
          <cell r="D3254">
            <v>26009429</v>
          </cell>
          <cell r="E3254">
            <v>2712321623</v>
          </cell>
          <cell r="F3254">
            <v>1.432181233961893E-2</v>
          </cell>
          <cell r="G3254">
            <v>6.0331237505021089E-3</v>
          </cell>
        </row>
        <row r="3255">
          <cell r="B3255">
            <v>442.62</v>
          </cell>
          <cell r="D3255">
            <v>21697775</v>
          </cell>
          <cell r="E3255">
            <v>2675005481</v>
          </cell>
          <cell r="F3255">
            <v>1.1817782189859459E-2</v>
          </cell>
          <cell r="G3255">
            <v>-1.8714648272306858E-3</v>
          </cell>
        </row>
        <row r="3256">
          <cell r="B3256">
            <v>443.57</v>
          </cell>
          <cell r="D3256">
            <v>18821002</v>
          </cell>
          <cell r="E3256">
            <v>2526693758</v>
          </cell>
          <cell r="F3256">
            <v>2.1440105708975103E-3</v>
          </cell>
          <cell r="G3256">
            <v>2.4923196558419955E-3</v>
          </cell>
        </row>
        <row r="3257">
          <cell r="B3257">
            <v>446.02</v>
          </cell>
          <cell r="D3257">
            <v>19144388</v>
          </cell>
          <cell r="E3257">
            <v>2941794303</v>
          </cell>
          <cell r="F3257">
            <v>5.5081693688085664E-3</v>
          </cell>
          <cell r="G3257">
            <v>-6.1631802121963038E-3</v>
          </cell>
        </row>
        <row r="3258">
          <cell r="B3258">
            <v>443.33</v>
          </cell>
          <cell r="D3258">
            <v>18469459</v>
          </cell>
          <cell r="E3258">
            <v>2802540531</v>
          </cell>
          <cell r="F3258">
            <v>-6.0493803415409345E-3</v>
          </cell>
          <cell r="G3258">
            <v>-2.9682940713745675E-3</v>
          </cell>
        </row>
        <row r="3259">
          <cell r="B3259">
            <v>448.99</v>
          </cell>
          <cell r="D3259">
            <v>19200208</v>
          </cell>
          <cell r="E3259">
            <v>2908653941</v>
          </cell>
          <cell r="F3259">
            <v>1.2686202056882959E-2</v>
          </cell>
          <cell r="G3259">
            <v>8.1326619328850828E-3</v>
          </cell>
        </row>
        <row r="3260">
          <cell r="B3260">
            <v>449.56</v>
          </cell>
          <cell r="D3260">
            <v>20834779</v>
          </cell>
          <cell r="E3260">
            <v>2407534449</v>
          </cell>
          <cell r="F3260">
            <v>1.2687108707523317E-3</v>
          </cell>
          <cell r="G3260">
            <v>-5.4287410919564485E-3</v>
          </cell>
        </row>
        <row r="3261">
          <cell r="B3261">
            <v>447.27</v>
          </cell>
          <cell r="D3261">
            <v>20177833</v>
          </cell>
          <cell r="E3261">
            <v>2525493236</v>
          </cell>
          <cell r="F3261">
            <v>-5.106887541648961E-3</v>
          </cell>
          <cell r="G3261">
            <v>-2.6441167577320025E-5</v>
          </cell>
        </row>
        <row r="3262">
          <cell r="B3262">
            <v>451.59</v>
          </cell>
          <cell r="D3262">
            <v>23598834</v>
          </cell>
          <cell r="E3262">
            <v>3113591762</v>
          </cell>
          <cell r="F3262">
            <v>9.6122494321048465E-3</v>
          </cell>
          <cell r="G3262">
            <v>3.7921163249597686E-3</v>
          </cell>
        </row>
        <row r="3263">
          <cell r="B3263">
            <v>454.46</v>
          </cell>
          <cell r="D3263">
            <v>22733494</v>
          </cell>
          <cell r="E3263">
            <v>3038427124</v>
          </cell>
          <cell r="F3263">
            <v>6.3352124031293821E-3</v>
          </cell>
          <cell r="G3263">
            <v>-3.8714440227630084E-3</v>
          </cell>
        </row>
        <row r="3264">
          <cell r="B3264">
            <v>437.39</v>
          </cell>
          <cell r="D3264">
            <v>24444545</v>
          </cell>
          <cell r="E3264">
            <v>3400301958</v>
          </cell>
          <cell r="F3264">
            <v>-3.8284655330873545E-2</v>
          </cell>
          <cell r="G3264">
            <v>-2.9936554508987644E-2</v>
          </cell>
        </row>
        <row r="3265">
          <cell r="B3265">
            <v>437.03</v>
          </cell>
          <cell r="D3265">
            <v>22963681</v>
          </cell>
          <cell r="E3265">
            <v>3296178745</v>
          </cell>
          <cell r="F3265">
            <v>-8.2340298790001861E-4</v>
          </cell>
          <cell r="G3265">
            <v>-8.6547345775283581E-4</v>
          </cell>
        </row>
        <row r="3266">
          <cell r="B3266">
            <v>436.6</v>
          </cell>
          <cell r="D3266">
            <v>64263694</v>
          </cell>
          <cell r="E3266">
            <v>6423401075</v>
          </cell>
          <cell r="F3266">
            <v>-9.8439850903452616E-4</v>
          </cell>
          <cell r="G3266">
            <v>1.0810476252410672E-2</v>
          </cell>
        </row>
        <row r="3267">
          <cell r="B3267">
            <v>435.25</v>
          </cell>
          <cell r="D3267">
            <v>19152519</v>
          </cell>
          <cell r="E3267">
            <v>2322849535</v>
          </cell>
          <cell r="F3267">
            <v>-3.0968654675452034E-3</v>
          </cell>
          <cell r="G3267">
            <v>7.2608954754625398E-3</v>
          </cell>
        </row>
        <row r="3268">
          <cell r="B3268">
            <v>439.33</v>
          </cell>
          <cell r="D3268">
            <v>7164543</v>
          </cell>
          <cell r="E3268">
            <v>1133216588</v>
          </cell>
          <cell r="F3268">
            <v>9.3302604638468636E-3</v>
          </cell>
          <cell r="G3268">
            <v>1.0982197273831982E-2</v>
          </cell>
        </row>
        <row r="3269">
          <cell r="B3269">
            <v>438.11</v>
          </cell>
          <cell r="D3269">
            <v>8199927</v>
          </cell>
          <cell r="E3269">
            <v>1506250902</v>
          </cell>
          <cell r="F3269">
            <v>-2.780818713948305E-3</v>
          </cell>
          <cell r="G3269">
            <v>-4.0570874146761795E-4</v>
          </cell>
        </row>
        <row r="3270">
          <cell r="B3270">
            <v>430.53</v>
          </cell>
          <cell r="D3270">
            <v>18117713</v>
          </cell>
          <cell r="E3270">
            <v>1817797977</v>
          </cell>
          <cell r="F3270">
            <v>-1.7453012547246734E-2</v>
          </cell>
          <cell r="G3270">
            <v>-1.111730467559637E-2</v>
          </cell>
        </row>
        <row r="3271">
          <cell r="B3271">
            <v>424.83</v>
          </cell>
          <cell r="D3271">
            <v>13158703</v>
          </cell>
          <cell r="E3271">
            <v>1943393216</v>
          </cell>
          <cell r="F3271">
            <v>-1.3327918947873099E-2</v>
          </cell>
          <cell r="G3271">
            <v>-1.0759690191101295E-2</v>
          </cell>
        </row>
        <row r="3272">
          <cell r="B3272">
            <v>421.5</v>
          </cell>
          <cell r="D3272">
            <v>13246509</v>
          </cell>
          <cell r="E3272">
            <v>1796606528</v>
          </cell>
          <cell r="F3272">
            <v>-7.8693114611669106E-3</v>
          </cell>
          <cell r="G3272">
            <v>-4.2939964541344501E-3</v>
          </cell>
        </row>
        <row r="3273">
          <cell r="B3273">
            <v>418.58</v>
          </cell>
          <cell r="D3273">
            <v>16896469</v>
          </cell>
          <cell r="E3273">
            <v>2248974081</v>
          </cell>
          <cell r="F3273">
            <v>-6.9517468800784493E-3</v>
          </cell>
          <cell r="G3273">
            <v>-2.2263497925529528E-3</v>
          </cell>
        </row>
        <row r="3274">
          <cell r="B3274">
            <v>423.35</v>
          </cell>
          <cell r="D3274">
            <v>16662943</v>
          </cell>
          <cell r="E3274">
            <v>2208965666</v>
          </cell>
          <cell r="F3274">
            <v>1.1331229526454522E-2</v>
          </cell>
          <cell r="G3274">
            <v>1.2517287272659085E-2</v>
          </cell>
        </row>
        <row r="3275">
          <cell r="B3275">
            <v>427.85</v>
          </cell>
          <cell r="D3275">
            <v>20573648</v>
          </cell>
          <cell r="E3275">
            <v>2825734456</v>
          </cell>
          <cell r="F3275">
            <v>1.057340677577758E-2</v>
          </cell>
          <cell r="G3275">
            <v>5.5228222624888485E-3</v>
          </cell>
        </row>
        <row r="3276">
          <cell r="B3276">
            <v>422.37</v>
          </cell>
          <cell r="D3276">
            <v>18139065</v>
          </cell>
          <cell r="E3276">
            <v>2695892906</v>
          </cell>
          <cell r="F3276">
            <v>-1.2890959721518212E-2</v>
          </cell>
          <cell r="G3276">
            <v>-1.116600476981219E-2</v>
          </cell>
        </row>
        <row r="3277">
          <cell r="B3277">
            <v>424.56</v>
          </cell>
          <cell r="D3277">
            <v>15054575</v>
          </cell>
          <cell r="E3277">
            <v>2552763188</v>
          </cell>
          <cell r="F3277">
            <v>5.1716313770938417E-3</v>
          </cell>
          <cell r="G3277">
            <v>1.559107735282887E-3</v>
          </cell>
        </row>
        <row r="3278">
          <cell r="B3278">
            <v>418.95</v>
          </cell>
          <cell r="D3278">
            <v>20201132</v>
          </cell>
          <cell r="E3278">
            <v>3074140013</v>
          </cell>
          <cell r="F3278">
            <v>-1.3301757460344052E-2</v>
          </cell>
          <cell r="G3278">
            <v>-1.5531644353894208E-2</v>
          </cell>
        </row>
        <row r="3279">
          <cell r="B3279">
            <v>417.19</v>
          </cell>
          <cell r="D3279">
            <v>17604780</v>
          </cell>
          <cell r="E3279">
            <v>2734604885</v>
          </cell>
          <cell r="F3279">
            <v>-4.209827539218081E-3</v>
          </cell>
          <cell r="G3279">
            <v>1.5741742695762329E-3</v>
          </cell>
        </row>
        <row r="3280">
          <cell r="B3280">
            <v>415.67</v>
          </cell>
          <cell r="D3280">
            <v>16935856</v>
          </cell>
          <cell r="E3280">
            <v>2456378108</v>
          </cell>
          <cell r="F3280">
            <v>-3.6500772941136213E-3</v>
          </cell>
          <cell r="G3280">
            <v>1.1456334044923633E-3</v>
          </cell>
        </row>
        <row r="3281">
          <cell r="B3281">
            <v>426.31</v>
          </cell>
          <cell r="D3281">
            <v>19637838</v>
          </cell>
          <cell r="E3281">
            <v>2766846545</v>
          </cell>
          <cell r="F3281">
            <v>2.5275104928999953E-2</v>
          </cell>
          <cell r="G3281">
            <v>1.8147132985426716E-2</v>
          </cell>
        </row>
        <row r="3282">
          <cell r="B3282">
            <v>424.58</v>
          </cell>
          <cell r="D3282">
            <v>15300023</v>
          </cell>
          <cell r="E3282">
            <v>2536020064</v>
          </cell>
          <cell r="F3282">
            <v>-4.066336151107945E-3</v>
          </cell>
          <cell r="G3282">
            <v>-2.1148717634665781E-3</v>
          </cell>
        </row>
        <row r="3283">
          <cell r="B3283">
            <v>429.03</v>
          </cell>
          <cell r="D3283">
            <v>26197507</v>
          </cell>
          <cell r="E3283">
            <v>3000130402</v>
          </cell>
          <cell r="F3283">
            <v>1.0426401549097972E-2</v>
          </cell>
          <cell r="G3283">
            <v>9.9414259357241096E-3</v>
          </cell>
        </row>
        <row r="3284">
          <cell r="B3284">
            <v>428.5</v>
          </cell>
          <cell r="D3284">
            <v>26085703</v>
          </cell>
          <cell r="E3284">
            <v>3098927599</v>
          </cell>
          <cell r="F3284">
            <v>-1.236108515119177E-3</v>
          </cell>
          <cell r="G3284">
            <v>8.7299967522312897E-3</v>
          </cell>
        </row>
        <row r="3285">
          <cell r="B3285">
            <v>446.2</v>
          </cell>
          <cell r="D3285">
            <v>27803811</v>
          </cell>
          <cell r="E3285">
            <v>2882204031</v>
          </cell>
          <cell r="F3285">
            <v>4.0476543960597577E-2</v>
          </cell>
          <cell r="G3285">
            <v>6.1192005774427091E-3</v>
          </cell>
        </row>
        <row r="3286">
          <cell r="B3286">
            <v>446.71</v>
          </cell>
          <cell r="D3286">
            <v>18389270</v>
          </cell>
          <cell r="E3286">
            <v>2490857980</v>
          </cell>
          <cell r="F3286">
            <v>1.142332498144708E-3</v>
          </cell>
          <cell r="G3286">
            <v>5.2994450977238887E-3</v>
          </cell>
        </row>
        <row r="3287">
          <cell r="B3287">
            <v>444.06</v>
          </cell>
          <cell r="D3287">
            <v>15549453</v>
          </cell>
          <cell r="E3287">
            <v>2521445434</v>
          </cell>
          <cell r="F3287">
            <v>-5.9499260591469177E-3</v>
          </cell>
          <cell r="G3287">
            <v>-2.8592607828964826E-3</v>
          </cell>
        </row>
        <row r="3288">
          <cell r="B3288">
            <v>434.56</v>
          </cell>
          <cell r="D3288">
            <v>35647805</v>
          </cell>
          <cell r="E3288">
            <v>4121065675</v>
          </cell>
          <cell r="F3288">
            <v>-2.1625663507153406E-2</v>
          </cell>
          <cell r="G3288">
            <v>-1.4687984883634318E-2</v>
          </cell>
        </row>
        <row r="3289">
          <cell r="B3289">
            <v>447.2</v>
          </cell>
          <cell r="D3289">
            <v>23491703</v>
          </cell>
          <cell r="E3289">
            <v>3367907580</v>
          </cell>
          <cell r="F3289">
            <v>2.8671896910612688E-2</v>
          </cell>
          <cell r="G3289">
            <v>9.1755762546756169E-3</v>
          </cell>
        </row>
        <row r="3290">
          <cell r="B3290">
            <v>442.33</v>
          </cell>
          <cell r="D3290">
            <v>23581370</v>
          </cell>
          <cell r="E3290">
            <v>2912197567</v>
          </cell>
          <cell r="F3290">
            <v>-1.0949712000212162E-2</v>
          </cell>
          <cell r="G3290">
            <v>-4.6898535700948913E-3</v>
          </cell>
        </row>
        <row r="3291">
          <cell r="B3291">
            <v>414.99</v>
          </cell>
          <cell r="D3291">
            <v>54586260</v>
          </cell>
          <cell r="E3291">
            <v>3095917460</v>
          </cell>
          <cell r="F3291">
            <v>-6.3801786285843556E-2</v>
          </cell>
          <cell r="G3291">
            <v>5.2615707224356184E-3</v>
          </cell>
        </row>
        <row r="3292">
          <cell r="B3292">
            <v>415.06</v>
          </cell>
          <cell r="D3292">
            <v>34223388</v>
          </cell>
          <cell r="E3292">
            <v>3538446119</v>
          </cell>
          <cell r="F3292">
            <v>1.6866453868067421E-4</v>
          </cell>
          <cell r="G3292">
            <v>-5.0595812914254659E-3</v>
          </cell>
        </row>
        <row r="3293">
          <cell r="B3293">
            <v>410.92</v>
          </cell>
          <cell r="D3293">
            <v>25679149</v>
          </cell>
          <cell r="E3293">
            <v>3330237167</v>
          </cell>
          <cell r="F3293">
            <v>-1.0024539745451297E-2</v>
          </cell>
          <cell r="G3293">
            <v>-7.637696973119063E-3</v>
          </cell>
        </row>
        <row r="3294">
          <cell r="B3294">
            <v>412.37</v>
          </cell>
          <cell r="D3294">
            <v>20532096</v>
          </cell>
          <cell r="E3294">
            <v>3123611016</v>
          </cell>
          <cell r="F3294">
            <v>3.5224562408462663E-3</v>
          </cell>
          <cell r="G3294">
            <v>7.1988974883324779E-3</v>
          </cell>
        </row>
        <row r="3295">
          <cell r="B3295">
            <v>413.29</v>
          </cell>
          <cell r="D3295">
            <v>16336188</v>
          </cell>
          <cell r="E3295">
            <v>3180982517</v>
          </cell>
          <cell r="F3295">
            <v>2.2285211364244705E-3</v>
          </cell>
          <cell r="G3295">
            <v>3.9010377290886913E-3</v>
          </cell>
        </row>
        <row r="3296">
          <cell r="B3296">
            <v>415.82</v>
          </cell>
          <cell r="D3296">
            <v>16309755</v>
          </cell>
          <cell r="E3296">
            <v>3123712582</v>
          </cell>
          <cell r="F3296">
            <v>6.1029485899084931E-3</v>
          </cell>
          <cell r="G3296">
            <v>3.637700027498819E-3</v>
          </cell>
        </row>
        <row r="3297">
          <cell r="B3297">
            <v>409.75</v>
          </cell>
          <cell r="D3297">
            <v>22886844</v>
          </cell>
          <cell r="E3297">
            <v>2940934310</v>
          </cell>
          <cell r="F3297">
            <v>-1.4705256691303348E-2</v>
          </cell>
          <cell r="G3297">
            <v>-9.5099134821077444E-3</v>
          </cell>
        </row>
        <row r="3298">
          <cell r="B3298">
            <v>412.22</v>
          </cell>
          <cell r="D3298">
            <v>20817919</v>
          </cell>
          <cell r="E3298">
            <v>2770081402</v>
          </cell>
          <cell r="F3298">
            <v>6.0099697912124102E-3</v>
          </cell>
          <cell r="G3298">
            <v>6.6901608481496353E-3</v>
          </cell>
        </row>
        <row r="3299">
          <cell r="B3299">
            <v>411.44</v>
          </cell>
          <cell r="D3299">
            <v>18140592</v>
          </cell>
          <cell r="E3299">
            <v>2804797291</v>
          </cell>
          <cell r="F3299">
            <v>-1.8939859484906557E-3</v>
          </cell>
          <cell r="G3299">
            <v>3.3951548500248807E-4</v>
          </cell>
        </row>
        <row r="3300">
          <cell r="B3300">
            <v>409.04</v>
          </cell>
          <cell r="D3300">
            <v>19121734</v>
          </cell>
          <cell r="E3300">
            <v>2900610176</v>
          </cell>
          <cell r="F3300">
            <v>-5.8502506949169517E-3</v>
          </cell>
          <cell r="G3300">
            <v>-2.7276186894511618E-3</v>
          </cell>
        </row>
        <row r="3301">
          <cell r="B3301">
            <v>410.54</v>
          </cell>
          <cell r="D3301">
            <v>23891731</v>
          </cell>
          <cell r="E3301">
            <v>2971515778</v>
          </cell>
          <cell r="F3301">
            <v>3.6604155172889801E-3</v>
          </cell>
          <cell r="G3301">
            <v>1.0372377459622351E-2</v>
          </cell>
        </row>
        <row r="3302">
          <cell r="B3302">
            <v>408.43</v>
          </cell>
          <cell r="D3302">
            <v>22758464</v>
          </cell>
          <cell r="E3302">
            <v>2829179249</v>
          </cell>
          <cell r="F3302">
            <v>-5.15282530167358E-3</v>
          </cell>
          <cell r="G3302">
            <v>-7.1955976056534599E-5</v>
          </cell>
        </row>
        <row r="3303">
          <cell r="B3303">
            <v>409.64</v>
          </cell>
          <cell r="D3303">
            <v>21423051</v>
          </cell>
          <cell r="E3303">
            <v>3288056630</v>
          </cell>
          <cell r="F3303">
            <v>2.9581842198776473E-3</v>
          </cell>
          <cell r="G3303">
            <v>2.4419717448794743E-3</v>
          </cell>
        </row>
        <row r="3304">
          <cell r="B3304">
            <v>414.77</v>
          </cell>
          <cell r="D3304">
            <v>24114197</v>
          </cell>
          <cell r="E3304">
            <v>3068012369</v>
          </cell>
          <cell r="F3304">
            <v>1.24454245210562E-2</v>
          </cell>
          <cell r="G3304">
            <v>2.3741775065794562E-3</v>
          </cell>
        </row>
        <row r="3305">
          <cell r="B3305">
            <v>416.13</v>
          </cell>
          <cell r="D3305">
            <v>23508728</v>
          </cell>
          <cell r="E3305">
            <v>2972975947</v>
          </cell>
          <cell r="F3305">
            <v>3.2735617150155796E-3</v>
          </cell>
          <cell r="G3305">
            <v>-4.3436239711486854E-3</v>
          </cell>
        </row>
        <row r="3306">
          <cell r="B3306">
            <v>408.21</v>
          </cell>
          <cell r="D3306">
            <v>27524799</v>
          </cell>
          <cell r="E3306">
            <v>3429439969</v>
          </cell>
          <cell r="F3306">
            <v>-1.9215963572431702E-2</v>
          </cell>
          <cell r="G3306">
            <v>-1.7211373991262081E-2</v>
          </cell>
        </row>
        <row r="3307">
          <cell r="B3307">
            <v>404</v>
          </cell>
          <cell r="D3307">
            <v>26443656</v>
          </cell>
          <cell r="E3307">
            <v>3277532553</v>
          </cell>
          <cell r="F3307">
            <v>-1.0366869909726645E-2</v>
          </cell>
          <cell r="G3307">
            <v>-4.9815130548550111E-3</v>
          </cell>
        </row>
        <row r="3308">
          <cell r="B3308">
            <v>397.9</v>
          </cell>
          <cell r="D3308">
            <v>29387402</v>
          </cell>
          <cell r="E3308">
            <v>3514532613</v>
          </cell>
          <cell r="F3308">
            <v>-1.5214160528267129E-2</v>
          </cell>
          <cell r="G3308">
            <v>-4.690715138395557E-3</v>
          </cell>
        </row>
        <row r="3309">
          <cell r="B3309">
            <v>399.73</v>
          </cell>
          <cell r="D3309">
            <v>19618954</v>
          </cell>
          <cell r="E3309">
            <v>3010698433</v>
          </cell>
          <cell r="F3309">
            <v>4.5886017600314973E-3</v>
          </cell>
          <cell r="G3309">
            <v>1.3600519191397061E-4</v>
          </cell>
        </row>
        <row r="3310">
          <cell r="B3310">
            <v>392.53</v>
          </cell>
          <cell r="D3310">
            <v>21127406</v>
          </cell>
          <cell r="E3310">
            <v>3363296300</v>
          </cell>
          <cell r="F3310">
            <v>-1.8176351770294481E-2</v>
          </cell>
          <cell r="G3310">
            <v>-1.5991702852089028E-2</v>
          </cell>
        </row>
        <row r="3311">
          <cell r="B3311">
            <v>396.99</v>
          </cell>
          <cell r="D3311">
            <v>32845658</v>
          </cell>
          <cell r="E3311">
            <v>4324759998</v>
          </cell>
          <cell r="F3311">
            <v>1.1298124030447871E-2</v>
          </cell>
          <cell r="G3311">
            <v>1.5729750431897126E-2</v>
          </cell>
        </row>
        <row r="3312">
          <cell r="B3312">
            <v>388.49</v>
          </cell>
          <cell r="D3312">
            <v>23007726</v>
          </cell>
          <cell r="E3312">
            <v>3643065709</v>
          </cell>
          <cell r="F3312">
            <v>-2.1643662002385777E-2</v>
          </cell>
          <cell r="G3312">
            <v>-1.7753439375493379E-2</v>
          </cell>
        </row>
        <row r="3313">
          <cell r="B3313">
            <v>388.61</v>
          </cell>
          <cell r="D3313">
            <v>29342923</v>
          </cell>
          <cell r="E3313">
            <v>4292552884</v>
          </cell>
          <cell r="F3313">
            <v>3.0884056351513414E-4</v>
          </cell>
          <cell r="G3313">
            <v>-1.2310234603366469E-2</v>
          </cell>
        </row>
        <row r="3314">
          <cell r="B3314">
            <v>401.02</v>
          </cell>
          <cell r="D3314">
            <v>23433132</v>
          </cell>
          <cell r="E3314">
            <v>3358765660</v>
          </cell>
          <cell r="F3314">
            <v>3.1435031360360591E-2</v>
          </cell>
          <cell r="G3314">
            <v>1.1097475685101249E-2</v>
          </cell>
        </row>
        <row r="3315">
          <cell r="B3315">
            <v>396.89</v>
          </cell>
          <cell r="D3315">
            <v>23304625</v>
          </cell>
          <cell r="E3315">
            <v>3374067793</v>
          </cell>
          <cell r="F3315">
            <v>-1.035213716623464E-2</v>
          </cell>
          <cell r="G3315">
            <v>-1.7979700568310077E-2</v>
          </cell>
        </row>
        <row r="3316">
          <cell r="B3316">
            <v>393.31</v>
          </cell>
          <cell r="D3316">
            <v>22034087</v>
          </cell>
          <cell r="E3316">
            <v>3989438816</v>
          </cell>
          <cell r="F3316">
            <v>-9.0610592102421551E-3</v>
          </cell>
          <cell r="G3316">
            <v>5.5054046005090125E-3</v>
          </cell>
        </row>
        <row r="3317">
          <cell r="B3317">
            <v>380.16</v>
          </cell>
          <cell r="D3317">
            <v>32840134</v>
          </cell>
          <cell r="E3317">
            <v>4360082077</v>
          </cell>
          <cell r="F3317">
            <v>-3.400588826385554E-2</v>
          </cell>
          <cell r="G3317">
            <v>-2.7343518375984407E-2</v>
          </cell>
        </row>
        <row r="3318">
          <cell r="B3318">
            <v>380.45</v>
          </cell>
          <cell r="D3318">
            <v>30380177</v>
          </cell>
          <cell r="E3318">
            <v>4149151870</v>
          </cell>
          <cell r="F3318">
            <v>7.625458883061385E-4</v>
          </cell>
          <cell r="G3318">
            <v>-7.596604935651537E-3</v>
          </cell>
        </row>
        <row r="3319">
          <cell r="B3319">
            <v>383.27</v>
          </cell>
          <cell r="D3319">
            <v>24253567</v>
          </cell>
          <cell r="E3319">
            <v>3479733142</v>
          </cell>
          <cell r="F3319">
            <v>7.3849390254533617E-3</v>
          </cell>
          <cell r="G3319">
            <v>4.8749712752344252E-3</v>
          </cell>
        </row>
        <row r="3320">
          <cell r="B3320">
            <v>378.77</v>
          </cell>
          <cell r="D3320">
            <v>20473017</v>
          </cell>
          <cell r="E3320">
            <v>3339958710</v>
          </cell>
          <cell r="F3320">
            <v>-1.1810540938027794E-2</v>
          </cell>
          <cell r="G3320">
            <v>-1.3988405225352909E-2</v>
          </cell>
        </row>
        <row r="3321">
          <cell r="B3321">
            <v>388.56</v>
          </cell>
          <cell r="D3321">
            <v>19952846</v>
          </cell>
          <cell r="E3321">
            <v>3014214616</v>
          </cell>
          <cell r="F3321">
            <v>2.5518437327532274E-2</v>
          </cell>
          <cell r="G3321">
            <v>2.1042919881408308E-2</v>
          </cell>
        </row>
        <row r="3322">
          <cell r="B3322">
            <v>388.7</v>
          </cell>
          <cell r="D3322">
            <v>22474272</v>
          </cell>
          <cell r="E3322">
            <v>2990890037</v>
          </cell>
          <cell r="F3322">
            <v>3.6023982068814872E-4</v>
          </cell>
          <cell r="G3322">
            <v>6.3956039343475201E-3</v>
          </cell>
        </row>
        <row r="3323">
          <cell r="B3323">
            <v>383.52</v>
          </cell>
          <cell r="D3323">
            <v>19486850</v>
          </cell>
          <cell r="E3323">
            <v>2920470375</v>
          </cell>
          <cell r="F3323">
            <v>-1.3416067172103214E-2</v>
          </cell>
          <cell r="G3323">
            <v>-1.071067425391002E-2</v>
          </cell>
        </row>
        <row r="3324">
          <cell r="B3324">
            <v>387.82</v>
          </cell>
          <cell r="D3324">
            <v>19185532</v>
          </cell>
          <cell r="E3324">
            <v>3036779615</v>
          </cell>
          <cell r="F3324">
            <v>1.1149543768397812E-2</v>
          </cell>
          <cell r="G3324">
            <v>1.0740629118978858E-2</v>
          </cell>
        </row>
        <row r="3325">
          <cell r="B3325">
            <v>386.84</v>
          </cell>
          <cell r="D3325">
            <v>18470542</v>
          </cell>
          <cell r="E3325">
            <v>2850149846</v>
          </cell>
          <cell r="F3325">
            <v>-2.5301436057094781E-3</v>
          </cell>
          <cell r="G3325">
            <v>-2.1873007738032347E-3</v>
          </cell>
        </row>
        <row r="3326">
          <cell r="B3326">
            <v>391.26</v>
          </cell>
          <cell r="D3326">
            <v>39675928</v>
          </cell>
          <cell r="E3326">
            <v>6488692228</v>
          </cell>
          <cell r="F3326">
            <v>1.1361129784403443E-2</v>
          </cell>
          <cell r="G3326">
            <v>8.2432741231720308E-4</v>
          </cell>
        </row>
        <row r="3327">
          <cell r="B3327">
            <v>393.08</v>
          </cell>
          <cell r="D3327">
            <v>21004548</v>
          </cell>
          <cell r="E3327">
            <v>3047868018</v>
          </cell>
          <cell r="F3327">
            <v>4.6408528610601728E-3</v>
          </cell>
          <cell r="G3327">
            <v>1.7492157944606672E-2</v>
          </cell>
        </row>
        <row r="3328">
          <cell r="B3328">
            <v>395.16</v>
          </cell>
          <cell r="D3328">
            <v>15774968</v>
          </cell>
          <cell r="E3328">
            <v>2701963544</v>
          </cell>
          <cell r="F3328">
            <v>5.2775926820471525E-3</v>
          </cell>
          <cell r="G3328">
            <v>1.5730819184730236E-3</v>
          </cell>
        </row>
        <row r="3329">
          <cell r="B3329">
            <v>389.97</v>
          </cell>
          <cell r="D3329">
            <v>16132906</v>
          </cell>
          <cell r="E3329">
            <v>2886232743</v>
          </cell>
          <cell r="F3329">
            <v>-1.3220933088235803E-2</v>
          </cell>
          <cell r="G3329">
            <v>-1.1219691455108281E-2</v>
          </cell>
        </row>
        <row r="3330">
          <cell r="B3330">
            <v>390.58</v>
          </cell>
          <cell r="D3330">
            <v>13766761</v>
          </cell>
          <cell r="E3330">
            <v>2832194159</v>
          </cell>
          <cell r="F3330">
            <v>1.5630007665987881E-3</v>
          </cell>
          <cell r="G3330">
            <v>-3.3124371066493626E-3</v>
          </cell>
        </row>
        <row r="3331">
          <cell r="B3331">
            <v>378.8</v>
          </cell>
          <cell r="D3331">
            <v>21632016</v>
          </cell>
          <cell r="E3331">
            <v>2841143271</v>
          </cell>
          <cell r="F3331">
            <v>-3.0624452542713034E-2</v>
          </cell>
          <cell r="G3331">
            <v>-1.9934580336265845E-2</v>
          </cell>
        </row>
        <row r="3332">
          <cell r="B3332">
            <v>375.39</v>
          </cell>
          <cell r="D3332">
            <v>35184676</v>
          </cell>
          <cell r="E3332">
            <v>3678236098</v>
          </cell>
          <cell r="F3332">
            <v>-9.0428757668499331E-3</v>
          </cell>
          <cell r="G3332">
            <v>5.523212456950013E-3</v>
          </cell>
        </row>
        <row r="3333">
          <cell r="B3333">
            <v>382.19</v>
          </cell>
          <cell r="D3333">
            <v>19689503</v>
          </cell>
          <cell r="E3333">
            <v>2806321225</v>
          </cell>
          <cell r="F3333">
            <v>1.7952381606929239E-2</v>
          </cell>
          <cell r="G3333">
            <v>3.7741531622356647E-3</v>
          </cell>
        </row>
        <row r="3334">
          <cell r="B3334">
            <v>382.14</v>
          </cell>
          <cell r="D3334">
            <v>16092555</v>
          </cell>
          <cell r="E3334">
            <v>2785811866</v>
          </cell>
          <cell r="F3334">
            <v>-1.308335406730681E-4</v>
          </cell>
          <cell r="G3334">
            <v>6.7055923394208307E-3</v>
          </cell>
        </row>
        <row r="3335">
          <cell r="B3335">
            <v>373.11</v>
          </cell>
          <cell r="D3335">
            <v>30197997</v>
          </cell>
          <cell r="E3335">
            <v>5005321892</v>
          </cell>
          <cell r="F3335">
            <v>-2.3913751277569985E-2</v>
          </cell>
          <cell r="G3335">
            <v>-4.9605877563395052E-2</v>
          </cell>
        </row>
        <row r="3336">
          <cell r="B3336">
            <v>359.84</v>
          </cell>
          <cell r="D3336">
            <v>49209854</v>
          </cell>
          <cell r="E3336">
            <v>6086848913</v>
          </cell>
          <cell r="F3336">
            <v>-3.6213794122753933E-2</v>
          </cell>
          <cell r="G3336">
            <v>-6.160907367588022E-2</v>
          </cell>
        </row>
        <row r="3337">
          <cell r="B3337">
            <v>357.86</v>
          </cell>
          <cell r="D3337">
            <v>50424998</v>
          </cell>
          <cell r="E3337">
            <v>6290342696</v>
          </cell>
          <cell r="F3337">
            <v>-5.5176397472896594E-3</v>
          </cell>
          <cell r="G3337">
            <v>-2.3341792090838189E-3</v>
          </cell>
        </row>
        <row r="3338">
          <cell r="B3338">
            <v>354.56</v>
          </cell>
          <cell r="D3338">
            <v>35868918</v>
          </cell>
          <cell r="E3338">
            <v>5129379581</v>
          </cell>
          <cell r="F3338">
            <v>-9.2642643448515635E-3</v>
          </cell>
          <cell r="G3338">
            <v>-1.5825087196812301E-2</v>
          </cell>
        </row>
        <row r="3339">
          <cell r="B3339">
            <v>390.49</v>
          </cell>
          <cell r="D3339">
            <v>50199696</v>
          </cell>
          <cell r="E3339">
            <v>6714323344</v>
          </cell>
          <cell r="F3339">
            <v>9.6524776638358664E-2</v>
          </cell>
          <cell r="G3339">
            <v>9.0894901648714818E-2</v>
          </cell>
        </row>
        <row r="3340">
          <cell r="B3340">
            <v>381.35</v>
          </cell>
          <cell r="D3340">
            <v>38024368</v>
          </cell>
          <cell r="E3340">
            <v>4827946954</v>
          </cell>
          <cell r="F3340">
            <v>-2.3684772146975341E-2</v>
          </cell>
          <cell r="G3340">
            <v>-3.5220587845117973E-2</v>
          </cell>
        </row>
        <row r="3341">
          <cell r="B3341">
            <v>388.45</v>
          </cell>
          <cell r="D3341">
            <v>23839220</v>
          </cell>
          <cell r="E3341">
            <v>3769018345</v>
          </cell>
          <cell r="F3341">
            <v>1.8446872786182199E-2</v>
          </cell>
          <cell r="G3341">
            <v>1.7930369252113488E-2</v>
          </cell>
        </row>
        <row r="3342">
          <cell r="B3342">
            <v>387.81</v>
          </cell>
          <cell r="D3342">
            <v>19251172</v>
          </cell>
          <cell r="E3342">
            <v>3287277699</v>
          </cell>
          <cell r="F3342">
            <v>-1.6489324324636817E-3</v>
          </cell>
          <cell r="G3342">
            <v>7.9132540931510648E-3</v>
          </cell>
        </row>
        <row r="3343">
          <cell r="B3343">
            <v>385.73</v>
          </cell>
          <cell r="D3343">
            <v>17199890</v>
          </cell>
          <cell r="E3343">
            <v>2856819167</v>
          </cell>
          <cell r="F3343">
            <v>-5.3778861159995183E-3</v>
          </cell>
          <cell r="G3343">
            <v>-1.7292137684181356E-3</v>
          </cell>
        </row>
        <row r="3344">
          <cell r="B3344">
            <v>371.61</v>
          </cell>
          <cell r="D3344">
            <v>21967826</v>
          </cell>
          <cell r="E3344">
            <v>3352865807</v>
          </cell>
          <cell r="F3344">
            <v>-3.7292725613748225E-2</v>
          </cell>
          <cell r="G3344">
            <v>-2.2663312700996363E-2</v>
          </cell>
        </row>
        <row r="3345">
          <cell r="B3345">
            <v>367.78</v>
          </cell>
          <cell r="D3345">
            <v>21120192</v>
          </cell>
          <cell r="E3345">
            <v>3153699686</v>
          </cell>
          <cell r="F3345">
            <v>-1.0359983921511193E-2</v>
          </cell>
          <cell r="G3345">
            <v>1.3259586728286152E-3</v>
          </cell>
        </row>
        <row r="3346">
          <cell r="B3346">
            <v>359.12</v>
          </cell>
          <cell r="D3346">
            <v>20807279</v>
          </cell>
          <cell r="E3346">
            <v>2968348904</v>
          </cell>
          <cell r="F3346">
            <v>-2.3828338839030391E-2</v>
          </cell>
          <cell r="G3346">
            <v>-2.3849649226388613E-2</v>
          </cell>
        </row>
        <row r="3347">
          <cell r="B3347">
            <v>366.82</v>
          </cell>
          <cell r="D3347">
            <v>19484993</v>
          </cell>
          <cell r="E3347">
            <v>3110055926</v>
          </cell>
          <cell r="F3347">
            <v>2.1214670049209856E-2</v>
          </cell>
          <cell r="G3347">
            <v>2.4807034313980802E-2</v>
          </cell>
        </row>
        <row r="3348">
          <cell r="B3348">
            <v>374.39</v>
          </cell>
          <cell r="D3348">
            <v>20545526</v>
          </cell>
          <cell r="E3348">
            <v>3557338239</v>
          </cell>
          <cell r="F3348">
            <v>2.0426770322138518E-2</v>
          </cell>
          <cell r="G3348">
            <v>1.6523845474794581E-2</v>
          </cell>
        </row>
        <row r="3349">
          <cell r="B3349">
            <v>387.3</v>
          </cell>
          <cell r="D3349">
            <v>22232289</v>
          </cell>
          <cell r="E3349">
            <v>3167406758</v>
          </cell>
          <cell r="F3349">
            <v>3.3901551675681416E-2</v>
          </cell>
          <cell r="G3349">
            <v>2.005659908960853E-2</v>
          </cell>
        </row>
        <row r="3350">
          <cell r="B3350">
            <v>391.85</v>
          </cell>
          <cell r="D3350">
            <v>18973165</v>
          </cell>
          <cell r="E3350">
            <v>2948448664</v>
          </cell>
          <cell r="F3350">
            <v>1.1679526978167121E-2</v>
          </cell>
          <cell r="G3350">
            <v>7.3460954265644985E-3</v>
          </cell>
        </row>
        <row r="3351">
          <cell r="B3351">
            <v>391.16</v>
          </cell>
          <cell r="D3351">
            <v>16579430</v>
          </cell>
          <cell r="E3351">
            <v>2781484249</v>
          </cell>
          <cell r="F3351">
            <v>-1.7624300547992623E-3</v>
          </cell>
          <cell r="G3351">
            <v>6.4049446913477337E-4</v>
          </cell>
        </row>
        <row r="3352">
          <cell r="B3352">
            <v>394.04</v>
          </cell>
          <cell r="D3352">
            <v>14973976</v>
          </cell>
          <cell r="E3352">
            <v>2873460382</v>
          </cell>
          <cell r="F3352">
            <v>7.3357435434040783E-3</v>
          </cell>
          <cell r="G3352">
            <v>5.7856274963946795E-3</v>
          </cell>
        </row>
        <row r="3353">
          <cell r="B3353">
            <v>395.26</v>
          </cell>
          <cell r="D3353">
            <v>36461075</v>
          </cell>
          <cell r="E3353">
            <v>3778234782</v>
          </cell>
          <cell r="F3353">
            <v>3.0913492248099282E-3</v>
          </cell>
          <cell r="G3353">
            <v>1.4789007797954687E-3</v>
          </cell>
        </row>
        <row r="3354">
          <cell r="B3354">
            <v>425.4</v>
          </cell>
          <cell r="D3354">
            <v>58938100</v>
          </cell>
          <cell r="E3354">
            <v>3254820687</v>
          </cell>
          <cell r="F3354">
            <v>7.3486126553848397E-2</v>
          </cell>
          <cell r="G3354">
            <v>6.2793318417251861E-3</v>
          </cell>
        </row>
        <row r="3355">
          <cell r="B3355">
            <v>435.28</v>
          </cell>
          <cell r="D3355">
            <v>30757434</v>
          </cell>
          <cell r="E3355">
            <v>3023303433</v>
          </cell>
          <cell r="F3355">
            <v>2.2959599411533093E-2</v>
          </cell>
          <cell r="G3355">
            <v>1.4619229243407843E-2</v>
          </cell>
        </row>
        <row r="3356">
          <cell r="B3356">
            <v>436.17</v>
          </cell>
          <cell r="D3356">
            <v>20136053</v>
          </cell>
          <cell r="E3356">
            <v>2704187234</v>
          </cell>
          <cell r="F3356">
            <v>2.0425734337741314E-3</v>
          </cell>
          <cell r="G3356">
            <v>-6.4020400278313339E-3</v>
          </cell>
        </row>
        <row r="3357">
          <cell r="B3357">
            <v>433.31</v>
          </cell>
          <cell r="D3357">
            <v>15104204</v>
          </cell>
          <cell r="E3357">
            <v>2819089147</v>
          </cell>
          <cell r="F3357">
            <v>-6.5786684335278952E-3</v>
          </cell>
          <cell r="G3357">
            <v>-7.7230338855465552E-3</v>
          </cell>
        </row>
        <row r="3358">
          <cell r="B3358">
            <v>433.35</v>
          </cell>
          <cell r="D3358">
            <v>23307241</v>
          </cell>
          <cell r="E3358">
            <v>3217062436</v>
          </cell>
          <cell r="F3358">
            <v>9.2308402438027751E-5</v>
          </cell>
          <cell r="G3358">
            <v>4.3370041259597454E-3</v>
          </cell>
        </row>
        <row r="3359">
          <cell r="B3359">
            <v>438.17</v>
          </cell>
          <cell r="D3359">
            <v>23491330</v>
          </cell>
          <cell r="E3359">
            <v>3223260422</v>
          </cell>
          <cell r="F3359">
            <v>1.1061247347841878E-2</v>
          </cell>
          <cell r="G3359">
            <v>5.7829933406661335E-3</v>
          </cell>
        </row>
        <row r="3360">
          <cell r="B3360">
            <v>438.73</v>
          </cell>
          <cell r="D3360">
            <v>15324233</v>
          </cell>
          <cell r="E3360">
            <v>2455756301</v>
          </cell>
          <cell r="F3360">
            <v>1.2772267673115025E-3</v>
          </cell>
          <cell r="G3360">
            <v>-7.117720863733933E-4</v>
          </cell>
        </row>
        <row r="3361">
          <cell r="B3361">
            <v>449.26</v>
          </cell>
          <cell r="D3361">
            <v>22821935</v>
          </cell>
          <cell r="E3361">
            <v>3760355072</v>
          </cell>
          <cell r="F3361">
            <v>2.3717595041516697E-2</v>
          </cell>
          <cell r="G3361">
            <v>3.204001430944952E-2</v>
          </cell>
        </row>
        <row r="3362">
          <cell r="B3362">
            <v>449.14</v>
          </cell>
          <cell r="D3362">
            <v>23618819</v>
          </cell>
          <cell r="E3362">
            <v>3560150856</v>
          </cell>
          <cell r="F3362">
            <v>-2.6714158662880427E-4</v>
          </cell>
          <cell r="G3362">
            <v>7.2220821737149429E-3</v>
          </cell>
        </row>
        <row r="3363">
          <cell r="B3363">
            <v>452.94</v>
          </cell>
          <cell r="D3363">
            <v>19902796</v>
          </cell>
          <cell r="E3363">
            <v>3460287578</v>
          </cell>
          <cell r="F3363">
            <v>8.4250232291931838E-3</v>
          </cell>
          <cell r="G3363">
            <v>1.0238448046247569E-3</v>
          </cell>
        </row>
        <row r="3364">
          <cell r="B3364">
            <v>453.13</v>
          </cell>
          <cell r="D3364">
            <v>21992323</v>
          </cell>
          <cell r="E3364">
            <v>3162012704</v>
          </cell>
          <cell r="F3364">
            <v>4.1939365122980522E-4</v>
          </cell>
          <cell r="G3364">
            <v>4.1238009887726761E-3</v>
          </cell>
        </row>
        <row r="3365">
          <cell r="B3365">
            <v>454.27</v>
          </cell>
          <cell r="D3365">
            <v>23849781</v>
          </cell>
          <cell r="E3365">
            <v>2964380123</v>
          </cell>
          <cell r="F3365">
            <v>2.5126748948330183E-3</v>
          </cell>
          <cell r="G3365">
            <v>6.9808987439629782E-3</v>
          </cell>
        </row>
        <row r="3366">
          <cell r="B3366">
            <v>458.87</v>
          </cell>
          <cell r="D3366">
            <v>21336509</v>
          </cell>
          <cell r="E3366">
            <v>2570089512</v>
          </cell>
          <cell r="F3366">
            <v>1.0075210618417079E-2</v>
          </cell>
          <cell r="G3366">
            <v>8.7569352298437302E-4</v>
          </cell>
        </row>
        <row r="3367">
          <cell r="B3367">
            <v>458.17</v>
          </cell>
          <cell r="D3367">
            <v>15441808</v>
          </cell>
          <cell r="E3367">
            <v>2548764044</v>
          </cell>
          <cell r="F3367">
            <v>-1.5266512604802495E-3</v>
          </cell>
          <cell r="G3367">
            <v>-3.8877541185178555E-3</v>
          </cell>
        </row>
        <row r="3368">
          <cell r="B3368">
            <v>452.57</v>
          </cell>
          <cell r="D3368">
            <v>19216906</v>
          </cell>
          <cell r="E3368">
            <v>3120335266</v>
          </cell>
          <cell r="F3368">
            <v>-1.2297846975223624E-2</v>
          </cell>
          <cell r="G3368">
            <v>-1.6266702451148567E-2</v>
          </cell>
        </row>
        <row r="3369">
          <cell r="B3369">
            <v>454.86</v>
          </cell>
          <cell r="D3369">
            <v>18025612</v>
          </cell>
          <cell r="E3369">
            <v>2780476653</v>
          </cell>
          <cell r="F3369">
            <v>5.0472319879030173E-3</v>
          </cell>
          <cell r="G3369">
            <v>-4.4495329580252299E-4</v>
          </cell>
        </row>
        <row r="3370">
          <cell r="B3370">
            <v>450.18</v>
          </cell>
          <cell r="D3370">
            <v>16883509</v>
          </cell>
          <cell r="E3370">
            <v>2552789941</v>
          </cell>
          <cell r="F3370">
            <v>-1.0342176510575202E-2</v>
          </cell>
          <cell r="G3370">
            <v>-6.7309094179872579E-3</v>
          </cell>
        </row>
        <row r="3371">
          <cell r="B3371">
            <v>460.69</v>
          </cell>
          <cell r="D3371">
            <v>20974293</v>
          </cell>
          <cell r="E3371">
            <v>2908886707</v>
          </cell>
          <cell r="F3371">
            <v>2.3077862821184108E-2</v>
          </cell>
          <cell r="G3371">
            <v>2.025254391312099E-2</v>
          </cell>
        </row>
        <row r="3372">
          <cell r="B3372">
            <v>457.36</v>
          </cell>
          <cell r="D3372">
            <v>17086261</v>
          </cell>
          <cell r="E3372">
            <v>2671435626</v>
          </cell>
          <cell r="F3372">
            <v>-7.254538651160704E-3</v>
          </cell>
          <cell r="G3372">
            <v>-5.586762811582561E-3</v>
          </cell>
        </row>
        <row r="3373">
          <cell r="B3373">
            <v>458.68</v>
          </cell>
          <cell r="D3373">
            <v>13982211</v>
          </cell>
          <cell r="E3373">
            <v>2860740970</v>
          </cell>
          <cell r="F3373">
            <v>2.8819722143877146E-3</v>
          </cell>
          <cell r="G3373">
            <v>4.0031509167171844E-3</v>
          </cell>
        </row>
        <row r="3374">
          <cell r="B3374">
            <v>460.36</v>
          </cell>
          <cell r="D3374">
            <v>34770475</v>
          </cell>
          <cell r="E3374">
            <v>4815797845</v>
          </cell>
          <cell r="F3374">
            <v>3.6559929301866012E-3</v>
          </cell>
          <cell r="G3374">
            <v>-8.119175975762441E-5</v>
          </cell>
        </row>
        <row r="3375">
          <cell r="B3375">
            <v>461.97</v>
          </cell>
          <cell r="D3375">
            <v>16626495</v>
          </cell>
          <cell r="E3375">
            <v>2765357514</v>
          </cell>
          <cell r="F3375">
            <v>3.4911618081408594E-3</v>
          </cell>
          <cell r="G3375">
            <v>4.0936514501346477E-3</v>
          </cell>
        </row>
        <row r="3376">
          <cell r="B3376">
            <v>462.97</v>
          </cell>
          <cell r="D3376">
            <v>15743760</v>
          </cell>
          <cell r="E3376">
            <v>2995303857</v>
          </cell>
          <cell r="F3376">
            <v>2.1623032621133197E-3</v>
          </cell>
          <cell r="G3376">
            <v>5.7835040361739996E-3</v>
          </cell>
        </row>
        <row r="3377">
          <cell r="B3377">
            <v>463.87</v>
          </cell>
          <cell r="D3377">
            <v>14162688</v>
          </cell>
          <cell r="E3377">
            <v>2682443108</v>
          </cell>
          <cell r="F3377">
            <v>1.9420833862943819E-3</v>
          </cell>
          <cell r="G3377">
            <v>7.3694559532491577E-5</v>
          </cell>
        </row>
        <row r="3378">
          <cell r="B3378">
            <v>467.68</v>
          </cell>
          <cell r="D3378">
            <v>20154460</v>
          </cell>
          <cell r="E3378">
            <v>3140507873</v>
          </cell>
          <cell r="F3378">
            <v>8.1799608060967484E-3</v>
          </cell>
          <cell r="G3378">
            <v>-5.2913152805629804E-3</v>
          </cell>
        </row>
        <row r="3379">
          <cell r="B3379">
            <v>470.38</v>
          </cell>
          <cell r="D3379">
            <v>15285624</v>
          </cell>
          <cell r="E3379">
            <v>2556627346</v>
          </cell>
          <cell r="F3379">
            <v>5.7565773108050828E-3</v>
          </cell>
          <cell r="G3379">
            <v>1.0228186115699976E-2</v>
          </cell>
        </row>
        <row r="3380">
          <cell r="B3380">
            <v>472.75</v>
          </cell>
          <cell r="D3380">
            <v>16469932</v>
          </cell>
          <cell r="E3380">
            <v>2893721501</v>
          </cell>
          <cell r="F3380">
            <v>5.0258288648259248E-3</v>
          </cell>
          <cell r="G3380">
            <v>9.1952191342837999E-4</v>
          </cell>
        </row>
        <row r="3381">
          <cell r="B3381">
            <v>470.92</v>
          </cell>
          <cell r="D3381">
            <v>15375944</v>
          </cell>
          <cell r="E3381">
            <v>3011278347</v>
          </cell>
          <cell r="F3381">
            <v>-3.878479328570745E-3</v>
          </cell>
          <cell r="G3381">
            <v>5.4679833266549453E-3</v>
          </cell>
        </row>
        <row r="3382">
          <cell r="B3382">
            <v>472.62</v>
          </cell>
          <cell r="D3382">
            <v>16399176</v>
          </cell>
          <cell r="E3382">
            <v>2981333190</v>
          </cell>
          <cell r="F3382">
            <v>3.6034547332919114E-3</v>
          </cell>
          <cell r="G3382">
            <v>-2.7476895336661002E-3</v>
          </cell>
        </row>
        <row r="3383">
          <cell r="B3383">
            <v>478.87</v>
          </cell>
          <cell r="D3383">
            <v>18950582</v>
          </cell>
          <cell r="E3383">
            <v>2623578843</v>
          </cell>
          <cell r="F3383">
            <v>1.3137478884932047E-2</v>
          </cell>
          <cell r="G3383">
            <v>3.815210759964134E-3</v>
          </cell>
        </row>
        <row r="3384">
          <cell r="B3384">
            <v>474.96</v>
          </cell>
          <cell r="D3384">
            <v>16814456</v>
          </cell>
          <cell r="E3384">
            <v>3029890480</v>
          </cell>
          <cell r="F3384">
            <v>-8.1985718657999838E-3</v>
          </cell>
          <cell r="G3384">
            <v>-1.1360743305409217E-2</v>
          </cell>
        </row>
        <row r="3385">
          <cell r="B3385">
            <v>479.14</v>
          </cell>
          <cell r="D3385">
            <v>15626104</v>
          </cell>
          <cell r="E3385">
            <v>2880110512</v>
          </cell>
          <cell r="F3385">
            <v>8.7622403184230927E-3</v>
          </cell>
          <cell r="G3385">
            <v>9.3488817548551834E-3</v>
          </cell>
        </row>
        <row r="3386">
          <cell r="B3386">
            <v>478.04</v>
          </cell>
          <cell r="D3386">
            <v>15414128</v>
          </cell>
          <cell r="E3386">
            <v>2853845438</v>
          </cell>
          <cell r="F3386">
            <v>-2.2984192821627544E-3</v>
          </cell>
          <cell r="G3386">
            <v>-8.3873182957623672E-3</v>
          </cell>
        </row>
        <row r="3387">
          <cell r="B3387">
            <v>480.24</v>
          </cell>
          <cell r="D3387">
            <v>17526452</v>
          </cell>
          <cell r="E3387">
            <v>2951831932</v>
          </cell>
          <cell r="F3387">
            <v>4.5915679449073828E-3</v>
          </cell>
          <cell r="G3387">
            <v>-3.0927171772794648E-4</v>
          </cell>
        </row>
        <row r="3388">
          <cell r="B3388">
            <v>477.4</v>
          </cell>
          <cell r="D3388">
            <v>37576206</v>
          </cell>
          <cell r="E3388">
            <v>5195984630</v>
          </cell>
          <cell r="F3388">
            <v>-5.9312650388580251E-3</v>
          </cell>
          <cell r="G3388">
            <v>-2.1809894398640384E-3</v>
          </cell>
        </row>
        <row r="3389">
          <cell r="B3389">
            <v>486</v>
          </cell>
          <cell r="D3389">
            <v>24863952</v>
          </cell>
          <cell r="E3389">
            <v>3270234044</v>
          </cell>
          <cell r="F3389">
            <v>1.7853909995764E-2</v>
          </cell>
          <cell r="G3389">
            <v>9.5606418556962881E-3</v>
          </cell>
        </row>
        <row r="3390">
          <cell r="B3390">
            <v>490.11</v>
          </cell>
          <cell r="D3390">
            <v>22305642</v>
          </cell>
          <cell r="E3390">
            <v>3291211984</v>
          </cell>
          <cell r="F3390">
            <v>8.4212318060332414E-3</v>
          </cell>
          <cell r="G3390">
            <v>1.1060286796932295E-2</v>
          </cell>
        </row>
        <row r="3391">
          <cell r="B3391">
            <v>492.27</v>
          </cell>
          <cell r="D3391">
            <v>17495099</v>
          </cell>
          <cell r="E3391">
            <v>2894445051</v>
          </cell>
          <cell r="F3391">
            <v>4.39749074864165E-3</v>
          </cell>
          <cell r="G3391">
            <v>-3.2829024797798922E-6</v>
          </cell>
        </row>
        <row r="3392">
          <cell r="B3392">
            <v>497.45</v>
          </cell>
          <cell r="D3392">
            <v>21578853</v>
          </cell>
          <cell r="E3392">
            <v>3049538066</v>
          </cell>
          <cell r="F3392">
            <v>1.0467702580200092E-2</v>
          </cell>
          <cell r="G3392">
            <v>7.9881534997771932E-3</v>
          </cell>
        </row>
        <row r="3393">
          <cell r="B3393">
            <v>495.94</v>
          </cell>
          <cell r="D3393">
            <v>34539236</v>
          </cell>
          <cell r="E3393">
            <v>4642836205</v>
          </cell>
          <cell r="F3393">
            <v>-3.0400973695640823E-3</v>
          </cell>
          <cell r="G3393">
            <v>5.2054309121066676E-3</v>
          </cell>
        </row>
        <row r="3394">
          <cell r="B3394">
            <v>497.41</v>
          </cell>
          <cell r="D3394">
            <v>28368991</v>
          </cell>
          <cell r="E3394">
            <v>3332438031</v>
          </cell>
          <cell r="F3394">
            <v>2.9596840450329376E-3</v>
          </cell>
          <cell r="G3394">
            <v>5.1510775537443156E-3</v>
          </cell>
        </row>
        <row r="3395">
          <cell r="B3395">
            <v>492.05</v>
          </cell>
          <cell r="D3395">
            <v>19945375</v>
          </cell>
          <cell r="E3395">
            <v>3572880894</v>
          </cell>
          <cell r="F3395">
            <v>-1.0834298365843018E-2</v>
          </cell>
          <cell r="G3395">
            <v>-1.1190878184368853E-3</v>
          </cell>
        </row>
        <row r="3396">
          <cell r="B3396">
            <v>491.09</v>
          </cell>
          <cell r="D3396">
            <v>16319641</v>
          </cell>
          <cell r="E3396">
            <v>3141259934</v>
          </cell>
          <cell r="F3396">
            <v>-1.9529269587524277E-3</v>
          </cell>
          <cell r="G3396">
            <v>4.7338490372572867E-3</v>
          </cell>
        </row>
        <row r="3397">
          <cell r="B3397">
            <v>498.84</v>
          </cell>
          <cell r="D3397">
            <v>13984829</v>
          </cell>
          <cell r="E3397">
            <v>1839509804</v>
          </cell>
          <cell r="F3397">
            <v>1.5657992666304153E-2</v>
          </cell>
          <cell r="G3397">
            <v>8.3043501133723049E-3</v>
          </cell>
        </row>
        <row r="3398">
          <cell r="B3398">
            <v>497.72</v>
          </cell>
          <cell r="D3398">
            <v>13981605</v>
          </cell>
          <cell r="E3398">
            <v>2760139183</v>
          </cell>
          <cell r="F3398">
            <v>-2.2477331451158352E-3</v>
          </cell>
          <cell r="G3398">
            <v>-7.8933494172341197E-3</v>
          </cell>
        </row>
        <row r="3399">
          <cell r="B3399">
            <v>496.62</v>
          </cell>
          <cell r="D3399">
            <v>11846586</v>
          </cell>
          <cell r="E3399">
            <v>3027418207</v>
          </cell>
          <cell r="F3399">
            <v>-2.2125237820710877E-3</v>
          </cell>
          <cell r="G3399">
            <v>-7.1614952279967596E-4</v>
          </cell>
        </row>
        <row r="3400">
          <cell r="B3400">
            <v>503.51</v>
          </cell>
          <cell r="D3400">
            <v>18659538</v>
          </cell>
          <cell r="E3400">
            <v>2808148693</v>
          </cell>
          <cell r="F3400">
            <v>1.3778426809218635E-2</v>
          </cell>
          <cell r="G3400">
            <v>6.0438433346768419E-3</v>
          </cell>
        </row>
        <row r="3401">
          <cell r="B3401">
            <v>501.48</v>
          </cell>
          <cell r="D3401">
            <v>16498740</v>
          </cell>
          <cell r="E3401">
            <v>2818582888</v>
          </cell>
          <cell r="F3401">
            <v>-4.0398466867537551E-3</v>
          </cell>
          <cell r="G3401">
            <v>2.7424098720043449E-3</v>
          </cell>
        </row>
        <row r="3402">
          <cell r="B3402">
            <v>503.32</v>
          </cell>
          <cell r="D3402">
            <v>16459512</v>
          </cell>
          <cell r="E3402">
            <v>2631005038</v>
          </cell>
          <cell r="F3402">
            <v>3.662424475942728E-3</v>
          </cell>
          <cell r="G3402">
            <v>-3.3029779929135954E-3</v>
          </cell>
        </row>
        <row r="3403">
          <cell r="B3403">
            <v>503.02</v>
          </cell>
          <cell r="D3403">
            <v>12058848</v>
          </cell>
          <cell r="E3403">
            <v>2705073872</v>
          </cell>
          <cell r="F3403">
            <v>-5.9621998308118768E-4</v>
          </cell>
          <cell r="G3403">
            <v>1.4064149836943984E-3</v>
          </cell>
        </row>
        <row r="3404">
          <cell r="B3404">
            <v>505.82</v>
          </cell>
          <cell r="D3404">
            <v>14927202</v>
          </cell>
          <cell r="E3404">
            <v>3107719334</v>
          </cell>
          <cell r="F3404">
            <v>5.5509440341215939E-3</v>
          </cell>
          <cell r="G3404">
            <v>-3.9640981809521275E-3</v>
          </cell>
        </row>
        <row r="3405">
          <cell r="B3405">
            <v>505.62</v>
          </cell>
          <cell r="D3405">
            <v>15154374</v>
          </cell>
          <cell r="E3405">
            <v>2960714110</v>
          </cell>
          <cell r="F3405">
            <v>-3.9547576249049837E-4</v>
          </cell>
          <cell r="G3405">
            <v>3.1884998062567844E-3</v>
          </cell>
        </row>
        <row r="3406">
          <cell r="B3406">
            <v>511.7</v>
          </cell>
          <cell r="D3406">
            <v>17503129</v>
          </cell>
          <cell r="E3406">
            <v>3025942711</v>
          </cell>
          <cell r="F3406">
            <v>1.1953116798728996E-2</v>
          </cell>
          <cell r="G3406">
            <v>5.359433132147322E-3</v>
          </cell>
        </row>
        <row r="3407">
          <cell r="B3407">
            <v>510.05</v>
          </cell>
          <cell r="D3407">
            <v>21209666</v>
          </cell>
          <cell r="E3407">
            <v>3037348968</v>
          </cell>
          <cell r="F3407">
            <v>-3.2297556825181557E-3</v>
          </cell>
          <cell r="G3407">
            <v>-9.051821685285016E-5</v>
          </cell>
        </row>
        <row r="3408">
          <cell r="B3408">
            <v>510.06</v>
          </cell>
          <cell r="D3408">
            <v>14066805</v>
          </cell>
          <cell r="E3408">
            <v>2661136349</v>
          </cell>
          <cell r="F3408">
            <v>1.9605728794484891E-5</v>
          </cell>
          <cell r="G3408">
            <v>1.3981477220053166E-3</v>
          </cell>
        </row>
        <row r="3409">
          <cell r="B3409">
            <v>505.27</v>
          </cell>
          <cell r="D3409">
            <v>13868644</v>
          </cell>
          <cell r="E3409">
            <v>3003304728</v>
          </cell>
          <cell r="F3409">
            <v>-9.4354259928562771E-3</v>
          </cell>
          <cell r="G3409">
            <v>6.3732541106239072E-4</v>
          </cell>
        </row>
        <row r="3410">
          <cell r="B3410">
            <v>505.87</v>
          </cell>
          <cell r="D3410">
            <v>16396585</v>
          </cell>
          <cell r="E3410">
            <v>3241469766</v>
          </cell>
          <cell r="F3410">
            <v>1.1867794181265449E-3</v>
          </cell>
          <cell r="G3410">
            <v>7.7815261467118115E-3</v>
          </cell>
        </row>
        <row r="3411">
          <cell r="B3411">
            <v>510.88</v>
          </cell>
          <cell r="D3411">
            <v>16107000</v>
          </cell>
          <cell r="E3411">
            <v>3369954808</v>
          </cell>
          <cell r="F3411">
            <v>9.8550096838789375E-3</v>
          </cell>
          <cell r="G3411">
            <v>6.9798922208170696E-4</v>
          </cell>
        </row>
        <row r="3412">
          <cell r="B3412">
            <v>513.71</v>
          </cell>
          <cell r="D3412">
            <v>19125699</v>
          </cell>
          <cell r="E3412">
            <v>2983956118</v>
          </cell>
          <cell r="F3412">
            <v>5.5241749320338734E-3</v>
          </cell>
          <cell r="G3412">
            <v>3.9664449480632307E-3</v>
          </cell>
        </row>
        <row r="3413">
          <cell r="B3413">
            <v>512.5</v>
          </cell>
          <cell r="D3413">
            <v>14308027</v>
          </cell>
          <cell r="E3413">
            <v>2844306551</v>
          </cell>
          <cell r="F3413">
            <v>-2.3581928859426281E-3</v>
          </cell>
          <cell r="G3413">
            <v>1.7686081491285848E-4</v>
          </cell>
        </row>
        <row r="3414">
          <cell r="B3414">
            <v>512.57000000000005</v>
          </cell>
          <cell r="D3414">
            <v>16469235</v>
          </cell>
          <cell r="E3414">
            <v>3254273473</v>
          </cell>
          <cell r="F3414">
            <v>1.3657603892189231E-4</v>
          </cell>
          <cell r="G3414">
            <v>-2.9638056808081927E-3</v>
          </cell>
        </row>
        <row r="3415">
          <cell r="B3415">
            <v>513.24</v>
          </cell>
          <cell r="D3415">
            <v>26380434</v>
          </cell>
          <cell r="E3415">
            <v>3332521297</v>
          </cell>
          <cell r="F3415">
            <v>1.306284975332303E-3</v>
          </cell>
          <cell r="G3415">
            <v>-1.2502200507663753E-3</v>
          </cell>
        </row>
        <row r="3416">
          <cell r="B3416">
            <v>533.5</v>
          </cell>
          <cell r="D3416">
            <v>51617326</v>
          </cell>
          <cell r="E3416">
            <v>4089137265</v>
          </cell>
          <cell r="F3416">
            <v>3.8715498714990526E-2</v>
          </cell>
          <cell r="G3416">
            <v>-3.701698960678981E-3</v>
          </cell>
        </row>
        <row r="3417">
          <cell r="B3417">
            <v>524.11</v>
          </cell>
          <cell r="D3417">
            <v>28977628</v>
          </cell>
          <cell r="E3417">
            <v>3624071031</v>
          </cell>
          <cell r="F3417">
            <v>-1.7757484787532907E-2</v>
          </cell>
          <cell r="G3417">
            <v>-1.6121328046944453E-2</v>
          </cell>
        </row>
        <row r="3418">
          <cell r="B3418">
            <v>535.64</v>
          </cell>
          <cell r="D3418">
            <v>25349004</v>
          </cell>
          <cell r="E3418">
            <v>3003746989</v>
          </cell>
          <cell r="F3418">
            <v>2.1760707673090265E-2</v>
          </cell>
          <cell r="G3418">
            <v>1.4629536175939909E-2</v>
          </cell>
        </row>
        <row r="3419">
          <cell r="B3419">
            <v>527.75</v>
          </cell>
          <cell r="D3419">
            <v>19171569</v>
          </cell>
          <cell r="E3419">
            <v>3191721992</v>
          </cell>
          <cell r="F3419">
            <v>-1.4839606898935459E-2</v>
          </cell>
          <cell r="G3419">
            <v>-4.8697037352752534E-3</v>
          </cell>
        </row>
        <row r="3420">
          <cell r="B3420">
            <v>524.94000000000005</v>
          </cell>
          <cell r="D3420">
            <v>21355702</v>
          </cell>
          <cell r="E3420">
            <v>3310732124</v>
          </cell>
          <cell r="F3420">
            <v>-5.3387163822017046E-3</v>
          </cell>
          <cell r="G3420">
            <v>7.255503683515384E-3</v>
          </cell>
        </row>
        <row r="3421">
          <cell r="B3421">
            <v>520.84</v>
          </cell>
          <cell r="D3421">
            <v>16079144</v>
          </cell>
          <cell r="E3421">
            <v>3120148645</v>
          </cell>
          <cell r="F3421">
            <v>-7.8410774857006864E-3</v>
          </cell>
          <cell r="G3421">
            <v>-7.9778893728174702E-4</v>
          </cell>
        </row>
        <row r="3422">
          <cell r="B3422">
            <v>522.04</v>
          </cell>
          <cell r="D3422">
            <v>15531009</v>
          </cell>
          <cell r="E3422">
            <v>2798987026</v>
          </cell>
          <cell r="F3422">
            <v>2.3013204387992716E-3</v>
          </cell>
          <cell r="G3422">
            <v>7.7694242484223387E-3</v>
          </cell>
        </row>
        <row r="3423">
          <cell r="B3423">
            <v>521.77</v>
          </cell>
          <cell r="D3423">
            <v>20194372</v>
          </cell>
          <cell r="E3423">
            <v>2870335047</v>
          </cell>
          <cell r="F3423">
            <v>-5.1733554195073847E-4</v>
          </cell>
          <cell r="G3423">
            <v>-2.5072684706233723E-3</v>
          </cell>
        </row>
        <row r="3424">
          <cell r="B3424">
            <v>529.24</v>
          </cell>
          <cell r="D3424">
            <v>18688921</v>
          </cell>
          <cell r="E3424">
            <v>2880921978</v>
          </cell>
          <cell r="F3424">
            <v>1.4215137416834164E-2</v>
          </cell>
          <cell r="G3424">
            <v>1.1281626080988628E-2</v>
          </cell>
        </row>
        <row r="3425">
          <cell r="B3425">
            <v>520.58000000000004</v>
          </cell>
          <cell r="D3425">
            <v>19619160</v>
          </cell>
          <cell r="E3425">
            <v>2961340868</v>
          </cell>
          <cell r="F3425">
            <v>-1.6498440562615617E-2</v>
          </cell>
          <cell r="G3425">
            <v>3.2248249415864237E-3</v>
          </cell>
        </row>
        <row r="3426">
          <cell r="B3426">
            <v>522.48</v>
          </cell>
          <cell r="D3426">
            <v>20269074</v>
          </cell>
          <cell r="E3426">
            <v>2792441868</v>
          </cell>
          <cell r="F3426">
            <v>3.6431309828070797E-3</v>
          </cell>
          <cell r="G3426">
            <v>3.0305092105848265E-4</v>
          </cell>
        </row>
        <row r="3427">
          <cell r="B3427">
            <v>520.16999999999996</v>
          </cell>
          <cell r="D3427">
            <v>25213272</v>
          </cell>
          <cell r="E3427">
            <v>3142526592</v>
          </cell>
          <cell r="F3427">
            <v>-4.4310243697106002E-3</v>
          </cell>
          <cell r="G3427">
            <v>-2.9013035955741404E-3</v>
          </cell>
        </row>
        <row r="3428">
          <cell r="B3428">
            <v>517.1</v>
          </cell>
          <cell r="D3428">
            <v>23760583</v>
          </cell>
          <cell r="E3428">
            <v>2597294219</v>
          </cell>
          <cell r="F3428">
            <v>-5.9194018225152238E-3</v>
          </cell>
          <cell r="G3428">
            <v>-1.0078339718365875E-4</v>
          </cell>
        </row>
        <row r="3429">
          <cell r="B3429">
            <v>509.77</v>
          </cell>
          <cell r="D3429">
            <v>21481016</v>
          </cell>
          <cell r="E3429">
            <v>2958805344</v>
          </cell>
          <cell r="F3429">
            <v>-1.4276635798202614E-2</v>
          </cell>
          <cell r="G3429">
            <v>-5.8753625327812135E-3</v>
          </cell>
        </row>
        <row r="3430">
          <cell r="B3430">
            <v>505.72</v>
          </cell>
          <cell r="D3430">
            <v>27723025</v>
          </cell>
          <cell r="E3430">
            <v>3043844556</v>
          </cell>
          <cell r="F3430">
            <v>-7.9764871602762358E-3</v>
          </cell>
          <cell r="G3430">
            <v>-2.4345787627045859E-3</v>
          </cell>
        </row>
        <row r="3431">
          <cell r="B3431">
            <v>504.24</v>
          </cell>
          <cell r="D3431">
            <v>18443254</v>
          </cell>
          <cell r="E3431">
            <v>2424712887</v>
          </cell>
          <cell r="F3431">
            <v>-2.9308112388423155E-3</v>
          </cell>
          <cell r="G3431">
            <v>-4.0122410562429415E-3</v>
          </cell>
        </row>
        <row r="3432">
          <cell r="B3432">
            <v>507.23</v>
          </cell>
          <cell r="D3432">
            <v>24324161</v>
          </cell>
          <cell r="E3432">
            <v>3062740140</v>
          </cell>
          <cell r="F3432">
            <v>5.9122044339561313E-3</v>
          </cell>
          <cell r="G3432">
            <v>1.5072248733123567E-2</v>
          </cell>
        </row>
        <row r="3433">
          <cell r="B3433">
            <v>504.26</v>
          </cell>
          <cell r="D3433">
            <v>21638579</v>
          </cell>
          <cell r="E3433">
            <v>2512426446</v>
          </cell>
          <cell r="F3433">
            <v>-5.8725415683089253E-3</v>
          </cell>
          <cell r="G3433">
            <v>-4.2754610800767165E-3</v>
          </cell>
        </row>
        <row r="3434">
          <cell r="B3434">
            <v>502.04</v>
          </cell>
          <cell r="D3434">
            <v>30835709</v>
          </cell>
          <cell r="E3434">
            <v>3240492023</v>
          </cell>
          <cell r="F3434">
            <v>-4.4122102782564454E-3</v>
          </cell>
          <cell r="G3434">
            <v>4.1254554739158684E-3</v>
          </cell>
        </row>
        <row r="3435">
          <cell r="B3435">
            <v>506.74</v>
          </cell>
          <cell r="D3435">
            <v>17277893</v>
          </cell>
          <cell r="E3435">
            <v>2956797464</v>
          </cell>
          <cell r="F3435">
            <v>9.3182537487059691E-3</v>
          </cell>
          <cell r="G3435">
            <v>2.3881364585491512E-3</v>
          </cell>
        </row>
        <row r="3436">
          <cell r="B3436">
            <v>509.64</v>
          </cell>
          <cell r="D3436">
            <v>18015593</v>
          </cell>
          <cell r="E3436">
            <v>2609428772</v>
          </cell>
          <cell r="F3436">
            <v>5.7065425722285946E-3</v>
          </cell>
          <cell r="G3436">
            <v>3.1517534019497762E-3</v>
          </cell>
        </row>
        <row r="3437">
          <cell r="B3437">
            <v>506.69</v>
          </cell>
          <cell r="D3437">
            <v>20961569</v>
          </cell>
          <cell r="E3437">
            <v>2542979459</v>
          </cell>
          <cell r="F3437">
            <v>-5.8052173697786275E-3</v>
          </cell>
          <cell r="G3437">
            <v>-6.4187251509291582E-3</v>
          </cell>
        </row>
        <row r="3438">
          <cell r="B3438">
            <v>505.12</v>
          </cell>
          <cell r="D3438">
            <v>18127995</v>
          </cell>
          <cell r="E3438">
            <v>2887743021</v>
          </cell>
          <cell r="F3438">
            <v>-3.1033519337198886E-3</v>
          </cell>
          <cell r="G3438">
            <v>-6.9463924292620972E-3</v>
          </cell>
        </row>
        <row r="3439">
          <cell r="B3439">
            <v>505.35</v>
          </cell>
          <cell r="D3439">
            <v>16345078</v>
          </cell>
          <cell r="E3439">
            <v>2808410771</v>
          </cell>
          <cell r="F3439">
            <v>4.5523371099014061E-4</v>
          </cell>
          <cell r="G3439">
            <v>5.0871547386880968E-3</v>
          </cell>
        </row>
        <row r="3440">
          <cell r="B3440">
            <v>507.97</v>
          </cell>
          <cell r="D3440">
            <v>15509486</v>
          </cell>
          <cell r="E3440">
            <v>2747906680</v>
          </cell>
          <cell r="F3440">
            <v>5.1711321958779078E-3</v>
          </cell>
          <cell r="G3440">
            <v>8.3117987404724356E-3</v>
          </cell>
        </row>
        <row r="3441">
          <cell r="B3441">
            <v>495</v>
          </cell>
          <cell r="D3441">
            <v>31994846</v>
          </cell>
          <cell r="E3441">
            <v>3166204188</v>
          </cell>
          <cell r="F3441">
            <v>-2.5864628147859225E-2</v>
          </cell>
          <cell r="G3441">
            <v>-3.1701606545509482E-3</v>
          </cell>
        </row>
        <row r="3442">
          <cell r="B3442">
            <v>498.2</v>
          </cell>
          <cell r="D3442">
            <v>16771015</v>
          </cell>
          <cell r="E3442">
            <v>3028552074</v>
          </cell>
          <cell r="F3442">
            <v>6.4438402593897859E-3</v>
          </cell>
          <cell r="G3442">
            <v>2.1037794861457856E-3</v>
          </cell>
        </row>
        <row r="3443">
          <cell r="B3443">
            <v>498.41</v>
          </cell>
          <cell r="D3443">
            <v>14410542</v>
          </cell>
          <cell r="E3443">
            <v>2709986190</v>
          </cell>
          <cell r="F3443">
            <v>4.2142864933734724E-4</v>
          </cell>
          <cell r="G3443">
            <v>2.6845529877440578E-3</v>
          </cell>
        </row>
        <row r="3444">
          <cell r="B3444">
            <v>500.37</v>
          </cell>
          <cell r="D3444">
            <v>21611816</v>
          </cell>
          <cell r="E3444">
            <v>3189574889</v>
          </cell>
          <cell r="F3444">
            <v>3.9247932797739698E-3</v>
          </cell>
          <cell r="G3444">
            <v>2.9790012563325726E-3</v>
          </cell>
        </row>
        <row r="3445">
          <cell r="B3445">
            <v>501.01</v>
          </cell>
          <cell r="D3445">
            <v>18881608</v>
          </cell>
          <cell r="E3445">
            <v>3259054992</v>
          </cell>
          <cell r="F3445">
            <v>1.2782362083138793E-3</v>
          </cell>
          <cell r="G3445">
            <v>8.4500609892315826E-3</v>
          </cell>
        </row>
        <row r="3446">
          <cell r="B3446">
            <v>509.9</v>
          </cell>
          <cell r="D3446">
            <v>23624884</v>
          </cell>
          <cell r="E3446">
            <v>2986426173</v>
          </cell>
          <cell r="F3446">
            <v>1.7588567095604728E-2</v>
          </cell>
          <cell r="G3446">
            <v>-4.8285120011051867E-4</v>
          </cell>
        </row>
        <row r="3447">
          <cell r="B3447">
            <v>515.36</v>
          </cell>
          <cell r="D3447">
            <v>17143786</v>
          </cell>
          <cell r="E3447">
            <v>2924989510</v>
          </cell>
          <cell r="F3447">
            <v>1.0651057521778771E-2</v>
          </cell>
          <cell r="G3447">
            <v>4.6956161361366338E-3</v>
          </cell>
        </row>
        <row r="3448">
          <cell r="B3448">
            <v>509.04</v>
          </cell>
          <cell r="D3448">
            <v>19711922</v>
          </cell>
          <cell r="E3448">
            <v>2905141389</v>
          </cell>
          <cell r="F3448">
            <v>-1.2339086658352013E-2</v>
          </cell>
          <cell r="G3448">
            <v>-1.2887574351968891E-3</v>
          </cell>
        </row>
        <row r="3449">
          <cell r="B3449">
            <v>510.02</v>
          </cell>
          <cell r="D3449">
            <v>15816585</v>
          </cell>
          <cell r="E3449">
            <v>3048203136</v>
          </cell>
          <cell r="F3449">
            <v>1.923341711194247E-3</v>
          </cell>
          <cell r="G3449">
            <v>-9.7068934889039981E-4</v>
          </cell>
        </row>
        <row r="3450">
          <cell r="B3450">
            <v>508.45</v>
          </cell>
          <cell r="D3450">
            <v>18913696</v>
          </cell>
          <cell r="E3450">
            <v>3472700121</v>
          </cell>
          <cell r="F3450">
            <v>-3.0830583985846176E-3</v>
          </cell>
          <cell r="G3450">
            <v>4.7777085223636995E-3</v>
          </cell>
        </row>
        <row r="3451">
          <cell r="B3451">
            <v>517.92999999999995</v>
          </cell>
          <cell r="D3451">
            <v>52474093</v>
          </cell>
          <cell r="E3451">
            <v>5969910655</v>
          </cell>
          <cell r="F3451">
            <v>1.8473215755626417E-2</v>
          </cell>
          <cell r="G3451">
            <v>4.87353856235327E-3</v>
          </cell>
        </row>
        <row r="3452">
          <cell r="B3452">
            <v>514.45000000000005</v>
          </cell>
          <cell r="D3452">
            <v>20009314</v>
          </cell>
          <cell r="E3452">
            <v>3315223419</v>
          </cell>
          <cell r="F3452">
            <v>-6.7417291709534486E-3</v>
          </cell>
          <cell r="G3452">
            <v>4.4003301998515008E-3</v>
          </cell>
        </row>
        <row r="3453">
          <cell r="B3453">
            <v>509.23</v>
          </cell>
          <cell r="D3453">
            <v>19799580</v>
          </cell>
          <cell r="E3453">
            <v>3115121988</v>
          </cell>
          <cell r="F3453">
            <v>-1.0198587927461228E-2</v>
          </cell>
          <cell r="G3453">
            <v>-5.517340092831724E-3</v>
          </cell>
        </row>
        <row r="3454">
          <cell r="B3454">
            <v>510.15</v>
          </cell>
          <cell r="D3454">
            <v>13533711</v>
          </cell>
          <cell r="E3454">
            <v>2998614787</v>
          </cell>
          <cell r="F3454">
            <v>1.8050192269559011E-3</v>
          </cell>
          <cell r="G3454">
            <v>-2.8507212670841439E-3</v>
          </cell>
        </row>
        <row r="3455">
          <cell r="B3455">
            <v>507.03</v>
          </cell>
          <cell r="D3455">
            <v>15786468</v>
          </cell>
          <cell r="E3455">
            <v>3278961445</v>
          </cell>
          <cell r="F3455">
            <v>-6.134626683067846E-3</v>
          </cell>
          <cell r="G3455">
            <v>-5.0216489054652645E-3</v>
          </cell>
        </row>
        <row r="3456">
          <cell r="B3456">
            <v>511.46</v>
          </cell>
          <cell r="D3456">
            <v>16213129</v>
          </cell>
          <cell r="E3456">
            <v>2892245070</v>
          </cell>
          <cell r="F3456">
            <v>8.6992075270243534E-3</v>
          </cell>
          <cell r="G3456">
            <v>5.8844922610819797E-3</v>
          </cell>
        </row>
        <row r="3457">
          <cell r="B3457">
            <v>514.6</v>
          </cell>
          <cell r="D3457">
            <v>17617775</v>
          </cell>
          <cell r="E3457">
            <v>3168317149</v>
          </cell>
          <cell r="F3457">
            <v>6.1205188823731478E-3</v>
          </cell>
          <cell r="G3457">
            <v>2.6321125222386276E-3</v>
          </cell>
        </row>
        <row r="3458">
          <cell r="B3458">
            <v>517.95000000000005</v>
          </cell>
          <cell r="D3458">
            <v>19728229</v>
          </cell>
          <cell r="E3458">
            <v>3486014723</v>
          </cell>
          <cell r="F3458">
            <v>6.4888126564672617E-3</v>
          </cell>
          <cell r="G3458">
            <v>4.08250358961618E-3</v>
          </cell>
        </row>
        <row r="3459">
          <cell r="B3459">
            <v>519.71</v>
          </cell>
          <cell r="D3459">
            <v>22632336</v>
          </cell>
          <cell r="E3459">
            <v>3487364700</v>
          </cell>
          <cell r="F3459">
            <v>3.3922511954726036E-3</v>
          </cell>
          <cell r="G3459">
            <v>3.3941192284702741E-3</v>
          </cell>
        </row>
        <row r="3460">
          <cell r="B3460">
            <v>515.74</v>
          </cell>
          <cell r="D3460">
            <v>21222886</v>
          </cell>
          <cell r="E3460">
            <v>3004379851</v>
          </cell>
          <cell r="F3460">
            <v>-7.668201175168525E-3</v>
          </cell>
          <cell r="G3460">
            <v>6.1817818161168602E-4</v>
          </cell>
        </row>
        <row r="3461">
          <cell r="B3461">
            <v>517.35</v>
          </cell>
          <cell r="D3461">
            <v>15112321</v>
          </cell>
          <cell r="E3461">
            <v>2878413899</v>
          </cell>
          <cell r="F3461">
            <v>3.1168655265446286E-3</v>
          </cell>
          <cell r="G3461">
            <v>6.5519382592537398E-5</v>
          </cell>
        </row>
        <row r="3462">
          <cell r="B3462">
            <v>528.57000000000005</v>
          </cell>
          <cell r="D3462">
            <v>21388581</v>
          </cell>
          <cell r="E3462">
            <v>3287229545</v>
          </cell>
          <cell r="F3462">
            <v>2.1455618819687983E-2</v>
          </cell>
          <cell r="G3462">
            <v>3.6399969738822847E-3</v>
          </cell>
        </row>
        <row r="3463">
          <cell r="B3463">
            <v>523.98</v>
          </cell>
          <cell r="D3463">
            <v>14615208</v>
          </cell>
          <cell r="E3463">
            <v>3041041072</v>
          </cell>
          <cell r="F3463">
            <v>-8.7217312169509571E-3</v>
          </cell>
          <cell r="G3463">
            <v>-3.818696311234345E-3</v>
          </cell>
        </row>
        <row r="3464">
          <cell r="B3464">
            <v>524.85</v>
          </cell>
          <cell r="D3464">
            <v>13363447</v>
          </cell>
          <cell r="E3464">
            <v>2924743850</v>
          </cell>
          <cell r="F3464">
            <v>1.6589918281101695E-3</v>
          </cell>
          <cell r="G3464">
            <v>5.8106934127934015E-3</v>
          </cell>
        </row>
        <row r="3465">
          <cell r="B3465">
            <v>522.4</v>
          </cell>
          <cell r="D3465">
            <v>18343602</v>
          </cell>
          <cell r="E3465">
            <v>2806505186</v>
          </cell>
          <cell r="F3465">
            <v>-4.6789295195854624E-3</v>
          </cell>
          <cell r="G3465">
            <v>-2.7593218696984716E-3</v>
          </cell>
        </row>
        <row r="3466">
          <cell r="B3466">
            <v>510.96</v>
          </cell>
          <cell r="D3466">
            <v>24133840</v>
          </cell>
          <cell r="E3466">
            <v>3576690308</v>
          </cell>
          <cell r="F3466">
            <v>-2.2142268708887615E-2</v>
          </cell>
          <cell r="G3466">
            <v>-2.748595997057204E-2</v>
          </cell>
        </row>
        <row r="3467">
          <cell r="B3467">
            <v>514.04999999999995</v>
          </cell>
          <cell r="D3467">
            <v>14284238</v>
          </cell>
          <cell r="E3467">
            <v>2749650647</v>
          </cell>
          <cell r="F3467">
            <v>6.0292277353936686E-3</v>
          </cell>
          <cell r="G3467">
            <v>1.5478194983781826E-2</v>
          </cell>
        </row>
        <row r="3468">
          <cell r="B3468">
            <v>513.57000000000005</v>
          </cell>
          <cell r="D3468">
            <v>14684300</v>
          </cell>
          <cell r="E3468">
            <v>2982479677</v>
          </cell>
          <cell r="F3468">
            <v>-9.3419753393063647E-4</v>
          </cell>
          <cell r="G3468">
            <v>-1.565528031162684E-3</v>
          </cell>
        </row>
        <row r="3469">
          <cell r="B3469">
            <v>513.42999999999995</v>
          </cell>
          <cell r="D3469">
            <v>14694654</v>
          </cell>
          <cell r="E3469">
            <v>2980404766</v>
          </cell>
          <cell r="F3469">
            <v>-2.7263875534037593E-4</v>
          </cell>
          <cell r="G3469">
            <v>4.0179185387894355E-3</v>
          </cell>
        </row>
        <row r="3470">
          <cell r="B3470">
            <v>511.61</v>
          </cell>
          <cell r="D3470">
            <v>15559565</v>
          </cell>
          <cell r="E3470">
            <v>3312407351</v>
          </cell>
          <cell r="F3470">
            <v>-3.5510846650801801E-3</v>
          </cell>
          <cell r="G3470">
            <v>-6.3142449751388335E-3</v>
          </cell>
        </row>
        <row r="3471">
          <cell r="B3471">
            <v>513.58000000000004</v>
          </cell>
          <cell r="D3471">
            <v>19867765</v>
          </cell>
          <cell r="E3471">
            <v>3139633660</v>
          </cell>
          <cell r="F3471">
            <v>3.8431947731934805E-3</v>
          </cell>
          <cell r="G3471">
            <v>5.2568825980633324E-3</v>
          </cell>
        </row>
        <row r="3472">
          <cell r="B3472">
            <v>516.79</v>
          </cell>
          <cell r="D3472">
            <v>14665620</v>
          </cell>
          <cell r="E3472">
            <v>2681649976</v>
          </cell>
          <cell r="F3472">
            <v>6.2307916284104932E-3</v>
          </cell>
          <cell r="G3472">
            <v>1.0615706365319902E-2</v>
          </cell>
        </row>
        <row r="3473">
          <cell r="B3473">
            <v>517.66</v>
          </cell>
          <cell r="D3473">
            <v>15586204</v>
          </cell>
          <cell r="E3473">
            <v>3134559675</v>
          </cell>
          <cell r="F3473">
            <v>1.6820536616067938E-3</v>
          </cell>
          <cell r="G3473">
            <v>3.2664017914663565E-5</v>
          </cell>
        </row>
        <row r="3474">
          <cell r="B3474">
            <v>520.54</v>
          </cell>
          <cell r="D3474">
            <v>18962694</v>
          </cell>
          <cell r="E3474">
            <v>3462137202</v>
          </cell>
          <cell r="F3474">
            <v>5.5480781881667701E-3</v>
          </cell>
          <cell r="G3474">
            <v>-5.3518056988170791E-3</v>
          </cell>
        </row>
        <row r="3475">
          <cell r="B3475">
            <v>520.55999999999995</v>
          </cell>
          <cell r="D3475">
            <v>14023532</v>
          </cell>
          <cell r="E3475">
            <v>3340300193</v>
          </cell>
          <cell r="F3475">
            <v>3.8420900974708165E-5</v>
          </cell>
          <cell r="G3475">
            <v>5.8104739805954339E-3</v>
          </cell>
        </row>
        <row r="3476">
          <cell r="B3476">
            <v>523.61</v>
          </cell>
          <cell r="D3476">
            <v>15532360</v>
          </cell>
          <cell r="E3476">
            <v>3030501823</v>
          </cell>
          <cell r="F3476">
            <v>5.8419772151516447E-3</v>
          </cell>
          <cell r="G3476">
            <v>7.8713619070685803E-3</v>
          </cell>
        </row>
        <row r="3477">
          <cell r="B3477">
            <v>531.52</v>
          </cell>
          <cell r="D3477">
            <v>18734716</v>
          </cell>
          <cell r="E3477">
            <v>3281337316</v>
          </cell>
          <cell r="F3477">
            <v>1.4993694023049847E-2</v>
          </cell>
          <cell r="G3477">
            <v>1.2215109973364811E-2</v>
          </cell>
        </row>
        <row r="3478">
          <cell r="B3478">
            <v>542.07000000000005</v>
          </cell>
          <cell r="D3478">
            <v>29986683</v>
          </cell>
          <cell r="E3478">
            <v>3383018549</v>
          </cell>
          <cell r="F3478">
            <v>1.9654317966919119E-2</v>
          </cell>
          <cell r="G3478">
            <v>2.2853333884670069E-3</v>
          </cell>
        </row>
        <row r="3479">
          <cell r="B3479">
            <v>541.54999999999995</v>
          </cell>
          <cell r="D3479">
            <v>36023004</v>
          </cell>
          <cell r="E3479">
            <v>3991449848</v>
          </cell>
          <cell r="F3479">
            <v>-9.5974611010316089E-4</v>
          </cell>
          <cell r="G3479">
            <v>-4.3536688374153406E-5</v>
          </cell>
        </row>
        <row r="3480">
          <cell r="B3480">
            <v>525.76</v>
          </cell>
          <cell r="D3480">
            <v>41023088</v>
          </cell>
          <cell r="E3480">
            <v>3912419033</v>
          </cell>
          <cell r="F3480">
            <v>-2.9590563432842814E-2</v>
          </cell>
          <cell r="G3480">
            <v>-9.9541911976876295E-3</v>
          </cell>
        </row>
        <row r="3481">
          <cell r="B3481">
            <v>517.80999999999995</v>
          </cell>
          <cell r="D3481">
            <v>34006424</v>
          </cell>
          <cell r="E3481">
            <v>3781813931</v>
          </cell>
          <cell r="F3481">
            <v>-1.5236455242090181E-2</v>
          </cell>
          <cell r="G3481">
            <v>2.6144494615600103E-3</v>
          </cell>
        </row>
        <row r="3482">
          <cell r="B3482">
            <v>517.03</v>
          </cell>
          <cell r="D3482">
            <v>22374742</v>
          </cell>
          <cell r="E3482">
            <v>3738573066</v>
          </cell>
          <cell r="F3482">
            <v>-1.507479702586237E-3</v>
          </cell>
          <cell r="G3482">
            <v>1.7192311955086541E-3</v>
          </cell>
        </row>
        <row r="3483">
          <cell r="B3483">
            <v>514.33000000000004</v>
          </cell>
          <cell r="D3483">
            <v>20958663</v>
          </cell>
          <cell r="E3483">
            <v>3804669249</v>
          </cell>
          <cell r="F3483">
            <v>-5.2358171115765365E-3</v>
          </cell>
          <cell r="G3483">
            <v>-1.1806190194192139E-2</v>
          </cell>
        </row>
        <row r="3484">
          <cell r="B3484">
            <v>507.16</v>
          </cell>
          <cell r="D3484">
            <v>23024342</v>
          </cell>
          <cell r="E3484">
            <v>3509989123</v>
          </cell>
          <cell r="F3484">
            <v>-1.4038547132903064E-2</v>
          </cell>
          <cell r="G3484">
            <v>3.6468630849652776E-3</v>
          </cell>
        </row>
        <row r="3485">
          <cell r="B3485">
            <v>497.1</v>
          </cell>
          <cell r="D3485">
            <v>27406496</v>
          </cell>
          <cell r="E3485">
            <v>3645515825</v>
          </cell>
          <cell r="F3485">
            <v>-2.0035322559120352E-2</v>
          </cell>
          <cell r="G3485">
            <v>-1.1241102610422679E-2</v>
          </cell>
        </row>
        <row r="3486">
          <cell r="B3486">
            <v>496.82</v>
          </cell>
          <cell r="D3486">
            <v>24019764</v>
          </cell>
          <cell r="E3486">
            <v>3572758457</v>
          </cell>
          <cell r="F3486">
            <v>-5.6342564272209299E-4</v>
          </cell>
          <cell r="G3486">
            <v>1.2610492171643028E-3</v>
          </cell>
        </row>
        <row r="3487">
          <cell r="B3487">
            <v>506</v>
          </cell>
          <cell r="D3487">
            <v>26101480</v>
          </cell>
          <cell r="E3487">
            <v>3176556257</v>
          </cell>
          <cell r="F3487">
            <v>1.8308881829560569E-2</v>
          </cell>
          <cell r="G3487">
            <v>1.5283571949665772E-2</v>
          </cell>
        </row>
        <row r="3488">
          <cell r="B3488">
            <v>508.68</v>
          </cell>
          <cell r="D3488">
            <v>17980020</v>
          </cell>
          <cell r="E3488">
            <v>2819843476</v>
          </cell>
          <cell r="F3488">
            <v>5.2824658650805871E-3</v>
          </cell>
          <cell r="G3488">
            <v>2.0732456487022851E-3</v>
          </cell>
        </row>
        <row r="3489">
          <cell r="B3489">
            <v>511.14</v>
          </cell>
          <cell r="D3489">
            <v>26574851</v>
          </cell>
          <cell r="E3489">
            <v>2953817156</v>
          </cell>
          <cell r="F3489">
            <v>4.8243901302579498E-3</v>
          </cell>
          <cell r="G3489">
            <v>6.2931056069833119E-4</v>
          </cell>
        </row>
        <row r="3490">
          <cell r="B3490">
            <v>503.29</v>
          </cell>
          <cell r="D3490">
            <v>25273114</v>
          </cell>
          <cell r="E3490">
            <v>3390434200</v>
          </cell>
          <cell r="F3490">
            <v>-1.5476980563366001E-2</v>
          </cell>
          <cell r="G3490">
            <v>-1.6695497821198804E-2</v>
          </cell>
        </row>
        <row r="3491">
          <cell r="B3491">
            <v>510.18</v>
          </cell>
          <cell r="D3491">
            <v>28505746</v>
          </cell>
          <cell r="E3491">
            <v>3110943074</v>
          </cell>
          <cell r="F3491">
            <v>1.3597059906317998E-2</v>
          </cell>
          <cell r="G3491">
            <v>-5.0179638215562831E-4</v>
          </cell>
        </row>
        <row r="3492">
          <cell r="B3492">
            <v>507.49</v>
          </cell>
          <cell r="D3492">
            <v>19092752</v>
          </cell>
          <cell r="E3492">
            <v>3201093835</v>
          </cell>
          <cell r="F3492">
            <v>-5.2865983374461231E-3</v>
          </cell>
          <cell r="G3492">
            <v>-9.2045416140541063E-3</v>
          </cell>
        </row>
        <row r="3493">
          <cell r="B3493">
            <v>493.79</v>
          </cell>
          <cell r="D3493">
            <v>33815114</v>
          </cell>
          <cell r="E3493">
            <v>3313453674</v>
          </cell>
          <cell r="F3493">
            <v>-2.73666806960986E-2</v>
          </cell>
          <cell r="G3493">
            <v>-8.290659863030455E-3</v>
          </cell>
        </row>
        <row r="3494">
          <cell r="B3494">
            <v>487.12</v>
          </cell>
          <cell r="D3494">
            <v>23245314</v>
          </cell>
          <cell r="E3494">
            <v>3169299167</v>
          </cell>
          <cell r="F3494">
            <v>-1.359982629189267E-2</v>
          </cell>
          <cell r="G3494">
            <v>3.7467576494783256E-3</v>
          </cell>
        </row>
        <row r="3495">
          <cell r="B3495">
            <v>478.43</v>
          </cell>
          <cell r="D3495">
            <v>26802542</v>
          </cell>
          <cell r="E3495">
            <v>3745953023</v>
          </cell>
          <cell r="F3495">
            <v>-1.8000589599925308E-2</v>
          </cell>
          <cell r="G3495">
            <v>-1.5689666748388537E-2</v>
          </cell>
        </row>
        <row r="3496">
          <cell r="B3496">
            <v>472.12</v>
          </cell>
          <cell r="D3496">
            <v>31769248</v>
          </cell>
          <cell r="E3496">
            <v>4027622687</v>
          </cell>
          <cell r="F3496">
            <v>-1.3276719139525063E-2</v>
          </cell>
          <cell r="G3496">
            <v>9.775031702356704E-3</v>
          </cell>
        </row>
        <row r="3497">
          <cell r="B3497">
            <v>474</v>
          </cell>
          <cell r="D3497">
            <v>34421046</v>
          </cell>
          <cell r="E3497">
            <v>4515631336</v>
          </cell>
          <cell r="F3497">
            <v>3.974131134208198E-3</v>
          </cell>
          <cell r="G3497">
            <v>1.5348836917048726E-2</v>
          </cell>
        </row>
        <row r="3498">
          <cell r="B3498">
            <v>476.99</v>
          </cell>
          <cell r="D3498">
            <v>28019793</v>
          </cell>
          <cell r="E3498">
            <v>3329984743</v>
          </cell>
          <cell r="F3498">
            <v>6.2882046129223565E-3</v>
          </cell>
          <cell r="G3498">
            <v>9.0209207985121487E-3</v>
          </cell>
        </row>
        <row r="3499">
          <cell r="B3499">
            <v>485.5</v>
          </cell>
          <cell r="D3499">
            <v>25709079</v>
          </cell>
          <cell r="E3499">
            <v>2733198917</v>
          </cell>
          <cell r="F3499">
            <v>1.7683761423380632E-2</v>
          </cell>
          <cell r="G3499">
            <v>6.8829721842695365E-3</v>
          </cell>
        </row>
        <row r="3500">
          <cell r="B3500">
            <v>492.01</v>
          </cell>
          <cell r="D3500">
            <v>14386730</v>
          </cell>
          <cell r="E3500">
            <v>1476619723</v>
          </cell>
          <cell r="F3500">
            <v>1.3319753757626425E-2</v>
          </cell>
          <cell r="G3500">
            <v>5.3404900859037579E-3</v>
          </cell>
        </row>
        <row r="3501">
          <cell r="B3501">
            <v>486.74</v>
          </cell>
          <cell r="D3501">
            <v>23963993</v>
          </cell>
          <cell r="E3501">
            <v>2809389477</v>
          </cell>
          <cell r="F3501">
            <v>-1.0768941875060578E-2</v>
          </cell>
          <cell r="G3501">
            <v>-5.337554357799105E-3</v>
          </cell>
        </row>
        <row r="3502">
          <cell r="B3502">
            <v>490</v>
          </cell>
          <cell r="D3502">
            <v>19562722</v>
          </cell>
          <cell r="E3502">
            <v>3027194930</v>
          </cell>
          <cell r="F3502">
            <v>6.6752914907268592E-3</v>
          </cell>
          <cell r="G3502">
            <v>2.4541868350872E-3</v>
          </cell>
        </row>
        <row r="3503">
          <cell r="B3503">
            <v>477.73</v>
          </cell>
          <cell r="D3503">
            <v>34615102</v>
          </cell>
          <cell r="E3503">
            <v>3003129079</v>
          </cell>
          <cell r="F3503">
            <v>-2.5359671759571177E-2</v>
          </cell>
          <cell r="G3503">
            <v>2.9753463150951035E-3</v>
          </cell>
        </row>
        <row r="3504">
          <cell r="B3504">
            <v>480.84</v>
          </cell>
          <cell r="D3504">
            <v>22318155</v>
          </cell>
          <cell r="E3504">
            <v>2984475179</v>
          </cell>
          <cell r="F3504">
            <v>6.488855090952381E-3</v>
          </cell>
          <cell r="G3504">
            <v>1.0797529874062967E-3</v>
          </cell>
        </row>
        <row r="3505">
          <cell r="B3505">
            <v>483.16</v>
          </cell>
          <cell r="D3505">
            <v>22608710</v>
          </cell>
          <cell r="E3505">
            <v>3170300806</v>
          </cell>
          <cell r="F3505">
            <v>4.8132873010242813E-3</v>
          </cell>
          <cell r="G3505">
            <v>1.9348001886360358E-3</v>
          </cell>
        </row>
        <row r="3506">
          <cell r="B3506">
            <v>491.02</v>
          </cell>
          <cell r="D3506">
            <v>21965900</v>
          </cell>
          <cell r="E3506">
            <v>3229858469</v>
          </cell>
          <cell r="F3506">
            <v>1.6136998425424685E-2</v>
          </cell>
          <cell r="G3506">
            <v>-3.4832953129334491E-3</v>
          </cell>
        </row>
        <row r="3507">
          <cell r="B3507">
            <v>492.02</v>
          </cell>
          <cell r="D3507">
            <v>14696078</v>
          </cell>
          <cell r="E3507">
            <v>2792692884</v>
          </cell>
          <cell r="F3507">
            <v>2.0345059101043159E-3</v>
          </cell>
          <cell r="G3507">
            <v>-8.7674313098681116E-4</v>
          </cell>
        </row>
        <row r="3508">
          <cell r="B3508">
            <v>478.56</v>
          </cell>
          <cell r="D3508">
            <v>35756229</v>
          </cell>
          <cell r="E3508">
            <v>3568454126</v>
          </cell>
          <cell r="F3508">
            <v>-2.7737771190968898E-2</v>
          </cell>
          <cell r="G3508">
            <v>6.7268208715260186E-3</v>
          </cell>
        </row>
        <row r="3509">
          <cell r="B3509">
            <v>483.47</v>
          </cell>
          <cell r="D3509">
            <v>24669180</v>
          </cell>
          <cell r="E3509">
            <v>3195795418</v>
          </cell>
          <cell r="F3509">
            <v>1.0207670516877522E-2</v>
          </cell>
          <cell r="G3509">
            <v>2.0772175085341247E-3</v>
          </cell>
        </row>
        <row r="3510">
          <cell r="B3510">
            <v>478.53</v>
          </cell>
          <cell r="D3510">
            <v>21248102</v>
          </cell>
          <cell r="E3510">
            <v>3223223496</v>
          </cell>
          <cell r="F3510">
            <v>-1.0270360546049068E-2</v>
          </cell>
          <cell r="G3510">
            <v>-1.0720936344245894E-2</v>
          </cell>
        </row>
        <row r="3511">
          <cell r="B3511">
            <v>474.82</v>
          </cell>
          <cell r="D3511">
            <v>23727694</v>
          </cell>
          <cell r="E3511">
            <v>3346423276</v>
          </cell>
          <cell r="F3511">
            <v>-7.7831200049445952E-3</v>
          </cell>
          <cell r="G3511">
            <v>-1.5977816227138871E-3</v>
          </cell>
        </row>
        <row r="3512">
          <cell r="B3512">
            <v>476.39</v>
          </cell>
          <cell r="D3512">
            <v>20705560</v>
          </cell>
          <cell r="E3512">
            <v>3271931472</v>
          </cell>
          <cell r="F3512">
            <v>3.301061649250175E-3</v>
          </cell>
          <cell r="G3512">
            <v>-2.3867639262764775E-3</v>
          </cell>
        </row>
        <row r="3513">
          <cell r="B3513">
            <v>476.12</v>
          </cell>
          <cell r="D3513">
            <v>24527176</v>
          </cell>
          <cell r="E3513">
            <v>3506739894</v>
          </cell>
          <cell r="F3513">
            <v>-5.6692319709297919E-4</v>
          </cell>
          <cell r="G3513">
            <v>-1.1659917229324452E-2</v>
          </cell>
        </row>
        <row r="3514">
          <cell r="B3514">
            <v>483.98</v>
          </cell>
          <cell r="D3514">
            <v>28573545</v>
          </cell>
          <cell r="E3514">
            <v>3401888532</v>
          </cell>
          <cell r="F3514">
            <v>1.6373660249112808E-2</v>
          </cell>
          <cell r="G3514">
            <v>7.9030122681597124E-3</v>
          </cell>
        </row>
        <row r="3515">
          <cell r="B3515">
            <v>485.92</v>
          </cell>
          <cell r="D3515">
            <v>70836105</v>
          </cell>
          <cell r="E3515">
            <v>6888367197</v>
          </cell>
          <cell r="F3515">
            <v>4.0004177486467774E-3</v>
          </cell>
          <cell r="G3515">
            <v>8.7793728265068479E-3</v>
          </cell>
        </row>
        <row r="3516">
          <cell r="B3516">
            <v>484.92</v>
          </cell>
          <cell r="D3516">
            <v>16963019</v>
          </cell>
          <cell r="E3516">
            <v>2663557315</v>
          </cell>
          <cell r="F3516">
            <v>-2.0600724190560451E-3</v>
          </cell>
          <cell r="G3516">
            <v>6.415836501950419E-3</v>
          </cell>
        </row>
        <row r="3517">
          <cell r="B3517">
            <v>486.85</v>
          </cell>
          <cell r="D3517">
            <v>14683582</v>
          </cell>
          <cell r="E3517">
            <v>2265893371</v>
          </cell>
          <cell r="F3517">
            <v>3.9721385463826718E-3</v>
          </cell>
          <cell r="G3517">
            <v>4.5400954671889586E-3</v>
          </cell>
        </row>
        <row r="3518">
          <cell r="B3518">
            <v>488.02</v>
          </cell>
          <cell r="D3518">
            <v>5855880</v>
          </cell>
          <cell r="E3518">
            <v>1084969463</v>
          </cell>
          <cell r="F3518">
            <v>2.4003211951340825E-3</v>
          </cell>
          <cell r="G3518">
            <v>3.2163381731992791E-3</v>
          </cell>
        </row>
        <row r="3519">
          <cell r="B3519">
            <v>487.71</v>
          </cell>
          <cell r="D3519">
            <v>8842175</v>
          </cell>
          <cell r="E3519">
            <v>1478675975</v>
          </cell>
          <cell r="F3519">
            <v>-6.3542170565724005E-4</v>
          </cell>
          <cell r="G3519">
            <v>-3.0442959723623621E-4</v>
          </cell>
        </row>
        <row r="3520">
          <cell r="B3520">
            <v>487.1</v>
          </cell>
          <cell r="D3520">
            <v>10893408</v>
          </cell>
          <cell r="E3520">
            <v>2005334941</v>
          </cell>
          <cell r="F3520">
            <v>-1.2515261017451839E-3</v>
          </cell>
          <cell r="G3520">
            <v>-3.4982053182543806E-3</v>
          </cell>
        </row>
        <row r="3521">
          <cell r="B3521">
            <v>487.48</v>
          </cell>
          <cell r="D3521">
            <v>13944512</v>
          </cell>
          <cell r="E3521">
            <v>1739884019</v>
          </cell>
          <cell r="F3521">
            <v>7.7982314280453015E-4</v>
          </cell>
          <cell r="G3521">
            <v>-1.3766142974067502E-3</v>
          </cell>
        </row>
        <row r="3522">
          <cell r="B3522">
            <v>483.62</v>
          </cell>
          <cell r="D3522">
            <v>15601554</v>
          </cell>
          <cell r="E3522">
            <v>1736582237</v>
          </cell>
          <cell r="F3522">
            <v>-7.9497895768508298E-3</v>
          </cell>
          <cell r="G3522">
            <v>-7.3848334483381777E-3</v>
          </cell>
        </row>
        <row r="3523">
          <cell r="B3523">
            <v>472.94</v>
          </cell>
          <cell r="D3523">
            <v>25571567</v>
          </cell>
          <cell r="E3523">
            <v>2662161102</v>
          </cell>
          <cell r="F3523">
            <v>-2.2330943826937916E-2</v>
          </cell>
          <cell r="G3523">
            <v>1.8928827007984883E-3</v>
          </cell>
        </row>
        <row r="3524">
          <cell r="B3524">
            <v>472.85</v>
          </cell>
          <cell r="D3524">
            <v>25250260</v>
          </cell>
          <cell r="E3524">
            <v>3468855633</v>
          </cell>
          <cell r="F3524">
            <v>-1.9031708999174405E-4</v>
          </cell>
          <cell r="G3524">
            <v>6.3340841341208987E-3</v>
          </cell>
        </row>
        <row r="3525">
          <cell r="B3525">
            <v>478.51</v>
          </cell>
          <cell r="D3525">
            <v>23037665</v>
          </cell>
          <cell r="E3525">
            <v>3331184768</v>
          </cell>
          <cell r="F3525">
            <v>1.1898895854702338E-2</v>
          </cell>
          <cell r="G3525">
            <v>6.1775890172726979E-3</v>
          </cell>
        </row>
        <row r="3526">
          <cell r="B3526">
            <v>483.47</v>
          </cell>
          <cell r="D3526">
            <v>25564196</v>
          </cell>
          <cell r="E3526">
            <v>3240372921</v>
          </cell>
          <cell r="F3526">
            <v>1.0312156082291911E-2</v>
          </cell>
          <cell r="G3526">
            <v>-3.4459042806426455E-3</v>
          </cell>
        </row>
        <row r="3527">
          <cell r="B3527">
            <v>478.11</v>
          </cell>
          <cell r="D3527">
            <v>18162616</v>
          </cell>
          <cell r="E3527">
            <v>3196082076</v>
          </cell>
          <cell r="F3527">
            <v>-1.1148433858863474E-2</v>
          </cell>
          <cell r="G3527">
            <v>7.657637160338651E-5</v>
          </cell>
        </row>
        <row r="3528">
          <cell r="B3528">
            <v>479.28</v>
          </cell>
          <cell r="D3528">
            <v>18491036</v>
          </cell>
          <cell r="E3528">
            <v>2974741440</v>
          </cell>
          <cell r="F3528">
            <v>2.4441462360174867E-3</v>
          </cell>
          <cell r="G3528">
            <v>6.4546363351698308E-3</v>
          </cell>
        </row>
        <row r="3529">
          <cell r="B3529">
            <v>477.18</v>
          </cell>
          <cell r="D3529">
            <v>23519895</v>
          </cell>
          <cell r="E3529">
            <v>3034903268</v>
          </cell>
          <cell r="F3529">
            <v>-4.3911995785705519E-3</v>
          </cell>
          <cell r="G3529">
            <v>1.5763564193844878E-3</v>
          </cell>
        </row>
        <row r="3530">
          <cell r="B3530">
            <v>470.67</v>
          </cell>
          <cell r="D3530">
            <v>28545800</v>
          </cell>
          <cell r="E3530">
            <v>3225314464</v>
          </cell>
          <cell r="F3530">
            <v>-1.3736566684124953E-2</v>
          </cell>
          <cell r="G3530">
            <v>-1.9410364454217331E-3</v>
          </cell>
        </row>
        <row r="3531">
          <cell r="B3531">
            <v>459.38</v>
          </cell>
          <cell r="D3531">
            <v>28184302</v>
          </cell>
          <cell r="E3531">
            <v>3365048977</v>
          </cell>
          <cell r="F3531">
            <v>-2.4279457251365492E-2</v>
          </cell>
          <cell r="G3531">
            <v>-5.3476140263805623E-3</v>
          </cell>
        </row>
        <row r="3532">
          <cell r="B3532">
            <v>456.66</v>
          </cell>
          <cell r="D3532">
            <v>23225839</v>
          </cell>
          <cell r="E3532">
            <v>3151726699</v>
          </cell>
          <cell r="F3532">
            <v>-5.9386227542532529E-3</v>
          </cell>
          <cell r="G3532">
            <v>2.5765870817866542E-3</v>
          </cell>
        </row>
        <row r="3533">
          <cell r="B3533">
            <v>459.86</v>
          </cell>
          <cell r="D3533">
            <v>34246650</v>
          </cell>
          <cell r="E3533">
            <v>4036432058</v>
          </cell>
          <cell r="F3533">
            <v>6.9829638264996829E-3</v>
          </cell>
          <cell r="G3533">
            <v>-6.4244395949999966E-4</v>
          </cell>
        </row>
        <row r="3534">
          <cell r="B3534">
            <v>454.52</v>
          </cell>
          <cell r="D3534">
            <v>26129992</v>
          </cell>
          <cell r="E3534">
            <v>3938392498</v>
          </cell>
          <cell r="F3534">
            <v>-1.1680178284046685E-2</v>
          </cell>
          <cell r="G3534">
            <v>-2.0842474609840015E-2</v>
          </cell>
        </row>
        <row r="3535">
          <cell r="B3535">
            <v>444.11</v>
          </cell>
          <cell r="D3535">
            <v>37980510</v>
          </cell>
          <cell r="E3535">
            <v>3830593984</v>
          </cell>
          <cell r="F3535">
            <v>-2.3169637554241191E-2</v>
          </cell>
          <cell r="G3535">
            <v>1.1521080474655875E-2</v>
          </cell>
        </row>
        <row r="3536">
          <cell r="B3536">
            <v>451.14</v>
          </cell>
          <cell r="D3536">
            <v>25349378</v>
          </cell>
          <cell r="E3536">
            <v>3362652403</v>
          </cell>
          <cell r="F3536">
            <v>1.5705433122423392E-2</v>
          </cell>
          <cell r="G3536">
            <v>5.472503626070247E-3</v>
          </cell>
        </row>
        <row r="3537">
          <cell r="B3537">
            <v>465.95</v>
          </cell>
          <cell r="D3537">
            <v>38000159</v>
          </cell>
          <cell r="E3537">
            <v>3249523997</v>
          </cell>
          <cell r="F3537">
            <v>3.2300619613673955E-2</v>
          </cell>
          <cell r="G3537">
            <v>3.268503228179835E-4</v>
          </cell>
        </row>
        <row r="3538">
          <cell r="B3538">
            <v>470.28</v>
          </cell>
          <cell r="D3538">
            <v>29291235</v>
          </cell>
          <cell r="E3538">
            <v>3003328517</v>
          </cell>
          <cell r="F3538">
            <v>9.2499297678758641E-3</v>
          </cell>
          <cell r="G3538">
            <v>4.9935773007325299E-3</v>
          </cell>
        </row>
        <row r="3539">
          <cell r="B3539">
            <v>480.58</v>
          </cell>
          <cell r="D3539">
            <v>29213923</v>
          </cell>
          <cell r="E3539">
            <v>3255156923</v>
          </cell>
          <cell r="F3539">
            <v>2.1665445788558332E-2</v>
          </cell>
          <cell r="G3539">
            <v>4.0735710366091391E-3</v>
          </cell>
        </row>
        <row r="3540">
          <cell r="B3540">
            <v>481.63</v>
          </cell>
          <cell r="D3540">
            <v>36875403</v>
          </cell>
          <cell r="E3540">
            <v>3381208934</v>
          </cell>
          <cell r="F3540">
            <v>2.1824766252281289E-3</v>
          </cell>
          <cell r="G3540">
            <v>-8.1681609431132898E-5</v>
          </cell>
        </row>
        <row r="3541">
          <cell r="B3541">
            <v>433.5</v>
          </cell>
          <cell r="D3541">
            <v>128855323</v>
          </cell>
          <cell r="E3541">
            <v>4146577203</v>
          </cell>
          <cell r="F3541">
            <v>-0.10528438819273024</v>
          </cell>
          <cell r="G3541">
            <v>-1.2934646000264138E-3</v>
          </cell>
        </row>
        <row r="3542">
          <cell r="B3542">
            <v>430.29</v>
          </cell>
          <cell r="D3542">
            <v>58566819</v>
          </cell>
          <cell r="E3542">
            <v>4282422061</v>
          </cell>
          <cell r="F3542">
            <v>-7.4323962463650724E-3</v>
          </cell>
          <cell r="G3542">
            <v>-4.3111820838502074E-3</v>
          </cell>
        </row>
        <row r="3543">
          <cell r="B3543">
            <v>423.37</v>
          </cell>
          <cell r="D3543">
            <v>42219858</v>
          </cell>
          <cell r="E3543">
            <v>3624357890</v>
          </cell>
          <cell r="F3543">
            <v>-1.6212898767266753E-2</v>
          </cell>
          <cell r="G3543">
            <v>5.3767627145276543E-3</v>
          </cell>
        </row>
        <row r="3544">
          <cell r="B3544">
            <v>411.21</v>
          </cell>
          <cell r="D3544">
            <v>61424123</v>
          </cell>
          <cell r="E3544">
            <v>4564301299</v>
          </cell>
          <cell r="F3544">
            <v>-2.9142468295565205E-2</v>
          </cell>
          <cell r="G3544">
            <v>-8.4395124594527481E-3</v>
          </cell>
        </row>
        <row r="3545">
          <cell r="B3545">
            <v>414.19</v>
          </cell>
          <cell r="D3545">
            <v>45012374</v>
          </cell>
          <cell r="E3545">
            <v>5159180313</v>
          </cell>
          <cell r="F3545">
            <v>7.2207728325165083E-3</v>
          </cell>
          <cell r="G3545">
            <v>-5.0853228999764265E-3</v>
          </cell>
        </row>
        <row r="3546">
          <cell r="B3546">
            <v>393.67</v>
          </cell>
          <cell r="D3546">
            <v>66289247</v>
          </cell>
          <cell r="E3546">
            <v>4375232995</v>
          </cell>
          <cell r="F3546">
            <v>-5.0811810850003587E-2</v>
          </cell>
          <cell r="G3546">
            <v>-1.232663227429177E-2</v>
          </cell>
        </row>
        <row r="3547">
          <cell r="B3547">
            <v>401.14</v>
          </cell>
          <cell r="D3547">
            <v>53515311</v>
          </cell>
          <cell r="E3547">
            <v>3865921847</v>
          </cell>
          <cell r="F3547">
            <v>1.8797498663988291E-2</v>
          </cell>
          <cell r="G3547">
            <v>1.9504358091878945E-2</v>
          </cell>
        </row>
        <row r="3548">
          <cell r="B3548">
            <v>413.6</v>
          </cell>
          <cell r="D3548">
            <v>45480526</v>
          </cell>
          <cell r="E3548">
            <v>3384086573</v>
          </cell>
          <cell r="F3548">
            <v>3.0588829636318773E-2</v>
          </cell>
          <cell r="G3548">
            <v>4.6801149243004755E-3</v>
          </cell>
        </row>
        <row r="3549">
          <cell r="B3549">
            <v>413.27</v>
          </cell>
          <cell r="D3549">
            <v>44857850</v>
          </cell>
          <cell r="E3549">
            <v>3518487068</v>
          </cell>
          <cell r="F3549">
            <v>-7.9819080997138006E-4</v>
          </cell>
          <cell r="G3549">
            <v>-3.3092159636613234E-3</v>
          </cell>
        </row>
        <row r="3550">
          <cell r="B3550">
            <v>404.37</v>
          </cell>
          <cell r="D3550">
            <v>42491012</v>
          </cell>
          <cell r="E3550">
            <v>3766458007</v>
          </cell>
          <cell r="F3550">
            <v>-2.1770831965960063E-2</v>
          </cell>
          <cell r="G3550">
            <v>-4.8979780004177092E-5</v>
          </cell>
        </row>
        <row r="3551">
          <cell r="B3551">
            <v>401.84</v>
          </cell>
          <cell r="D3551">
            <v>40802362</v>
          </cell>
          <cell r="E3551">
            <v>4550359687</v>
          </cell>
          <cell r="F3551">
            <v>-6.276300976498732E-3</v>
          </cell>
          <cell r="G3551">
            <v>-1.578487613370198E-2</v>
          </cell>
        </row>
        <row r="3552">
          <cell r="B3552">
            <v>401.32</v>
          </cell>
          <cell r="D3552">
            <v>34091553</v>
          </cell>
          <cell r="E3552">
            <v>3430632699</v>
          </cell>
          <cell r="F3552">
            <v>-1.2948853843771802E-3</v>
          </cell>
          <cell r="G3552">
            <v>4.9894177097124651E-4</v>
          </cell>
        </row>
        <row r="3553">
          <cell r="B3553">
            <v>396.86</v>
          </cell>
          <cell r="D3553">
            <v>32078794</v>
          </cell>
          <cell r="E3553">
            <v>3330129793</v>
          </cell>
          <cell r="F3553">
            <v>-1.1175540400305904E-2</v>
          </cell>
          <cell r="G3553">
            <v>1.0307478073486504E-3</v>
          </cell>
        </row>
        <row r="3554">
          <cell r="B3554">
            <v>399.6</v>
          </cell>
          <cell r="D3554">
            <v>23223417</v>
          </cell>
          <cell r="E3554">
            <v>3073230495</v>
          </cell>
          <cell r="F3554">
            <v>6.8804731172922937E-3</v>
          </cell>
          <cell r="G3554">
            <v>5.55065970134696E-3</v>
          </cell>
        </row>
        <row r="3555">
          <cell r="B3555">
            <v>398.46</v>
          </cell>
          <cell r="D3555">
            <v>28234001</v>
          </cell>
          <cell r="E3555">
            <v>2922324756</v>
          </cell>
          <cell r="F3555">
            <v>-2.8569299937212644E-3</v>
          </cell>
          <cell r="G3555">
            <v>-2.8261268009801056E-3</v>
          </cell>
        </row>
        <row r="3556">
          <cell r="B3556">
            <v>397.23</v>
          </cell>
          <cell r="D3556">
            <v>34015249</v>
          </cell>
          <cell r="E3556">
            <v>3364360111</v>
          </cell>
          <cell r="F3556">
            <v>-3.0916587609020186E-3</v>
          </cell>
          <cell r="G3556">
            <v>6.915809547172946E-3</v>
          </cell>
        </row>
        <row r="3557">
          <cell r="B3557">
            <v>384.47</v>
          </cell>
          <cell r="D3557">
            <v>43238300</v>
          </cell>
          <cell r="E3557">
            <v>3273859095</v>
          </cell>
          <cell r="F3557">
            <v>-3.264969552508297E-2</v>
          </cell>
          <cell r="G3557">
            <v>-1.0439993392096881E-2</v>
          </cell>
        </row>
        <row r="3558">
          <cell r="B3558">
            <v>389</v>
          </cell>
          <cell r="D3558">
            <v>33884700</v>
          </cell>
          <cell r="E3558">
            <v>3204840992</v>
          </cell>
          <cell r="F3558">
            <v>1.171358112375393E-2</v>
          </cell>
          <cell r="G3558">
            <v>7.622514474642573E-3</v>
          </cell>
        </row>
        <row r="3559">
          <cell r="B3559">
            <v>400.6</v>
          </cell>
          <cell r="D3559">
            <v>43625500</v>
          </cell>
          <cell r="E3559">
            <v>3321269126</v>
          </cell>
          <cell r="F3559">
            <v>2.9384079613271614E-2</v>
          </cell>
          <cell r="G3559">
            <v>8.1034253287755442E-3</v>
          </cell>
        </row>
        <row r="3560">
          <cell r="B3560">
            <v>401.72</v>
          </cell>
          <cell r="D3560">
            <v>34214348</v>
          </cell>
          <cell r="E3560">
            <v>3454065492</v>
          </cell>
          <cell r="F3560">
            <v>2.7919052934204255E-3</v>
          </cell>
          <cell r="G3560">
            <v>-5.3800240775697698E-3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Seek Solution"/>
    </sheetNames>
    <sheetDataSet>
      <sheetData sheetId="0">
        <row r="12">
          <cell r="B12" t="str">
            <v>f(X)</v>
          </cell>
        </row>
        <row r="13">
          <cell r="A13">
            <v>-10</v>
          </cell>
          <cell r="B13">
            <v>-1300</v>
          </cell>
        </row>
        <row r="14">
          <cell r="A14">
            <v>-9.5</v>
          </cell>
          <cell r="B14">
            <v>-1129.125</v>
          </cell>
        </row>
        <row r="15">
          <cell r="A15">
            <v>-9</v>
          </cell>
          <cell r="B15">
            <v>-974</v>
          </cell>
        </row>
        <row r="16">
          <cell r="A16">
            <v>-8.5</v>
          </cell>
          <cell r="B16">
            <v>-833.875</v>
          </cell>
        </row>
        <row r="17">
          <cell r="A17">
            <v>-8</v>
          </cell>
          <cell r="B17">
            <v>-708</v>
          </cell>
        </row>
        <row r="18">
          <cell r="A18">
            <v>-7.5</v>
          </cell>
          <cell r="B18">
            <v>-595.625</v>
          </cell>
        </row>
        <row r="19">
          <cell r="A19">
            <v>-7</v>
          </cell>
          <cell r="B19">
            <v>-496</v>
          </cell>
        </row>
        <row r="20">
          <cell r="A20">
            <v>-6.5</v>
          </cell>
          <cell r="B20">
            <v>-408.375</v>
          </cell>
        </row>
        <row r="21">
          <cell r="A21">
            <v>-6</v>
          </cell>
          <cell r="B21">
            <v>-332</v>
          </cell>
        </row>
        <row r="22">
          <cell r="A22">
            <v>-5.5</v>
          </cell>
          <cell r="B22">
            <v>-266.125</v>
          </cell>
        </row>
        <row r="23">
          <cell r="A23">
            <v>-5</v>
          </cell>
          <cell r="B23">
            <v>-210</v>
          </cell>
        </row>
        <row r="24">
          <cell r="A24">
            <v>-4.5</v>
          </cell>
          <cell r="B24">
            <v>-162.875</v>
          </cell>
        </row>
        <row r="25">
          <cell r="A25">
            <v>-4</v>
          </cell>
          <cell r="B25">
            <v>-124</v>
          </cell>
        </row>
        <row r="26">
          <cell r="A26">
            <v>-3.5</v>
          </cell>
          <cell r="B26">
            <v>-92.625</v>
          </cell>
        </row>
        <row r="27">
          <cell r="A27">
            <v>-3</v>
          </cell>
          <cell r="B27">
            <v>-68</v>
          </cell>
        </row>
        <row r="28">
          <cell r="A28">
            <v>-2.5</v>
          </cell>
          <cell r="B28">
            <v>-49.375</v>
          </cell>
        </row>
        <row r="29">
          <cell r="A29">
            <v>-2</v>
          </cell>
          <cell r="B29">
            <v>-36</v>
          </cell>
        </row>
        <row r="30">
          <cell r="A30">
            <v>-1.5</v>
          </cell>
          <cell r="B30">
            <v>-27.125</v>
          </cell>
        </row>
        <row r="31">
          <cell r="A31">
            <v>-1</v>
          </cell>
          <cell r="B31">
            <v>-22</v>
          </cell>
        </row>
        <row r="32">
          <cell r="A32">
            <v>-0.5</v>
          </cell>
          <cell r="B32">
            <v>-19.875</v>
          </cell>
        </row>
        <row r="33">
          <cell r="A33">
            <v>0</v>
          </cell>
          <cell r="B33">
            <v>-20</v>
          </cell>
        </row>
        <row r="34">
          <cell r="A34">
            <v>0.5</v>
          </cell>
          <cell r="B34">
            <v>-21.625</v>
          </cell>
        </row>
        <row r="35">
          <cell r="A35">
            <v>1</v>
          </cell>
          <cell r="B35">
            <v>-24</v>
          </cell>
        </row>
        <row r="36">
          <cell r="A36">
            <v>1.5</v>
          </cell>
          <cell r="B36">
            <v>-26.375</v>
          </cell>
        </row>
        <row r="37">
          <cell r="A37">
            <v>2</v>
          </cell>
          <cell r="B37">
            <v>-28</v>
          </cell>
        </row>
        <row r="38">
          <cell r="A38">
            <v>2.5</v>
          </cell>
          <cell r="B38">
            <v>-28.125</v>
          </cell>
        </row>
        <row r="39">
          <cell r="A39">
            <v>3</v>
          </cell>
          <cell r="B39">
            <v>-26</v>
          </cell>
        </row>
        <row r="40">
          <cell r="A40">
            <v>3.5</v>
          </cell>
          <cell r="B40">
            <v>-20.875</v>
          </cell>
        </row>
        <row r="41">
          <cell r="A41">
            <v>4</v>
          </cell>
          <cell r="B41">
            <v>-12</v>
          </cell>
        </row>
        <row r="42">
          <cell r="A42">
            <v>4.5</v>
          </cell>
          <cell r="B42">
            <v>1.375</v>
          </cell>
        </row>
        <row r="43">
          <cell r="A43">
            <v>5</v>
          </cell>
          <cell r="B43">
            <v>20</v>
          </cell>
        </row>
        <row r="44">
          <cell r="A44">
            <v>5.5</v>
          </cell>
          <cell r="B44">
            <v>44.625</v>
          </cell>
        </row>
        <row r="45">
          <cell r="A45">
            <v>6</v>
          </cell>
          <cell r="B45">
            <v>76</v>
          </cell>
        </row>
        <row r="46">
          <cell r="A46">
            <v>6.5</v>
          </cell>
          <cell r="B46">
            <v>114.875</v>
          </cell>
        </row>
        <row r="47">
          <cell r="A47">
            <v>7</v>
          </cell>
          <cell r="B47">
            <v>162</v>
          </cell>
        </row>
        <row r="48">
          <cell r="A48">
            <v>7.5</v>
          </cell>
          <cell r="B48">
            <v>218.125</v>
          </cell>
        </row>
        <row r="49">
          <cell r="A49">
            <v>8</v>
          </cell>
          <cell r="B49">
            <v>284</v>
          </cell>
        </row>
        <row r="50">
          <cell r="A50">
            <v>8.5</v>
          </cell>
          <cell r="B50">
            <v>360.375</v>
          </cell>
        </row>
        <row r="51">
          <cell r="A51">
            <v>9</v>
          </cell>
          <cell r="B51">
            <v>448</v>
          </cell>
        </row>
        <row r="52">
          <cell r="A52">
            <v>9.5</v>
          </cell>
          <cell r="B52">
            <v>547.625</v>
          </cell>
        </row>
        <row r="53">
          <cell r="A53">
            <v>10</v>
          </cell>
          <cell r="B53">
            <v>660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5" customWidth="1"/>
    <col min="2" max="2" width="45" customWidth="1"/>
    <col min="3" max="3" width="35" customWidth="1"/>
    <col min="4" max="4" width="5" customWidth="1"/>
  </cols>
  <sheetData>
    <row r="2" spans="2:3" ht="25" x14ac:dyDescent="0.25">
      <c r="B2" s="93" t="s">
        <v>0</v>
      </c>
      <c r="C2" s="93"/>
    </row>
    <row r="4" spans="2:3" ht="28" customHeight="1" x14ac:dyDescent="0.2">
      <c r="B4" s="94" t="s">
        <v>1</v>
      </c>
      <c r="C4" s="95"/>
    </row>
    <row r="6" spans="2:3" ht="18" x14ac:dyDescent="0.2">
      <c r="B6" s="91" t="s">
        <v>2</v>
      </c>
      <c r="C6" s="92" t="s">
        <v>3</v>
      </c>
    </row>
    <row r="8" spans="2:3" ht="18" x14ac:dyDescent="0.2">
      <c r="B8" s="91" t="s">
        <v>4</v>
      </c>
      <c r="C8" s="92" t="s">
        <v>5</v>
      </c>
    </row>
    <row r="9" spans="2:3" ht="28" customHeight="1" x14ac:dyDescent="0.2"/>
    <row r="10" spans="2:3" ht="18" x14ac:dyDescent="0.2">
      <c r="B10" s="91" t="s">
        <v>6</v>
      </c>
      <c r="C10" s="92" t="s">
        <v>7</v>
      </c>
    </row>
    <row r="11" spans="2:3" ht="28" customHeight="1" x14ac:dyDescent="0.2"/>
  </sheetData>
  <mergeCells count="2">
    <mergeCell ref="B2:C2"/>
    <mergeCell ref="B4:C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"/>
  <sheetViews>
    <sheetView workbookViewId="0"/>
  </sheetViews>
  <sheetFormatPr baseColWidth="10" defaultColWidth="8.6640625" defaultRowHeight="15" x14ac:dyDescent="0.2"/>
  <cols>
    <col min="1" max="1" width="30" customWidth="1"/>
    <col min="2" max="12" width="14" customWidth="1"/>
  </cols>
  <sheetData>
    <row r="1" spans="1:3" ht="15.5" customHeight="1" x14ac:dyDescent="0.2">
      <c r="A1" s="1" t="s">
        <v>8</v>
      </c>
    </row>
    <row r="3" spans="1:3" x14ac:dyDescent="0.2">
      <c r="A3" s="3" t="s">
        <v>9</v>
      </c>
    </row>
    <row r="5" spans="1:3" x14ac:dyDescent="0.2">
      <c r="A5" s="10" t="s">
        <v>10</v>
      </c>
      <c r="B5" s="25"/>
    </row>
    <row r="6" spans="1:3" x14ac:dyDescent="0.2">
      <c r="A6" s="19" t="s">
        <v>11</v>
      </c>
      <c r="B6" s="26">
        <v>500</v>
      </c>
      <c r="C6" s="2"/>
    </row>
    <row r="7" spans="1:3" x14ac:dyDescent="0.2">
      <c r="A7" s="19" t="s">
        <v>12</v>
      </c>
      <c r="B7" s="27">
        <v>0.05</v>
      </c>
      <c r="C7" s="2"/>
    </row>
    <row r="8" spans="1:3" x14ac:dyDescent="0.2">
      <c r="A8" s="19" t="s">
        <v>13</v>
      </c>
      <c r="B8" s="27">
        <v>0.1</v>
      </c>
      <c r="C8" s="2"/>
    </row>
    <row r="10" spans="1:3" x14ac:dyDescent="0.2">
      <c r="A10" s="24" t="s">
        <v>14</v>
      </c>
      <c r="B10" s="28">
        <f>IF(B8&lt;=B7,"g must be &lt; rE",B6/(B8-B7))</f>
        <v>10000</v>
      </c>
      <c r="C10" s="2"/>
    </row>
    <row r="12" spans="1:3" x14ac:dyDescent="0.2">
      <c r="A12" s="29" t="s">
        <v>15</v>
      </c>
    </row>
    <row r="13" spans="1:3" x14ac:dyDescent="0.2">
      <c r="A13" s="2"/>
      <c r="B13" s="2"/>
    </row>
    <row r="15" spans="1:3" x14ac:dyDescent="0.2">
      <c r="A15" s="15" t="s">
        <v>16</v>
      </c>
      <c r="B15" s="11">
        <f>B10</f>
        <v>10000</v>
      </c>
    </row>
    <row r="16" spans="1:3" x14ac:dyDescent="0.2">
      <c r="A16" s="30">
        <v>0.02</v>
      </c>
      <c r="B16" s="11">
        <f t="dataTable" ref="B16:B22" dt2D="0" dtr="0" r1="B7"/>
        <v>6250</v>
      </c>
    </row>
    <row r="17" spans="1:2" x14ac:dyDescent="0.2">
      <c r="A17" s="30">
        <v>0.03</v>
      </c>
      <c r="B17" s="11">
        <v>7142.8571428571422</v>
      </c>
    </row>
    <row r="18" spans="1:2" x14ac:dyDescent="0.2">
      <c r="A18" s="30">
        <v>0.04</v>
      </c>
      <c r="B18" s="11">
        <v>8333.3333333333321</v>
      </c>
    </row>
    <row r="19" spans="1:2" x14ac:dyDescent="0.2">
      <c r="A19" s="30">
        <v>0.05</v>
      </c>
      <c r="B19" s="11">
        <v>10000</v>
      </c>
    </row>
    <row r="20" spans="1:2" x14ac:dyDescent="0.2">
      <c r="A20" s="30">
        <v>0.06</v>
      </c>
      <c r="B20" s="11">
        <v>12499.999999999998</v>
      </c>
    </row>
    <row r="21" spans="1:2" x14ac:dyDescent="0.2">
      <c r="A21" s="30">
        <v>7.0000000000000007E-2</v>
      </c>
      <c r="B21" s="11">
        <v>16666.666666666668</v>
      </c>
    </row>
    <row r="22" spans="1:2" x14ac:dyDescent="0.2">
      <c r="A22" s="30">
        <v>0.08</v>
      </c>
      <c r="B22" s="11">
        <v>24999.999999999996</v>
      </c>
    </row>
    <row r="24" spans="1:2" x14ac:dyDescent="0.2">
      <c r="A24" s="29" t="s">
        <v>17</v>
      </c>
    </row>
    <row r="25" spans="1:2" x14ac:dyDescent="0.2">
      <c r="A25" s="2"/>
      <c r="B25" s="2"/>
    </row>
    <row r="27" spans="1:2" x14ac:dyDescent="0.2">
      <c r="A27" s="15" t="s">
        <v>13</v>
      </c>
      <c r="B27" s="11">
        <f>B10</f>
        <v>10000</v>
      </c>
    </row>
    <row r="28" spans="1:2" x14ac:dyDescent="0.2">
      <c r="A28" s="30">
        <v>0.05</v>
      </c>
      <c r="B28" s="11" t="str">
        <f t="dataTable" ref="B28:B35" dt2D="0" dtr="0" r1="B8" ca="1"/>
        <v>g must be &lt; rE</v>
      </c>
    </row>
    <row r="29" spans="1:2" x14ac:dyDescent="0.2">
      <c r="A29" s="30">
        <v>0.06</v>
      </c>
      <c r="B29" s="11">
        <v>50000.000000000022</v>
      </c>
    </row>
    <row r="30" spans="1:2" x14ac:dyDescent="0.2">
      <c r="A30" s="30">
        <v>7.0000000000000007E-2</v>
      </c>
      <c r="B30" s="11">
        <v>24999.999999999996</v>
      </c>
    </row>
    <row r="31" spans="1:2" x14ac:dyDescent="0.2">
      <c r="A31" s="30">
        <v>0.08</v>
      </c>
      <c r="B31" s="11">
        <v>16666.666666666668</v>
      </c>
    </row>
    <row r="32" spans="1:2" x14ac:dyDescent="0.2">
      <c r="A32" s="30">
        <v>0.09</v>
      </c>
      <c r="B32" s="11">
        <v>12500.000000000002</v>
      </c>
    </row>
    <row r="33" spans="1:8" x14ac:dyDescent="0.2">
      <c r="A33" s="30">
        <v>0.1</v>
      </c>
      <c r="B33" s="11">
        <v>10000</v>
      </c>
    </row>
    <row r="34" spans="1:8" x14ac:dyDescent="0.2">
      <c r="A34" s="30">
        <v>0.11</v>
      </c>
      <c r="B34" s="11">
        <v>8333.3333333333339</v>
      </c>
    </row>
    <row r="35" spans="1:8" x14ac:dyDescent="0.2">
      <c r="A35" s="30">
        <v>0.12</v>
      </c>
      <c r="B35" s="11">
        <v>7142.857142857144</v>
      </c>
    </row>
    <row r="38" spans="1:8" x14ac:dyDescent="0.2">
      <c r="A38" s="29" t="s">
        <v>18</v>
      </c>
    </row>
    <row r="39" spans="1:8" x14ac:dyDescent="0.2">
      <c r="A39" s="2"/>
      <c r="B39" s="2"/>
    </row>
    <row r="40" spans="1:8" x14ac:dyDescent="0.2">
      <c r="A40" s="18" t="s">
        <v>19</v>
      </c>
      <c r="B40" s="24" t="s">
        <v>20</v>
      </c>
    </row>
    <row r="41" spans="1:8" x14ac:dyDescent="0.2">
      <c r="A41" s="31">
        <f>B10</f>
        <v>10000</v>
      </c>
      <c r="B41" s="32">
        <v>0.02</v>
      </c>
      <c r="C41" s="32">
        <v>0.03</v>
      </c>
      <c r="D41" s="32">
        <v>0.04</v>
      </c>
      <c r="E41" s="32">
        <v>0.05</v>
      </c>
      <c r="F41" s="32">
        <v>0.06</v>
      </c>
      <c r="G41" s="32">
        <v>7.0000000000000007E-2</v>
      </c>
      <c r="H41" s="32">
        <v>0.08</v>
      </c>
    </row>
    <row r="42" spans="1:8" x14ac:dyDescent="0.2">
      <c r="A42" s="32">
        <v>0.05</v>
      </c>
      <c r="B42" s="11">
        <f t="dataTable" ref="B42:H49" dt2D="1" dtr="1" r1="B7" r2="B8" ca="1"/>
        <v>16666.666666666664</v>
      </c>
      <c r="C42" s="11">
        <v>24999.999999999996</v>
      </c>
      <c r="D42" s="11">
        <v>49999.999999999993</v>
      </c>
      <c r="E42" s="11" t="str">
        <v>g must be &lt; rE</v>
      </c>
      <c r="F42" s="11" t="str">
        <v>g must be &lt; rE</v>
      </c>
      <c r="G42" s="11" t="str">
        <v>g must be &lt; rE</v>
      </c>
      <c r="H42" s="11" t="str">
        <v>g must be &lt; rE</v>
      </c>
    </row>
    <row r="43" spans="1:8" x14ac:dyDescent="0.2">
      <c r="A43" s="33">
        <v>0.06</v>
      </c>
      <c r="B43" s="11">
        <v>12500.000000000002</v>
      </c>
      <c r="C43" s="11">
        <v>16666.666666666668</v>
      </c>
      <c r="D43" s="11">
        <v>25000.000000000004</v>
      </c>
      <c r="E43" s="11">
        <v>50000.000000000022</v>
      </c>
      <c r="F43" s="11" t="str">
        <v>g must be &lt; rE</v>
      </c>
      <c r="G43" s="11" t="str">
        <v>g must be &lt; rE</v>
      </c>
      <c r="H43" s="11" t="str">
        <v>g must be &lt; rE</v>
      </c>
    </row>
    <row r="44" spans="1:8" x14ac:dyDescent="0.2">
      <c r="A44" s="33">
        <v>7.0000000000000007E-2</v>
      </c>
      <c r="B44" s="11">
        <v>10000</v>
      </c>
      <c r="C44" s="11">
        <v>12499.999999999998</v>
      </c>
      <c r="D44" s="11">
        <v>16666.666666666664</v>
      </c>
      <c r="E44" s="11">
        <v>24999.999999999996</v>
      </c>
      <c r="F44" s="11">
        <v>49999.999999999956</v>
      </c>
      <c r="G44" s="11" t="str">
        <v>g must be &lt; rE</v>
      </c>
      <c r="H44" s="11" t="str">
        <v>g must be &lt; rE</v>
      </c>
    </row>
    <row r="45" spans="1:8" x14ac:dyDescent="0.2">
      <c r="A45" s="33">
        <v>0.08</v>
      </c>
      <c r="B45" s="11">
        <v>8333.3333333333339</v>
      </c>
      <c r="C45" s="11">
        <v>10000</v>
      </c>
      <c r="D45" s="11">
        <v>12500</v>
      </c>
      <c r="E45" s="11">
        <v>16666.666666666668</v>
      </c>
      <c r="F45" s="11">
        <v>24999.999999999996</v>
      </c>
      <c r="G45" s="11">
        <v>50000.000000000022</v>
      </c>
      <c r="H45" s="11" t="str">
        <v>g must be &lt; rE</v>
      </c>
    </row>
    <row r="46" spans="1:8" x14ac:dyDescent="0.2">
      <c r="A46" s="33">
        <v>0.09</v>
      </c>
      <c r="B46" s="11">
        <v>7142.857142857144</v>
      </c>
      <c r="C46" s="11">
        <v>8333.3333333333339</v>
      </c>
      <c r="D46" s="11">
        <v>10000</v>
      </c>
      <c r="E46" s="11">
        <v>12500.000000000002</v>
      </c>
      <c r="F46" s="11">
        <v>16666.666666666668</v>
      </c>
      <c r="G46" s="11">
        <v>25000.000000000011</v>
      </c>
      <c r="H46" s="11">
        <v>50000.000000000022</v>
      </c>
    </row>
    <row r="47" spans="1:8" x14ac:dyDescent="0.2">
      <c r="A47" s="33">
        <v>0.1</v>
      </c>
      <c r="B47" s="11">
        <v>6250</v>
      </c>
      <c r="C47" s="11">
        <v>7142.8571428571422</v>
      </c>
      <c r="D47" s="11">
        <v>8333.3333333333321</v>
      </c>
      <c r="E47" s="11">
        <v>10000</v>
      </c>
      <c r="F47" s="11">
        <v>12499.999999999998</v>
      </c>
      <c r="G47" s="11">
        <v>16666.666666666668</v>
      </c>
      <c r="H47" s="11">
        <v>24999.999999999996</v>
      </c>
    </row>
    <row r="48" spans="1:8" x14ac:dyDescent="0.2">
      <c r="A48" s="33">
        <v>0.11</v>
      </c>
      <c r="B48" s="11">
        <v>5555.5555555555557</v>
      </c>
      <c r="C48" s="11">
        <v>6250</v>
      </c>
      <c r="D48" s="11">
        <v>7142.8571428571422</v>
      </c>
      <c r="E48" s="11">
        <v>8333.3333333333339</v>
      </c>
      <c r="F48" s="11">
        <v>10000</v>
      </c>
      <c r="G48" s="11">
        <v>12500.000000000002</v>
      </c>
      <c r="H48" s="11">
        <v>16666.666666666668</v>
      </c>
    </row>
    <row r="49" spans="1:8" x14ac:dyDescent="0.2">
      <c r="A49" s="33">
        <v>0.12</v>
      </c>
      <c r="B49" s="11">
        <v>5000</v>
      </c>
      <c r="C49" s="11">
        <v>5555.5555555555557</v>
      </c>
      <c r="D49" s="11">
        <v>6250.0000000000009</v>
      </c>
      <c r="E49" s="11">
        <v>7142.857142857144</v>
      </c>
      <c r="F49" s="11">
        <v>8333.3333333333339</v>
      </c>
      <c r="G49" s="11">
        <v>10000.000000000002</v>
      </c>
      <c r="H49" s="11">
        <v>12500.000000000002</v>
      </c>
    </row>
    <row r="52" spans="1:8" x14ac:dyDescent="0.2">
      <c r="A52" s="3" t="s">
        <v>21</v>
      </c>
    </row>
    <row r="54" spans="1:8" x14ac:dyDescent="0.2">
      <c r="A54" s="10" t="s">
        <v>10</v>
      </c>
      <c r="B54" s="25"/>
    </row>
    <row r="55" spans="1:8" x14ac:dyDescent="0.2">
      <c r="A55" s="19" t="s">
        <v>22</v>
      </c>
      <c r="B55" s="34">
        <f>B57/(1+B58)</f>
        <v>400</v>
      </c>
      <c r="C55" s="2"/>
    </row>
    <row r="56" spans="1:8" x14ac:dyDescent="0.2">
      <c r="A56" s="19"/>
    </row>
    <row r="57" spans="1:8" x14ac:dyDescent="0.2">
      <c r="A57" s="19" t="s">
        <v>11</v>
      </c>
      <c r="B57" s="26">
        <v>500</v>
      </c>
    </row>
    <row r="58" spans="1:8" x14ac:dyDescent="0.2">
      <c r="A58" s="19" t="s">
        <v>23</v>
      </c>
      <c r="B58" s="27">
        <v>0.25</v>
      </c>
    </row>
    <row r="59" spans="1:8" x14ac:dyDescent="0.2">
      <c r="A59" s="19" t="s">
        <v>24</v>
      </c>
      <c r="B59" s="27">
        <v>0.03</v>
      </c>
    </row>
    <row r="60" spans="1:8" x14ac:dyDescent="0.2">
      <c r="A60" s="19" t="s">
        <v>13</v>
      </c>
      <c r="B60" s="27">
        <v>0.1</v>
      </c>
    </row>
    <row r="62" spans="1:8" x14ac:dyDescent="0.2">
      <c r="A62" s="10" t="s">
        <v>25</v>
      </c>
    </row>
    <row r="63" spans="1:8" x14ac:dyDescent="0.2">
      <c r="A63" s="15" t="s">
        <v>26</v>
      </c>
      <c r="B63" s="15" t="s">
        <v>27</v>
      </c>
    </row>
    <row r="64" spans="1:8" x14ac:dyDescent="0.2">
      <c r="A64" s="4">
        <v>1</v>
      </c>
      <c r="B64" s="11">
        <f>B57</f>
        <v>500</v>
      </c>
    </row>
    <row r="65" spans="1:6" x14ac:dyDescent="0.2">
      <c r="A65" s="4">
        <v>2</v>
      </c>
      <c r="B65" s="11">
        <f>B64*(1+$B$58)</f>
        <v>625</v>
      </c>
    </row>
    <row r="66" spans="1:6" x14ac:dyDescent="0.2">
      <c r="A66" s="4">
        <v>3</v>
      </c>
      <c r="B66" s="11">
        <f>B65*(1+$B$58)</f>
        <v>781.25</v>
      </c>
    </row>
    <row r="67" spans="1:6" x14ac:dyDescent="0.2">
      <c r="A67" s="4">
        <v>4</v>
      </c>
      <c r="B67" s="11">
        <f>B66*(1+$B$58)</f>
        <v>976.5625</v>
      </c>
    </row>
    <row r="68" spans="1:6" x14ac:dyDescent="0.2">
      <c r="A68" s="4">
        <v>5</v>
      </c>
      <c r="B68" s="11">
        <f>B67*(1+$B$58)</f>
        <v>1220.703125</v>
      </c>
    </row>
    <row r="69" spans="1:6" x14ac:dyDescent="0.2">
      <c r="A69" s="4">
        <v>6</v>
      </c>
      <c r="B69" s="11">
        <f>B68*(1+$B$59)</f>
        <v>1257.32421875</v>
      </c>
    </row>
    <row r="71" spans="1:6" x14ac:dyDescent="0.2">
      <c r="A71" s="10" t="s">
        <v>28</v>
      </c>
    </row>
    <row r="72" spans="1:6" x14ac:dyDescent="0.2">
      <c r="A72" s="19" t="s">
        <v>29</v>
      </c>
      <c r="B72" s="34">
        <f>NPV(B60,B64:B68)</f>
        <v>2983.0049953120433</v>
      </c>
    </row>
    <row r="73" spans="1:6" x14ac:dyDescent="0.2">
      <c r="A73" s="19" t="s">
        <v>30</v>
      </c>
      <c r="B73" s="34">
        <f>IF(B60&lt;=B59,"g2 must be &lt; rE",B69/(B60-B59)/(1+B60)^5)</f>
        <v>11152.848820293833</v>
      </c>
    </row>
    <row r="74" spans="1:6" x14ac:dyDescent="0.2">
      <c r="A74" s="24" t="s">
        <v>31</v>
      </c>
      <c r="B74" s="28">
        <f>B72+B73</f>
        <v>14135.853815605877</v>
      </c>
    </row>
    <row r="77" spans="1:6" x14ac:dyDescent="0.2">
      <c r="A77" s="29" t="s">
        <v>32</v>
      </c>
    </row>
    <row r="78" spans="1:6" x14ac:dyDescent="0.2">
      <c r="A78" s="2"/>
      <c r="B78" s="2"/>
    </row>
    <row r="79" spans="1:6" x14ac:dyDescent="0.2">
      <c r="A79" s="24" t="s">
        <v>19</v>
      </c>
      <c r="B79" s="24" t="s">
        <v>33</v>
      </c>
    </row>
    <row r="80" spans="1:6" x14ac:dyDescent="0.2">
      <c r="A80" s="31">
        <f>B74</f>
        <v>14135.853815605877</v>
      </c>
      <c r="B80" s="32">
        <v>0.02</v>
      </c>
      <c r="C80" s="32">
        <v>2.5000000000000001E-2</v>
      </c>
      <c r="D80" s="32">
        <v>0.03</v>
      </c>
      <c r="E80" s="32">
        <v>3.5000000000000003E-2</v>
      </c>
      <c r="F80" s="32">
        <v>0.04</v>
      </c>
    </row>
    <row r="81" spans="1:6" x14ac:dyDescent="0.2">
      <c r="A81" s="33">
        <v>0.05</v>
      </c>
      <c r="B81" s="11">
        <f t="dataTable" ref="B81:F88" dt2D="1" dtr="1" r1="B59" r2="B60"/>
        <v>35997.226807074549</v>
      </c>
      <c r="C81" s="11">
        <v>42692.396686565779</v>
      </c>
      <c r="D81" s="11">
        <v>52735.151505802605</v>
      </c>
      <c r="E81" s="11">
        <v>69473.076204530676</v>
      </c>
      <c r="F81" s="11">
        <v>102948.92560198679</v>
      </c>
    </row>
    <row r="82" spans="1:6" x14ac:dyDescent="0.2">
      <c r="A82" s="33">
        <v>0.06</v>
      </c>
      <c r="B82" s="11">
        <v>26630.207671275039</v>
      </c>
      <c r="C82" s="11">
        <v>30083.461992729855</v>
      </c>
      <c r="D82" s="11">
        <v>34687.801088002947</v>
      </c>
      <c r="E82" s="11">
        <v>41133.875821385278</v>
      </c>
      <c r="F82" s="11">
        <v>50802.987921458764</v>
      </c>
    </row>
    <row r="83" spans="1:6" x14ac:dyDescent="0.2">
      <c r="A83" s="33">
        <v>7.0000000000000007E-2</v>
      </c>
      <c r="B83" s="11">
        <v>21021.307884512094</v>
      </c>
      <c r="C83" s="11">
        <v>23090.793594276431</v>
      </c>
      <c r="D83" s="11">
        <v>25677.650731481848</v>
      </c>
      <c r="E83" s="11">
        <v>29003.609907888818</v>
      </c>
      <c r="F83" s="11">
        <v>33438.222143098115</v>
      </c>
    </row>
    <row r="84" spans="1:6" x14ac:dyDescent="0.2">
      <c r="A84" s="33">
        <v>0.08</v>
      </c>
      <c r="B84" s="11">
        <v>17291.004392518797</v>
      </c>
      <c r="C84" s="11">
        <v>18650.478995968675</v>
      </c>
      <c r="D84" s="11">
        <v>20281.848520108528</v>
      </c>
      <c r="E84" s="11">
        <v>22275.744605168351</v>
      </c>
      <c r="F84" s="11">
        <v>24768.11471149313</v>
      </c>
    </row>
    <row r="85" spans="1:6" x14ac:dyDescent="0.2">
      <c r="A85" s="33">
        <v>0.09</v>
      </c>
      <c r="B85" s="11">
        <v>14633.810702187149</v>
      </c>
      <c r="C85" s="11">
        <v>15584.114953809201</v>
      </c>
      <c r="D85" s="11">
        <v>16692.803247368269</v>
      </c>
      <c r="E85" s="11">
        <v>18003.071230665344</v>
      </c>
      <c r="F85" s="11">
        <v>19575.392810621837</v>
      </c>
    </row>
    <row r="86" spans="1:6" x14ac:dyDescent="0.2">
      <c r="A86" s="33">
        <v>0.1</v>
      </c>
      <c r="B86" s="11">
        <v>12647.002638139467</v>
      </c>
      <c r="C86" s="11">
        <v>13341.799854290457</v>
      </c>
      <c r="D86" s="11">
        <v>14135.853815605877</v>
      </c>
      <c r="E86" s="11">
        <v>15052.069924815974</v>
      </c>
      <c r="F86" s="11">
        <v>16120.988718894423</v>
      </c>
    </row>
    <row r="87" spans="1:6" x14ac:dyDescent="0.2">
      <c r="A87" s="33">
        <v>0.11</v>
      </c>
      <c r="B87" s="11">
        <v>11106.860356731115</v>
      </c>
      <c r="C87" s="11">
        <v>11632.425689197191</v>
      </c>
      <c r="D87" s="11">
        <v>12223.686688221525</v>
      </c>
      <c r="E87" s="11">
        <v>12893.782487115772</v>
      </c>
      <c r="F87" s="11">
        <v>13659.606257280624</v>
      </c>
    </row>
    <row r="88" spans="1:6" x14ac:dyDescent="0.2">
      <c r="A88" s="33">
        <v>0.12</v>
      </c>
      <c r="B88" s="11">
        <v>9879.1652299721281</v>
      </c>
      <c r="C88" s="11">
        <v>10287.469916447271</v>
      </c>
      <c r="D88" s="11">
        <v>10741.141790308542</v>
      </c>
      <c r="E88" s="11">
        <v>11248.186825800551</v>
      </c>
      <c r="F88" s="11">
        <v>11818.61249072906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"/>
  <sheetViews>
    <sheetView workbookViewId="0">
      <selection activeCell="E20" sqref="E20"/>
    </sheetView>
  </sheetViews>
  <sheetFormatPr baseColWidth="10" defaultColWidth="8.6640625" defaultRowHeight="15" x14ac:dyDescent="0.2"/>
  <cols>
    <col min="1" max="1" width="32" customWidth="1"/>
    <col min="2" max="2" width="16" customWidth="1"/>
    <col min="3" max="19" width="14" customWidth="1"/>
  </cols>
  <sheetData>
    <row r="1" spans="1:17" ht="15.5" customHeight="1" x14ac:dyDescent="0.2">
      <c r="A1" s="1" t="s">
        <v>34</v>
      </c>
    </row>
    <row r="3" spans="1:17" ht="15" customHeight="1" x14ac:dyDescent="0.2">
      <c r="A3" s="3" t="s">
        <v>10</v>
      </c>
    </row>
    <row r="5" spans="1:17" ht="15" customHeight="1" x14ac:dyDescent="0.2">
      <c r="A5" s="4" t="s">
        <v>35</v>
      </c>
      <c r="B5" s="8">
        <v>-1500000</v>
      </c>
    </row>
    <row r="6" spans="1:17" ht="15" customHeight="1" x14ac:dyDescent="0.2">
      <c r="A6" s="4" t="s">
        <v>36</v>
      </c>
      <c r="B6" s="8">
        <v>100000</v>
      </c>
    </row>
    <row r="7" spans="1:17" ht="15" customHeight="1" x14ac:dyDescent="0.2">
      <c r="A7" s="4" t="s">
        <v>16</v>
      </c>
      <c r="B7" s="63">
        <v>0.05</v>
      </c>
    </row>
    <row r="8" spans="1:17" ht="15" customHeight="1" x14ac:dyDescent="0.2">
      <c r="A8" s="4" t="s">
        <v>37</v>
      </c>
      <c r="B8" s="63">
        <v>0.03</v>
      </c>
    </row>
    <row r="9" spans="1:17" ht="15" customHeight="1" x14ac:dyDescent="0.2">
      <c r="A9" s="4" t="s">
        <v>38</v>
      </c>
      <c r="B9" s="6">
        <v>15</v>
      </c>
    </row>
    <row r="11" spans="1:17" ht="15" customHeight="1" x14ac:dyDescent="0.2">
      <c r="A11" s="3" t="s">
        <v>39</v>
      </c>
      <c r="C11" s="2"/>
    </row>
    <row r="13" spans="1:17" ht="15" customHeight="1" x14ac:dyDescent="0.2">
      <c r="A13" s="64" t="s">
        <v>26</v>
      </c>
      <c r="B13" s="65">
        <v>0</v>
      </c>
      <c r="C13" s="65">
        <v>1</v>
      </c>
      <c r="D13" s="65">
        <v>2</v>
      </c>
      <c r="E13" s="65">
        <v>3</v>
      </c>
      <c r="F13" s="65">
        <v>4</v>
      </c>
      <c r="G13" s="65">
        <v>5</v>
      </c>
      <c r="H13" s="65">
        <v>6</v>
      </c>
      <c r="I13" s="65">
        <v>7</v>
      </c>
      <c r="J13" s="65">
        <v>8</v>
      </c>
      <c r="K13" s="65">
        <v>9</v>
      </c>
      <c r="L13" s="65">
        <v>10</v>
      </c>
      <c r="M13" s="65">
        <v>11</v>
      </c>
      <c r="N13" s="65">
        <v>12</v>
      </c>
      <c r="O13" s="65">
        <v>13</v>
      </c>
      <c r="P13" s="65">
        <v>14</v>
      </c>
      <c r="Q13" s="65">
        <v>15</v>
      </c>
    </row>
    <row r="14" spans="1:17" ht="15" customHeight="1" x14ac:dyDescent="0.2">
      <c r="A14" s="66" t="s">
        <v>40</v>
      </c>
      <c r="B14" s="49">
        <f>B5</f>
        <v>-1500000</v>
      </c>
      <c r="C14" s="49">
        <f>B6</f>
        <v>100000</v>
      </c>
      <c r="D14" s="49">
        <f t="shared" ref="D14:Q14" si="0">C14*(1+$B$7)</f>
        <v>105000</v>
      </c>
      <c r="E14" s="49">
        <f t="shared" si="0"/>
        <v>110250</v>
      </c>
      <c r="F14" s="49">
        <f t="shared" si="0"/>
        <v>115762.5</v>
      </c>
      <c r="G14" s="49">
        <f t="shared" si="0"/>
        <v>121550.625</v>
      </c>
      <c r="H14" s="49">
        <f t="shared" si="0"/>
        <v>127628.15625</v>
      </c>
      <c r="I14" s="49">
        <f t="shared" si="0"/>
        <v>134009.56406249999</v>
      </c>
      <c r="J14" s="49">
        <f t="shared" si="0"/>
        <v>140710.042265625</v>
      </c>
      <c r="K14" s="49">
        <f t="shared" si="0"/>
        <v>147745.54437890626</v>
      </c>
      <c r="L14" s="49">
        <f t="shared" si="0"/>
        <v>155132.82159785158</v>
      </c>
      <c r="M14" s="49">
        <f t="shared" si="0"/>
        <v>162889.46267774416</v>
      </c>
      <c r="N14" s="49">
        <f t="shared" si="0"/>
        <v>171033.93581163138</v>
      </c>
      <c r="O14" s="49">
        <f t="shared" si="0"/>
        <v>179585.63260221295</v>
      </c>
      <c r="P14" s="49">
        <f t="shared" si="0"/>
        <v>188564.91423232362</v>
      </c>
      <c r="Q14" s="49">
        <f t="shared" si="0"/>
        <v>197993.1599439398</v>
      </c>
    </row>
    <row r="17" spans="1:33" ht="15" customHeight="1" x14ac:dyDescent="0.2">
      <c r="A17" s="54" t="s">
        <v>41</v>
      </c>
      <c r="B17" s="67">
        <f>B14+NPV(B8,C14:Q14)</f>
        <v>171924.4486744646</v>
      </c>
    </row>
    <row r="18" spans="1:33" ht="15" customHeight="1" x14ac:dyDescent="0.2">
      <c r="A18" s="54" t="s">
        <v>42</v>
      </c>
      <c r="B18" s="68">
        <f>IRR(B14:Q14)</f>
        <v>4.366043023233046E-2</v>
      </c>
    </row>
    <row r="21" spans="1:33" ht="15" customHeight="1" x14ac:dyDescent="0.2">
      <c r="A21" s="3" t="s">
        <v>43</v>
      </c>
    </row>
    <row r="22" spans="1:33" ht="15" customHeight="1" x14ac:dyDescent="0.2">
      <c r="A22" s="2"/>
    </row>
    <row r="23" spans="1:33" x14ac:dyDescent="0.2">
      <c r="R23" s="69" t="s">
        <v>44</v>
      </c>
    </row>
    <row r="24" spans="1:33" ht="15" customHeight="1" x14ac:dyDescent="0.2">
      <c r="A24" s="66" t="s">
        <v>16</v>
      </c>
      <c r="B24" s="70">
        <f>B17</f>
        <v>171924.4486744646</v>
      </c>
      <c r="C24" s="71">
        <f>B18</f>
        <v>4.366043023233046E-2</v>
      </c>
    </row>
    <row r="25" spans="1:33" ht="15" customHeight="1" x14ac:dyDescent="0.2">
      <c r="A25" s="72">
        <v>0.01</v>
      </c>
      <c r="B25" s="11">
        <v>-225908.97280460081</v>
      </c>
      <c r="C25" s="73">
        <v>8.7463670169207752E-3</v>
      </c>
      <c r="R25" s="51">
        <f t="shared" ref="R25:R36" si="1">$B$5</f>
        <v>-1500000</v>
      </c>
      <c r="S25" s="51">
        <f t="shared" ref="S25:S36" si="2">$B$6</f>
        <v>100000</v>
      </c>
      <c r="T25" s="51">
        <f t="shared" ref="T25:T36" si="3">$B$6*(1+A25)^1</f>
        <v>101000</v>
      </c>
      <c r="U25" s="51">
        <f t="shared" ref="U25:U36" si="4">$B$6*(1+A25)^2</f>
        <v>102010</v>
      </c>
      <c r="V25" s="51">
        <f t="shared" ref="V25:V36" si="5">$B$6*(1+A25)^3</f>
        <v>103030.09999999999</v>
      </c>
      <c r="W25" s="51">
        <f t="shared" ref="W25:W36" si="6">$B$6*(1+A25)^4</f>
        <v>104060.401</v>
      </c>
      <c r="X25" s="51">
        <f t="shared" ref="X25:X36" si="7">$B$6*(1+A25)^5</f>
        <v>105101.00500999999</v>
      </c>
      <c r="Y25" s="51">
        <f t="shared" ref="Y25:Y36" si="8">$B$6*(1+A25)^6</f>
        <v>106152.01506010002</v>
      </c>
      <c r="Z25" s="51">
        <f t="shared" ref="Z25:Z36" si="9">$B$6*(1+A25)^7</f>
        <v>107213.53521070098</v>
      </c>
      <c r="AA25" s="51">
        <f t="shared" ref="AA25:AA36" si="10">$B$6*(1+A25)^8</f>
        <v>108285.67056280802</v>
      </c>
      <c r="AB25" s="51">
        <f t="shared" ref="AB25:AB36" si="11">$B$6*(1+A25)^9</f>
        <v>109368.52726843611</v>
      </c>
      <c r="AC25" s="51">
        <f t="shared" ref="AC25:AC36" si="12">$B$6*(1+A25)^10</f>
        <v>110462.21254112048</v>
      </c>
      <c r="AD25" s="51">
        <f t="shared" ref="AD25:AD36" si="13">$B$6*(1+A25)^11</f>
        <v>111566.83466653165</v>
      </c>
      <c r="AE25" s="51">
        <f t="shared" ref="AE25:AE36" si="14">$B$6*(1+A25)^12</f>
        <v>112682.50301319698</v>
      </c>
      <c r="AF25" s="51">
        <f t="shared" ref="AF25:AF36" si="15">$B$6*(1+A25)^13</f>
        <v>113809.32804332895</v>
      </c>
      <c r="AG25" s="51">
        <f t="shared" ref="AG25:AG36" si="16">$B$6*(1+A25)^14</f>
        <v>114947.42132376226</v>
      </c>
    </row>
    <row r="26" spans="1:33" ht="15" customHeight="1" x14ac:dyDescent="0.2">
      <c r="A26" s="72">
        <v>0.02</v>
      </c>
      <c r="B26" s="11">
        <v>-138616.72576310229</v>
      </c>
      <c r="C26" s="73">
        <v>1.7485518977454761E-2</v>
      </c>
      <c r="R26" s="51">
        <f t="shared" si="1"/>
        <v>-1500000</v>
      </c>
      <c r="S26" s="51">
        <f t="shared" si="2"/>
        <v>100000</v>
      </c>
      <c r="T26" s="51">
        <f t="shared" si="3"/>
        <v>102000</v>
      </c>
      <c r="U26" s="51">
        <f t="shared" si="4"/>
        <v>104040</v>
      </c>
      <c r="V26" s="51">
        <f t="shared" si="5"/>
        <v>106120.79999999999</v>
      </c>
      <c r="W26" s="51">
        <f t="shared" si="6"/>
        <v>108243.216</v>
      </c>
      <c r="X26" s="51">
        <f t="shared" si="7"/>
        <v>110408.08032000001</v>
      </c>
      <c r="Y26" s="51">
        <f t="shared" si="8"/>
        <v>112616.24192640001</v>
      </c>
      <c r="Z26" s="51">
        <f t="shared" si="9"/>
        <v>114868.56676492798</v>
      </c>
      <c r="AA26" s="51">
        <f t="shared" si="10"/>
        <v>117165.93810022656</v>
      </c>
      <c r="AB26" s="51">
        <f t="shared" si="11"/>
        <v>119509.25686223108</v>
      </c>
      <c r="AC26" s="51">
        <f t="shared" si="12"/>
        <v>121899.4419994757</v>
      </c>
      <c r="AD26" s="51">
        <f t="shared" si="13"/>
        <v>124337.4308394652</v>
      </c>
      <c r="AE26" s="51">
        <f t="shared" si="14"/>
        <v>126824.17945625453</v>
      </c>
      <c r="AF26" s="51">
        <f t="shared" si="15"/>
        <v>129360.66304537961</v>
      </c>
      <c r="AG26" s="51">
        <f t="shared" si="16"/>
        <v>131947.87630628722</v>
      </c>
    </row>
    <row r="27" spans="1:33" ht="15" customHeight="1" x14ac:dyDescent="0.2">
      <c r="A27" s="72">
        <v>0.03</v>
      </c>
      <c r="B27" s="11">
        <v>-43689.320388349472</v>
      </c>
      <c r="C27" s="73">
        <v>2.621753115868497E-2</v>
      </c>
      <c r="R27" s="51">
        <f t="shared" si="1"/>
        <v>-1500000</v>
      </c>
      <c r="S27" s="51">
        <f t="shared" si="2"/>
        <v>100000</v>
      </c>
      <c r="T27" s="51">
        <f t="shared" si="3"/>
        <v>103000</v>
      </c>
      <c r="U27" s="51">
        <f t="shared" si="4"/>
        <v>106090</v>
      </c>
      <c r="V27" s="51">
        <f t="shared" si="5"/>
        <v>109272.7</v>
      </c>
      <c r="W27" s="51">
        <f t="shared" si="6"/>
        <v>112550.88099999999</v>
      </c>
      <c r="X27" s="51">
        <f t="shared" si="7"/>
        <v>115927.40742999998</v>
      </c>
      <c r="Y27" s="51">
        <f t="shared" si="8"/>
        <v>119405.22965289999</v>
      </c>
      <c r="Z27" s="51">
        <f t="shared" si="9"/>
        <v>122987.386542487</v>
      </c>
      <c r="AA27" s="51">
        <f t="shared" si="10"/>
        <v>126677.00813876159</v>
      </c>
      <c r="AB27" s="51">
        <f t="shared" si="11"/>
        <v>130477.31838292445</v>
      </c>
      <c r="AC27" s="51">
        <f t="shared" si="12"/>
        <v>134391.63793441217</v>
      </c>
      <c r="AD27" s="51">
        <f t="shared" si="13"/>
        <v>138423.38707244454</v>
      </c>
      <c r="AE27" s="51">
        <f t="shared" si="14"/>
        <v>142576.08868461786</v>
      </c>
      <c r="AF27" s="51">
        <f t="shared" si="15"/>
        <v>146853.3713451564</v>
      </c>
      <c r="AG27" s="51">
        <f t="shared" si="16"/>
        <v>151258.9724855111</v>
      </c>
    </row>
    <row r="28" spans="1:33" ht="15" customHeight="1" x14ac:dyDescent="0.2">
      <c r="A28" s="72">
        <v>0.04</v>
      </c>
      <c r="B28" s="11">
        <v>59571.055961401667</v>
      </c>
      <c r="C28" s="73">
        <v>3.4942477418356648E-2</v>
      </c>
      <c r="R28" s="51">
        <f t="shared" si="1"/>
        <v>-1500000</v>
      </c>
      <c r="S28" s="51">
        <f t="shared" si="2"/>
        <v>100000</v>
      </c>
      <c r="T28" s="51">
        <f t="shared" si="3"/>
        <v>104000</v>
      </c>
      <c r="U28" s="51">
        <f t="shared" si="4"/>
        <v>108160.00000000001</v>
      </c>
      <c r="V28" s="51">
        <f t="shared" si="5"/>
        <v>112486.40000000001</v>
      </c>
      <c r="W28" s="51">
        <f t="shared" si="6"/>
        <v>116985.85600000001</v>
      </c>
      <c r="X28" s="51">
        <f t="shared" si="7"/>
        <v>121665.29024000003</v>
      </c>
      <c r="Y28" s="51">
        <f t="shared" si="8"/>
        <v>126531.90184960004</v>
      </c>
      <c r="Z28" s="51">
        <f t="shared" si="9"/>
        <v>131593.17792358404</v>
      </c>
      <c r="AA28" s="51">
        <f t="shared" si="10"/>
        <v>136856.9050405274</v>
      </c>
      <c r="AB28" s="51">
        <f t="shared" si="11"/>
        <v>142331.18124214851</v>
      </c>
      <c r="AC28" s="51">
        <f t="shared" si="12"/>
        <v>148024.42849183446</v>
      </c>
      <c r="AD28" s="51">
        <f t="shared" si="13"/>
        <v>153945.40563150783</v>
      </c>
      <c r="AE28" s="51">
        <f t="shared" si="14"/>
        <v>160103.22185676818</v>
      </c>
      <c r="AF28" s="51">
        <f t="shared" si="15"/>
        <v>166507.3507310389</v>
      </c>
      <c r="AG28" s="51">
        <f t="shared" si="16"/>
        <v>173167.64476028047</v>
      </c>
    </row>
    <row r="29" spans="1:33" ht="15" customHeight="1" x14ac:dyDescent="0.2">
      <c r="A29" s="72">
        <v>0.05</v>
      </c>
      <c r="B29" s="11">
        <v>171924.4486744646</v>
      </c>
      <c r="C29" s="73">
        <v>4.366043023233046E-2</v>
      </c>
      <c r="R29" s="51">
        <f t="shared" si="1"/>
        <v>-1500000</v>
      </c>
      <c r="S29" s="51">
        <f t="shared" si="2"/>
        <v>100000</v>
      </c>
      <c r="T29" s="51">
        <f t="shared" si="3"/>
        <v>105000</v>
      </c>
      <c r="U29" s="51">
        <f t="shared" si="4"/>
        <v>110250</v>
      </c>
      <c r="V29" s="51">
        <f t="shared" si="5"/>
        <v>115762.50000000001</v>
      </c>
      <c r="W29" s="51">
        <f t="shared" si="6"/>
        <v>121550.625</v>
      </c>
      <c r="X29" s="51">
        <f t="shared" si="7"/>
        <v>127628.15625000001</v>
      </c>
      <c r="Y29" s="51">
        <f t="shared" si="8"/>
        <v>134009.56406249999</v>
      </c>
      <c r="Z29" s="51">
        <f t="shared" si="9"/>
        <v>140710.04226562503</v>
      </c>
      <c r="AA29" s="51">
        <f t="shared" si="10"/>
        <v>147745.54437890626</v>
      </c>
      <c r="AB29" s="51">
        <f t="shared" si="11"/>
        <v>155132.82159785158</v>
      </c>
      <c r="AC29" s="51">
        <f t="shared" si="12"/>
        <v>162889.46267774416</v>
      </c>
      <c r="AD29" s="51">
        <f t="shared" si="13"/>
        <v>171033.93581163138</v>
      </c>
      <c r="AE29" s="51">
        <f t="shared" si="14"/>
        <v>179585.63260221292</v>
      </c>
      <c r="AF29" s="51">
        <f t="shared" si="15"/>
        <v>188564.91423232359</v>
      </c>
      <c r="AG29" s="51">
        <f t="shared" si="16"/>
        <v>197993.15994393974</v>
      </c>
    </row>
    <row r="30" spans="1:33" ht="15" customHeight="1" x14ac:dyDescent="0.2">
      <c r="A30" s="72">
        <v>0.06</v>
      </c>
      <c r="B30" s="11">
        <v>294198.36290841922</v>
      </c>
      <c r="C30" s="73">
        <v>5.2371460730778807E-2</v>
      </c>
      <c r="R30" s="51">
        <f t="shared" si="1"/>
        <v>-1500000</v>
      </c>
      <c r="S30" s="51">
        <f t="shared" si="2"/>
        <v>100000</v>
      </c>
      <c r="T30" s="51">
        <f t="shared" si="3"/>
        <v>106000</v>
      </c>
      <c r="U30" s="51">
        <f t="shared" si="4"/>
        <v>112360.00000000001</v>
      </c>
      <c r="V30" s="51">
        <f t="shared" si="5"/>
        <v>119101.60000000003</v>
      </c>
      <c r="W30" s="51">
        <f t="shared" si="6"/>
        <v>126247.69600000003</v>
      </c>
      <c r="X30" s="51">
        <f t="shared" si="7"/>
        <v>133822.55776000005</v>
      </c>
      <c r="Y30" s="51">
        <f t="shared" si="8"/>
        <v>141851.91122560005</v>
      </c>
      <c r="Z30" s="51">
        <f t="shared" si="9"/>
        <v>150363.02589913609</v>
      </c>
      <c r="AA30" s="51">
        <f t="shared" si="10"/>
        <v>159384.80745308424</v>
      </c>
      <c r="AB30" s="51">
        <f t="shared" si="11"/>
        <v>168947.89590026927</v>
      </c>
      <c r="AC30" s="51">
        <f t="shared" si="12"/>
        <v>179084.76965428545</v>
      </c>
      <c r="AD30" s="51">
        <f t="shared" si="13"/>
        <v>189829.85583354262</v>
      </c>
      <c r="AE30" s="51">
        <f t="shared" si="14"/>
        <v>201219.64718355518</v>
      </c>
      <c r="AF30" s="51">
        <f t="shared" si="15"/>
        <v>213292.82601456851</v>
      </c>
      <c r="AG30" s="51">
        <f t="shared" si="16"/>
        <v>226090.39557544261</v>
      </c>
    </row>
    <row r="31" spans="1:33" ht="15" customHeight="1" x14ac:dyDescent="0.2">
      <c r="A31" s="72">
        <v>7.0000000000000007E-2</v>
      </c>
      <c r="B31" s="11">
        <v>427293.39413127681</v>
      </c>
      <c r="C31" s="73">
        <v>6.1075638733192328E-2</v>
      </c>
      <c r="R31" s="51">
        <f t="shared" si="1"/>
        <v>-1500000</v>
      </c>
      <c r="S31" s="51">
        <f t="shared" si="2"/>
        <v>100000</v>
      </c>
      <c r="T31" s="51">
        <f t="shared" si="3"/>
        <v>107000</v>
      </c>
      <c r="U31" s="51">
        <f t="shared" si="4"/>
        <v>114490</v>
      </c>
      <c r="V31" s="51">
        <f t="shared" si="5"/>
        <v>122504.30000000002</v>
      </c>
      <c r="W31" s="51">
        <f t="shared" si="6"/>
        <v>131079.601</v>
      </c>
      <c r="X31" s="51">
        <f t="shared" si="7"/>
        <v>140255.17307000002</v>
      </c>
      <c r="Y31" s="51">
        <f t="shared" si="8"/>
        <v>150073.03518490001</v>
      </c>
      <c r="Z31" s="51">
        <f t="shared" si="9"/>
        <v>160578.14764784303</v>
      </c>
      <c r="AA31" s="51">
        <f t="shared" si="10"/>
        <v>171818.61798319203</v>
      </c>
      <c r="AB31" s="51">
        <f t="shared" si="11"/>
        <v>183845.92124201549</v>
      </c>
      <c r="AC31" s="51">
        <f t="shared" si="12"/>
        <v>196715.13572895655</v>
      </c>
      <c r="AD31" s="51">
        <f t="shared" si="13"/>
        <v>210485.19522998354</v>
      </c>
      <c r="AE31" s="51">
        <f t="shared" si="14"/>
        <v>225219.15889608234</v>
      </c>
      <c r="AF31" s="51">
        <f t="shared" si="15"/>
        <v>240984.50001880815</v>
      </c>
      <c r="AG31" s="51">
        <f t="shared" si="16"/>
        <v>257853.4150201247</v>
      </c>
    </row>
    <row r="32" spans="1:33" ht="15" customHeight="1" x14ac:dyDescent="0.2">
      <c r="A32" s="72">
        <v>0.08</v>
      </c>
      <c r="B32" s="11">
        <v>572189.29022204364</v>
      </c>
      <c r="C32" s="73">
        <v>6.9773032782300515E-2</v>
      </c>
      <c r="R32" s="51">
        <f t="shared" si="1"/>
        <v>-1500000</v>
      </c>
      <c r="S32" s="51">
        <f t="shared" si="2"/>
        <v>100000</v>
      </c>
      <c r="T32" s="51">
        <f t="shared" si="3"/>
        <v>108000</v>
      </c>
      <c r="U32" s="51">
        <f t="shared" si="4"/>
        <v>116640.00000000001</v>
      </c>
      <c r="V32" s="51">
        <f t="shared" si="5"/>
        <v>125971.20000000001</v>
      </c>
      <c r="W32" s="51">
        <f t="shared" si="6"/>
        <v>136048.89600000004</v>
      </c>
      <c r="X32" s="51">
        <f t="shared" si="7"/>
        <v>146932.80768000003</v>
      </c>
      <c r="Y32" s="51">
        <f t="shared" si="8"/>
        <v>158687.43229440006</v>
      </c>
      <c r="Z32" s="51">
        <f t="shared" si="9"/>
        <v>171382.42687795206</v>
      </c>
      <c r="AA32" s="51">
        <f t="shared" si="10"/>
        <v>185093.02102818823</v>
      </c>
      <c r="AB32" s="51">
        <f t="shared" si="11"/>
        <v>199900.4627104433</v>
      </c>
      <c r="AC32" s="51">
        <f t="shared" si="12"/>
        <v>215892.49972727877</v>
      </c>
      <c r="AD32" s="51">
        <f t="shared" si="13"/>
        <v>233163.89970546108</v>
      </c>
      <c r="AE32" s="51">
        <f t="shared" si="14"/>
        <v>251817.01168189797</v>
      </c>
      <c r="AF32" s="51">
        <f t="shared" si="15"/>
        <v>271962.37261644984</v>
      </c>
      <c r="AG32" s="51">
        <f t="shared" si="16"/>
        <v>293719.36242576584</v>
      </c>
    </row>
    <row r="33" spans="1:33" ht="15" customHeight="1" x14ac:dyDescent="0.2">
      <c r="A33" s="72">
        <v>0.09</v>
      </c>
      <c r="B33" s="11">
        <v>729951.47488903021</v>
      </c>
      <c r="C33" s="73">
        <v>7.8463710176830181E-2</v>
      </c>
      <c r="R33" s="51">
        <f t="shared" si="1"/>
        <v>-1500000</v>
      </c>
      <c r="S33" s="51">
        <f t="shared" si="2"/>
        <v>100000</v>
      </c>
      <c r="T33" s="51">
        <f t="shared" si="3"/>
        <v>109000.00000000001</v>
      </c>
      <c r="U33" s="51">
        <f t="shared" si="4"/>
        <v>118810.00000000001</v>
      </c>
      <c r="V33" s="51">
        <f t="shared" si="5"/>
        <v>129502.90000000002</v>
      </c>
      <c r="W33" s="51">
        <f t="shared" si="6"/>
        <v>141158.16100000002</v>
      </c>
      <c r="X33" s="51">
        <f t="shared" si="7"/>
        <v>153862.39549000005</v>
      </c>
      <c r="Y33" s="51">
        <f t="shared" si="8"/>
        <v>167710.01108410006</v>
      </c>
      <c r="Z33" s="51">
        <f t="shared" si="9"/>
        <v>182803.91208166906</v>
      </c>
      <c r="AA33" s="51">
        <f t="shared" si="10"/>
        <v>199256.2641690193</v>
      </c>
      <c r="AB33" s="51">
        <f t="shared" si="11"/>
        <v>217189.32794423104</v>
      </c>
      <c r="AC33" s="51">
        <f t="shared" si="12"/>
        <v>236736.36745921188</v>
      </c>
      <c r="AD33" s="51">
        <f t="shared" si="13"/>
        <v>258042.64053054093</v>
      </c>
      <c r="AE33" s="51">
        <f t="shared" si="14"/>
        <v>281266.4781782896</v>
      </c>
      <c r="AF33" s="51">
        <f t="shared" si="15"/>
        <v>306580.46121433575</v>
      </c>
      <c r="AG33" s="51">
        <f t="shared" si="16"/>
        <v>334172.70272362593</v>
      </c>
    </row>
    <row r="34" spans="1:33" ht="15" customHeight="1" x14ac:dyDescent="0.2">
      <c r="A34" s="72">
        <v>0.1</v>
      </c>
      <c r="B34" s="11">
        <v>901738.06397214998</v>
      </c>
      <c r="C34" s="73">
        <v>8.7147737003260284E-2</v>
      </c>
      <c r="R34" s="51">
        <f t="shared" si="1"/>
        <v>-1500000</v>
      </c>
      <c r="S34" s="51">
        <f t="shared" si="2"/>
        <v>100000</v>
      </c>
      <c r="T34" s="51">
        <f t="shared" si="3"/>
        <v>110000.00000000001</v>
      </c>
      <c r="U34" s="51">
        <f t="shared" si="4"/>
        <v>121000.00000000001</v>
      </c>
      <c r="V34" s="51">
        <f t="shared" si="5"/>
        <v>133100.00000000003</v>
      </c>
      <c r="W34" s="51">
        <f t="shared" si="6"/>
        <v>146410.00000000003</v>
      </c>
      <c r="X34" s="51">
        <f t="shared" si="7"/>
        <v>161051.00000000006</v>
      </c>
      <c r="Y34" s="51">
        <f t="shared" si="8"/>
        <v>177156.10000000009</v>
      </c>
      <c r="Z34" s="51">
        <f t="shared" si="9"/>
        <v>194871.71000000011</v>
      </c>
      <c r="AA34" s="51">
        <f t="shared" si="10"/>
        <v>214358.88100000011</v>
      </c>
      <c r="AB34" s="51">
        <f t="shared" si="11"/>
        <v>235794.76910000015</v>
      </c>
      <c r="AC34" s="51">
        <f t="shared" si="12"/>
        <v>259374.24601000018</v>
      </c>
      <c r="AD34" s="51">
        <f t="shared" si="13"/>
        <v>285311.67061100027</v>
      </c>
      <c r="AE34" s="51">
        <f t="shared" si="14"/>
        <v>313842.83767210029</v>
      </c>
      <c r="AF34" s="51">
        <f t="shared" si="15"/>
        <v>345227.12143931031</v>
      </c>
      <c r="AG34" s="51">
        <f t="shared" si="16"/>
        <v>379749.83358324139</v>
      </c>
    </row>
    <row r="35" spans="1:33" ht="15" customHeight="1" x14ac:dyDescent="0.2">
      <c r="A35" s="72">
        <v>0.11</v>
      </c>
      <c r="B35" s="11">
        <v>1088807.4080978599</v>
      </c>
      <c r="C35" s="73">
        <v>9.5825178166542235E-2</v>
      </c>
      <c r="R35" s="51">
        <f t="shared" si="1"/>
        <v>-1500000</v>
      </c>
      <c r="S35" s="51">
        <f t="shared" si="2"/>
        <v>100000</v>
      </c>
      <c r="T35" s="51">
        <f t="shared" si="3"/>
        <v>111000.00000000001</v>
      </c>
      <c r="U35" s="51">
        <f t="shared" si="4"/>
        <v>123210.00000000001</v>
      </c>
      <c r="V35" s="51">
        <f t="shared" si="5"/>
        <v>136763.10000000003</v>
      </c>
      <c r="W35" s="51">
        <f t="shared" si="6"/>
        <v>151807.04100000006</v>
      </c>
      <c r="X35" s="51">
        <f t="shared" si="7"/>
        <v>168505.81551000004</v>
      </c>
      <c r="Y35" s="51">
        <f t="shared" si="8"/>
        <v>187041.45521610006</v>
      </c>
      <c r="Z35" s="51">
        <f t="shared" si="9"/>
        <v>207616.01528987108</v>
      </c>
      <c r="AA35" s="51">
        <f t="shared" si="10"/>
        <v>230453.77697175695</v>
      </c>
      <c r="AB35" s="51">
        <f t="shared" si="11"/>
        <v>255803.69243865024</v>
      </c>
      <c r="AC35" s="51">
        <f t="shared" si="12"/>
        <v>283942.09860690183</v>
      </c>
      <c r="AD35" s="51">
        <f t="shared" si="13"/>
        <v>315175.72945366101</v>
      </c>
      <c r="AE35" s="51">
        <f t="shared" si="14"/>
        <v>349845.05969356373</v>
      </c>
      <c r="AF35" s="51">
        <f t="shared" si="15"/>
        <v>388328.01625985577</v>
      </c>
      <c r="AG35" s="51">
        <f t="shared" si="16"/>
        <v>431044.09804843995</v>
      </c>
    </row>
    <row r="36" spans="1:33" ht="15" customHeight="1" x14ac:dyDescent="0.2">
      <c r="A36" s="72">
        <v>0.12</v>
      </c>
      <c r="B36" s="11">
        <v>1292526.1971563529</v>
      </c>
      <c r="C36" s="73">
        <v>0.1044960974198488</v>
      </c>
      <c r="R36" s="51">
        <f t="shared" si="1"/>
        <v>-1500000</v>
      </c>
      <c r="S36" s="51">
        <f t="shared" si="2"/>
        <v>100000</v>
      </c>
      <c r="T36" s="51">
        <f t="shared" si="3"/>
        <v>112000.00000000001</v>
      </c>
      <c r="U36" s="51">
        <f t="shared" si="4"/>
        <v>125440.00000000001</v>
      </c>
      <c r="V36" s="51">
        <f t="shared" si="5"/>
        <v>140492.80000000005</v>
      </c>
      <c r="W36" s="51">
        <f t="shared" si="6"/>
        <v>157351.93600000005</v>
      </c>
      <c r="X36" s="51">
        <f t="shared" si="7"/>
        <v>176234.16832000006</v>
      </c>
      <c r="Y36" s="51">
        <f t="shared" si="8"/>
        <v>197382.26851840009</v>
      </c>
      <c r="Z36" s="51">
        <f t="shared" si="9"/>
        <v>221068.1407406081</v>
      </c>
      <c r="AA36" s="51">
        <f t="shared" si="10"/>
        <v>247596.31762948108</v>
      </c>
      <c r="AB36" s="51">
        <f t="shared" si="11"/>
        <v>277307.87574501883</v>
      </c>
      <c r="AC36" s="51">
        <f t="shared" si="12"/>
        <v>310584.82083442109</v>
      </c>
      <c r="AD36" s="51">
        <f t="shared" si="13"/>
        <v>347854.99933455169</v>
      </c>
      <c r="AE36" s="51">
        <f t="shared" si="14"/>
        <v>389597.59925469785</v>
      </c>
      <c r="AF36" s="51">
        <f t="shared" si="15"/>
        <v>436349.31116526172</v>
      </c>
      <c r="AG36" s="51">
        <f t="shared" si="16"/>
        <v>488711.22850509314</v>
      </c>
    </row>
    <row r="39" spans="1:33" ht="15" customHeight="1" x14ac:dyDescent="0.2">
      <c r="A39" s="3" t="s">
        <v>45</v>
      </c>
    </row>
    <row r="40" spans="1:33" ht="15" customHeight="1" x14ac:dyDescent="0.2">
      <c r="A40" s="2"/>
    </row>
    <row r="41" spans="1:33" ht="15" customHeight="1" x14ac:dyDescent="0.2">
      <c r="A41" s="24" t="s">
        <v>46</v>
      </c>
      <c r="B41" s="24" t="s">
        <v>47</v>
      </c>
    </row>
    <row r="42" spans="1:33" ht="15" customHeight="1" x14ac:dyDescent="0.2">
      <c r="A42" s="74">
        <f>B17</f>
        <v>171924.4486744646</v>
      </c>
      <c r="B42" s="75">
        <v>0.01</v>
      </c>
      <c r="C42" s="75">
        <v>0.02</v>
      </c>
      <c r="D42" s="75">
        <v>0.03</v>
      </c>
      <c r="E42" s="75">
        <v>0.04</v>
      </c>
      <c r="F42" s="75">
        <v>0.05</v>
      </c>
      <c r="G42" s="75">
        <v>0.06</v>
      </c>
      <c r="H42" s="75">
        <v>7.0000000000000007E-2</v>
      </c>
      <c r="I42" s="75">
        <v>0.08</v>
      </c>
      <c r="J42" s="75">
        <v>0.09</v>
      </c>
      <c r="K42" s="75">
        <v>0.1</v>
      </c>
      <c r="L42" s="75">
        <v>0.11</v>
      </c>
      <c r="M42" s="75">
        <v>0.12</v>
      </c>
    </row>
    <row r="43" spans="1:33" ht="15" customHeight="1" x14ac:dyDescent="0.2">
      <c r="A43" s="76">
        <v>0.01</v>
      </c>
      <c r="B43" s="49">
        <v>-14851.48514851485</v>
      </c>
      <c r="C43" s="49">
        <v>92629.86403632164</v>
      </c>
      <c r="D43" s="49">
        <v>209772.08044397461</v>
      </c>
      <c r="E43" s="49">
        <v>337472.4755465393</v>
      </c>
      <c r="F43" s="49">
        <v>476709.2388547482</v>
      </c>
      <c r="G43" s="49">
        <v>628548.28204413364</v>
      </c>
      <c r="H43" s="49">
        <v>794150.61438347818</v>
      </c>
      <c r="I43" s="49">
        <v>974780.28654497676</v>
      </c>
      <c r="J43" s="49">
        <v>1171812.942154286</v>
      </c>
      <c r="K43" s="49">
        <v>1386745.0188377569</v>
      </c>
      <c r="L43" s="49">
        <v>1621203.6430490441</v>
      </c>
      <c r="M43" s="49">
        <v>1876957.2656133189</v>
      </c>
    </row>
    <row r="44" spans="1:33" ht="15" customHeight="1" x14ac:dyDescent="0.2">
      <c r="A44" s="76">
        <v>0.02</v>
      </c>
      <c r="B44" s="49">
        <v>-126170.34899292509</v>
      </c>
      <c r="C44" s="49">
        <v>-29411.764705882411</v>
      </c>
      <c r="D44" s="49">
        <v>75927.393765277229</v>
      </c>
      <c r="E44" s="49">
        <v>190637.76234399041</v>
      </c>
      <c r="F44" s="49">
        <v>315580.86630286841</v>
      </c>
      <c r="G44" s="49">
        <v>451695.09686934878</v>
      </c>
      <c r="H44" s="49">
        <v>600002.15050882427</v>
      </c>
      <c r="I44" s="49">
        <v>761613.96310657822</v>
      </c>
      <c r="J44" s="49">
        <v>937740.1732466286</v>
      </c>
      <c r="K44" s="49">
        <v>1129696.150866759</v>
      </c>
      <c r="L44" s="49">
        <v>1338911.6297590311</v>
      </c>
      <c r="M44" s="49">
        <v>1566939.984688774</v>
      </c>
    </row>
    <row r="45" spans="1:33" ht="15" customHeight="1" x14ac:dyDescent="0.2">
      <c r="A45" s="76">
        <v>0.03</v>
      </c>
      <c r="B45" s="49">
        <v>-225908.97280460081</v>
      </c>
      <c r="C45" s="49">
        <v>-138616.72576310229</v>
      </c>
      <c r="D45" s="49">
        <v>-43689.320388349472</v>
      </c>
      <c r="E45" s="49">
        <v>59571.055961401667</v>
      </c>
      <c r="F45" s="49">
        <v>171924.4486744646</v>
      </c>
      <c r="G45" s="49">
        <v>294198.36290841922</v>
      </c>
      <c r="H45" s="49">
        <v>427293.39413127681</v>
      </c>
      <c r="I45" s="49">
        <v>572189.29022204364</v>
      </c>
      <c r="J45" s="49">
        <v>729951.47488903021</v>
      </c>
      <c r="K45" s="49">
        <v>901738.06397214998</v>
      </c>
      <c r="L45" s="49">
        <v>1088807.4080978599</v>
      </c>
      <c r="M45" s="49">
        <v>1292526.1971563529</v>
      </c>
    </row>
    <row r="46" spans="1:33" ht="15" customHeight="1" x14ac:dyDescent="0.2">
      <c r="A46" s="76">
        <v>0.04</v>
      </c>
      <c r="B46" s="49">
        <v>-315482.83223024238</v>
      </c>
      <c r="C46" s="49">
        <v>-236564.56798544881</v>
      </c>
      <c r="D46" s="49">
        <v>-150840.02822309549</v>
      </c>
      <c r="E46" s="49">
        <v>-57692.307692307753</v>
      </c>
      <c r="F46" s="49">
        <v>43550.217174672063</v>
      </c>
      <c r="G46" s="49">
        <v>153618.46657462211</v>
      </c>
      <c r="H46" s="49">
        <v>273307.58808513777</v>
      </c>
      <c r="I46" s="49">
        <v>403482.26429428038</v>
      </c>
      <c r="J46" s="49">
        <v>545082.42324043647</v>
      </c>
      <c r="K46" s="49">
        <v>699129.37916753441</v>
      </c>
      <c r="L46" s="49">
        <v>866732.43275569193</v>
      </c>
      <c r="M46" s="49">
        <v>1049095.961727838</v>
      </c>
    </row>
    <row r="47" spans="1:33" ht="15" customHeight="1" x14ac:dyDescent="0.2">
      <c r="A47" s="76">
        <v>0.05</v>
      </c>
      <c r="B47" s="49">
        <v>-396114.79471445503</v>
      </c>
      <c r="C47" s="49">
        <v>-324618.94171063037</v>
      </c>
      <c r="D47" s="49">
        <v>-247044.82826792871</v>
      </c>
      <c r="E47" s="49">
        <v>-162846.18844716041</v>
      </c>
      <c r="F47" s="49">
        <v>-71428.571428571595</v>
      </c>
      <c r="G47" s="49">
        <v>27854.674509520639</v>
      </c>
      <c r="H47" s="49">
        <v>135706.7262817442</v>
      </c>
      <c r="I47" s="49">
        <v>252891.93988485081</v>
      </c>
      <c r="J47" s="49">
        <v>380240.85651537712</v>
      </c>
      <c r="K47" s="49">
        <v>518655.58491627011</v>
      </c>
      <c r="L47" s="49">
        <v>669115.58539458411</v>
      </c>
      <c r="M47" s="49">
        <v>832683.88246845733</v>
      </c>
    </row>
    <row r="48" spans="1:33" ht="15" customHeight="1" x14ac:dyDescent="0.2">
      <c r="A48" s="76">
        <v>0.06</v>
      </c>
      <c r="B48" s="49">
        <v>-468863.56334907998</v>
      </c>
      <c r="C48" s="49">
        <v>-403959.58483214892</v>
      </c>
      <c r="D48" s="49">
        <v>-333617.89570637228</v>
      </c>
      <c r="E48" s="49">
        <v>-257354.00603310479</v>
      </c>
      <c r="F48" s="49">
        <v>-174640.9304691148</v>
      </c>
      <c r="G48" s="49">
        <v>-84905.660377358552</v>
      </c>
      <c r="H48" s="49">
        <v>12474.63407856529</v>
      </c>
      <c r="I48" s="49">
        <v>118176.6904967369</v>
      </c>
      <c r="J48" s="49">
        <v>232935.54923218401</v>
      </c>
      <c r="K48" s="49">
        <v>357549.27779662103</v>
      </c>
      <c r="L48" s="49">
        <v>492884.04689170333</v>
      </c>
      <c r="M48" s="49">
        <v>639879.58162727486</v>
      </c>
    </row>
    <row r="49" spans="1:13" ht="15" customHeight="1" x14ac:dyDescent="0.2">
      <c r="A49" s="76">
        <v>7.0000000000000007E-2</v>
      </c>
      <c r="B49" s="49">
        <v>-534647.62800367421</v>
      </c>
      <c r="C49" s="49">
        <v>-475609.2443765155</v>
      </c>
      <c r="D49" s="49">
        <v>-411697.72219859372</v>
      </c>
      <c r="E49" s="49">
        <v>-342482.68390579941</v>
      </c>
      <c r="F49" s="49">
        <v>-267496.2187499383</v>
      </c>
      <c r="G49" s="49">
        <v>-186229.77930268369</v>
      </c>
      <c r="H49" s="49">
        <v>-98130.841121495469</v>
      </c>
      <c r="I49" s="49">
        <v>-2599.309264072916</v>
      </c>
      <c r="J49" s="49">
        <v>101016.34565426871</v>
      </c>
      <c r="K49" s="49">
        <v>213423.2402101217</v>
      </c>
      <c r="L49" s="49">
        <v>335388.53917666548</v>
      </c>
      <c r="M49" s="49">
        <v>467744.24538684939</v>
      </c>
    </row>
    <row r="50" spans="1:13" ht="15" customHeight="1" x14ac:dyDescent="0.2">
      <c r="A50" s="76">
        <v>0.08</v>
      </c>
      <c r="B50" s="49">
        <v>-594265.47557615279</v>
      </c>
      <c r="C50" s="49">
        <v>-540456.38272151374</v>
      </c>
      <c r="D50" s="49">
        <v>-482272.60938105721</v>
      </c>
      <c r="E50" s="49">
        <v>-419331.25305811828</v>
      </c>
      <c r="F50" s="49">
        <v>-351216.21259757882</v>
      </c>
      <c r="G50" s="49">
        <v>-277475.45421359711</v>
      </c>
      <c r="H50" s="49">
        <v>-197618.06949768771</v>
      </c>
      <c r="I50" s="49">
        <v>-111111.1111111112</v>
      </c>
      <c r="J50" s="49">
        <v>-17376.190997566791</v>
      </c>
      <c r="K50" s="49">
        <v>84214.174961168552</v>
      </c>
      <c r="L50" s="49">
        <v>194340.49288482059</v>
      </c>
      <c r="M50" s="49">
        <v>313740.50547776558</v>
      </c>
    </row>
    <row r="51" spans="1:13" ht="15" customHeight="1" x14ac:dyDescent="0.2">
      <c r="A51" s="76">
        <v>0.09</v>
      </c>
      <c r="B51" s="49">
        <v>-648412.67879077024</v>
      </c>
      <c r="C51" s="49">
        <v>-599274.36781263945</v>
      </c>
      <c r="D51" s="49">
        <v>-546202.20497205434</v>
      </c>
      <c r="E51" s="49">
        <v>-488855.00503489841</v>
      </c>
      <c r="F51" s="49">
        <v>-426862.17601560819</v>
      </c>
      <c r="G51" s="49">
        <v>-359821.30742164678</v>
      </c>
      <c r="H51" s="49">
        <v>-287295.57554550929</v>
      </c>
      <c r="I51" s="49">
        <v>-208810.9532596129</v>
      </c>
      <c r="J51" s="49">
        <v>-123853.2110091744</v>
      </c>
      <c r="K51" s="49">
        <v>-31864.69489819487</v>
      </c>
      <c r="L51" s="49">
        <v>67759.133077797946</v>
      </c>
      <c r="M51" s="49">
        <v>175673.40848325571</v>
      </c>
    </row>
    <row r="52" spans="1:13" ht="15" customHeight="1" x14ac:dyDescent="0.2">
      <c r="A52" s="76">
        <v>0.1</v>
      </c>
      <c r="B52" s="49">
        <v>-697696.37497777946</v>
      </c>
      <c r="C52" s="49">
        <v>-652737.7246156059</v>
      </c>
      <c r="D52" s="49">
        <v>-604235.73244348424</v>
      </c>
      <c r="E52" s="49">
        <v>-551885.92763564398</v>
      </c>
      <c r="F52" s="49">
        <v>-495357.7547211838</v>
      </c>
      <c r="G52" s="49">
        <v>-434292.44319648709</v>
      </c>
      <c r="H52" s="49">
        <v>-368300.71602001652</v>
      </c>
      <c r="I52" s="49">
        <v>-296960.32596744108</v>
      </c>
      <c r="J52" s="49">
        <v>-219813.4081582748</v>
      </c>
      <c r="K52" s="49">
        <v>-136363.6363636365</v>
      </c>
      <c r="L52" s="49">
        <v>-46073.169966850903</v>
      </c>
      <c r="M52" s="49">
        <v>51640.622327122597</v>
      </c>
    </row>
    <row r="53" spans="1:13" ht="15" customHeight="1" x14ac:dyDescent="0.2">
      <c r="A53" s="76">
        <v>0.11</v>
      </c>
      <c r="B53" s="49">
        <v>-742647.55799840996</v>
      </c>
      <c r="C53" s="49">
        <v>-701435.92525420594</v>
      </c>
      <c r="D53" s="49">
        <v>-657027.45251141035</v>
      </c>
      <c r="E53" s="49">
        <v>-609150.02960372588</v>
      </c>
      <c r="F53" s="49">
        <v>-557508.37645134993</v>
      </c>
      <c r="G53" s="49">
        <v>-501782.15871653933</v>
      </c>
      <c r="H53" s="49">
        <v>-441623.96138707758</v>
      </c>
      <c r="I53" s="49">
        <v>-376657.11059110012</v>
      </c>
      <c r="J53" s="49">
        <v>-306473.33336118312</v>
      </c>
      <c r="K53" s="49">
        <v>-230630.24444958681</v>
      </c>
      <c r="L53" s="49">
        <v>-148648.64864864881</v>
      </c>
      <c r="M53" s="49">
        <v>-60009.646389261121</v>
      </c>
    </row>
    <row r="54" spans="1:13" ht="15" customHeight="1" x14ac:dyDescent="0.2">
      <c r="A54" s="76">
        <v>0.12</v>
      </c>
      <c r="B54" s="49">
        <v>-783731.53417263867</v>
      </c>
      <c r="C54" s="49">
        <v>-745885.11356567941</v>
      </c>
      <c r="D54" s="49">
        <v>-705149.80242711515</v>
      </c>
      <c r="E54" s="49">
        <v>-661282.05650519358</v>
      </c>
      <c r="F54" s="49">
        <v>-614017.72259320831</v>
      </c>
      <c r="G54" s="49">
        <v>-563070.36963566486</v>
      </c>
      <c r="H54" s="49">
        <v>-508129.49439739081</v>
      </c>
      <c r="I54" s="49">
        <v>-448858.59315447789</v>
      </c>
      <c r="J54" s="49">
        <v>-384893.09035111679</v>
      </c>
      <c r="K54" s="49">
        <v>-315838.11462480342</v>
      </c>
      <c r="L54" s="49">
        <v>-241266.11203282839</v>
      </c>
      <c r="M54" s="49">
        <v>-160714.28571428591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selection activeCell="E18" sqref="E18"/>
    </sheetView>
  </sheetViews>
  <sheetFormatPr baseColWidth="10" defaultColWidth="8.6640625" defaultRowHeight="15" x14ac:dyDescent="0.2"/>
  <cols>
    <col min="1" max="1" width="36.1640625" customWidth="1"/>
    <col min="2" max="2" width="18" customWidth="1"/>
    <col min="3" max="3" width="20" customWidth="1"/>
    <col min="4" max="4" width="22" customWidth="1"/>
    <col min="5" max="5" width="24" customWidth="1"/>
  </cols>
  <sheetData>
    <row r="1" spans="1:5" ht="15.5" customHeight="1" x14ac:dyDescent="0.2">
      <c r="A1" s="1" t="s">
        <v>48</v>
      </c>
    </row>
    <row r="3" spans="1:5" x14ac:dyDescent="0.2">
      <c r="A3" s="3" t="s">
        <v>49</v>
      </c>
    </row>
    <row r="5" spans="1:5" x14ac:dyDescent="0.2">
      <c r="A5" s="77" t="s">
        <v>50</v>
      </c>
      <c r="B5" s="77" t="s">
        <v>51</v>
      </c>
      <c r="C5" s="77" t="s">
        <v>52</v>
      </c>
      <c r="D5" s="77" t="s">
        <v>53</v>
      </c>
    </row>
    <row r="6" spans="1:5" x14ac:dyDescent="0.2">
      <c r="A6" s="4" t="s">
        <v>54</v>
      </c>
      <c r="B6" s="78">
        <v>0.4</v>
      </c>
      <c r="C6" s="79">
        <v>10</v>
      </c>
      <c r="D6" s="80">
        <f>B6*C6</f>
        <v>4</v>
      </c>
    </row>
    <row r="7" spans="1:5" x14ac:dyDescent="0.2">
      <c r="A7" s="4" t="s">
        <v>55</v>
      </c>
      <c r="B7" s="78">
        <v>0.3</v>
      </c>
      <c r="C7" s="79">
        <v>8</v>
      </c>
      <c r="D7" s="80">
        <f>B7*C7</f>
        <v>2.4</v>
      </c>
    </row>
    <row r="8" spans="1:5" x14ac:dyDescent="0.2">
      <c r="A8" s="4" t="s">
        <v>56</v>
      </c>
      <c r="B8" s="78">
        <v>0.3</v>
      </c>
      <c r="C8" s="79">
        <v>4</v>
      </c>
      <c r="D8" s="80">
        <f>B8*C8</f>
        <v>1.2</v>
      </c>
    </row>
    <row r="9" spans="1:5" x14ac:dyDescent="0.2">
      <c r="A9" s="20" t="s">
        <v>57</v>
      </c>
      <c r="B9" s="81">
        <f>SUM(B6:B8)</f>
        <v>1</v>
      </c>
      <c r="C9" s="20"/>
      <c r="D9" s="82">
        <f>SUM(D6:D8)</f>
        <v>7.6000000000000005</v>
      </c>
      <c r="E9" s="2"/>
    </row>
    <row r="11" spans="1:5" x14ac:dyDescent="0.2">
      <c r="A11" s="3" t="s">
        <v>58</v>
      </c>
    </row>
    <row r="13" spans="1:5" x14ac:dyDescent="0.2">
      <c r="A13" s="4" t="s">
        <v>59</v>
      </c>
      <c r="B13" s="5">
        <v>0.03</v>
      </c>
    </row>
    <row r="15" spans="1:5" x14ac:dyDescent="0.2">
      <c r="A15" s="3" t="s">
        <v>60</v>
      </c>
    </row>
    <row r="17" spans="1:5" x14ac:dyDescent="0.2">
      <c r="A17" s="4" t="s">
        <v>61</v>
      </c>
      <c r="B17" s="23">
        <f>D9</f>
        <v>7.6000000000000005</v>
      </c>
    </row>
    <row r="18" spans="1:5" x14ac:dyDescent="0.2">
      <c r="A18" s="4" t="s">
        <v>62</v>
      </c>
      <c r="B18" s="83">
        <f>B13</f>
        <v>0.03</v>
      </c>
    </row>
    <row r="19" spans="1:5" x14ac:dyDescent="0.2">
      <c r="A19" s="13" t="s">
        <v>63</v>
      </c>
      <c r="B19" s="84">
        <f>-B17*B18</f>
        <v>-0.22800000000000001</v>
      </c>
    </row>
    <row r="21" spans="1:5" x14ac:dyDescent="0.2">
      <c r="A21" s="3" t="s">
        <v>64</v>
      </c>
    </row>
    <row r="23" spans="1:5" x14ac:dyDescent="0.2">
      <c r="A23" s="77" t="s">
        <v>50</v>
      </c>
      <c r="B23" s="77" t="s">
        <v>51</v>
      </c>
      <c r="C23" s="77" t="s">
        <v>65</v>
      </c>
      <c r="D23" s="77" t="s">
        <v>66</v>
      </c>
      <c r="E23" s="77" t="s">
        <v>67</v>
      </c>
    </row>
    <row r="24" spans="1:5" x14ac:dyDescent="0.2">
      <c r="A24" s="4" t="s">
        <v>54</v>
      </c>
      <c r="B24" s="85">
        <f t="shared" ref="B24:C26" si="0">B6</f>
        <v>0.4</v>
      </c>
      <c r="C24" s="86">
        <f t="shared" si="0"/>
        <v>10</v>
      </c>
      <c r="D24" s="87">
        <f>$B$13</f>
        <v>0.03</v>
      </c>
      <c r="E24" s="88">
        <f>-B24*C24*D24</f>
        <v>-0.12</v>
      </c>
    </row>
    <row r="25" spans="1:5" x14ac:dyDescent="0.2">
      <c r="A25" s="4" t="s">
        <v>55</v>
      </c>
      <c r="B25" s="85">
        <f t="shared" si="0"/>
        <v>0.3</v>
      </c>
      <c r="C25" s="86">
        <f t="shared" si="0"/>
        <v>8</v>
      </c>
      <c r="D25" s="87">
        <f>$B$13</f>
        <v>0.03</v>
      </c>
      <c r="E25" s="88">
        <f>-B25*C25*D25</f>
        <v>-7.1999999999999995E-2</v>
      </c>
    </row>
    <row r="26" spans="1:5" x14ac:dyDescent="0.2">
      <c r="A26" s="4" t="s">
        <v>56</v>
      </c>
      <c r="B26" s="85">
        <f t="shared" si="0"/>
        <v>0.3</v>
      </c>
      <c r="C26" s="86">
        <f t="shared" si="0"/>
        <v>4</v>
      </c>
      <c r="D26" s="87">
        <f>$B$13</f>
        <v>0.03</v>
      </c>
      <c r="E26" s="88">
        <f>-B26*C26*D26</f>
        <v>-3.5999999999999997E-2</v>
      </c>
    </row>
    <row r="27" spans="1:5" x14ac:dyDescent="0.2">
      <c r="A27" s="13" t="s">
        <v>68</v>
      </c>
      <c r="B27" s="13"/>
      <c r="C27" s="13"/>
      <c r="D27" s="13"/>
      <c r="E27" s="84">
        <f>SUM(E24:E26)</f>
        <v>-0.22800000000000001</v>
      </c>
    </row>
    <row r="29" spans="1:5" x14ac:dyDescent="0.2">
      <c r="A29" s="3" t="s">
        <v>69</v>
      </c>
    </row>
    <row r="31" spans="1:5" x14ac:dyDescent="0.2">
      <c r="A31" s="24" t="s">
        <v>70</v>
      </c>
      <c r="B31" s="50">
        <f>D9</f>
        <v>7.6000000000000005</v>
      </c>
      <c r="C31" s="19" t="s">
        <v>71</v>
      </c>
    </row>
    <row r="32" spans="1:5" x14ac:dyDescent="0.2">
      <c r="A32" s="19" t="s">
        <v>72</v>
      </c>
    </row>
    <row r="33" spans="1:3" x14ac:dyDescent="0.2">
      <c r="A33" s="24" t="s">
        <v>73</v>
      </c>
      <c r="B33" s="89">
        <f>B19</f>
        <v>-0.22800000000000001</v>
      </c>
    </row>
    <row r="35" spans="1:3" x14ac:dyDescent="0.2">
      <c r="A35" s="19" t="s">
        <v>74</v>
      </c>
      <c r="B35" s="90">
        <f>-B19*100</f>
        <v>22.8</v>
      </c>
      <c r="C35" s="1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60"/>
  <sheetViews>
    <sheetView tabSelected="1" topLeftCell="G119" zoomScale="50" workbookViewId="0">
      <selection activeCell="F21" sqref="F21"/>
    </sheetView>
  </sheetViews>
  <sheetFormatPr baseColWidth="10" defaultColWidth="8.6640625" defaultRowHeight="15" x14ac:dyDescent="0.2"/>
  <cols>
    <col min="1" max="1" width="43.5" bestFit="1" customWidth="1"/>
    <col min="2" max="2" width="11.33203125" bestFit="1" customWidth="1"/>
    <col min="3" max="3" width="13.83203125" bestFit="1" customWidth="1"/>
    <col min="4" max="4" width="13.5" bestFit="1" customWidth="1"/>
    <col min="5" max="5" width="15.6640625" bestFit="1" customWidth="1"/>
    <col min="6" max="6" width="16.5" bestFit="1" customWidth="1"/>
    <col min="7" max="7" width="19" bestFit="1" customWidth="1"/>
    <col min="9" max="9" width="61.83203125" bestFit="1" customWidth="1"/>
    <col min="10" max="10" width="17.33203125" bestFit="1" customWidth="1"/>
    <col min="11" max="11" width="19" bestFit="1" customWidth="1"/>
    <col min="12" max="12" width="18.5" bestFit="1" customWidth="1"/>
    <col min="13" max="13" width="22.1640625" bestFit="1" customWidth="1"/>
    <col min="14" max="24" width="16" customWidth="1"/>
  </cols>
  <sheetData>
    <row r="1" spans="1:13" ht="15" customHeight="1" x14ac:dyDescent="0.2">
      <c r="A1" s="1" t="s">
        <v>76</v>
      </c>
      <c r="I1" s="1" t="s">
        <v>77</v>
      </c>
    </row>
    <row r="2" spans="1:13" ht="15" customHeight="1" x14ac:dyDescent="0.2">
      <c r="A2" s="2" t="s">
        <v>78</v>
      </c>
    </row>
    <row r="3" spans="1:13" ht="15" customHeight="1" x14ac:dyDescent="0.2">
      <c r="I3" s="46" t="s">
        <v>79</v>
      </c>
      <c r="J3" s="46" t="s">
        <v>80</v>
      </c>
      <c r="K3" s="46" t="s">
        <v>81</v>
      </c>
      <c r="L3" s="46" t="s">
        <v>82</v>
      </c>
      <c r="M3" s="46" t="s">
        <v>83</v>
      </c>
    </row>
    <row r="4" spans="1:13" ht="15" customHeight="1" x14ac:dyDescent="0.2">
      <c r="A4" s="47" t="s">
        <v>84</v>
      </c>
      <c r="B4" s="47" t="s">
        <v>85</v>
      </c>
      <c r="C4" s="47" t="s">
        <v>86</v>
      </c>
      <c r="D4" s="47" t="s">
        <v>82</v>
      </c>
      <c r="E4" s="47" t="s">
        <v>83</v>
      </c>
      <c r="F4" s="47" t="s">
        <v>80</v>
      </c>
      <c r="G4" s="47" t="s">
        <v>81</v>
      </c>
      <c r="I4" s="4" t="s">
        <v>87</v>
      </c>
      <c r="J4" s="48">
        <f>COUNT(F6:F3560)</f>
        <v>3555</v>
      </c>
      <c r="K4" s="48">
        <f>COUNT(G6:G3560)</f>
        <v>3555</v>
      </c>
      <c r="L4" s="49">
        <f>COUNT(D5:D3560)</f>
        <v>3556</v>
      </c>
      <c r="M4" s="49">
        <f>COUNT(E5:E3560)</f>
        <v>3556</v>
      </c>
    </row>
    <row r="5" spans="1:13" ht="15" customHeight="1" x14ac:dyDescent="0.2">
      <c r="A5" s="19" t="s">
        <v>88</v>
      </c>
      <c r="B5" s="50">
        <v>21.838799999999999</v>
      </c>
      <c r="C5" s="50">
        <v>1281.06</v>
      </c>
      <c r="D5" s="51">
        <v>71084615.389093995</v>
      </c>
      <c r="E5" s="51">
        <v>2397750000</v>
      </c>
      <c r="I5" s="4" t="s">
        <v>89</v>
      </c>
      <c r="J5" s="48">
        <f>AVERAGE(F6:F3560)</f>
        <v>8.1914687038337484E-4</v>
      </c>
      <c r="K5" s="48">
        <f>AVERAGE(G6:G3560)</f>
        <v>4.7401316052085064E-4</v>
      </c>
      <c r="L5" s="49">
        <f>AVERAGE(D5:D3560)</f>
        <v>34549487.394150622</v>
      </c>
      <c r="M5" s="49">
        <f>AVERAGE(E5:E3560)</f>
        <v>2257252109.0723701</v>
      </c>
    </row>
    <row r="6" spans="1:13" ht="15" customHeight="1" x14ac:dyDescent="0.2">
      <c r="A6" s="19" t="s">
        <v>90</v>
      </c>
      <c r="B6" s="50">
        <v>22.1691</v>
      </c>
      <c r="C6" s="50">
        <v>1277.81</v>
      </c>
      <c r="D6" s="51">
        <v>126063910.30582</v>
      </c>
      <c r="E6" s="51">
        <v>2031572222</v>
      </c>
      <c r="F6" s="52">
        <f t="shared" ref="F6:F69" si="0">LN(B6/B5)</f>
        <v>1.50112230927922E-2</v>
      </c>
      <c r="G6" s="52">
        <f t="shared" ref="G6:G69" si="1">LN(C6/C5)</f>
        <v>-2.5401851188711095E-3</v>
      </c>
      <c r="I6" s="4" t="s">
        <v>91</v>
      </c>
      <c r="J6" s="48">
        <f>MEDIAN(F6:F3560)</f>
        <v>7.2012905962533496E-4</v>
      </c>
      <c r="K6" s="48">
        <f>MEDIAN(G6:G3560)</f>
        <v>6.7603388654662077E-4</v>
      </c>
      <c r="L6" s="49">
        <f>MEDIAN(D5:D3560)</f>
        <v>29037771.447256498</v>
      </c>
      <c r="M6" s="49">
        <f>MEDIAN(E5:E3560)</f>
        <v>2116227222.5</v>
      </c>
    </row>
    <row r="7" spans="1:13" ht="15" customHeight="1" x14ac:dyDescent="0.2">
      <c r="A7" s="19" t="s">
        <v>92</v>
      </c>
      <c r="B7" s="50">
        <v>21.887599999999999</v>
      </c>
      <c r="C7" s="50">
        <v>1280.7</v>
      </c>
      <c r="D7" s="51">
        <v>75679955.173214003</v>
      </c>
      <c r="E7" s="51">
        <v>1873111111</v>
      </c>
      <c r="F7" s="52">
        <f t="shared" si="0"/>
        <v>-1.2779160985664907E-2</v>
      </c>
      <c r="G7" s="52">
        <f t="shared" si="1"/>
        <v>2.2591283435529062E-3</v>
      </c>
      <c r="I7" s="4" t="s">
        <v>93</v>
      </c>
      <c r="J7" s="48">
        <f>STDEV(F6:F3560)</f>
        <v>1.6389842553674778E-2</v>
      </c>
      <c r="K7" s="48">
        <f>STDEV(G6:G3560)</f>
        <v>1.0566893349710085E-2</v>
      </c>
      <c r="L7" s="49">
        <f>STDEV(D5:D3560)</f>
        <v>20031478.936301257</v>
      </c>
      <c r="M7" s="49">
        <f>STDEV(E5:E3560)</f>
        <v>619980029.24289215</v>
      </c>
    </row>
    <row r="8" spans="1:13" ht="15" customHeight="1" x14ac:dyDescent="0.2">
      <c r="A8" s="19" t="s">
        <v>94</v>
      </c>
      <c r="B8" s="50">
        <v>21.963799999999999</v>
      </c>
      <c r="C8" s="50">
        <v>1292.08</v>
      </c>
      <c r="D8" s="51">
        <v>76055666.710004002</v>
      </c>
      <c r="E8" s="51">
        <v>2345533333</v>
      </c>
      <c r="F8" s="52">
        <f t="shared" si="0"/>
        <v>3.4753771463098995E-3</v>
      </c>
      <c r="G8" s="52">
        <f t="shared" si="1"/>
        <v>8.8465194982314723E-3</v>
      </c>
      <c r="I8" s="4" t="s">
        <v>95</v>
      </c>
      <c r="J8" s="48">
        <f>STDEVP(F6:F3560)</f>
        <v>1.6387537209749784E-2</v>
      </c>
      <c r="K8" s="48">
        <f>STDEVP(G6:G3560)</f>
        <v>1.0565407043584199E-2</v>
      </c>
      <c r="L8" s="49">
        <f>STDEVP(D5:D3560)</f>
        <v>20028662.163604174</v>
      </c>
      <c r="M8" s="49">
        <f>STDEVP(E5:E3560)</f>
        <v>619892849.31850064</v>
      </c>
    </row>
    <row r="9" spans="1:13" ht="15" customHeight="1" x14ac:dyDescent="0.2">
      <c r="A9" s="19" t="s">
        <v>96</v>
      </c>
      <c r="B9" s="50">
        <v>21.8721</v>
      </c>
      <c r="C9" s="50">
        <v>1292.48</v>
      </c>
      <c r="D9" s="51">
        <v>83127215.922156006</v>
      </c>
      <c r="E9" s="51">
        <v>2204511111</v>
      </c>
      <c r="F9" s="52">
        <f t="shared" si="0"/>
        <v>-4.1837915389234146E-3</v>
      </c>
      <c r="G9" s="52">
        <f t="shared" si="1"/>
        <v>3.0953044479032282E-4</v>
      </c>
      <c r="I9" s="4" t="s">
        <v>97</v>
      </c>
      <c r="J9" s="48">
        <f>VAR(F6:F3560)</f>
        <v>2.686269389342486E-4</v>
      </c>
      <c r="K9" s="48">
        <f>VAR(G6:G3560)</f>
        <v>1.1165923506414721E-4</v>
      </c>
      <c r="L9" s="49">
        <f>VAR(D5:D3560)</f>
        <v>401260148375481</v>
      </c>
      <c r="M9" s="49">
        <f>VAR(E5:E3560)</f>
        <v>3.8437523666001734E+17</v>
      </c>
    </row>
    <row r="10" spans="1:13" ht="15" customHeight="1" x14ac:dyDescent="0.2">
      <c r="A10" s="19" t="s">
        <v>98</v>
      </c>
      <c r="B10" s="50">
        <v>22.090699999999998</v>
      </c>
      <c r="C10" s="50">
        <v>1295.5</v>
      </c>
      <c r="D10" s="51">
        <v>62582217.987121001</v>
      </c>
      <c r="E10" s="51">
        <v>2233272222</v>
      </c>
      <c r="F10" s="52">
        <f t="shared" si="0"/>
        <v>9.9448534500700455E-3</v>
      </c>
      <c r="G10" s="52">
        <f t="shared" si="1"/>
        <v>2.3338676271165535E-3</v>
      </c>
      <c r="I10" s="4" t="s">
        <v>99</v>
      </c>
      <c r="J10" s="48">
        <f>MIN(F6:F3560)</f>
        <v>-0.15954897976785201</v>
      </c>
      <c r="K10" s="48">
        <f>MIN(G6:G3560)</f>
        <v>-0.12765214115647325</v>
      </c>
      <c r="L10" s="49">
        <f>MIN(D5:D3560)</f>
        <v>5855880</v>
      </c>
      <c r="M10" s="49">
        <f>MIN(E5:E3560)</f>
        <v>693866667</v>
      </c>
    </row>
    <row r="11" spans="1:13" ht="15" customHeight="1" x14ac:dyDescent="0.2">
      <c r="A11" s="19" t="s">
        <v>100</v>
      </c>
      <c r="B11" s="50">
        <v>22.291</v>
      </c>
      <c r="C11" s="50">
        <v>1289.0899999999999</v>
      </c>
      <c r="D11" s="51">
        <v>76303835.088322997</v>
      </c>
      <c r="E11" s="51">
        <v>2051316667</v>
      </c>
      <c r="F11" s="52">
        <f t="shared" si="0"/>
        <v>9.0263040819872527E-3</v>
      </c>
      <c r="G11" s="52">
        <f t="shared" si="1"/>
        <v>-4.9601779332832637E-3</v>
      </c>
      <c r="I11" s="4" t="s">
        <v>101</v>
      </c>
      <c r="J11" s="48">
        <f>MAX(F6:F3560)</f>
        <v>0.13297171499172128</v>
      </c>
      <c r="K11" s="48">
        <f>MAX(G6:G3560)</f>
        <v>9.0894901648714818E-2</v>
      </c>
      <c r="L11" s="49">
        <f>MAX(D5:D3560)</f>
        <v>301555805.08455998</v>
      </c>
      <c r="M11" s="49">
        <f>MAX(E5:E3560)</f>
        <v>6888367197</v>
      </c>
    </row>
    <row r="12" spans="1:13" ht="15" customHeight="1" x14ac:dyDescent="0.2">
      <c r="A12" s="19" t="s">
        <v>102</v>
      </c>
      <c r="B12" s="50">
        <v>22.293900000000001</v>
      </c>
      <c r="C12" s="50">
        <v>1293.67</v>
      </c>
      <c r="D12" s="51">
        <v>91748989.485945001</v>
      </c>
      <c r="E12" s="51">
        <v>2228050000</v>
      </c>
      <c r="F12" s="52">
        <f t="shared" si="0"/>
        <v>1.3008888677956467E-4</v>
      </c>
      <c r="G12" s="52">
        <f t="shared" si="1"/>
        <v>3.5465972840967364E-3</v>
      </c>
      <c r="I12" s="4" t="s">
        <v>103</v>
      </c>
      <c r="J12" s="48">
        <f>MAX(F6:F3560)-MIN(F6:F3560)</f>
        <v>0.29252069475957332</v>
      </c>
      <c r="K12" s="48">
        <f>MAX(G6:G3560)-MIN(G6:G3560)</f>
        <v>0.21854704280518805</v>
      </c>
      <c r="L12" s="49">
        <f>MAX(D5:D3560)-MIN(D5:D3560)</f>
        <v>295699925.08455998</v>
      </c>
      <c r="M12" s="49">
        <f>MAX(E5:E3560)-MIN(E5:E3560)</f>
        <v>6194500530</v>
      </c>
    </row>
    <row r="13" spans="1:13" ht="15" customHeight="1" x14ac:dyDescent="0.2">
      <c r="A13" s="19" t="s">
        <v>104</v>
      </c>
      <c r="B13" s="50">
        <v>22.273499999999999</v>
      </c>
      <c r="C13" s="50">
        <v>1308.04</v>
      </c>
      <c r="D13" s="51">
        <v>82190726.472481996</v>
      </c>
      <c r="E13" s="51">
        <v>2275644444</v>
      </c>
      <c r="F13" s="52">
        <f t="shared" si="0"/>
        <v>-9.1546742348616041E-4</v>
      </c>
      <c r="G13" s="52">
        <f t="shared" si="1"/>
        <v>1.104669323633066E-2</v>
      </c>
      <c r="I13" s="4" t="s">
        <v>105</v>
      </c>
      <c r="J13" s="48">
        <f>SKEW(F6:F3560)</f>
        <v>-0.2223255166276151</v>
      </c>
      <c r="K13" s="48">
        <f>SKEW(G6:G3560)</f>
        <v>-0.64871182249743597</v>
      </c>
      <c r="L13" s="49">
        <f>SKEW(D5:D3560)</f>
        <v>3.4494852581308328</v>
      </c>
      <c r="M13" s="49">
        <f>SKEW(E5:E3560)</f>
        <v>1.8720577323227738</v>
      </c>
    </row>
    <row r="14" spans="1:13" ht="15" customHeight="1" x14ac:dyDescent="0.2">
      <c r="A14" s="19" t="s">
        <v>106</v>
      </c>
      <c r="B14" s="50">
        <v>22.183499999999999</v>
      </c>
      <c r="C14" s="50">
        <v>1314.5</v>
      </c>
      <c r="D14" s="51">
        <v>93830300.002948999</v>
      </c>
      <c r="E14" s="51">
        <v>2481050000</v>
      </c>
      <c r="F14" s="52">
        <f t="shared" si="0"/>
        <v>-4.0488617292924172E-3</v>
      </c>
      <c r="G14" s="52">
        <f t="shared" si="1"/>
        <v>4.9265315806270226E-3</v>
      </c>
      <c r="I14" s="4" t="s">
        <v>107</v>
      </c>
      <c r="J14" s="48">
        <f>KURT(F6:F3560)</f>
        <v>8.7233788068809446</v>
      </c>
      <c r="K14" s="48">
        <f>KURT(G6:G3560)</f>
        <v>16.55043427744231</v>
      </c>
      <c r="L14" s="49">
        <f>KURT(D5:D3560)</f>
        <v>25.239680441852947</v>
      </c>
      <c r="M14" s="49">
        <f>KURT(E5:E3560)</f>
        <v>6.7324329422886038</v>
      </c>
    </row>
    <row r="15" spans="1:13" ht="15" customHeight="1" x14ac:dyDescent="0.2">
      <c r="A15" s="19" t="s">
        <v>108</v>
      </c>
      <c r="B15" s="50">
        <v>23.440899999999999</v>
      </c>
      <c r="C15" s="50">
        <v>1315.38</v>
      </c>
      <c r="D15" s="51">
        <v>210266546.76438999</v>
      </c>
      <c r="E15" s="51">
        <v>2173677778</v>
      </c>
      <c r="F15" s="52">
        <f t="shared" si="0"/>
        <v>5.5133590583348414E-2</v>
      </c>
      <c r="G15" s="52">
        <f t="shared" si="1"/>
        <v>6.6923208119318213E-4</v>
      </c>
      <c r="I15" s="4" t="s">
        <v>109</v>
      </c>
      <c r="J15" s="48">
        <f>AVERAGE(F6:F3560)*252</f>
        <v>0.20642501133661045</v>
      </c>
      <c r="K15" s="48">
        <f>AVERAGE(G6:G3560)*252</f>
        <v>0.11945131645125437</v>
      </c>
      <c r="L15" s="49"/>
      <c r="M15" s="49"/>
    </row>
    <row r="16" spans="1:13" ht="15" customHeight="1" x14ac:dyDescent="0.2">
      <c r="A16" s="19" t="s">
        <v>110</v>
      </c>
      <c r="B16" s="50">
        <v>23.453299999999999</v>
      </c>
      <c r="C16" s="50">
        <v>1316</v>
      </c>
      <c r="D16" s="51">
        <v>96430595.155866995</v>
      </c>
      <c r="E16" s="51">
        <v>2094950000</v>
      </c>
      <c r="F16" s="52">
        <f t="shared" si="0"/>
        <v>5.2885006201212155E-4</v>
      </c>
      <c r="G16" s="52">
        <f t="shared" si="1"/>
        <v>4.7123563413351943E-4</v>
      </c>
      <c r="I16" s="4" t="s">
        <v>111</v>
      </c>
      <c r="J16" s="48">
        <f>STDEV(F6:F3560)*SQRT(252)</f>
        <v>0.26018068454716359</v>
      </c>
      <c r="K16" s="48">
        <f>STDEV(G6:G3560)*SQRT(252)</f>
        <v>0.16774423160325097</v>
      </c>
      <c r="L16" s="49"/>
      <c r="M16" s="49"/>
    </row>
    <row r="17" spans="1:11" ht="15" customHeight="1" x14ac:dyDescent="0.2">
      <c r="A17" s="19" t="s">
        <v>112</v>
      </c>
      <c r="B17" s="50">
        <v>23.148700000000002</v>
      </c>
      <c r="C17" s="50">
        <v>1314.65</v>
      </c>
      <c r="D17" s="51">
        <v>59953339.881644003</v>
      </c>
      <c r="E17" s="51">
        <v>2051977778</v>
      </c>
      <c r="F17" s="52">
        <f t="shared" si="0"/>
        <v>-1.3072586490252742E-2</v>
      </c>
      <c r="G17" s="52">
        <f t="shared" si="1"/>
        <v>-1.026362395993147E-3</v>
      </c>
    </row>
    <row r="18" spans="1:11" ht="15" customHeight="1" x14ac:dyDescent="0.2">
      <c r="A18" s="19" t="s">
        <v>113</v>
      </c>
      <c r="B18" s="50">
        <v>23.323399999999999</v>
      </c>
      <c r="C18" s="50">
        <v>1326.06</v>
      </c>
      <c r="D18" s="51">
        <v>75079909.742511004</v>
      </c>
      <c r="E18" s="51">
        <v>2450505556</v>
      </c>
      <c r="F18" s="52">
        <f t="shared" si="0"/>
        <v>7.5185250055781602E-3</v>
      </c>
      <c r="G18" s="52">
        <f t="shared" si="1"/>
        <v>8.6416691016175592E-3</v>
      </c>
    </row>
    <row r="19" spans="1:11" ht="15" customHeight="1" x14ac:dyDescent="0.2">
      <c r="A19" s="19" t="s">
        <v>114</v>
      </c>
      <c r="B19" s="50">
        <v>23.275600000000001</v>
      </c>
      <c r="C19" s="50">
        <v>1318.43</v>
      </c>
      <c r="D19" s="51">
        <v>62239475.439456001</v>
      </c>
      <c r="E19" s="51">
        <v>2512261111</v>
      </c>
      <c r="F19" s="52">
        <f t="shared" si="0"/>
        <v>-2.0515468900717962E-3</v>
      </c>
      <c r="G19" s="52">
        <f t="shared" si="1"/>
        <v>-5.7705048401983719E-3</v>
      </c>
    </row>
    <row r="20" spans="1:11" ht="15" customHeight="1" x14ac:dyDescent="0.2">
      <c r="A20" s="19" t="s">
        <v>115</v>
      </c>
      <c r="B20" s="50">
        <v>23.061499999999999</v>
      </c>
      <c r="C20" s="50">
        <v>1316.33</v>
      </c>
      <c r="D20" s="51">
        <v>56010803.896605</v>
      </c>
      <c r="E20" s="51">
        <v>2226322222</v>
      </c>
      <c r="F20" s="52">
        <f t="shared" si="0"/>
        <v>-9.2410411363598975E-3</v>
      </c>
      <c r="G20" s="52">
        <f t="shared" si="1"/>
        <v>-1.5940734220098644E-3</v>
      </c>
      <c r="I20" s="1" t="s">
        <v>116</v>
      </c>
    </row>
    <row r="21" spans="1:11" ht="15" customHeight="1" x14ac:dyDescent="0.2">
      <c r="A21" s="19" t="s">
        <v>117</v>
      </c>
      <c r="B21" s="50">
        <v>23.358599999999999</v>
      </c>
      <c r="C21" s="50">
        <v>1313.01</v>
      </c>
      <c r="D21" s="51">
        <v>64779116.539126001</v>
      </c>
      <c r="E21" s="51">
        <v>2032783333</v>
      </c>
      <c r="F21" s="52">
        <f t="shared" si="0"/>
        <v>1.2800664230161551E-2</v>
      </c>
      <c r="G21" s="52">
        <f t="shared" si="1"/>
        <v>-2.5253499086551E-3</v>
      </c>
    </row>
    <row r="22" spans="1:11" ht="15" customHeight="1" x14ac:dyDescent="0.2">
      <c r="A22" s="19" t="s">
        <v>118</v>
      </c>
      <c r="B22" s="50">
        <v>23.301200000000001</v>
      </c>
      <c r="C22" s="50">
        <v>1312.41</v>
      </c>
      <c r="D22" s="51">
        <v>64106291.977906004</v>
      </c>
      <c r="E22" s="51">
        <v>2353083333</v>
      </c>
      <c r="F22" s="52">
        <f t="shared" si="0"/>
        <v>-2.4603632658246966E-3</v>
      </c>
      <c r="G22" s="52">
        <f t="shared" si="1"/>
        <v>-4.5706973394398057E-4</v>
      </c>
      <c r="I22" s="3" t="s">
        <v>119</v>
      </c>
    </row>
    <row r="23" spans="1:11" ht="15" customHeight="1" x14ac:dyDescent="0.2">
      <c r="A23" s="19" t="s">
        <v>120</v>
      </c>
      <c r="B23" s="50">
        <v>23.584199999999999</v>
      </c>
      <c r="C23" s="50">
        <v>1324.09</v>
      </c>
      <c r="D23" s="51">
        <v>85669089.969010994</v>
      </c>
      <c r="E23" s="51">
        <v>2502422222</v>
      </c>
      <c r="F23" s="52">
        <f t="shared" si="0"/>
        <v>1.2072134905225065E-2</v>
      </c>
      <c r="G23" s="52">
        <f t="shared" si="1"/>
        <v>8.860289331437619E-3</v>
      </c>
      <c r="I23" s="4" t="s">
        <v>121</v>
      </c>
      <c r="J23" s="53">
        <f>COVAR(F6:F3560,G6:G3560)</f>
        <v>1.2978984882744399E-4</v>
      </c>
    </row>
    <row r="24" spans="1:11" ht="15" customHeight="1" x14ac:dyDescent="0.2">
      <c r="A24" s="19" t="s">
        <v>122</v>
      </c>
      <c r="B24" s="50">
        <v>23.6282</v>
      </c>
      <c r="C24" s="50">
        <v>1325.54</v>
      </c>
      <c r="D24" s="51">
        <v>66195495.108324997</v>
      </c>
      <c r="E24" s="51">
        <v>2289400000</v>
      </c>
      <c r="F24" s="52">
        <f t="shared" si="0"/>
        <v>1.8639176461562382E-3</v>
      </c>
      <c r="G24" s="52">
        <f t="shared" si="1"/>
        <v>1.0944925478258915E-3</v>
      </c>
      <c r="I24" s="4" t="s">
        <v>123</v>
      </c>
      <c r="J24" s="53">
        <f>VARP(G6:G3560)</f>
        <v>1.1162782599661862E-4</v>
      </c>
    </row>
    <row r="25" spans="1:11" ht="15" customHeight="1" x14ac:dyDescent="0.2">
      <c r="A25" s="19" t="s">
        <v>124</v>
      </c>
      <c r="B25" s="50">
        <v>23.854700000000001</v>
      </c>
      <c r="C25" s="50">
        <v>1344.9</v>
      </c>
      <c r="D25" s="51">
        <v>47873509.228698</v>
      </c>
      <c r="E25" s="51">
        <v>2560305556</v>
      </c>
      <c r="F25" s="52">
        <f t="shared" si="0"/>
        <v>9.5403489663446941E-3</v>
      </c>
      <c r="G25" s="52">
        <f t="shared" si="1"/>
        <v>1.4499737264160701E-2</v>
      </c>
      <c r="I25" s="54" t="s">
        <v>125</v>
      </c>
      <c r="J25" s="55">
        <f>J23/J24</f>
        <v>1.1627015725575049</v>
      </c>
      <c r="K25" s="2"/>
    </row>
    <row r="26" spans="1:11" ht="15" customHeight="1" x14ac:dyDescent="0.2">
      <c r="A26" s="19" t="s">
        <v>126</v>
      </c>
      <c r="B26" s="50">
        <v>23.823699999999999</v>
      </c>
      <c r="C26" s="50">
        <v>1344.33</v>
      </c>
      <c r="D26" s="51">
        <v>35540825.205998003</v>
      </c>
      <c r="E26" s="51">
        <v>1877611111</v>
      </c>
      <c r="F26" s="52">
        <f t="shared" si="0"/>
        <v>-1.3003793905997441E-3</v>
      </c>
      <c r="G26" s="52">
        <f t="shared" si="1"/>
        <v>-4.2391317108323237E-4</v>
      </c>
    </row>
    <row r="27" spans="1:11" ht="15" customHeight="1" x14ac:dyDescent="0.2">
      <c r="A27" s="19" t="s">
        <v>127</v>
      </c>
      <c r="B27" s="50">
        <v>23.9436</v>
      </c>
      <c r="C27" s="50">
        <v>1347.05</v>
      </c>
      <c r="D27" s="51">
        <v>49740226.456796996</v>
      </c>
      <c r="E27" s="51">
        <v>2079144444</v>
      </c>
      <c r="F27" s="52">
        <f t="shared" si="0"/>
        <v>5.0201812458344867E-3</v>
      </c>
      <c r="G27" s="52">
        <f t="shared" si="1"/>
        <v>2.0212685879011623E-3</v>
      </c>
      <c r="I27" s="3" t="s">
        <v>128</v>
      </c>
    </row>
    <row r="28" spans="1:11" ht="15" customHeight="1" x14ac:dyDescent="0.2">
      <c r="A28" s="19" t="s">
        <v>129</v>
      </c>
      <c r="B28" s="50">
        <v>24.1889</v>
      </c>
      <c r="C28" s="50">
        <v>1349.96</v>
      </c>
      <c r="D28" s="51">
        <v>62945266.942162</v>
      </c>
      <c r="E28" s="51">
        <v>2275961111</v>
      </c>
      <c r="F28" s="52">
        <f t="shared" si="0"/>
        <v>1.0192785487554621E-2</v>
      </c>
      <c r="G28" s="52">
        <f t="shared" si="1"/>
        <v>2.1579461175579256E-3</v>
      </c>
      <c r="I28" s="54" t="s">
        <v>130</v>
      </c>
      <c r="J28" s="55">
        <f>SLOPE(F6:F3560,G6:G3560)</f>
        <v>1.1627015725575067</v>
      </c>
      <c r="K28" s="2"/>
    </row>
    <row r="29" spans="1:11" ht="15" customHeight="1" x14ac:dyDescent="0.2">
      <c r="A29" s="19" t="s">
        <v>131</v>
      </c>
      <c r="B29" s="50">
        <v>24.274100000000001</v>
      </c>
      <c r="C29" s="50">
        <v>1351.95</v>
      </c>
      <c r="D29" s="51">
        <v>63970074.009024002</v>
      </c>
      <c r="E29" s="51">
        <v>2338827778</v>
      </c>
      <c r="F29" s="52">
        <f t="shared" si="0"/>
        <v>3.5160880579573651E-3</v>
      </c>
      <c r="G29" s="52">
        <f t="shared" si="1"/>
        <v>1.4730323066491182E-3</v>
      </c>
      <c r="I29" s="4" t="s">
        <v>132</v>
      </c>
      <c r="J29" s="48">
        <f>INTERCEPT(F6:F3560,G6:G3560)</f>
        <v>2.6801102323282795E-4</v>
      </c>
    </row>
    <row r="30" spans="1:11" ht="15" customHeight="1" x14ac:dyDescent="0.2">
      <c r="A30" s="19" t="s">
        <v>133</v>
      </c>
      <c r="B30" s="50">
        <v>24.062899999999999</v>
      </c>
      <c r="C30" s="50">
        <v>1342.64</v>
      </c>
      <c r="D30" s="51">
        <v>56538986.513957001</v>
      </c>
      <c r="E30" s="51">
        <v>2154211111</v>
      </c>
      <c r="F30" s="52">
        <f t="shared" si="0"/>
        <v>-8.7387030234010281E-3</v>
      </c>
      <c r="G30" s="52">
        <f t="shared" si="1"/>
        <v>-6.9101696706045917E-3</v>
      </c>
      <c r="I30" s="4" t="s">
        <v>134</v>
      </c>
      <c r="J30" s="48">
        <f>RSQ(F6:F3560,G6:G3560)</f>
        <v>0.5619292058497265</v>
      </c>
    </row>
    <row r="31" spans="1:11" ht="15" customHeight="1" x14ac:dyDescent="0.2">
      <c r="A31" s="19" t="s">
        <v>135</v>
      </c>
      <c r="B31" s="50">
        <v>24.126200000000001</v>
      </c>
      <c r="C31" s="50">
        <v>1351.77</v>
      </c>
      <c r="D31" s="51">
        <v>42233227.971772999</v>
      </c>
      <c r="E31" s="51">
        <v>2010022222</v>
      </c>
      <c r="F31" s="52">
        <f t="shared" si="0"/>
        <v>2.6271516341934095E-3</v>
      </c>
      <c r="G31" s="52">
        <f t="shared" si="1"/>
        <v>6.7770197880235375E-3</v>
      </c>
    </row>
    <row r="32" spans="1:11" ht="15" customHeight="1" x14ac:dyDescent="0.2">
      <c r="A32" s="19" t="s">
        <v>136</v>
      </c>
      <c r="B32" s="50">
        <v>24.023800000000001</v>
      </c>
      <c r="C32" s="50">
        <v>1350.5</v>
      </c>
      <c r="D32" s="51">
        <v>75107423.829017997</v>
      </c>
      <c r="E32" s="51">
        <v>2160844444</v>
      </c>
      <c r="F32" s="52">
        <f t="shared" si="0"/>
        <v>-4.2533812826018738E-3</v>
      </c>
      <c r="G32" s="52">
        <f t="shared" si="1"/>
        <v>-9.3995055527716274E-4</v>
      </c>
      <c r="I32" s="3" t="s">
        <v>137</v>
      </c>
    </row>
    <row r="33" spans="1:11" ht="15" customHeight="1" x14ac:dyDescent="0.2">
      <c r="A33" s="19" t="s">
        <v>138</v>
      </c>
      <c r="B33" s="50">
        <v>23.861499999999999</v>
      </c>
      <c r="C33" s="50">
        <v>1343.23</v>
      </c>
      <c r="D33" s="51">
        <v>54541079.287460998</v>
      </c>
      <c r="E33" s="51">
        <v>2266855556</v>
      </c>
      <c r="F33" s="52">
        <f t="shared" si="0"/>
        <v>-6.7787242217625093E-3</v>
      </c>
      <c r="G33" s="52">
        <f t="shared" si="1"/>
        <v>-5.3977329957059358E-3</v>
      </c>
      <c r="I33" s="54" t="s">
        <v>139</v>
      </c>
      <c r="J33" s="55">
        <f>INDEX(LINEST(F6:F3560,G6:G3560,TRUE(),TRUE()),1,1)</f>
        <v>1.1627015725575005</v>
      </c>
      <c r="K33" s="2"/>
    </row>
    <row r="34" spans="1:11" ht="15" customHeight="1" x14ac:dyDescent="0.2">
      <c r="A34" s="19" t="s">
        <v>140</v>
      </c>
      <c r="B34" s="50">
        <v>24.840299999999999</v>
      </c>
      <c r="C34" s="50">
        <v>1358.04</v>
      </c>
      <c r="D34" s="51">
        <v>119246401.06856</v>
      </c>
      <c r="E34" s="51">
        <v>2282711111</v>
      </c>
      <c r="F34" s="52">
        <f t="shared" si="0"/>
        <v>4.0201052870745289E-2</v>
      </c>
      <c r="G34" s="52">
        <f t="shared" si="1"/>
        <v>1.0965322528886171E-2</v>
      </c>
      <c r="I34" s="4" t="s">
        <v>141</v>
      </c>
      <c r="J34" s="48">
        <f>INDEX(LINEST(F6:F3560,G6:G3560,TRUE(),TRUE()),1,2)</f>
        <v>2.6801102323283088E-4</v>
      </c>
    </row>
    <row r="35" spans="1:11" ht="15" customHeight="1" x14ac:dyDescent="0.2">
      <c r="A35" s="19" t="s">
        <v>142</v>
      </c>
      <c r="B35" s="50">
        <v>24.815100000000001</v>
      </c>
      <c r="C35" s="50">
        <v>1361.23</v>
      </c>
      <c r="D35" s="51">
        <v>88191586.211472005</v>
      </c>
      <c r="E35" s="51">
        <v>2065355556</v>
      </c>
      <c r="F35" s="52">
        <f t="shared" si="0"/>
        <v>-1.0149954350765981E-3</v>
      </c>
      <c r="G35" s="52">
        <f t="shared" si="1"/>
        <v>2.3462189950568782E-3</v>
      </c>
      <c r="I35" s="4" t="s">
        <v>143</v>
      </c>
      <c r="J35" s="48">
        <f>INDEX(LINEST(F6:F3560,G6:G3560,TRUE(),TRUE()),2,1)</f>
        <v>1.7222730416558325E-2</v>
      </c>
    </row>
    <row r="36" spans="1:11" ht="15" customHeight="1" x14ac:dyDescent="0.2">
      <c r="A36" s="19" t="s">
        <v>144</v>
      </c>
      <c r="B36" s="50">
        <v>24.9693</v>
      </c>
      <c r="C36" s="50">
        <v>1362.21</v>
      </c>
      <c r="D36" s="51">
        <v>64006221.953221001</v>
      </c>
      <c r="E36" s="51">
        <v>2108444444</v>
      </c>
      <c r="F36" s="52">
        <f t="shared" si="0"/>
        <v>6.1947314064060965E-3</v>
      </c>
      <c r="G36" s="52">
        <f t="shared" si="1"/>
        <v>7.1967808528795797E-4</v>
      </c>
      <c r="I36" s="4" t="s">
        <v>145</v>
      </c>
      <c r="J36" s="48">
        <f>INDEX(LINEST(F6:F3560,G6:G3560,TRUE(),TRUE()),3,1)</f>
        <v>0.56192920584972172</v>
      </c>
    </row>
    <row r="37" spans="1:11" ht="15" customHeight="1" x14ac:dyDescent="0.2">
      <c r="A37" s="19" t="s">
        <v>146</v>
      </c>
      <c r="B37" s="50">
        <v>24.831499999999998</v>
      </c>
      <c r="C37" s="50">
        <v>1357.66</v>
      </c>
      <c r="D37" s="51">
        <v>62012199.092440002</v>
      </c>
      <c r="E37" s="51">
        <v>2018727778</v>
      </c>
      <c r="F37" s="52">
        <f t="shared" si="0"/>
        <v>-5.5340617695517963E-3</v>
      </c>
      <c r="G37" s="52">
        <f t="shared" si="1"/>
        <v>-3.34575126341362E-3</v>
      </c>
      <c r="I37" s="4" t="s">
        <v>147</v>
      </c>
      <c r="J37" s="56">
        <f>INDEX(LINEST(F6:F3560,G6:G3560,TRUE(),TRUE()),4,1)</f>
        <v>4557.5612322129809</v>
      </c>
    </row>
    <row r="38" spans="1:11" ht="15" customHeight="1" x14ac:dyDescent="0.2">
      <c r="A38" s="19" t="s">
        <v>148</v>
      </c>
      <c r="B38" s="50">
        <v>24.913599999999999</v>
      </c>
      <c r="C38" s="50">
        <v>1363.46</v>
      </c>
      <c r="D38" s="51">
        <v>44116825.912023</v>
      </c>
      <c r="E38" s="51">
        <v>2103583333</v>
      </c>
      <c r="F38" s="52">
        <f t="shared" si="0"/>
        <v>3.3008306162113318E-3</v>
      </c>
      <c r="G38" s="52">
        <f t="shared" si="1"/>
        <v>4.262957005584894E-3</v>
      </c>
      <c r="I38" s="4" t="s">
        <v>149</v>
      </c>
      <c r="J38" s="57">
        <f>INDEX(LINEST(F6:F3560,G6:G3560,TRUE(),TRUE()),4,2)</f>
        <v>3553</v>
      </c>
    </row>
    <row r="39" spans="1:11" ht="15" customHeight="1" x14ac:dyDescent="0.2">
      <c r="A39" s="19" t="s">
        <v>150</v>
      </c>
      <c r="B39" s="50">
        <v>25.000499999999999</v>
      </c>
      <c r="C39" s="50">
        <v>1365.74</v>
      </c>
      <c r="D39" s="51">
        <v>44798846.407045998</v>
      </c>
      <c r="E39" s="51">
        <v>1947422222</v>
      </c>
      <c r="F39" s="52">
        <f t="shared" si="0"/>
        <v>3.4819855631802645E-3</v>
      </c>
      <c r="G39" s="52">
        <f t="shared" si="1"/>
        <v>1.6708196763969795E-3</v>
      </c>
    </row>
    <row r="40" spans="1:11" ht="15" customHeight="1" x14ac:dyDescent="0.2">
      <c r="A40" s="19" t="s">
        <v>151</v>
      </c>
      <c r="B40" s="50">
        <v>24.896000000000001</v>
      </c>
      <c r="C40" s="50">
        <v>1367.59</v>
      </c>
      <c r="D40" s="51">
        <v>43529746.113214001</v>
      </c>
      <c r="E40" s="51">
        <v>2027161111</v>
      </c>
      <c r="F40" s="52">
        <f t="shared" si="0"/>
        <v>-4.1886766722222758E-3</v>
      </c>
      <c r="G40" s="52">
        <f t="shared" si="1"/>
        <v>1.3536603940939738E-3</v>
      </c>
      <c r="I40" s="2"/>
    </row>
    <row r="41" spans="1:11" ht="15" customHeight="1" x14ac:dyDescent="0.2">
      <c r="A41" s="19" t="s">
        <v>152</v>
      </c>
      <c r="B41" s="50">
        <v>25.31</v>
      </c>
      <c r="C41" s="50">
        <v>1372.18</v>
      </c>
      <c r="D41" s="51">
        <v>56942035.016728997</v>
      </c>
      <c r="E41" s="51">
        <v>1988400000</v>
      </c>
      <c r="F41" s="52">
        <f t="shared" si="0"/>
        <v>1.6492426561051494E-2</v>
      </c>
      <c r="G41" s="52">
        <f t="shared" si="1"/>
        <v>3.3506493568948885E-3</v>
      </c>
      <c r="I41" s="2"/>
    </row>
    <row r="42" spans="1:11" ht="15" customHeight="1" x14ac:dyDescent="0.2">
      <c r="A42" s="19" t="s">
        <v>153</v>
      </c>
      <c r="B42" s="50">
        <v>25.201799999999999</v>
      </c>
      <c r="C42" s="50">
        <v>1365.68</v>
      </c>
      <c r="D42" s="51">
        <v>74702782.265347004</v>
      </c>
      <c r="E42" s="51">
        <v>2490205556</v>
      </c>
      <c r="F42" s="52">
        <f t="shared" si="0"/>
        <v>-4.2841540191254218E-3</v>
      </c>
      <c r="G42" s="52">
        <f t="shared" si="1"/>
        <v>-4.7482429432547935E-3</v>
      </c>
      <c r="I42" s="2"/>
    </row>
    <row r="43" spans="1:11" ht="15" customHeight="1" x14ac:dyDescent="0.2">
      <c r="A43" s="19" t="s">
        <v>154</v>
      </c>
      <c r="B43" s="50">
        <v>25.645299999999999</v>
      </c>
      <c r="C43" s="50">
        <v>1374.09</v>
      </c>
      <c r="D43" s="51">
        <v>97395381.912862003</v>
      </c>
      <c r="E43" s="51">
        <v>2177355556</v>
      </c>
      <c r="F43" s="52">
        <f t="shared" si="0"/>
        <v>1.7444898421682301E-2</v>
      </c>
      <c r="G43" s="52">
        <f t="shared" si="1"/>
        <v>6.1392207480289963E-3</v>
      </c>
    </row>
    <row r="44" spans="1:11" ht="15" customHeight="1" x14ac:dyDescent="0.2">
      <c r="A44" s="19" t="s">
        <v>155</v>
      </c>
      <c r="B44" s="50">
        <v>25.475300000000001</v>
      </c>
      <c r="C44" s="50">
        <v>1369.63</v>
      </c>
      <c r="D44" s="51">
        <v>59580308.700530998</v>
      </c>
      <c r="E44" s="51">
        <v>1824161111</v>
      </c>
      <c r="F44" s="52">
        <f t="shared" si="0"/>
        <v>-6.6509636689137406E-3</v>
      </c>
      <c r="G44" s="52">
        <f t="shared" si="1"/>
        <v>-3.2510634673347419E-3</v>
      </c>
    </row>
    <row r="45" spans="1:11" ht="15" customHeight="1" x14ac:dyDescent="0.2">
      <c r="A45" s="19" t="s">
        <v>156</v>
      </c>
      <c r="B45" s="50">
        <v>25.255500000000001</v>
      </c>
      <c r="C45" s="50">
        <v>1364.33</v>
      </c>
      <c r="D45" s="51">
        <v>56936213.587247998</v>
      </c>
      <c r="E45" s="51">
        <v>1905266667</v>
      </c>
      <c r="F45" s="52">
        <f t="shared" si="0"/>
        <v>-8.6654015068486547E-3</v>
      </c>
      <c r="G45" s="52">
        <f t="shared" si="1"/>
        <v>-3.877164727582936E-3</v>
      </c>
      <c r="I45" s="1" t="s">
        <v>157</v>
      </c>
    </row>
    <row r="46" spans="1:11" ht="15" customHeight="1" x14ac:dyDescent="0.2">
      <c r="A46" s="19" t="s">
        <v>158</v>
      </c>
      <c r="B46" s="50">
        <v>25.060099999999998</v>
      </c>
      <c r="C46" s="50">
        <v>1343.36</v>
      </c>
      <c r="D46" s="51">
        <v>65400421.551816002</v>
      </c>
      <c r="E46" s="51">
        <v>2328366667</v>
      </c>
      <c r="F46" s="52">
        <f t="shared" si="0"/>
        <v>-7.767013900881789E-3</v>
      </c>
      <c r="G46" s="52">
        <f t="shared" si="1"/>
        <v>-1.5489527433395317E-2</v>
      </c>
    </row>
    <row r="47" spans="1:11" ht="15" customHeight="1" x14ac:dyDescent="0.2">
      <c r="A47" s="19" t="s">
        <v>159</v>
      </c>
      <c r="B47" s="50">
        <v>25.287800000000001</v>
      </c>
      <c r="C47" s="50">
        <v>1352.63</v>
      </c>
      <c r="D47" s="51">
        <v>28961392.572448</v>
      </c>
      <c r="E47" s="51">
        <v>1989100000</v>
      </c>
      <c r="F47" s="52">
        <f t="shared" si="0"/>
        <v>9.0451261095040765E-3</v>
      </c>
      <c r="G47" s="52">
        <f t="shared" si="1"/>
        <v>6.8769072088010284E-3</v>
      </c>
      <c r="I47" s="46" t="s">
        <v>160</v>
      </c>
      <c r="J47" s="46" t="s">
        <v>161</v>
      </c>
    </row>
    <row r="48" spans="1:11" ht="15" customHeight="1" x14ac:dyDescent="0.2">
      <c r="A48" s="19" t="s">
        <v>162</v>
      </c>
      <c r="B48" s="50">
        <v>25.421500000000002</v>
      </c>
      <c r="C48" s="50">
        <v>1365.91</v>
      </c>
      <c r="D48" s="51">
        <v>46275937.387120001</v>
      </c>
      <c r="E48" s="51">
        <v>1968366667</v>
      </c>
      <c r="F48" s="52">
        <f t="shared" si="0"/>
        <v>5.2732066825192693E-3</v>
      </c>
      <c r="G48" s="52">
        <f t="shared" si="1"/>
        <v>9.7700277612063294E-3</v>
      </c>
      <c r="I48" s="56">
        <v>-0.14979799999999999</v>
      </c>
      <c r="J48" s="57">
        <f>COUNTIFS(F6:F3560,"&lt;="&amp;I48)</f>
        <v>1</v>
      </c>
    </row>
    <row r="49" spans="1:10" ht="15" customHeight="1" x14ac:dyDescent="0.2">
      <c r="A49" s="19" t="s">
        <v>163</v>
      </c>
      <c r="B49" s="50">
        <v>25.404</v>
      </c>
      <c r="C49" s="50">
        <v>1370.87</v>
      </c>
      <c r="D49" s="51">
        <v>43604938.382893004</v>
      </c>
      <c r="E49" s="51">
        <v>2021927778</v>
      </c>
      <c r="F49" s="52">
        <f t="shared" si="0"/>
        <v>-6.8863073424019043E-4</v>
      </c>
      <c r="G49" s="52">
        <f t="shared" si="1"/>
        <v>3.6247016059477617E-3</v>
      </c>
      <c r="I49" s="56">
        <v>-0.14004800000000001</v>
      </c>
      <c r="J49" s="57">
        <f>COUNTIFS(F6:F3560,"&gt;"&amp;I48,F6:F3560,"&lt;="&amp;I49)</f>
        <v>0</v>
      </c>
    </row>
    <row r="50" spans="1:10" ht="15" customHeight="1" x14ac:dyDescent="0.2">
      <c r="A50" s="19" t="s">
        <v>164</v>
      </c>
      <c r="B50" s="50">
        <v>25.443000000000001</v>
      </c>
      <c r="C50" s="50">
        <v>1371.09</v>
      </c>
      <c r="D50" s="51">
        <v>42910296.258844003</v>
      </c>
      <c r="E50" s="51">
        <v>1712150000</v>
      </c>
      <c r="F50" s="52">
        <f t="shared" si="0"/>
        <v>1.5340141069442609E-3</v>
      </c>
      <c r="G50" s="52">
        <f t="shared" si="1"/>
        <v>1.6046915379674782E-4</v>
      </c>
      <c r="I50" s="56">
        <v>-0.130297</v>
      </c>
      <c r="J50" s="57">
        <f>COUNTIFS(F6:F3560,"&gt;"&amp;I49,F6:F3560,"&lt;="&amp;I50)</f>
        <v>0</v>
      </c>
    </row>
    <row r="51" spans="1:10" ht="15" customHeight="1" x14ac:dyDescent="0.2">
      <c r="A51" s="19" t="s">
        <v>165</v>
      </c>
      <c r="B51" s="50">
        <v>25.943200000000001</v>
      </c>
      <c r="C51" s="50">
        <v>1395.95</v>
      </c>
      <c r="D51" s="51">
        <v>61641132.618183002</v>
      </c>
      <c r="E51" s="51">
        <v>2436927778</v>
      </c>
      <c r="F51" s="52">
        <f t="shared" si="0"/>
        <v>1.9468876835909033E-2</v>
      </c>
      <c r="G51" s="52">
        <f t="shared" si="1"/>
        <v>1.796914314001119E-2</v>
      </c>
      <c r="I51" s="56">
        <v>-0.120546</v>
      </c>
      <c r="J51" s="57">
        <f>COUNTIFS(F6:F3560,"&gt;"&amp;I50,F6:F3560,"&lt;="&amp;I51)</f>
        <v>1</v>
      </c>
    </row>
    <row r="52" spans="1:10" ht="15" customHeight="1" x14ac:dyDescent="0.2">
      <c r="A52" s="19" t="s">
        <v>166</v>
      </c>
      <c r="B52" s="50">
        <v>26.028099999999998</v>
      </c>
      <c r="C52" s="50">
        <v>1394.28</v>
      </c>
      <c r="D52" s="51">
        <v>52872005.016487002</v>
      </c>
      <c r="E52" s="51">
        <v>2501266667</v>
      </c>
      <c r="F52" s="52">
        <f t="shared" si="0"/>
        <v>3.2671907580653849E-3</v>
      </c>
      <c r="G52" s="52">
        <f t="shared" si="1"/>
        <v>-1.1970340792054287E-3</v>
      </c>
      <c r="I52" s="56">
        <v>-0.11079600000000001</v>
      </c>
      <c r="J52" s="57">
        <f>COUNTIFS(F6:F3560,"&gt;"&amp;I51,F6:F3560,"&lt;="&amp;I52)</f>
        <v>0</v>
      </c>
    </row>
    <row r="53" spans="1:10" ht="15" customHeight="1" x14ac:dyDescent="0.2">
      <c r="A53" s="19" t="s">
        <v>167</v>
      </c>
      <c r="B53" s="50">
        <v>26.0868</v>
      </c>
      <c r="C53" s="50">
        <v>1402.6</v>
      </c>
      <c r="D53" s="51">
        <v>61791160.868856996</v>
      </c>
      <c r="E53" s="51">
        <v>2373138889</v>
      </c>
      <c r="F53" s="52">
        <f t="shared" si="0"/>
        <v>2.2527156273494933E-3</v>
      </c>
      <c r="G53" s="52">
        <f t="shared" si="1"/>
        <v>5.9495041200391232E-3</v>
      </c>
      <c r="I53" s="56">
        <v>-0.101045</v>
      </c>
      <c r="J53" s="57">
        <f>COUNTIFS(F6:F3560,"&gt;"&amp;I52,F6:F3560,"&lt;="&amp;I53)</f>
        <v>1</v>
      </c>
    </row>
    <row r="54" spans="1:10" ht="15" customHeight="1" x14ac:dyDescent="0.2">
      <c r="A54" s="19" t="s">
        <v>168</v>
      </c>
      <c r="B54" s="50">
        <v>25.888400000000001</v>
      </c>
      <c r="C54" s="50">
        <v>1404.17</v>
      </c>
      <c r="D54" s="51">
        <v>82638391.942431003</v>
      </c>
      <c r="E54" s="51">
        <v>2868861111</v>
      </c>
      <c r="F54" s="52">
        <f t="shared" si="0"/>
        <v>-7.6344473379943026E-3</v>
      </c>
      <c r="G54" s="52">
        <f t="shared" si="1"/>
        <v>1.1187237741202927E-3</v>
      </c>
      <c r="I54" s="56">
        <v>-9.1294E-2</v>
      </c>
      <c r="J54" s="57">
        <f>COUNTIFS(F6:F3560,"&gt;"&amp;I53,F6:F3560,"&lt;="&amp;I54)</f>
        <v>2</v>
      </c>
    </row>
    <row r="55" spans="1:10" ht="15" customHeight="1" x14ac:dyDescent="0.2">
      <c r="A55" s="19" t="s">
        <v>169</v>
      </c>
      <c r="B55" s="50">
        <v>25.570900000000002</v>
      </c>
      <c r="C55" s="50">
        <v>1409.75</v>
      </c>
      <c r="D55" s="51">
        <v>56409641.435703002</v>
      </c>
      <c r="E55" s="51">
        <v>2184761111</v>
      </c>
      <c r="F55" s="52">
        <f t="shared" si="0"/>
        <v>-1.2340005750257434E-2</v>
      </c>
      <c r="G55" s="52">
        <f t="shared" si="1"/>
        <v>3.9660028103612023E-3</v>
      </c>
      <c r="I55" s="56">
        <v>-8.1543000000000004E-2</v>
      </c>
      <c r="J55" s="57">
        <f>COUNTIFS(F6:F3560,"&gt;"&amp;I54,F6:F3560,"&lt;="&amp;I55)</f>
        <v>0</v>
      </c>
    </row>
    <row r="56" spans="1:10" ht="15" customHeight="1" x14ac:dyDescent="0.2">
      <c r="A56" s="19" t="s">
        <v>170</v>
      </c>
      <c r="B56" s="50">
        <v>25.404</v>
      </c>
      <c r="C56" s="50">
        <v>1405.52</v>
      </c>
      <c r="D56" s="51">
        <v>52341933.454819001</v>
      </c>
      <c r="E56" s="51">
        <v>2052933333</v>
      </c>
      <c r="F56" s="52">
        <f t="shared" si="0"/>
        <v>-6.5483442400164297E-3</v>
      </c>
      <c r="G56" s="52">
        <f t="shared" si="1"/>
        <v>-3.0050426304927035E-3</v>
      </c>
      <c r="I56" s="56">
        <v>-7.1792999999999996E-2</v>
      </c>
      <c r="J56" s="57">
        <f>COUNTIFS(F6:F3560,"&gt;"&amp;I55,F6:F3560,"&lt;="&amp;I56)</f>
        <v>3</v>
      </c>
    </row>
    <row r="57" spans="1:10" ht="15" customHeight="1" x14ac:dyDescent="0.2">
      <c r="A57" s="19" t="s">
        <v>171</v>
      </c>
      <c r="B57" s="50">
        <v>25.342400000000001</v>
      </c>
      <c r="C57" s="50">
        <v>1402.89</v>
      </c>
      <c r="D57" s="51">
        <v>47769299.907601997</v>
      </c>
      <c r="E57" s="51">
        <v>1985327778</v>
      </c>
      <c r="F57" s="52">
        <f t="shared" si="0"/>
        <v>-2.4277596147095327E-3</v>
      </c>
      <c r="G57" s="52">
        <f t="shared" si="1"/>
        <v>-1.8729464492867856E-3</v>
      </c>
      <c r="I57" s="56">
        <v>-6.2042E-2</v>
      </c>
      <c r="J57" s="57">
        <f>COUNTIFS(F6:F3560,"&gt;"&amp;I56,F6:F3560,"&lt;="&amp;I57)</f>
        <v>4</v>
      </c>
    </row>
    <row r="58" spans="1:10" ht="15" customHeight="1" x14ac:dyDescent="0.2">
      <c r="A58" s="19" t="s">
        <v>172</v>
      </c>
      <c r="B58" s="50">
        <v>25.413599999999999</v>
      </c>
      <c r="C58" s="50">
        <v>1392.78</v>
      </c>
      <c r="D58" s="51">
        <v>39979778.829301998</v>
      </c>
      <c r="E58" s="51">
        <v>2078105556</v>
      </c>
      <c r="F58" s="52">
        <f t="shared" si="0"/>
        <v>2.8055814761984567E-3</v>
      </c>
      <c r="G58" s="52">
        <f t="shared" si="1"/>
        <v>-7.2326448201014181E-3</v>
      </c>
      <c r="I58" s="56">
        <v>-5.2290999999999997E-2</v>
      </c>
      <c r="J58" s="57">
        <f>COUNTIFS(F6:F3560,"&gt;"&amp;I57,F6:F3560,"&lt;="&amp;I58)</f>
        <v>7</v>
      </c>
    </row>
    <row r="59" spans="1:10" ht="15" customHeight="1" x14ac:dyDescent="0.2">
      <c r="A59" s="19" t="s">
        <v>173</v>
      </c>
      <c r="B59" s="50">
        <v>25.421500000000002</v>
      </c>
      <c r="C59" s="50">
        <v>1397.11</v>
      </c>
      <c r="D59" s="51">
        <v>45222395.842623003</v>
      </c>
      <c r="E59" s="51">
        <v>1929416667</v>
      </c>
      <c r="F59" s="52">
        <f t="shared" si="0"/>
        <v>3.1080887275128745E-4</v>
      </c>
      <c r="G59" s="52">
        <f t="shared" si="1"/>
        <v>3.1040675271881042E-3</v>
      </c>
      <c r="I59" s="56">
        <v>-4.2541000000000002E-2</v>
      </c>
      <c r="J59" s="57">
        <f>COUNTIFS(F6:F3560,"&gt;"&amp;I58,F6:F3560,"&lt;="&amp;I59)</f>
        <v>19</v>
      </c>
    </row>
    <row r="60" spans="1:10" ht="15" customHeight="1" x14ac:dyDescent="0.2">
      <c r="A60" s="19" t="s">
        <v>174</v>
      </c>
      <c r="B60" s="50">
        <v>25.8797</v>
      </c>
      <c r="C60" s="50">
        <v>1416.51</v>
      </c>
      <c r="D60" s="51">
        <v>46281522.314631</v>
      </c>
      <c r="E60" s="51">
        <v>1987194444</v>
      </c>
      <c r="F60" s="52">
        <f t="shared" si="0"/>
        <v>1.7863604927638128E-2</v>
      </c>
      <c r="G60" s="52">
        <f t="shared" si="1"/>
        <v>1.3790282585130287E-2</v>
      </c>
      <c r="I60" s="56">
        <v>-3.279E-2</v>
      </c>
      <c r="J60" s="57">
        <f>COUNTIFS(F6:F3560,"&gt;"&amp;I59,F6:F3560,"&lt;="&amp;I60)</f>
        <v>48</v>
      </c>
    </row>
    <row r="61" spans="1:10" ht="15" customHeight="1" x14ac:dyDescent="0.2">
      <c r="A61" s="19" t="s">
        <v>175</v>
      </c>
      <c r="B61" s="50">
        <v>25.823899999999998</v>
      </c>
      <c r="C61" s="50">
        <v>1412.52</v>
      </c>
      <c r="D61" s="51">
        <v>45677611.970755003</v>
      </c>
      <c r="E61" s="51">
        <v>1952022222</v>
      </c>
      <c r="F61" s="52">
        <f t="shared" si="0"/>
        <v>-2.1584578893567036E-3</v>
      </c>
      <c r="G61" s="52">
        <f t="shared" si="1"/>
        <v>-2.8207566873393645E-3</v>
      </c>
      <c r="I61" s="56">
        <v>-2.3039E-2</v>
      </c>
      <c r="J61" s="57">
        <f>COUNTIFS(F6:F3560,"&gt;"&amp;I60,F6:F3560,"&lt;="&amp;I61)</f>
        <v>118</v>
      </c>
    </row>
    <row r="62" spans="1:10" ht="15" customHeight="1" x14ac:dyDescent="0.2">
      <c r="A62" s="19" t="s">
        <v>176</v>
      </c>
      <c r="B62" s="50">
        <v>25.562200000000001</v>
      </c>
      <c r="C62" s="50">
        <v>1405.54</v>
      </c>
      <c r="D62" s="51">
        <v>52065242.529204004</v>
      </c>
      <c r="E62" s="51">
        <v>2162666667</v>
      </c>
      <c r="F62" s="52">
        <f t="shared" si="0"/>
        <v>-1.0185721920416444E-2</v>
      </c>
      <c r="G62" s="52">
        <f t="shared" si="1"/>
        <v>-4.9537726478604228E-3</v>
      </c>
      <c r="I62" s="56">
        <v>-1.3289E-2</v>
      </c>
      <c r="J62" s="57">
        <f>COUNTIFS(F6:F3560,"&gt;"&amp;I61,F6:F3560,"&lt;="&amp;I62)</f>
        <v>268</v>
      </c>
    </row>
    <row r="63" spans="1:10" ht="15" customHeight="1" x14ac:dyDescent="0.2">
      <c r="A63" s="19" t="s">
        <v>177</v>
      </c>
      <c r="B63" s="50">
        <v>25.508299999999998</v>
      </c>
      <c r="C63" s="50">
        <v>1403.28</v>
      </c>
      <c r="D63" s="51">
        <v>46639966.136044003</v>
      </c>
      <c r="E63" s="51">
        <v>2128888889</v>
      </c>
      <c r="F63" s="52">
        <f t="shared" si="0"/>
        <v>-2.110808392816829E-3</v>
      </c>
      <c r="G63" s="52">
        <f t="shared" si="1"/>
        <v>-1.6092170290043855E-3</v>
      </c>
      <c r="I63" s="56">
        <v>-3.5379999999999999E-3</v>
      </c>
      <c r="J63" s="57">
        <f>COUNTIFS(F6:F3560,"&gt;"&amp;I62,F6:F3560,"&lt;="&amp;I63)</f>
        <v>759</v>
      </c>
    </row>
    <row r="64" spans="1:10" ht="15" customHeight="1" x14ac:dyDescent="0.2">
      <c r="A64" s="19" t="s">
        <v>178</v>
      </c>
      <c r="B64" s="50">
        <v>25.621600000000001</v>
      </c>
      <c r="C64" s="50">
        <v>1408.47</v>
      </c>
      <c r="D64" s="51">
        <v>39979804.424750999</v>
      </c>
      <c r="E64" s="51">
        <v>2042716667</v>
      </c>
      <c r="F64" s="52">
        <f t="shared" si="0"/>
        <v>4.4318563285681159E-3</v>
      </c>
      <c r="G64" s="52">
        <f t="shared" si="1"/>
        <v>3.6916552995440582E-3</v>
      </c>
      <c r="I64" s="56">
        <v>6.2129999999999998E-3</v>
      </c>
      <c r="J64" s="57">
        <f>COUNTIFS(F6:F3560,"&gt;"&amp;I63,F6:F3560,"&lt;="&amp;I64)</f>
        <v>1172</v>
      </c>
    </row>
    <row r="65" spans="1:10" ht="15" customHeight="1" x14ac:dyDescent="0.2">
      <c r="A65" s="19" t="s">
        <v>179</v>
      </c>
      <c r="B65" s="50">
        <v>25.645299999999999</v>
      </c>
      <c r="C65" s="50">
        <v>1419.04</v>
      </c>
      <c r="D65" s="51">
        <v>45143946.807700001</v>
      </c>
      <c r="E65" s="51">
        <v>1984450000</v>
      </c>
      <c r="F65" s="52">
        <f t="shared" si="0"/>
        <v>9.2457323100465219E-4</v>
      </c>
      <c r="G65" s="52">
        <f t="shared" si="1"/>
        <v>7.4765777930732918E-3</v>
      </c>
      <c r="I65" s="56">
        <v>1.5963000000000001E-2</v>
      </c>
      <c r="J65" s="57">
        <f>COUNTIFS(F6:F3560,"&gt;"&amp;I64,F6:F3560,"&lt;="&amp;I65)</f>
        <v>691</v>
      </c>
    </row>
    <row r="66" spans="1:10" ht="15" customHeight="1" x14ac:dyDescent="0.2">
      <c r="A66" s="19" t="s">
        <v>180</v>
      </c>
      <c r="B66" s="50">
        <v>25.363800000000001</v>
      </c>
      <c r="C66" s="50">
        <v>1413.38</v>
      </c>
      <c r="D66" s="51">
        <v>53830852.604924999</v>
      </c>
      <c r="E66" s="51">
        <v>2123383333</v>
      </c>
      <c r="F66" s="52">
        <f t="shared" si="0"/>
        <v>-1.1037358344502781E-2</v>
      </c>
      <c r="G66" s="52">
        <f t="shared" si="1"/>
        <v>-3.9965877474346378E-3</v>
      </c>
      <c r="I66" s="56">
        <v>2.5714000000000001E-2</v>
      </c>
      <c r="J66" s="57">
        <f>COUNTIFS(F6:F3560,"&gt;"&amp;I65,F6:F3560,"&lt;="&amp;I66)</f>
        <v>308</v>
      </c>
    </row>
    <row r="67" spans="1:10" ht="15" customHeight="1" x14ac:dyDescent="0.2">
      <c r="A67" s="19" t="s">
        <v>181</v>
      </c>
      <c r="B67" s="50">
        <v>24.7866</v>
      </c>
      <c r="C67" s="50">
        <v>1398.96</v>
      </c>
      <c r="D67" s="51">
        <v>62267755.341870002</v>
      </c>
      <c r="E67" s="51">
        <v>2187938889</v>
      </c>
      <c r="F67" s="52">
        <f t="shared" si="0"/>
        <v>-2.3019776051644434E-2</v>
      </c>
      <c r="G67" s="52">
        <f t="shared" si="1"/>
        <v>-1.0254895475303529E-2</v>
      </c>
      <c r="I67" s="56">
        <v>3.5465000000000003E-2</v>
      </c>
      <c r="J67" s="57">
        <f>COUNTIFS(F6:F3560,"&gt;"&amp;I66,F6:F3560,"&lt;="&amp;I67)</f>
        <v>89</v>
      </c>
    </row>
    <row r="68" spans="1:10" ht="15" customHeight="1" x14ac:dyDescent="0.2">
      <c r="A68" s="19" t="s">
        <v>182</v>
      </c>
      <c r="B68" s="50">
        <v>25.027899999999999</v>
      </c>
      <c r="C68" s="50">
        <v>1398.08</v>
      </c>
      <c r="D68" s="51">
        <v>64374083.876955003</v>
      </c>
      <c r="E68" s="51">
        <v>1835411111</v>
      </c>
      <c r="F68" s="52">
        <f t="shared" si="0"/>
        <v>9.6880180396806681E-3</v>
      </c>
      <c r="G68" s="52">
        <f t="shared" si="1"/>
        <v>-6.2923664233309191E-4</v>
      </c>
      <c r="I68" s="56">
        <v>4.5215999999999999E-2</v>
      </c>
      <c r="J68" s="57">
        <f>COUNTIFS(F6:F3560,"&gt;"&amp;I67,F6:F3560,"&lt;="&amp;I68)</f>
        <v>31</v>
      </c>
    </row>
    <row r="69" spans="1:10" ht="15" customHeight="1" x14ac:dyDescent="0.2">
      <c r="A69" s="19" t="s">
        <v>183</v>
      </c>
      <c r="B69" s="50">
        <v>24.698899999999998</v>
      </c>
      <c r="C69" s="50">
        <v>1382.2</v>
      </c>
      <c r="D69" s="51">
        <v>33937800.509439997</v>
      </c>
      <c r="E69" s="51">
        <v>1927211111</v>
      </c>
      <c r="F69" s="52">
        <f t="shared" si="0"/>
        <v>-1.3232494373833368E-2</v>
      </c>
      <c r="G69" s="52">
        <f t="shared" si="1"/>
        <v>-1.1423434105777059E-2</v>
      </c>
      <c r="I69" s="56">
        <v>5.4966000000000001E-2</v>
      </c>
      <c r="J69" s="57">
        <f>COUNTIFS(F6:F3560,"&gt;"&amp;I68,F6:F3560,"&lt;="&amp;I69)</f>
        <v>9</v>
      </c>
    </row>
    <row r="70" spans="1:10" ht="15" customHeight="1" x14ac:dyDescent="0.2">
      <c r="A70" s="19" t="s">
        <v>184</v>
      </c>
      <c r="B70" s="50">
        <v>24.1967</v>
      </c>
      <c r="C70" s="50">
        <v>1358.59</v>
      </c>
      <c r="D70" s="51">
        <v>68170836.360990003</v>
      </c>
      <c r="E70" s="51">
        <v>2573183333</v>
      </c>
      <c r="F70" s="52">
        <f t="shared" ref="F70:F133" si="2">LN(B70/B69)</f>
        <v>-2.0542448001378503E-2</v>
      </c>
      <c r="G70" s="52">
        <f t="shared" ref="G70:G133" si="3">LN(C70/C69)</f>
        <v>-1.7229035445361768E-2</v>
      </c>
      <c r="I70" s="56">
        <v>6.4716999999999997E-2</v>
      </c>
      <c r="J70" s="57">
        <f>COUNTIFS(F6:F3560,"&gt;"&amp;I69,F6:F3560,"&lt;="&amp;I70)</f>
        <v>9</v>
      </c>
    </row>
    <row r="71" spans="1:10" ht="15" customHeight="1" x14ac:dyDescent="0.2">
      <c r="A71" s="19" t="s">
        <v>185</v>
      </c>
      <c r="B71" s="50">
        <v>24.095199999999998</v>
      </c>
      <c r="C71" s="50">
        <v>1368.71</v>
      </c>
      <c r="D71" s="51">
        <v>54165384.131760001</v>
      </c>
      <c r="E71" s="51">
        <v>2079466667</v>
      </c>
      <c r="F71" s="52">
        <f t="shared" si="2"/>
        <v>-4.203609692786465E-3</v>
      </c>
      <c r="G71" s="52">
        <f t="shared" si="3"/>
        <v>7.4212931815645089E-3</v>
      </c>
      <c r="I71" s="56">
        <v>7.4468000000000006E-2</v>
      </c>
      <c r="J71" s="57">
        <f>COUNTIFS(F6:F3560,"&gt;"&amp;I70,F6:F3560,"&lt;="&amp;I71)</f>
        <v>8</v>
      </c>
    </row>
    <row r="72" spans="1:10" ht="15" customHeight="1" x14ac:dyDescent="0.2">
      <c r="A72" s="19" t="s">
        <v>186</v>
      </c>
      <c r="B72" s="50">
        <v>24.603100000000001</v>
      </c>
      <c r="C72" s="50">
        <v>1387.57</v>
      </c>
      <c r="D72" s="51">
        <v>48233862.470789999</v>
      </c>
      <c r="E72" s="51">
        <v>2010155556</v>
      </c>
      <c r="F72" s="52">
        <f t="shared" si="2"/>
        <v>2.0859800723973271E-2</v>
      </c>
      <c r="G72" s="52">
        <f t="shared" si="3"/>
        <v>1.3685325404961968E-2</v>
      </c>
      <c r="I72" s="56">
        <v>8.4218000000000001E-2</v>
      </c>
      <c r="J72" s="57">
        <f>COUNTIFS(F6:F3560,"&gt;"&amp;I71,F6:F3560,"&lt;="&amp;I72)</f>
        <v>2</v>
      </c>
    </row>
    <row r="73" spans="1:10" ht="15" customHeight="1" x14ac:dyDescent="0.2">
      <c r="A73" s="19" t="s">
        <v>187</v>
      </c>
      <c r="B73" s="50">
        <v>24.470300000000002</v>
      </c>
      <c r="C73" s="50">
        <v>1370.26</v>
      </c>
      <c r="D73" s="51">
        <v>50053462.568014003</v>
      </c>
      <c r="E73" s="51">
        <v>2017311111</v>
      </c>
      <c r="F73" s="52">
        <f t="shared" si="2"/>
        <v>-5.4123139695755424E-3</v>
      </c>
      <c r="G73" s="52">
        <f t="shared" si="3"/>
        <v>-1.2553512960530443E-2</v>
      </c>
      <c r="I73" s="56">
        <v>9.3968999999999997E-2</v>
      </c>
      <c r="J73" s="57">
        <f>COUNTIFS(F6:F3560,"&gt;"&amp;I72,F6:F3560,"&lt;="&amp;I73)</f>
        <v>1</v>
      </c>
    </row>
    <row r="74" spans="1:10" ht="15" customHeight="1" x14ac:dyDescent="0.2">
      <c r="A74" s="19" t="s">
        <v>188</v>
      </c>
      <c r="B74" s="50">
        <v>24.683</v>
      </c>
      <c r="C74" s="50">
        <v>1369.57</v>
      </c>
      <c r="D74" s="51">
        <v>48007804.467265002</v>
      </c>
      <c r="E74" s="51">
        <v>1985988889</v>
      </c>
      <c r="F74" s="52">
        <f t="shared" si="2"/>
        <v>8.6546102760642913E-3</v>
      </c>
      <c r="G74" s="52">
        <f t="shared" si="3"/>
        <v>-5.036808959588716E-4</v>
      </c>
      <c r="I74" s="56">
        <v>0.10372000000000001</v>
      </c>
      <c r="J74" s="57">
        <f>COUNTIFS(F6:F3560,"&gt;"&amp;I73,F6:F3560,"&lt;="&amp;I74)</f>
        <v>3</v>
      </c>
    </row>
    <row r="75" spans="1:10" ht="15" customHeight="1" x14ac:dyDescent="0.2">
      <c r="A75" s="19" t="s">
        <v>189</v>
      </c>
      <c r="B75" s="50">
        <v>24.974299999999999</v>
      </c>
      <c r="C75" s="50">
        <v>1390.78</v>
      </c>
      <c r="D75" s="51">
        <v>43268741.104075998</v>
      </c>
      <c r="E75" s="51">
        <v>1920111111</v>
      </c>
      <c r="F75" s="52">
        <f t="shared" si="2"/>
        <v>1.1732548548209957E-2</v>
      </c>
      <c r="G75" s="52">
        <f t="shared" si="3"/>
        <v>1.5367918875513488E-2</v>
      </c>
      <c r="I75" s="56">
        <v>0.11347</v>
      </c>
      <c r="J75" s="57">
        <f>COUNTIFS(F6:F3560,"&gt;"&amp;I74,F6:F3560,"&lt;="&amp;I75)</f>
        <v>0</v>
      </c>
    </row>
    <row r="76" spans="1:10" ht="15" customHeight="1" x14ac:dyDescent="0.2">
      <c r="A76" s="19" t="s">
        <v>190</v>
      </c>
      <c r="B76" s="50">
        <v>24.729900000000001</v>
      </c>
      <c r="C76" s="50">
        <v>1385.14</v>
      </c>
      <c r="D76" s="51">
        <v>51066691.276454002</v>
      </c>
      <c r="E76" s="51">
        <v>1923966667</v>
      </c>
      <c r="F76" s="52">
        <f t="shared" si="2"/>
        <v>-9.8342582603013432E-3</v>
      </c>
      <c r="G76" s="52">
        <f t="shared" si="3"/>
        <v>-4.0635232720984613E-3</v>
      </c>
      <c r="I76" s="56">
        <v>0.123221</v>
      </c>
      <c r="J76" s="57">
        <f>COUNTIFS(F6:F3560,"&gt;"&amp;I75,F6:F3560,"&lt;="&amp;I76)</f>
        <v>0</v>
      </c>
    </row>
    <row r="77" spans="1:10" ht="15" customHeight="1" x14ac:dyDescent="0.2">
      <c r="A77" s="19" t="s">
        <v>191</v>
      </c>
      <c r="B77" s="50">
        <v>24.625399999999999</v>
      </c>
      <c r="C77" s="50">
        <v>1376.92</v>
      </c>
      <c r="D77" s="51">
        <v>68889214.682908997</v>
      </c>
      <c r="E77" s="51">
        <v>2322233333</v>
      </c>
      <c r="F77" s="52">
        <f t="shared" si="2"/>
        <v>-4.2346072724472111E-3</v>
      </c>
      <c r="G77" s="52">
        <f t="shared" si="3"/>
        <v>-5.952096817443118E-3</v>
      </c>
      <c r="I77" s="56">
        <v>0.13297200000000001</v>
      </c>
      <c r="J77" s="57">
        <f>COUNTIFS(F6:F3560,"&gt;"&amp;I76,F6:F3560,"&lt;="&amp;I77)</f>
        <v>1</v>
      </c>
    </row>
    <row r="78" spans="1:10" ht="15" customHeight="1" x14ac:dyDescent="0.2">
      <c r="A78" s="19" t="s">
        <v>192</v>
      </c>
      <c r="B78" s="50">
        <v>25.745999999999999</v>
      </c>
      <c r="C78" s="50">
        <v>1378.53</v>
      </c>
      <c r="D78" s="51">
        <v>133535785.68853</v>
      </c>
      <c r="E78" s="51">
        <v>2129622222</v>
      </c>
      <c r="F78" s="52">
        <f t="shared" si="2"/>
        <v>4.4500844656394409E-2</v>
      </c>
      <c r="G78" s="52">
        <f t="shared" si="3"/>
        <v>1.1685932847406632E-3</v>
      </c>
      <c r="I78" s="4" t="s">
        <v>193</v>
      </c>
      <c r="J78" s="4">
        <f>COUNTIF(F6:F3560,"&gt;"&amp;I77)</f>
        <v>0</v>
      </c>
    </row>
    <row r="79" spans="1:10" ht="15" customHeight="1" x14ac:dyDescent="0.2">
      <c r="A79" s="19" t="s">
        <v>194</v>
      </c>
      <c r="B79" s="50">
        <v>25.508299999999998</v>
      </c>
      <c r="C79" s="50">
        <v>1366.94</v>
      </c>
      <c r="D79" s="51">
        <v>81451516.524524003</v>
      </c>
      <c r="E79" s="51">
        <v>2030477778</v>
      </c>
      <c r="F79" s="52">
        <f t="shared" si="2"/>
        <v>-9.275385837425848E-3</v>
      </c>
      <c r="G79" s="52">
        <f t="shared" si="3"/>
        <v>-8.4430489857261516E-3</v>
      </c>
    </row>
    <row r="80" spans="1:10" ht="15" customHeight="1" x14ac:dyDescent="0.2">
      <c r="A80" s="19" t="s">
        <v>195</v>
      </c>
      <c r="B80" s="50">
        <v>25.347300000000001</v>
      </c>
      <c r="C80" s="50">
        <v>1371.97</v>
      </c>
      <c r="D80" s="51">
        <v>51417444.17661</v>
      </c>
      <c r="E80" s="51">
        <v>2009500000</v>
      </c>
      <c r="F80" s="52">
        <f t="shared" si="2"/>
        <v>-6.3316739110372278E-3</v>
      </c>
      <c r="G80" s="52">
        <f t="shared" si="3"/>
        <v>3.6729981305998567E-3</v>
      </c>
    </row>
    <row r="81" spans="1:11" ht="15" customHeight="1" x14ac:dyDescent="0.2">
      <c r="A81" s="19" t="s">
        <v>196</v>
      </c>
      <c r="B81" s="50">
        <v>25.570900000000002</v>
      </c>
      <c r="C81" s="50">
        <v>1390.69</v>
      </c>
      <c r="D81" s="51">
        <v>78696143.650268003</v>
      </c>
      <c r="E81" s="51">
        <v>2221350000</v>
      </c>
      <c r="F81" s="52">
        <f t="shared" si="2"/>
        <v>8.7827706917653851E-3</v>
      </c>
      <c r="G81" s="52">
        <f t="shared" si="3"/>
        <v>1.3552363677729872E-2</v>
      </c>
    </row>
    <row r="82" spans="1:11" ht="15" customHeight="1" x14ac:dyDescent="0.2">
      <c r="A82" s="19" t="s">
        <v>197</v>
      </c>
      <c r="B82" s="50">
        <v>25.4986</v>
      </c>
      <c r="C82" s="50">
        <v>1399.98</v>
      </c>
      <c r="D82" s="51">
        <v>50761144.038856998</v>
      </c>
      <c r="E82" s="51">
        <v>2241500000</v>
      </c>
      <c r="F82" s="52">
        <f t="shared" si="2"/>
        <v>-2.8314374843165422E-3</v>
      </c>
      <c r="G82" s="52">
        <f t="shared" si="3"/>
        <v>6.6579239517370777E-3</v>
      </c>
    </row>
    <row r="83" spans="1:11" ht="15" customHeight="1" x14ac:dyDescent="0.2">
      <c r="A83" s="19" t="s">
        <v>198</v>
      </c>
      <c r="B83" s="50">
        <v>25.3932</v>
      </c>
      <c r="C83" s="50">
        <v>1403.36</v>
      </c>
      <c r="D83" s="51">
        <v>52158230.804378003</v>
      </c>
      <c r="E83" s="51">
        <v>2025461111</v>
      </c>
      <c r="F83" s="52">
        <f t="shared" si="2"/>
        <v>-4.1421270498393425E-3</v>
      </c>
      <c r="G83" s="52">
        <f t="shared" si="3"/>
        <v>2.4114104160489723E-3</v>
      </c>
    </row>
    <row r="84" spans="1:11" ht="15" customHeight="1" x14ac:dyDescent="0.2">
      <c r="A84" s="19" t="s">
        <v>199</v>
      </c>
      <c r="B84" s="50">
        <v>25.421500000000002</v>
      </c>
      <c r="C84" s="50">
        <v>1397.91</v>
      </c>
      <c r="D84" s="51">
        <v>44955082.066607997</v>
      </c>
      <c r="E84" s="51">
        <v>1985561111</v>
      </c>
      <c r="F84" s="52">
        <f t="shared" si="2"/>
        <v>1.1138510283795386E-3</v>
      </c>
      <c r="G84" s="52">
        <f t="shared" si="3"/>
        <v>-3.8910971640511403E-3</v>
      </c>
      <c r="I84" s="2"/>
    </row>
    <row r="85" spans="1:11" ht="15" customHeight="1" x14ac:dyDescent="0.2">
      <c r="A85" s="19" t="s">
        <v>200</v>
      </c>
      <c r="B85" s="50">
        <v>25.420500000000001</v>
      </c>
      <c r="C85" s="50">
        <v>1405.82</v>
      </c>
      <c r="D85" s="51">
        <v>55195282.645830996</v>
      </c>
      <c r="E85" s="51">
        <v>2115527778</v>
      </c>
      <c r="F85" s="52">
        <f t="shared" si="2"/>
        <v>-3.9337555569461936E-5</v>
      </c>
      <c r="G85" s="52">
        <f t="shared" si="3"/>
        <v>5.6424983763752054E-3</v>
      </c>
      <c r="I85" s="1" t="s">
        <v>201</v>
      </c>
    </row>
    <row r="86" spans="1:11" ht="15" customHeight="1" x14ac:dyDescent="0.2">
      <c r="A86" s="19" t="s">
        <v>202</v>
      </c>
      <c r="B86" s="50">
        <v>25.255500000000001</v>
      </c>
      <c r="C86" s="50">
        <v>1402.31</v>
      </c>
      <c r="D86" s="51">
        <v>47077115.970711999</v>
      </c>
      <c r="E86" s="51">
        <v>2113255556</v>
      </c>
      <c r="F86" s="52">
        <f t="shared" si="2"/>
        <v>-6.5119813355720823E-3</v>
      </c>
      <c r="G86" s="52">
        <f t="shared" si="3"/>
        <v>-2.4998855665210461E-3</v>
      </c>
    </row>
    <row r="87" spans="1:11" ht="15" customHeight="1" x14ac:dyDescent="0.2">
      <c r="A87" s="19" t="s">
        <v>203</v>
      </c>
      <c r="B87" s="50">
        <v>25.217300000000002</v>
      </c>
      <c r="C87" s="50">
        <v>1391.57</v>
      </c>
      <c r="D87" s="51">
        <v>39669317.265023001</v>
      </c>
      <c r="E87" s="51">
        <v>2224950000</v>
      </c>
      <c r="F87" s="52">
        <f t="shared" si="2"/>
        <v>-1.513686868721615E-3</v>
      </c>
      <c r="G87" s="52">
        <f t="shared" si="3"/>
        <v>-7.688270722404974E-3</v>
      </c>
      <c r="I87" s="58" t="s">
        <v>204</v>
      </c>
    </row>
    <row r="88" spans="1:11" ht="15" customHeight="1" x14ac:dyDescent="0.2">
      <c r="A88" s="19" t="s">
        <v>205</v>
      </c>
      <c r="B88" s="50">
        <v>24.604099999999999</v>
      </c>
      <c r="C88" s="50">
        <v>1369.1</v>
      </c>
      <c r="D88" s="51">
        <v>72944675.752177</v>
      </c>
      <c r="E88" s="51">
        <v>2208411111</v>
      </c>
      <c r="F88" s="52">
        <f t="shared" si="2"/>
        <v>-2.4617171197467591E-2</v>
      </c>
      <c r="G88" s="52">
        <f t="shared" si="3"/>
        <v>-1.6279016486759133E-2</v>
      </c>
      <c r="I88" s="4" t="s">
        <v>206</v>
      </c>
      <c r="J88" s="59">
        <f>AVERAGE(F6:F3560)</f>
        <v>8.1914687038337484E-4</v>
      </c>
    </row>
    <row r="89" spans="1:11" ht="15" customHeight="1" x14ac:dyDescent="0.2">
      <c r="A89" s="19" t="s">
        <v>207</v>
      </c>
      <c r="B89" s="50">
        <v>24.338200000000001</v>
      </c>
      <c r="C89" s="50">
        <v>1369.58</v>
      </c>
      <c r="D89" s="51">
        <v>61252447.258954003</v>
      </c>
      <c r="E89" s="51">
        <v>1977438889</v>
      </c>
      <c r="F89" s="52">
        <f t="shared" si="2"/>
        <v>-1.0865963234690194E-2</v>
      </c>
      <c r="G89" s="52">
        <f t="shared" si="3"/>
        <v>3.5053383740709244E-4</v>
      </c>
      <c r="I89" s="4" t="s">
        <v>208</v>
      </c>
      <c r="J89" s="59">
        <f>STDEV(F6:F3560)</f>
        <v>1.6389842553674778E-2</v>
      </c>
    </row>
    <row r="90" spans="1:11" ht="15" customHeight="1" x14ac:dyDescent="0.2">
      <c r="A90" s="19" t="s">
        <v>209</v>
      </c>
      <c r="B90" s="50">
        <v>24.222100000000001</v>
      </c>
      <c r="C90" s="50">
        <v>1363.72</v>
      </c>
      <c r="D90" s="51">
        <v>59950762.931589998</v>
      </c>
      <c r="E90" s="51">
        <v>2367594444</v>
      </c>
      <c r="F90" s="52">
        <f t="shared" si="2"/>
        <v>-4.7816929143681833E-3</v>
      </c>
      <c r="G90" s="52">
        <f t="shared" si="3"/>
        <v>-4.2878637386193951E-3</v>
      </c>
      <c r="I90" s="4" t="s">
        <v>210</v>
      </c>
      <c r="J90" s="23">
        <f>B3560</f>
        <v>401.72</v>
      </c>
    </row>
    <row r="91" spans="1:11" ht="15" customHeight="1" x14ac:dyDescent="0.2">
      <c r="A91" s="19" t="s">
        <v>211</v>
      </c>
      <c r="B91" s="50">
        <v>24.4312</v>
      </c>
      <c r="C91" s="50">
        <v>1354.58</v>
      </c>
      <c r="D91" s="51">
        <v>63347673.511012003</v>
      </c>
      <c r="E91" s="51">
        <v>2382522222</v>
      </c>
      <c r="F91" s="52">
        <f t="shared" si="2"/>
        <v>8.5955644292318376E-3</v>
      </c>
      <c r="G91" s="52">
        <f t="shared" si="3"/>
        <v>-6.7248165728184027E-3</v>
      </c>
      <c r="I91" s="4" t="s">
        <v>212</v>
      </c>
      <c r="J91" s="4">
        <v>1</v>
      </c>
    </row>
    <row r="92" spans="1:11" ht="15" customHeight="1" x14ac:dyDescent="0.2">
      <c r="A92" s="19" t="s">
        <v>213</v>
      </c>
      <c r="B92" s="50">
        <v>24.412500000000001</v>
      </c>
      <c r="C92" s="50">
        <v>1357.99</v>
      </c>
      <c r="D92" s="51">
        <v>55090849.108580001</v>
      </c>
      <c r="E92" s="51">
        <v>2071105556</v>
      </c>
      <c r="F92" s="52">
        <f t="shared" si="2"/>
        <v>-7.6570779501404073E-4</v>
      </c>
      <c r="G92" s="52">
        <f t="shared" si="3"/>
        <v>2.5142221555989205E-3</v>
      </c>
    </row>
    <row r="93" spans="1:11" ht="15" customHeight="1" x14ac:dyDescent="0.2">
      <c r="A93" s="19" t="s">
        <v>214</v>
      </c>
      <c r="B93" s="50">
        <v>24.749700000000001</v>
      </c>
      <c r="C93" s="50">
        <v>1353.39</v>
      </c>
      <c r="D93" s="51">
        <v>56067481.440513</v>
      </c>
      <c r="E93" s="51">
        <v>2149483333</v>
      </c>
      <c r="F93" s="52">
        <f t="shared" si="2"/>
        <v>1.3718071526318269E-2</v>
      </c>
      <c r="G93" s="52">
        <f t="shared" si="3"/>
        <v>-3.3931093490318499E-3</v>
      </c>
      <c r="I93" s="46" t="s">
        <v>215</v>
      </c>
      <c r="J93" s="46" t="s">
        <v>216</v>
      </c>
      <c r="K93" s="46" t="s">
        <v>217</v>
      </c>
    </row>
    <row r="94" spans="1:11" ht="15" customHeight="1" x14ac:dyDescent="0.2">
      <c r="A94" s="19" t="s">
        <v>218</v>
      </c>
      <c r="B94" s="50">
        <v>24.3626</v>
      </c>
      <c r="C94" s="50">
        <v>1338.35</v>
      </c>
      <c r="D94" s="51">
        <v>51021469.232804</v>
      </c>
      <c r="E94" s="51">
        <v>2048955556</v>
      </c>
      <c r="F94" s="52">
        <f t="shared" si="2"/>
        <v>-1.5764198234799447E-2</v>
      </c>
      <c r="G94" s="52">
        <f t="shared" si="3"/>
        <v>-1.1175044036911441E-2</v>
      </c>
      <c r="I94" s="4">
        <v>0</v>
      </c>
      <c r="J94" s="4"/>
      <c r="K94" s="23">
        <f>J90</f>
        <v>401.72</v>
      </c>
    </row>
    <row r="95" spans="1:11" ht="15" customHeight="1" x14ac:dyDescent="0.2">
      <c r="A95" s="19" t="s">
        <v>219</v>
      </c>
      <c r="B95" s="50">
        <v>24.146999999999998</v>
      </c>
      <c r="C95" s="50">
        <v>1330.66</v>
      </c>
      <c r="D95" s="51">
        <v>77344894.243048996</v>
      </c>
      <c r="E95" s="51">
        <v>2285577778</v>
      </c>
      <c r="F95" s="52">
        <f t="shared" si="2"/>
        <v>-8.8890207146097629E-3</v>
      </c>
      <c r="G95" s="52">
        <f t="shared" si="3"/>
        <v>-5.7624522046803815E-3</v>
      </c>
      <c r="I95" s="4">
        <v>1</v>
      </c>
      <c r="J95" s="48">
        <f t="shared" ref="J95:J158" ca="1" si="4">NORMINV(RAND(),0,1)</f>
        <v>-1.7648914885827043</v>
      </c>
      <c r="K95" s="23">
        <f ca="1">K94*EXP(J88*J91+J89*J95*SQRT(J91))</f>
        <v>390.58600244780604</v>
      </c>
    </row>
    <row r="96" spans="1:11" ht="15" customHeight="1" x14ac:dyDescent="0.2">
      <c r="A96" s="19" t="s">
        <v>220</v>
      </c>
      <c r="B96" s="50">
        <v>23.898599999999998</v>
      </c>
      <c r="C96" s="50">
        <v>1324.8</v>
      </c>
      <c r="D96" s="51">
        <v>75146390.344329</v>
      </c>
      <c r="E96" s="51">
        <v>2378011111</v>
      </c>
      <c r="F96" s="52">
        <f t="shared" si="2"/>
        <v>-1.0340268963822442E-2</v>
      </c>
      <c r="G96" s="52">
        <f t="shared" si="3"/>
        <v>-4.4135550996594808E-3</v>
      </c>
      <c r="I96" s="4">
        <v>2</v>
      </c>
      <c r="J96" s="48">
        <f t="shared" ca="1" si="4"/>
        <v>8.3978031395281622E-2</v>
      </c>
      <c r="K96" s="23">
        <f ca="1">K95*EXP(J88*J91+J89*J96*SQRT(J91))</f>
        <v>391.44448920660147</v>
      </c>
    </row>
    <row r="97" spans="1:11" ht="15" customHeight="1" x14ac:dyDescent="0.2">
      <c r="A97" s="19" t="s">
        <v>221</v>
      </c>
      <c r="B97" s="50">
        <v>23.757100000000001</v>
      </c>
      <c r="C97" s="50">
        <v>1304.8599999999999</v>
      </c>
      <c r="D97" s="51">
        <v>47870208.439277001</v>
      </c>
      <c r="E97" s="51">
        <v>2591266667</v>
      </c>
      <c r="F97" s="52">
        <f t="shared" si="2"/>
        <v>-5.9384466426735732E-3</v>
      </c>
      <c r="G97" s="52">
        <f t="shared" si="3"/>
        <v>-1.516574932256603E-2</v>
      </c>
      <c r="I97" s="4">
        <v>3</v>
      </c>
      <c r="J97" s="48">
        <f t="shared" ca="1" si="4"/>
        <v>1.0828951576258501</v>
      </c>
      <c r="K97" s="23">
        <f ca="1">K96*EXP(J88*J91+J89*J97*SQRT(J91))</f>
        <v>398.78058101630535</v>
      </c>
    </row>
    <row r="98" spans="1:11" ht="15" customHeight="1" x14ac:dyDescent="0.2">
      <c r="A98" s="19" t="s">
        <v>222</v>
      </c>
      <c r="B98" s="50">
        <v>23.3948</v>
      </c>
      <c r="C98" s="50">
        <v>1295.22</v>
      </c>
      <c r="D98" s="51">
        <v>70300442.423455998</v>
      </c>
      <c r="E98" s="51">
        <v>2506927778</v>
      </c>
      <c r="F98" s="52">
        <f t="shared" si="2"/>
        <v>-1.536765772679341E-2</v>
      </c>
      <c r="G98" s="52">
        <f t="shared" si="3"/>
        <v>-7.4151904335883496E-3</v>
      </c>
      <c r="I98" s="4">
        <v>4</v>
      </c>
      <c r="J98" s="48">
        <f t="shared" ca="1" si="4"/>
        <v>1.168559305774032</v>
      </c>
      <c r="K98" s="23">
        <f ca="1">K97*EXP(J88*J91+J89*J98*SQRT(J91))</f>
        <v>406.82494944069998</v>
      </c>
    </row>
    <row r="99" spans="1:11" ht="15" customHeight="1" x14ac:dyDescent="0.2">
      <c r="A99" s="19" t="s">
        <v>223</v>
      </c>
      <c r="B99" s="50">
        <v>23.777699999999999</v>
      </c>
      <c r="C99" s="50">
        <v>1315.99</v>
      </c>
      <c r="D99" s="51">
        <v>48524227.510396004</v>
      </c>
      <c r="E99" s="51">
        <v>2103750000</v>
      </c>
      <c r="F99" s="52">
        <f t="shared" si="2"/>
        <v>1.6234391205827852E-2</v>
      </c>
      <c r="G99" s="52">
        <f t="shared" si="3"/>
        <v>1.5908669197356163E-2</v>
      </c>
      <c r="I99" s="4">
        <v>5</v>
      </c>
      <c r="J99" s="48">
        <f t="shared" ca="1" si="4"/>
        <v>-1.0270912338960125</v>
      </c>
      <c r="K99" s="23">
        <f ca="1">K98*EXP(J88*J91+J89*J99*SQRT(J91))</f>
        <v>400.36165516238884</v>
      </c>
    </row>
    <row r="100" spans="1:11" ht="15" customHeight="1" x14ac:dyDescent="0.2">
      <c r="A100" s="19" t="s">
        <v>224</v>
      </c>
      <c r="B100" s="50">
        <v>23.7865</v>
      </c>
      <c r="C100" s="50">
        <v>1316.63</v>
      </c>
      <c r="D100" s="51">
        <v>49421247.750091001</v>
      </c>
      <c r="E100" s="51">
        <v>2290933333</v>
      </c>
      <c r="F100" s="52">
        <f t="shared" si="2"/>
        <v>3.7002620039487373E-4</v>
      </c>
      <c r="G100" s="52">
        <f t="shared" si="3"/>
        <v>4.8620766582948318E-4</v>
      </c>
      <c r="I100" s="4">
        <v>6</v>
      </c>
      <c r="J100" s="48">
        <f t="shared" ca="1" si="4"/>
        <v>0.820699410193094</v>
      </c>
      <c r="K100" s="23">
        <f ca="1">K99*EXP(J88*J91+J89*J100*SQRT(J91))</f>
        <v>406.1158880890361</v>
      </c>
    </row>
    <row r="101" spans="1:11" ht="15" customHeight="1" x14ac:dyDescent="0.2">
      <c r="A101" s="19" t="s">
        <v>225</v>
      </c>
      <c r="B101" s="50">
        <v>23.271699999999999</v>
      </c>
      <c r="C101" s="50">
        <v>1318.86</v>
      </c>
      <c r="D101" s="51">
        <v>83869193.250325993</v>
      </c>
      <c r="E101" s="51">
        <v>2282405556</v>
      </c>
      <c r="F101" s="52">
        <f t="shared" si="2"/>
        <v>-2.1880162770673801E-2</v>
      </c>
      <c r="G101" s="52">
        <f t="shared" si="3"/>
        <v>1.6922853300106668E-3</v>
      </c>
      <c r="I101" s="4">
        <v>7</v>
      </c>
      <c r="J101" s="48">
        <f t="shared" ca="1" si="4"/>
        <v>-1.1325340774554813</v>
      </c>
      <c r="K101" s="23">
        <f ca="1">K100*EXP(J88*J91+J89*J101*SQRT(J91))</f>
        <v>398.97375954228704</v>
      </c>
    </row>
    <row r="102" spans="1:11" ht="15" customHeight="1" x14ac:dyDescent="0.2">
      <c r="A102" s="19" t="s">
        <v>226</v>
      </c>
      <c r="B102" s="50">
        <v>23.2364</v>
      </c>
      <c r="C102" s="50">
        <v>1320.68</v>
      </c>
      <c r="D102" s="51">
        <v>54183719.689372003</v>
      </c>
      <c r="E102" s="51">
        <v>2187594444</v>
      </c>
      <c r="F102" s="52">
        <f t="shared" si="2"/>
        <v>-1.518015432954239E-3</v>
      </c>
      <c r="G102" s="52">
        <f t="shared" si="3"/>
        <v>1.3790283825421373E-3</v>
      </c>
      <c r="I102" s="4">
        <v>8</v>
      </c>
      <c r="J102" s="48">
        <f t="shared" ca="1" si="4"/>
        <v>-0.94054413170441953</v>
      </c>
      <c r="K102" s="23">
        <f ca="1">K101*EXP(J88*J91+J89*J102*SQRT(J91))</f>
        <v>393.19254402866375</v>
      </c>
    </row>
    <row r="103" spans="1:11" ht="15" customHeight="1" x14ac:dyDescent="0.2">
      <c r="A103" s="19" t="s">
        <v>227</v>
      </c>
      <c r="B103" s="50">
        <v>23.229600000000001</v>
      </c>
      <c r="C103" s="50">
        <v>1317.82</v>
      </c>
      <c r="D103" s="51">
        <v>36914163.487830997</v>
      </c>
      <c r="E103" s="51">
        <v>1595922222</v>
      </c>
      <c r="F103" s="52">
        <f t="shared" si="2"/>
        <v>-2.9268712815999935E-4</v>
      </c>
      <c r="G103" s="52">
        <f t="shared" si="3"/>
        <v>-2.167899276191806E-3</v>
      </c>
      <c r="I103" s="4">
        <v>9</v>
      </c>
      <c r="J103" s="48">
        <f t="shared" ca="1" si="4"/>
        <v>-1.6903070479480939</v>
      </c>
      <c r="K103" s="23">
        <f ca="1">K102*EXP(J88*J91+J89*J103*SQRT(J91))</f>
        <v>382.76250531864667</v>
      </c>
    </row>
    <row r="104" spans="1:11" ht="15" customHeight="1" x14ac:dyDescent="0.2">
      <c r="A104" s="19" t="s">
        <v>228</v>
      </c>
      <c r="B104" s="50">
        <v>23.6282</v>
      </c>
      <c r="C104" s="50">
        <v>1332.42</v>
      </c>
      <c r="D104" s="51">
        <v>47236745.587140001</v>
      </c>
      <c r="E104" s="51">
        <v>1912022222</v>
      </c>
      <c r="F104" s="52">
        <f t="shared" si="2"/>
        <v>1.7013586421917467E-2</v>
      </c>
      <c r="G104" s="52">
        <f t="shared" si="3"/>
        <v>1.1017981539835837E-2</v>
      </c>
      <c r="I104" s="4">
        <v>10</v>
      </c>
      <c r="J104" s="48">
        <f t="shared" ca="1" si="4"/>
        <v>-0.42860246268747432</v>
      </c>
      <c r="K104" s="23">
        <f ca="1">K103*EXP(J88*J91+J89*J104*SQRT(J91))</f>
        <v>380.39459668869796</v>
      </c>
    </row>
    <row r="105" spans="1:11" ht="15" customHeight="1" x14ac:dyDescent="0.2">
      <c r="A105" s="19" t="s">
        <v>229</v>
      </c>
      <c r="B105" s="50">
        <v>23.4513</v>
      </c>
      <c r="C105" s="50">
        <v>1313.32</v>
      </c>
      <c r="D105" s="51">
        <v>52028452.651086003</v>
      </c>
      <c r="E105" s="51">
        <v>1963494444</v>
      </c>
      <c r="F105" s="52">
        <f t="shared" si="2"/>
        <v>-7.5149834868466717E-3</v>
      </c>
      <c r="G105" s="52">
        <f t="shared" si="3"/>
        <v>-1.4438555426152216E-2</v>
      </c>
      <c r="I105" s="4">
        <v>11</v>
      </c>
      <c r="J105" s="48">
        <f t="shared" ca="1" si="4"/>
        <v>1.988132489818851</v>
      </c>
      <c r="K105" s="23">
        <f ca="1">K104*EXP(J88*J91+J89*J105*SQRT(J91))</f>
        <v>393.31603603260493</v>
      </c>
    </row>
    <row r="106" spans="1:11" ht="15" customHeight="1" x14ac:dyDescent="0.2">
      <c r="A106" s="19" t="s">
        <v>230</v>
      </c>
      <c r="B106" s="50">
        <v>23.333300000000001</v>
      </c>
      <c r="C106" s="50">
        <v>1310.33</v>
      </c>
      <c r="D106" s="51">
        <v>48965062.066257998</v>
      </c>
      <c r="E106" s="51">
        <v>2532011111</v>
      </c>
      <c r="F106" s="52">
        <f t="shared" si="2"/>
        <v>-5.0444056471219958E-3</v>
      </c>
      <c r="G106" s="52">
        <f t="shared" si="3"/>
        <v>-2.2792684195200048E-3</v>
      </c>
      <c r="I106" s="4">
        <v>12</v>
      </c>
      <c r="J106" s="48">
        <f t="shared" ca="1" si="4"/>
        <v>7.0739224617033233E-2</v>
      </c>
      <c r="K106" s="23">
        <f ca="1">K105*EXP(J88*J91+J89*J106*SQRT(J91))</f>
        <v>394.09500247307307</v>
      </c>
    </row>
    <row r="107" spans="1:11" ht="15" customHeight="1" x14ac:dyDescent="0.2">
      <c r="A107" s="19" t="s">
        <v>231</v>
      </c>
      <c r="B107" s="50">
        <v>22.7423</v>
      </c>
      <c r="C107" s="50">
        <v>1278.04</v>
      </c>
      <c r="D107" s="51">
        <v>70855838.124806002</v>
      </c>
      <c r="E107" s="51">
        <v>2594083333</v>
      </c>
      <c r="F107" s="52">
        <f t="shared" si="2"/>
        <v>-2.5654898241336533E-2</v>
      </c>
      <c r="G107" s="52">
        <f t="shared" si="3"/>
        <v>-2.4951359516333108E-2</v>
      </c>
      <c r="I107" s="4">
        <v>13</v>
      </c>
      <c r="J107" s="48">
        <f t="shared" ca="1" si="4"/>
        <v>1.0979028255403511</v>
      </c>
      <c r="K107" s="23">
        <f ca="1">K106*EXP(J88*J91+J89*J107*SQRT(J91))</f>
        <v>401.57953346075908</v>
      </c>
    </row>
    <row r="108" spans="1:11" ht="15" customHeight="1" x14ac:dyDescent="0.2">
      <c r="A108" s="19" t="s">
        <v>232</v>
      </c>
      <c r="B108" s="50">
        <v>22.8203</v>
      </c>
      <c r="C108" s="50">
        <v>1278.18</v>
      </c>
      <c r="D108" s="51">
        <v>59956795.267591</v>
      </c>
      <c r="E108" s="51">
        <v>2228866667</v>
      </c>
      <c r="F108" s="52">
        <f t="shared" si="2"/>
        <v>3.4238641428927644E-3</v>
      </c>
      <c r="G108" s="52">
        <f t="shared" si="3"/>
        <v>1.0953673794903053E-4</v>
      </c>
      <c r="I108" s="4">
        <v>14</v>
      </c>
      <c r="J108" s="48">
        <f t="shared" ca="1" si="4"/>
        <v>0.17503404163120398</v>
      </c>
      <c r="K108" s="23">
        <f ca="1">K107*EXP(J88*J91+J89*J108*SQRT(J91))</f>
        <v>403.06326383013192</v>
      </c>
    </row>
    <row r="109" spans="1:11" ht="15" customHeight="1" x14ac:dyDescent="0.2">
      <c r="A109" s="19" t="s">
        <v>233</v>
      </c>
      <c r="B109" s="50">
        <v>22.782299999999999</v>
      </c>
      <c r="C109" s="50">
        <v>1285.5</v>
      </c>
      <c r="D109" s="51">
        <v>57179602.782870002</v>
      </c>
      <c r="E109" s="51">
        <v>1890683333</v>
      </c>
      <c r="F109" s="52">
        <f t="shared" si="2"/>
        <v>-1.6665720285815675E-3</v>
      </c>
      <c r="G109" s="52">
        <f t="shared" si="3"/>
        <v>5.7105566157771509E-3</v>
      </c>
      <c r="I109" s="4">
        <v>15</v>
      </c>
      <c r="J109" s="48">
        <f t="shared" ca="1" si="4"/>
        <v>-0.28630530219505668</v>
      </c>
      <c r="K109" s="23">
        <f ca="1">K108*EXP(J88*J91+J89*J109*SQRT(J91))</f>
        <v>401.50507759918173</v>
      </c>
    </row>
    <row r="110" spans="1:11" ht="15" customHeight="1" x14ac:dyDescent="0.2">
      <c r="A110" s="19" t="s">
        <v>234</v>
      </c>
      <c r="B110" s="50">
        <v>23.460100000000001</v>
      </c>
      <c r="C110" s="50">
        <v>1315.13</v>
      </c>
      <c r="D110" s="51">
        <v>49498944.278741002</v>
      </c>
      <c r="E110" s="51">
        <v>2371311111</v>
      </c>
      <c r="F110" s="52">
        <f t="shared" si="2"/>
        <v>2.9317187109064856E-2</v>
      </c>
      <c r="G110" s="52">
        <f t="shared" si="3"/>
        <v>2.2787772335250183E-2</v>
      </c>
      <c r="I110" s="4">
        <v>16</v>
      </c>
      <c r="J110" s="48">
        <f t="shared" ca="1" si="4"/>
        <v>0.73108479837756868</v>
      </c>
      <c r="K110" s="23">
        <f ca="1">K109*EXP(J88*J91+J89*J110*SQRT(J91))</f>
        <v>406.67798941254836</v>
      </c>
    </row>
    <row r="111" spans="1:11" ht="15" customHeight="1" x14ac:dyDescent="0.2">
      <c r="A111" s="19" t="s">
        <v>235</v>
      </c>
      <c r="B111" s="50">
        <v>23.363600000000002</v>
      </c>
      <c r="C111" s="50">
        <v>1314.99</v>
      </c>
      <c r="D111" s="51">
        <v>47277772.024384998</v>
      </c>
      <c r="E111" s="51">
        <v>2365633333</v>
      </c>
      <c r="F111" s="52">
        <f t="shared" si="2"/>
        <v>-4.1218501154351101E-3</v>
      </c>
      <c r="G111" s="52">
        <f t="shared" si="3"/>
        <v>-1.0645902098176338E-4</v>
      </c>
      <c r="I111" s="4">
        <v>17</v>
      </c>
      <c r="J111" s="48">
        <f t="shared" ca="1" si="4"/>
        <v>-0.65659878587061526</v>
      </c>
      <c r="K111" s="23">
        <f ca="1">K110*EXP(J88*J91+J89*J111*SQRT(J91))</f>
        <v>402.654666497665</v>
      </c>
    </row>
    <row r="112" spans="1:11" ht="15" customHeight="1" x14ac:dyDescent="0.2">
      <c r="A112" s="19" t="s">
        <v>236</v>
      </c>
      <c r="B112" s="50">
        <v>23.703399999999998</v>
      </c>
      <c r="C112" s="50">
        <v>1325.66</v>
      </c>
      <c r="D112" s="51">
        <v>53233237.718292996</v>
      </c>
      <c r="E112" s="51">
        <v>1942883333</v>
      </c>
      <c r="F112" s="52">
        <f t="shared" si="2"/>
        <v>1.4439242091902905E-2</v>
      </c>
      <c r="G112" s="52">
        <f t="shared" si="3"/>
        <v>8.0813875904548593E-3</v>
      </c>
      <c r="I112" s="4">
        <v>18</v>
      </c>
      <c r="J112" s="48">
        <f t="shared" ca="1" si="4"/>
        <v>-0.8389954876694945</v>
      </c>
      <c r="K112" s="23">
        <f ca="1">K111*EXP(J88*J91+J89*J112*SQRT(J91))</f>
        <v>397.48111779460294</v>
      </c>
    </row>
    <row r="113" spans="1:11" ht="15" customHeight="1" x14ac:dyDescent="0.2">
      <c r="A113" s="19" t="s">
        <v>237</v>
      </c>
      <c r="B113" s="50">
        <v>23.099699999999999</v>
      </c>
      <c r="C113" s="50">
        <v>1308.93</v>
      </c>
      <c r="D113" s="51">
        <v>57999633.952192001</v>
      </c>
      <c r="E113" s="51">
        <v>1965294444</v>
      </c>
      <c r="F113" s="52">
        <f t="shared" si="2"/>
        <v>-2.5798867336878781E-2</v>
      </c>
      <c r="G113" s="52">
        <f t="shared" si="3"/>
        <v>-1.2700439066485178E-2</v>
      </c>
      <c r="I113" s="4">
        <v>19</v>
      </c>
      <c r="J113" s="48">
        <f t="shared" ca="1" si="4"/>
        <v>1.4133822831276099</v>
      </c>
      <c r="K113" s="23">
        <f ca="1">K112*EXP(J88*J91+J89*J113*SQRT(J91))</f>
        <v>407.12965221350134</v>
      </c>
    </row>
    <row r="114" spans="1:11" ht="15" customHeight="1" x14ac:dyDescent="0.2">
      <c r="A114" s="19" t="s">
        <v>238</v>
      </c>
      <c r="B114" s="50">
        <v>23.411200000000001</v>
      </c>
      <c r="C114" s="50">
        <v>1324.18</v>
      </c>
      <c r="D114" s="51">
        <v>44208194.507028997</v>
      </c>
      <c r="E114" s="51">
        <v>1912733333</v>
      </c>
      <c r="F114" s="52">
        <f t="shared" si="2"/>
        <v>1.339490990387142E-2</v>
      </c>
      <c r="G114" s="52">
        <f t="shared" si="3"/>
        <v>1.1583390373813106E-2</v>
      </c>
      <c r="I114" s="4">
        <v>20</v>
      </c>
      <c r="J114" s="48">
        <f t="shared" ca="1" si="4"/>
        <v>-1.2150026745034757</v>
      </c>
      <c r="K114" s="23">
        <f ca="1">K113*EXP(J88*J91+J89*J114*SQRT(J91))</f>
        <v>399.42944240596313</v>
      </c>
    </row>
    <row r="115" spans="1:11" ht="15" customHeight="1" x14ac:dyDescent="0.2">
      <c r="A115" s="19" t="s">
        <v>239</v>
      </c>
      <c r="B115" s="50">
        <v>23.286300000000001</v>
      </c>
      <c r="C115" s="50">
        <v>1314.88</v>
      </c>
      <c r="D115" s="51">
        <v>41264158.583838999</v>
      </c>
      <c r="E115" s="51">
        <v>1948061111</v>
      </c>
      <c r="F115" s="52">
        <f t="shared" si="2"/>
        <v>-5.3493355249587728E-3</v>
      </c>
      <c r="G115" s="52">
        <f t="shared" si="3"/>
        <v>-7.0479932229503646E-3</v>
      </c>
      <c r="I115" s="4">
        <v>21</v>
      </c>
      <c r="J115" s="48">
        <f t="shared" ca="1" si="4"/>
        <v>-1.9237200445195672</v>
      </c>
      <c r="K115" s="23">
        <f ca="1">K114*EXP(J88*J91+J89*J115*SQRT(J91))</f>
        <v>387.34927798028104</v>
      </c>
    </row>
    <row r="116" spans="1:11" ht="15" customHeight="1" x14ac:dyDescent="0.2">
      <c r="A116" s="19" t="s">
        <v>240</v>
      </c>
      <c r="B116" s="50">
        <v>23.4513</v>
      </c>
      <c r="C116" s="50">
        <v>1329.1</v>
      </c>
      <c r="D116" s="51">
        <v>49364035.773157999</v>
      </c>
      <c r="E116" s="51">
        <v>2048733333</v>
      </c>
      <c r="F116" s="52">
        <f t="shared" si="2"/>
        <v>7.0607256465809141E-3</v>
      </c>
      <c r="G116" s="52">
        <f t="shared" si="3"/>
        <v>1.0756614732241909E-2</v>
      </c>
      <c r="I116" s="4">
        <v>22</v>
      </c>
      <c r="J116" s="48">
        <f t="shared" ca="1" si="4"/>
        <v>-1.4199411940174167</v>
      </c>
      <c r="K116" s="23">
        <f ca="1">K115*EXP(J88*J91+J89*J116*SQRT(J91))</f>
        <v>378.74886016090556</v>
      </c>
    </row>
    <row r="117" spans="1:11" ht="15" customHeight="1" x14ac:dyDescent="0.2">
      <c r="A117" s="19" t="s">
        <v>241</v>
      </c>
      <c r="B117" s="50">
        <v>23.9985</v>
      </c>
      <c r="C117" s="50">
        <v>1342.84</v>
      </c>
      <c r="D117" s="51">
        <v>77945717.775479004</v>
      </c>
      <c r="E117" s="51">
        <v>2445316667</v>
      </c>
      <c r="F117" s="52">
        <f t="shared" si="2"/>
        <v>2.3065397938817001E-2</v>
      </c>
      <c r="G117" s="52">
        <f t="shared" si="3"/>
        <v>1.0284752736562524E-2</v>
      </c>
      <c r="I117" s="4">
        <v>23</v>
      </c>
      <c r="J117" s="48">
        <f t="shared" ca="1" si="4"/>
        <v>-8.6975344114944342E-2</v>
      </c>
      <c r="K117" s="23">
        <f ca="1">K116*EXP(J88*J91+J89*J117*SQRT(J91))</f>
        <v>378.51926959986326</v>
      </c>
    </row>
    <row r="118" spans="1:11" ht="15" customHeight="1" x14ac:dyDescent="0.2">
      <c r="A118" s="19" t="s">
        <v>242</v>
      </c>
      <c r="B118" s="50">
        <v>23.851800000000001</v>
      </c>
      <c r="C118" s="50">
        <v>1344.78</v>
      </c>
      <c r="D118" s="51">
        <v>73241847.134235993</v>
      </c>
      <c r="E118" s="51">
        <v>1810794444</v>
      </c>
      <c r="F118" s="52">
        <f t="shared" si="2"/>
        <v>-6.1316422101210678E-3</v>
      </c>
      <c r="G118" s="52">
        <f t="shared" si="3"/>
        <v>1.4436567200249713E-3</v>
      </c>
      <c r="I118" s="4">
        <v>24</v>
      </c>
      <c r="J118" s="48">
        <f t="shared" ca="1" si="4"/>
        <v>4.6615963938229366E-2</v>
      </c>
      <c r="K118" s="23">
        <f ca="1">K117*EXP(J88*J91+J89*J118*SQRT(J91))</f>
        <v>379.11900653162201</v>
      </c>
    </row>
    <row r="119" spans="1:11" ht="15" customHeight="1" x14ac:dyDescent="0.2">
      <c r="A119" s="19" t="s">
        <v>243</v>
      </c>
      <c r="B119" s="50">
        <v>24.5396</v>
      </c>
      <c r="C119" s="50">
        <v>1357.98</v>
      </c>
      <c r="D119" s="51">
        <v>94722311.724702001</v>
      </c>
      <c r="E119" s="51">
        <v>2119638889</v>
      </c>
      <c r="F119" s="52">
        <f t="shared" si="2"/>
        <v>2.8428453046801798E-2</v>
      </c>
      <c r="G119" s="52">
        <f t="shared" si="3"/>
        <v>9.767870585814924E-3</v>
      </c>
      <c r="I119" s="4">
        <v>25</v>
      </c>
      <c r="J119" s="48">
        <f t="shared" ca="1" si="4"/>
        <v>0.35218099866603936</v>
      </c>
      <c r="K119" s="23">
        <f ca="1">K118*EXP(J88*J91+J89*J119*SQRT(J91))</f>
        <v>381.62616171821287</v>
      </c>
    </row>
    <row r="120" spans="1:11" ht="15" customHeight="1" x14ac:dyDescent="0.2">
      <c r="A120" s="19" t="s">
        <v>244</v>
      </c>
      <c r="B120" s="50">
        <v>24.724</v>
      </c>
      <c r="C120" s="50">
        <v>1355.69</v>
      </c>
      <c r="D120" s="51">
        <v>45350455.005396001</v>
      </c>
      <c r="E120" s="51">
        <v>2053166667</v>
      </c>
      <c r="F120" s="52">
        <f t="shared" si="2"/>
        <v>7.4862925656069288E-3</v>
      </c>
      <c r="G120" s="52">
        <f t="shared" si="3"/>
        <v>-1.6877516747354983E-3</v>
      </c>
      <c r="I120" s="4">
        <v>26</v>
      </c>
      <c r="J120" s="48">
        <f t="shared" ca="1" si="4"/>
        <v>-1.239991665715837</v>
      </c>
      <c r="K120" s="23">
        <f ca="1">K119*EXP(J88*J91+J89*J120*SQRT(J91))</f>
        <v>374.2549964907659</v>
      </c>
    </row>
    <row r="121" spans="1:11" ht="15" customHeight="1" x14ac:dyDescent="0.2">
      <c r="A121" s="19" t="s">
        <v>245</v>
      </c>
      <c r="B121" s="50">
        <v>24.0932</v>
      </c>
      <c r="C121" s="50">
        <v>1325.51</v>
      </c>
      <c r="D121" s="51">
        <v>60623797.375510998</v>
      </c>
      <c r="E121" s="51">
        <v>2274705556</v>
      </c>
      <c r="F121" s="52">
        <f t="shared" si="2"/>
        <v>-2.5844788790732702E-2</v>
      </c>
      <c r="G121" s="52">
        <f t="shared" si="3"/>
        <v>-2.2513258771434952E-2</v>
      </c>
      <c r="I121" s="4">
        <v>27</v>
      </c>
      <c r="J121" s="48">
        <f t="shared" ca="1" si="4"/>
        <v>0.24715007313070386</v>
      </c>
      <c r="K121" s="23">
        <f ca="1">K120*EXP(J88*J91+J89*J121*SQRT(J91))</f>
        <v>376.08202513141526</v>
      </c>
    </row>
    <row r="122" spans="1:11" ht="15" customHeight="1" x14ac:dyDescent="0.2">
      <c r="A122" s="19" t="s">
        <v>246</v>
      </c>
      <c r="B122" s="50">
        <v>24.5396</v>
      </c>
      <c r="C122" s="50">
        <v>1335.02</v>
      </c>
      <c r="D122" s="51">
        <v>56417572.954203002</v>
      </c>
      <c r="E122" s="51">
        <v>2928605556</v>
      </c>
      <c r="F122" s="52">
        <f t="shared" si="2"/>
        <v>1.8358496225125573E-2</v>
      </c>
      <c r="G122" s="52">
        <f t="shared" si="3"/>
        <v>7.1489819720210544E-3</v>
      </c>
      <c r="I122" s="4">
        <v>28</v>
      </c>
      <c r="J122" s="48">
        <f t="shared" ca="1" si="4"/>
        <v>0.81067989532898632</v>
      </c>
      <c r="K122" s="23">
        <f ca="1">K121*EXP(J88*J91+J89*J122*SQRT(J91))</f>
        <v>381.42465490987763</v>
      </c>
    </row>
    <row r="123" spans="1:11" ht="15" customHeight="1" x14ac:dyDescent="0.2">
      <c r="A123" s="19" t="s">
        <v>247</v>
      </c>
      <c r="B123" s="50">
        <v>23.8675</v>
      </c>
      <c r="C123" s="50">
        <v>1313.72</v>
      </c>
      <c r="D123" s="51">
        <v>46267165.313993998</v>
      </c>
      <c r="E123" s="51">
        <v>1945455556</v>
      </c>
      <c r="F123" s="52">
        <f t="shared" si="2"/>
        <v>-2.7770438341368636E-2</v>
      </c>
      <c r="G123" s="52">
        <f t="shared" si="3"/>
        <v>-1.6083465459972662E-2</v>
      </c>
      <c r="I123" s="4">
        <v>29</v>
      </c>
      <c r="J123" s="48">
        <f t="shared" ca="1" si="4"/>
        <v>1.1545705250730212</v>
      </c>
      <c r="K123" s="23">
        <f ca="1">K122*EXP(J88*J91+J89*J123*SQRT(J91))</f>
        <v>389.0297077552342</v>
      </c>
    </row>
    <row r="124" spans="1:11" ht="15" customHeight="1" x14ac:dyDescent="0.2">
      <c r="A124" s="19" t="s">
        <v>248</v>
      </c>
      <c r="B124" s="50">
        <v>23.9985</v>
      </c>
      <c r="C124" s="50">
        <v>1319.99</v>
      </c>
      <c r="D124" s="51">
        <v>48065588.758495003</v>
      </c>
      <c r="E124" s="51">
        <v>1896077778</v>
      </c>
      <c r="F124" s="52">
        <f t="shared" si="2"/>
        <v>5.4736275046881151E-3</v>
      </c>
      <c r="G124" s="52">
        <f t="shared" si="3"/>
        <v>4.7613532585773716E-3</v>
      </c>
      <c r="I124" s="4">
        <v>30</v>
      </c>
      <c r="J124" s="48">
        <f t="shared" ca="1" si="4"/>
        <v>1.8612954508136603</v>
      </c>
      <c r="K124" s="23">
        <f ca="1">K123*EXP(J88*J91+J89*J124*SQRT(J91))</f>
        <v>401.40913602658225</v>
      </c>
    </row>
    <row r="125" spans="1:11" ht="15" customHeight="1" x14ac:dyDescent="0.2">
      <c r="A125" s="19" t="s">
        <v>249</v>
      </c>
      <c r="B125" s="50">
        <v>24.115600000000001</v>
      </c>
      <c r="C125" s="50">
        <v>1331.85</v>
      </c>
      <c r="D125" s="51">
        <v>42235014.534285001</v>
      </c>
      <c r="E125" s="51">
        <v>1826061111</v>
      </c>
      <c r="F125" s="52">
        <f t="shared" si="2"/>
        <v>4.8676055962722639E-3</v>
      </c>
      <c r="G125" s="52">
        <f t="shared" si="3"/>
        <v>8.9447923523008708E-3</v>
      </c>
      <c r="I125" s="4">
        <v>31</v>
      </c>
      <c r="J125" s="48">
        <f t="shared" ca="1" si="4"/>
        <v>1.281161991517912</v>
      </c>
      <c r="K125" s="23">
        <f ca="1">K124*EXP(J88*J91+J89*J125*SQRT(J91))</f>
        <v>410.26298738117379</v>
      </c>
    </row>
    <row r="126" spans="1:11" ht="15" customHeight="1" x14ac:dyDescent="0.2">
      <c r="A126" s="19" t="s">
        <v>250</v>
      </c>
      <c r="B126" s="50">
        <v>23.9054</v>
      </c>
      <c r="C126" s="50">
        <v>1329.04</v>
      </c>
      <c r="D126" s="51">
        <v>56709837.176307</v>
      </c>
      <c r="E126" s="51">
        <v>2205205556</v>
      </c>
      <c r="F126" s="52">
        <f t="shared" si="2"/>
        <v>-8.7545591518714879E-3</v>
      </c>
      <c r="G126" s="52">
        <f t="shared" si="3"/>
        <v>-2.112076068222122E-3</v>
      </c>
      <c r="I126" s="4">
        <v>32</v>
      </c>
      <c r="J126" s="48">
        <f t="shared" ca="1" si="4"/>
        <v>-1.4886267756848321</v>
      </c>
      <c r="K126" s="23">
        <f ca="1">K125*EXP(J88*J91+J89*J126*SQRT(J91))</f>
        <v>400.70246730141804</v>
      </c>
    </row>
    <row r="127" spans="1:11" ht="15" customHeight="1" x14ac:dyDescent="0.2">
      <c r="A127" s="19" t="s">
        <v>251</v>
      </c>
      <c r="B127" s="50">
        <v>24.453499999999998</v>
      </c>
      <c r="C127" s="50">
        <v>1362.16</v>
      </c>
      <c r="D127" s="51">
        <v>69081498.976317003</v>
      </c>
      <c r="E127" s="51">
        <v>2550266667</v>
      </c>
      <c r="F127" s="52">
        <f t="shared" si="2"/>
        <v>2.2668980121113413E-2</v>
      </c>
      <c r="G127" s="52">
        <f t="shared" si="3"/>
        <v>2.4614798034165282E-2</v>
      </c>
      <c r="I127" s="4">
        <v>33</v>
      </c>
      <c r="J127" s="48">
        <f t="shared" ca="1" si="4"/>
        <v>1.6136784262628299</v>
      </c>
      <c r="K127" s="23">
        <f ca="1">K126*EXP(J88*J91+J89*J127*SQRT(J91))</f>
        <v>411.77877749353627</v>
      </c>
    </row>
    <row r="128" spans="1:11" ht="15" customHeight="1" x14ac:dyDescent="0.2">
      <c r="A128" s="19" t="s">
        <v>252</v>
      </c>
      <c r="B128" s="50">
        <v>24.4312</v>
      </c>
      <c r="C128" s="50">
        <v>1365.51</v>
      </c>
      <c r="D128" s="51">
        <v>38247013.860717997</v>
      </c>
      <c r="E128" s="51">
        <v>1834250000</v>
      </c>
      <c r="F128" s="52">
        <f t="shared" si="2"/>
        <v>-9.1235096244203365E-4</v>
      </c>
      <c r="G128" s="52">
        <f t="shared" si="3"/>
        <v>2.4563100993451855E-3</v>
      </c>
      <c r="I128" s="4">
        <v>34</v>
      </c>
      <c r="J128" s="48">
        <f t="shared" ca="1" si="4"/>
        <v>1.0094120269083326</v>
      </c>
      <c r="K128" s="23">
        <f ca="1">K127*EXP(J88*J91+J89*J128*SQRT(J91))</f>
        <v>418.99102865712013</v>
      </c>
    </row>
    <row r="129" spans="1:11" ht="15" customHeight="1" x14ac:dyDescent="0.2">
      <c r="A129" s="19" t="s">
        <v>253</v>
      </c>
      <c r="B129" s="50">
        <v>24.5884</v>
      </c>
      <c r="C129" s="50">
        <v>1374.02</v>
      </c>
      <c r="D129" s="51">
        <v>26198076.917693</v>
      </c>
      <c r="E129" s="51">
        <v>1175772222</v>
      </c>
      <c r="F129" s="52">
        <f t="shared" si="2"/>
        <v>6.4137830128868619E-3</v>
      </c>
      <c r="G129" s="52">
        <f t="shared" si="3"/>
        <v>6.2127645053796339E-3</v>
      </c>
      <c r="I129" s="4">
        <v>35</v>
      </c>
      <c r="J129" s="48">
        <f t="shared" ca="1" si="4"/>
        <v>1.6884473589126323</v>
      </c>
      <c r="K129" s="23">
        <f ca="1">K128*EXP(J88*J91+J89*J129*SQRT(J91))</f>
        <v>431.1008448979527</v>
      </c>
    </row>
    <row r="130" spans="1:11" ht="15" customHeight="1" x14ac:dyDescent="0.2">
      <c r="A130" s="19" t="s">
        <v>254</v>
      </c>
      <c r="B130" s="50">
        <v>24.5396</v>
      </c>
      <c r="C130" s="50">
        <v>1367.58</v>
      </c>
      <c r="D130" s="51">
        <v>36032170.849601001</v>
      </c>
      <c r="E130" s="51">
        <v>1689733333</v>
      </c>
      <c r="F130" s="52">
        <f t="shared" si="2"/>
        <v>-1.9866477792783665E-3</v>
      </c>
      <c r="G130" s="52">
        <f t="shared" si="3"/>
        <v>-4.6979952180121604E-3</v>
      </c>
      <c r="I130" s="4">
        <v>36</v>
      </c>
      <c r="J130" s="48">
        <f t="shared" ca="1" si="4"/>
        <v>-0.30643428991357957</v>
      </c>
      <c r="K130" s="23">
        <f ca="1">K129*EXP(J88*J91+J89*J130*SQRT(J91))</f>
        <v>429.29261760244424</v>
      </c>
    </row>
    <row r="131" spans="1:11" ht="15" customHeight="1" x14ac:dyDescent="0.2">
      <c r="A131" s="19" t="s">
        <v>255</v>
      </c>
      <c r="B131" s="50">
        <v>24.124199999999998</v>
      </c>
      <c r="C131" s="50">
        <v>1354.68</v>
      </c>
      <c r="D131" s="51">
        <v>47907800.990754001</v>
      </c>
      <c r="E131" s="51">
        <v>1525077778</v>
      </c>
      <c r="F131" s="52">
        <f t="shared" si="2"/>
        <v>-1.707265317795759E-2</v>
      </c>
      <c r="G131" s="52">
        <f t="shared" si="3"/>
        <v>-9.4774904376453764E-3</v>
      </c>
      <c r="I131" s="4">
        <v>37</v>
      </c>
      <c r="J131" s="48">
        <f t="shared" ca="1" si="4"/>
        <v>1.6999171142830267</v>
      </c>
      <c r="K131" s="23">
        <f ca="1">K130*EXP(J88*J91+J89*J131*SQRT(J91))</f>
        <v>441.78321565819971</v>
      </c>
    </row>
    <row r="132" spans="1:11" ht="15" customHeight="1" x14ac:dyDescent="0.2">
      <c r="A132" s="19" t="s">
        <v>256</v>
      </c>
      <c r="B132" s="50">
        <v>23.983799999999999</v>
      </c>
      <c r="C132" s="50">
        <v>1352.46</v>
      </c>
      <c r="D132" s="51">
        <v>38384361.100916997</v>
      </c>
      <c r="E132" s="51">
        <v>1613811111</v>
      </c>
      <c r="F132" s="52">
        <f t="shared" si="2"/>
        <v>-5.8368836205843228E-3</v>
      </c>
      <c r="G132" s="52">
        <f t="shared" si="3"/>
        <v>-1.6401076395319903E-3</v>
      </c>
      <c r="I132" s="4">
        <v>38</v>
      </c>
      <c r="J132" s="48">
        <f t="shared" ca="1" si="4"/>
        <v>-1.2170733419947308</v>
      </c>
      <c r="K132" s="23">
        <f ca="1">K131*EXP(J88*J91+J89*J132*SQRT(J91))</f>
        <v>433.41287943797101</v>
      </c>
    </row>
    <row r="133" spans="1:11" ht="15" customHeight="1" x14ac:dyDescent="0.2">
      <c r="A133" s="19" t="s">
        <v>257</v>
      </c>
      <c r="B133" s="50">
        <v>23.7699</v>
      </c>
      <c r="C133" s="50">
        <v>1341.47</v>
      </c>
      <c r="D133" s="51">
        <v>46952853.125301003</v>
      </c>
      <c r="E133" s="51">
        <v>1928111111</v>
      </c>
      <c r="F133" s="52">
        <f t="shared" si="2"/>
        <v>-8.958528053217554E-3</v>
      </c>
      <c r="G133" s="52">
        <f t="shared" si="3"/>
        <v>-8.1591288327641839E-3</v>
      </c>
      <c r="I133" s="4">
        <v>39</v>
      </c>
      <c r="J133" s="48">
        <f t="shared" ca="1" si="4"/>
        <v>-1.4462070387643564</v>
      </c>
      <c r="K133" s="23">
        <f ca="1">K132*EXP(J88*J91+J89*J133*SQRT(J91))</f>
        <v>423.60730010849431</v>
      </c>
    </row>
    <row r="134" spans="1:11" ht="15" customHeight="1" x14ac:dyDescent="0.2">
      <c r="A134" s="19" t="s">
        <v>258</v>
      </c>
      <c r="B134" s="50">
        <v>23.42</v>
      </c>
      <c r="C134" s="50">
        <v>1341.45</v>
      </c>
      <c r="D134" s="51">
        <v>49022117.399029002</v>
      </c>
      <c r="E134" s="51">
        <v>1903494444</v>
      </c>
      <c r="F134" s="52">
        <f t="shared" ref="F134:F197" si="5">LN(B134/B133)</f>
        <v>-1.4829716210089076E-2</v>
      </c>
      <c r="G134" s="52">
        <f t="shared" ref="G134:G197" si="6">LN(C134/C133)</f>
        <v>-1.490912885989825E-5</v>
      </c>
      <c r="I134" s="4">
        <v>40</v>
      </c>
      <c r="J134" s="48">
        <f t="shared" ca="1" si="4"/>
        <v>1.6565991348550635E-2</v>
      </c>
      <c r="K134" s="23">
        <f ca="1">K133*EXP(J88*J91+J89*J134*SQRT(J91))</f>
        <v>424.06956405164493</v>
      </c>
    </row>
    <row r="135" spans="1:11" ht="15" customHeight="1" x14ac:dyDescent="0.2">
      <c r="A135" s="19" t="s">
        <v>259</v>
      </c>
      <c r="B135" s="50">
        <v>22.889900000000001</v>
      </c>
      <c r="C135" s="50">
        <v>1334.76</v>
      </c>
      <c r="D135" s="51">
        <v>79471383.803343996</v>
      </c>
      <c r="E135" s="51">
        <v>2030244444</v>
      </c>
      <c r="F135" s="52">
        <f t="shared" si="5"/>
        <v>-2.2894592934603969E-2</v>
      </c>
      <c r="G135" s="52">
        <f t="shared" si="6"/>
        <v>-4.9996180683616704E-3</v>
      </c>
      <c r="I135" s="4">
        <v>41</v>
      </c>
      <c r="J135" s="48">
        <f t="shared" ca="1" si="4"/>
        <v>0.13938734633098707</v>
      </c>
      <c r="K135" s="23">
        <f ca="1">K134*EXP(J88*J91+J89*J135*SQRT(J91))</f>
        <v>425.38778638776353</v>
      </c>
    </row>
    <row r="136" spans="1:11" ht="15" customHeight="1" x14ac:dyDescent="0.2">
      <c r="A136" s="19" t="s">
        <v>260</v>
      </c>
      <c r="B136" s="50">
        <v>23.490500000000001</v>
      </c>
      <c r="C136" s="50">
        <v>1356.78</v>
      </c>
      <c r="D136" s="51">
        <v>48897650.813823998</v>
      </c>
      <c r="E136" s="51">
        <v>1784961111</v>
      </c>
      <c r="F136" s="52">
        <f t="shared" si="5"/>
        <v>2.5900318862787257E-2</v>
      </c>
      <c r="G136" s="52">
        <f t="shared" si="6"/>
        <v>1.636274497101934E-2</v>
      </c>
      <c r="I136" s="4">
        <v>42</v>
      </c>
      <c r="J136" s="48">
        <f t="shared" ca="1" si="4"/>
        <v>1.9235869397174084</v>
      </c>
      <c r="K136" s="23">
        <f ca="1">K135*EXP(J88*J91+J89*J136*SQRT(J91))</f>
        <v>439.37252318444916</v>
      </c>
    </row>
    <row r="137" spans="1:11" ht="15" customHeight="1" x14ac:dyDescent="0.2">
      <c r="A137" s="19" t="s">
        <v>261</v>
      </c>
      <c r="B137" s="50">
        <v>23.532499999999999</v>
      </c>
      <c r="C137" s="50">
        <v>1353.64</v>
      </c>
      <c r="D137" s="51">
        <v>34905722.197330996</v>
      </c>
      <c r="E137" s="51">
        <v>1590400000</v>
      </c>
      <c r="F137" s="52">
        <f t="shared" si="5"/>
        <v>1.7863603414834128E-3</v>
      </c>
      <c r="G137" s="52">
        <f t="shared" si="6"/>
        <v>-2.316985120192678E-3</v>
      </c>
      <c r="I137" s="4">
        <v>43</v>
      </c>
      <c r="J137" s="48">
        <f t="shared" ca="1" si="4"/>
        <v>-0.41209998329691488</v>
      </c>
      <c r="K137" s="23">
        <f ca="1">K136*EXP(J88*J91+J89*J137*SQRT(J91))</f>
        <v>436.77252352891975</v>
      </c>
    </row>
    <row r="138" spans="1:11" ht="15" customHeight="1" x14ac:dyDescent="0.2">
      <c r="A138" s="19" t="s">
        <v>262</v>
      </c>
      <c r="B138" s="50">
        <v>23.709299999999999</v>
      </c>
      <c r="C138" s="50">
        <v>1363.67</v>
      </c>
      <c r="D138" s="51">
        <v>42254104.645806998</v>
      </c>
      <c r="E138" s="51">
        <v>1981488889</v>
      </c>
      <c r="F138" s="52">
        <f t="shared" si="5"/>
        <v>7.4849317944067828E-3</v>
      </c>
      <c r="G138" s="52">
        <f t="shared" si="6"/>
        <v>7.3823344056611782E-3</v>
      </c>
      <c r="I138" s="4">
        <v>44</v>
      </c>
      <c r="J138" s="48">
        <f t="shared" ca="1" si="4"/>
        <v>1.0521466669672537</v>
      </c>
      <c r="K138" s="23">
        <f ca="1">K137*EXP(J88*J91+J89*J138*SQRT(J91))</f>
        <v>444.73392568353472</v>
      </c>
    </row>
    <row r="139" spans="1:11" ht="15" customHeight="1" x14ac:dyDescent="0.2">
      <c r="A139" s="19" t="s">
        <v>263</v>
      </c>
      <c r="B139" s="50">
        <v>24.338200000000001</v>
      </c>
      <c r="C139" s="50">
        <v>1372.78</v>
      </c>
      <c r="D139" s="51">
        <v>51412280.038323</v>
      </c>
      <c r="E139" s="51">
        <v>2023683333</v>
      </c>
      <c r="F139" s="52">
        <f t="shared" si="5"/>
        <v>2.6179756249302733E-2</v>
      </c>
      <c r="G139" s="52">
        <f t="shared" si="6"/>
        <v>6.6582862145774472E-3</v>
      </c>
      <c r="I139" s="4">
        <v>45</v>
      </c>
      <c r="J139" s="48">
        <f t="shared" ca="1" si="4"/>
        <v>-5.9204514206521501E-2</v>
      </c>
      <c r="K139" s="23">
        <f ca="1">K138*EXP(J88*J91+J89*J139*SQRT(J91))</f>
        <v>444.6666844200879</v>
      </c>
    </row>
    <row r="140" spans="1:11" ht="15" customHeight="1" x14ac:dyDescent="0.2">
      <c r="A140" s="19" t="s">
        <v>264</v>
      </c>
      <c r="B140" s="50">
        <v>24.5151</v>
      </c>
      <c r="C140" s="50">
        <v>1376.51</v>
      </c>
      <c r="D140" s="51">
        <v>58338308.870711997</v>
      </c>
      <c r="E140" s="51">
        <v>2246311111</v>
      </c>
      <c r="F140" s="52">
        <f t="shared" si="5"/>
        <v>7.2421217471525488E-3</v>
      </c>
      <c r="G140" s="52">
        <f t="shared" si="6"/>
        <v>2.7134294953041031E-3</v>
      </c>
      <c r="I140" s="4">
        <v>46</v>
      </c>
      <c r="J140" s="48">
        <f t="shared" ca="1" si="4"/>
        <v>0.70151340260020734</v>
      </c>
      <c r="K140" s="23">
        <f ca="1">K139*EXP(J88*J91+J89*J140*SQRT(J91))</f>
        <v>450.17744120004102</v>
      </c>
    </row>
    <row r="141" spans="1:11" ht="15" customHeight="1" x14ac:dyDescent="0.2">
      <c r="A141" s="19" t="s">
        <v>265</v>
      </c>
      <c r="B141" s="50">
        <v>24.0687</v>
      </c>
      <c r="C141" s="50">
        <v>1362.66</v>
      </c>
      <c r="D141" s="51">
        <v>80094936.096673995</v>
      </c>
      <c r="E141" s="51">
        <v>2180566667</v>
      </c>
      <c r="F141" s="52">
        <f t="shared" si="5"/>
        <v>-1.8377013033674078E-2</v>
      </c>
      <c r="G141" s="52">
        <f t="shared" si="6"/>
        <v>-1.011263852275059E-2</v>
      </c>
      <c r="I141" s="4">
        <v>47</v>
      </c>
      <c r="J141" s="48">
        <f t="shared" ca="1" si="4"/>
        <v>-0.41369775519825147</v>
      </c>
      <c r="K141" s="23">
        <f ca="1">K140*EXP(J88*J91+J89*J141*SQRT(J91))</f>
        <v>447.50178414307527</v>
      </c>
    </row>
    <row r="142" spans="1:11" ht="15" customHeight="1" x14ac:dyDescent="0.2">
      <c r="A142" s="19" t="s">
        <v>266</v>
      </c>
      <c r="B142" s="50">
        <v>23.4026</v>
      </c>
      <c r="C142" s="50">
        <v>1350.52</v>
      </c>
      <c r="D142" s="51">
        <v>68980417.419388995</v>
      </c>
      <c r="E142" s="51">
        <v>2065100000</v>
      </c>
      <c r="F142" s="52">
        <f t="shared" si="5"/>
        <v>-2.8065113894041555E-2</v>
      </c>
      <c r="G142" s="52">
        <f t="shared" si="6"/>
        <v>-8.9489683826660012E-3</v>
      </c>
      <c r="I142" s="4">
        <v>48</v>
      </c>
      <c r="J142" s="48">
        <f t="shared" ca="1" si="4"/>
        <v>-1.5175790037557464</v>
      </c>
      <c r="K142" s="23">
        <f ca="1">K141*EXP(J88*J91+J89*J142*SQRT(J91))</f>
        <v>436.86612172723272</v>
      </c>
    </row>
    <row r="143" spans="1:11" ht="15" customHeight="1" x14ac:dyDescent="0.2">
      <c r="A143" s="19" t="s">
        <v>267</v>
      </c>
      <c r="B143" s="50">
        <v>23.302199999999999</v>
      </c>
      <c r="C143" s="50">
        <v>1338.31</v>
      </c>
      <c r="D143" s="51">
        <v>59701084.421635002</v>
      </c>
      <c r="E143" s="51">
        <v>2161827778</v>
      </c>
      <c r="F143" s="52">
        <f t="shared" si="5"/>
        <v>-4.2993505872157296E-3</v>
      </c>
      <c r="G143" s="52">
        <f t="shared" si="6"/>
        <v>-9.0820795122977943E-3</v>
      </c>
      <c r="I143" s="4">
        <v>49</v>
      </c>
      <c r="J143" s="48">
        <f t="shared" ca="1" si="4"/>
        <v>-0.68389917881676776</v>
      </c>
      <c r="K143" s="23">
        <f ca="1">K142*EXP(J88*J91+J89*J143*SQRT(J91))</f>
        <v>432.35064513390148</v>
      </c>
    </row>
    <row r="144" spans="1:11" ht="15" customHeight="1" x14ac:dyDescent="0.2">
      <c r="A144" s="19" t="s">
        <v>268</v>
      </c>
      <c r="B144" s="50">
        <v>23.0441</v>
      </c>
      <c r="C144" s="50">
        <v>1337.89</v>
      </c>
      <c r="D144" s="51">
        <v>57024611.062247999</v>
      </c>
      <c r="E144" s="51">
        <v>2066205556</v>
      </c>
      <c r="F144" s="52">
        <f t="shared" si="5"/>
        <v>-1.1138005330059734E-2</v>
      </c>
      <c r="G144" s="52">
        <f t="shared" si="6"/>
        <v>-3.1387788913235705E-4</v>
      </c>
      <c r="I144" s="4">
        <v>50</v>
      </c>
      <c r="J144" s="48">
        <f t="shared" ca="1" si="4"/>
        <v>-0.33999267520077736</v>
      </c>
      <c r="K144" s="23">
        <f ca="1">K143*EXP(J88*J91+J89*J144*SQRT(J91))</f>
        <v>430.30043811954926</v>
      </c>
    </row>
    <row r="145" spans="1:11" ht="15" customHeight="1" x14ac:dyDescent="0.2">
      <c r="A145" s="19" t="s">
        <v>269</v>
      </c>
      <c r="B145" s="50">
        <v>23.310700000000001</v>
      </c>
      <c r="C145" s="50">
        <v>1360.02</v>
      </c>
      <c r="D145" s="51">
        <v>56672856.868031003</v>
      </c>
      <c r="E145" s="51">
        <v>2460722222</v>
      </c>
      <c r="F145" s="52">
        <f t="shared" si="5"/>
        <v>1.1502711241694281E-2</v>
      </c>
      <c r="G145" s="52">
        <f t="shared" si="6"/>
        <v>1.6405659452859416E-2</v>
      </c>
      <c r="I145" s="4">
        <v>51</v>
      </c>
      <c r="J145" s="48">
        <f t="shared" ca="1" si="4"/>
        <v>0.99234283274455726</v>
      </c>
      <c r="K145" s="23">
        <f ca="1">K144*EXP(J88*J91+J89*J145*SQRT(J91))</f>
        <v>437.71462094644448</v>
      </c>
    </row>
    <row r="146" spans="1:11" ht="15" customHeight="1" x14ac:dyDescent="0.2">
      <c r="A146" s="19" t="s">
        <v>270</v>
      </c>
      <c r="B146" s="50">
        <v>23.777699999999999</v>
      </c>
      <c r="C146" s="50">
        <v>1385.97</v>
      </c>
      <c r="D146" s="51">
        <v>55350124.889014997</v>
      </c>
      <c r="E146" s="51">
        <v>2443894444</v>
      </c>
      <c r="F146" s="52">
        <f t="shared" si="5"/>
        <v>1.9835684025441284E-2</v>
      </c>
      <c r="G146" s="52">
        <f t="shared" si="6"/>
        <v>1.8900849989626385E-2</v>
      </c>
      <c r="I146" s="4">
        <v>52</v>
      </c>
      <c r="J146" s="48">
        <f t="shared" ca="1" si="4"/>
        <v>-1.3587343937558278</v>
      </c>
      <c r="K146" s="23">
        <f ca="1">K145*EXP(J88*J91+J89*J146*SQRT(J91))</f>
        <v>428.42549620736605</v>
      </c>
    </row>
    <row r="147" spans="1:11" ht="15" customHeight="1" x14ac:dyDescent="0.2">
      <c r="A147" s="19" t="s">
        <v>271</v>
      </c>
      <c r="B147" s="50">
        <v>23.694500000000001</v>
      </c>
      <c r="C147" s="50">
        <v>1385.3</v>
      </c>
      <c r="D147" s="51">
        <v>36160203.393103004</v>
      </c>
      <c r="E147" s="51">
        <v>1784477778</v>
      </c>
      <c r="F147" s="52">
        <f t="shared" si="5"/>
        <v>-3.5052129535392581E-3</v>
      </c>
      <c r="G147" s="52">
        <f t="shared" si="6"/>
        <v>-4.8353283011341573E-4</v>
      </c>
      <c r="I147" s="4">
        <v>53</v>
      </c>
      <c r="J147" s="48">
        <f t="shared" ca="1" si="4"/>
        <v>-0.39909355510558175</v>
      </c>
      <c r="K147" s="23">
        <f ca="1">K146*EXP(J88*J91+J89*J147*SQRT(J91))</f>
        <v>425.98107401906867</v>
      </c>
    </row>
    <row r="148" spans="1:11" ht="15" customHeight="1" x14ac:dyDescent="0.2">
      <c r="A148" s="19" t="s">
        <v>272</v>
      </c>
      <c r="B148" s="50">
        <v>23.5578</v>
      </c>
      <c r="C148" s="50">
        <v>1379.32</v>
      </c>
      <c r="D148" s="51">
        <v>47065870.353156</v>
      </c>
      <c r="E148" s="51">
        <v>2123094444</v>
      </c>
      <c r="F148" s="52">
        <f t="shared" si="5"/>
        <v>-5.7859778831830513E-3</v>
      </c>
      <c r="G148" s="52">
        <f t="shared" si="6"/>
        <v>-4.3260985787338772E-3</v>
      </c>
      <c r="I148" s="4">
        <v>54</v>
      </c>
      <c r="J148" s="48">
        <f t="shared" ca="1" si="4"/>
        <v>0.15496988644360302</v>
      </c>
      <c r="K148" s="23">
        <f ca="1">K147*EXP(J88*J91+J89*J148*SQRT(J91))</f>
        <v>427.41438401372938</v>
      </c>
    </row>
    <row r="149" spans="1:11" ht="15" customHeight="1" x14ac:dyDescent="0.2">
      <c r="A149" s="19" t="s">
        <v>273</v>
      </c>
      <c r="B149" s="50">
        <v>23.507000000000001</v>
      </c>
      <c r="C149" s="50">
        <v>1375.32</v>
      </c>
      <c r="D149" s="51">
        <v>39684573.177914999</v>
      </c>
      <c r="E149" s="51">
        <v>2467177778</v>
      </c>
      <c r="F149" s="52">
        <f t="shared" si="5"/>
        <v>-2.1587266801413436E-3</v>
      </c>
      <c r="G149" s="52">
        <f t="shared" si="6"/>
        <v>-2.9041927884913225E-3</v>
      </c>
      <c r="I149" s="4">
        <v>55</v>
      </c>
      <c r="J149" s="48">
        <f t="shared" ca="1" si="4"/>
        <v>-3.4876007383636776E-2</v>
      </c>
      <c r="K149" s="23">
        <f ca="1">K148*EXP(J88*J91+J89*J149*SQRT(J91))</f>
        <v>427.5201969581513</v>
      </c>
    </row>
    <row r="150" spans="1:11" ht="15" customHeight="1" x14ac:dyDescent="0.2">
      <c r="A150" s="19" t="s">
        <v>274</v>
      </c>
      <c r="B150" s="50">
        <v>23.333300000000001</v>
      </c>
      <c r="C150" s="50">
        <v>1365</v>
      </c>
      <c r="D150" s="51">
        <v>49441935.017784998</v>
      </c>
      <c r="E150" s="51">
        <v>2329855556</v>
      </c>
      <c r="F150" s="52">
        <f t="shared" si="5"/>
        <v>-7.4167243265807507E-3</v>
      </c>
      <c r="G150" s="52">
        <f t="shared" si="6"/>
        <v>-7.532002677547946E-3</v>
      </c>
      <c r="I150" s="4">
        <v>56</v>
      </c>
      <c r="J150" s="48">
        <f t="shared" ca="1" si="4"/>
        <v>-0.99798353981053634</v>
      </c>
      <c r="K150" s="23">
        <f ca="1">K149*EXP(J88*J91+J89*J150*SQRT(J91))</f>
        <v>420.92887877661008</v>
      </c>
    </row>
    <row r="151" spans="1:11" ht="15" customHeight="1" x14ac:dyDescent="0.2">
      <c r="A151" s="19" t="s">
        <v>275</v>
      </c>
      <c r="B151" s="50">
        <v>23.777699999999999</v>
      </c>
      <c r="C151" s="50">
        <v>1390.99</v>
      </c>
      <c r="D151" s="51">
        <v>44861232.760448001</v>
      </c>
      <c r="E151" s="51">
        <v>2083983333</v>
      </c>
      <c r="F151" s="52">
        <f t="shared" si="5"/>
        <v>1.8866641843444405E-2</v>
      </c>
      <c r="G151" s="52">
        <f t="shared" si="6"/>
        <v>1.8861295205931709E-2</v>
      </c>
      <c r="I151" s="4">
        <v>57</v>
      </c>
      <c r="J151" s="48">
        <f t="shared" ca="1" si="4"/>
        <v>-0.63784432016237647</v>
      </c>
      <c r="K151" s="23">
        <f ca="1">K150*EXP(J88*J91+J89*J151*SQRT(J91))</f>
        <v>416.89269572231814</v>
      </c>
    </row>
    <row r="152" spans="1:11" ht="15" customHeight="1" x14ac:dyDescent="0.2">
      <c r="A152" s="19" t="s">
        <v>276</v>
      </c>
      <c r="B152" s="50">
        <v>23.941800000000001</v>
      </c>
      <c r="C152" s="50">
        <v>1394.23</v>
      </c>
      <c r="D152" s="51">
        <v>34367629.021173</v>
      </c>
      <c r="E152" s="51">
        <v>1734472222</v>
      </c>
      <c r="F152" s="52">
        <f t="shared" si="5"/>
        <v>6.8777186210333824E-3</v>
      </c>
      <c r="G152" s="52">
        <f t="shared" si="6"/>
        <v>2.3265677120569918E-3</v>
      </c>
      <c r="I152" s="4">
        <v>58</v>
      </c>
      <c r="J152" s="48">
        <f t="shared" ca="1" si="4"/>
        <v>-0.66843671106328084</v>
      </c>
      <c r="K152" s="23">
        <f ca="1">K151*EXP(J88*J91+J89*J152*SQRT(J91))</f>
        <v>412.68823901768837</v>
      </c>
    </row>
    <row r="153" spans="1:11" ht="15" customHeight="1" x14ac:dyDescent="0.2">
      <c r="A153" s="19" t="s">
        <v>277</v>
      </c>
      <c r="B153" s="50">
        <v>24.187899999999999</v>
      </c>
      <c r="C153" s="50">
        <v>1401.35</v>
      </c>
      <c r="D153" s="51">
        <v>35032063.393399999</v>
      </c>
      <c r="E153" s="51">
        <v>2045827778</v>
      </c>
      <c r="F153" s="52">
        <f t="shared" si="5"/>
        <v>1.0226622847680117E-2</v>
      </c>
      <c r="G153" s="52">
        <f t="shared" si="6"/>
        <v>5.0937661557810326E-3</v>
      </c>
      <c r="I153" s="4">
        <v>59</v>
      </c>
      <c r="J153" s="48">
        <f t="shared" ca="1" si="4"/>
        <v>0.73609677021537889</v>
      </c>
      <c r="K153" s="23">
        <f ca="1">K152*EXP(J88*J91+J89*J153*SQRT(J91))</f>
        <v>418.03957109511953</v>
      </c>
    </row>
    <row r="154" spans="1:11" ht="15" customHeight="1" x14ac:dyDescent="0.2">
      <c r="A154" s="19" t="s">
        <v>278</v>
      </c>
      <c r="B154" s="50">
        <v>24.244499999999999</v>
      </c>
      <c r="C154" s="50">
        <v>1402.22</v>
      </c>
      <c r="D154" s="51">
        <v>32849462.460585002</v>
      </c>
      <c r="E154" s="51">
        <v>1789883333</v>
      </c>
      <c r="F154" s="52">
        <f t="shared" si="5"/>
        <v>2.3372794148776195E-3</v>
      </c>
      <c r="G154" s="52">
        <f t="shared" si="6"/>
        <v>6.2063727884550447E-4</v>
      </c>
      <c r="I154" s="4">
        <v>60</v>
      </c>
      <c r="J154" s="48">
        <f t="shared" ca="1" si="4"/>
        <v>-0.63924773328884632</v>
      </c>
      <c r="K154" s="23">
        <f ca="1">K153*EXP(J88*J91+J89*J154*SQRT(J91))</f>
        <v>414.02156958074357</v>
      </c>
    </row>
    <row r="155" spans="1:11" ht="15" customHeight="1" x14ac:dyDescent="0.2">
      <c r="A155" s="19" t="s">
        <v>279</v>
      </c>
      <c r="B155" s="50">
        <v>24.380500000000001</v>
      </c>
      <c r="C155" s="50">
        <v>1402.8</v>
      </c>
      <c r="D155" s="51">
        <v>31175357.147670001</v>
      </c>
      <c r="E155" s="51">
        <v>1733116667</v>
      </c>
      <c r="F155" s="52">
        <f t="shared" si="5"/>
        <v>5.5938449206085761E-3</v>
      </c>
      <c r="G155" s="52">
        <f t="shared" si="6"/>
        <v>4.13544294347905E-4</v>
      </c>
      <c r="I155" s="4">
        <v>61</v>
      </c>
      <c r="J155" s="48">
        <f t="shared" ca="1" si="4"/>
        <v>-0.2334564706114059</v>
      </c>
      <c r="K155" s="23">
        <f ca="1">K154*EXP(J88*J91+J89*J155*SQRT(J91))</f>
        <v>412.77840733165095</v>
      </c>
    </row>
    <row r="156" spans="1:11" ht="15" customHeight="1" x14ac:dyDescent="0.2">
      <c r="A156" s="19" t="s">
        <v>280</v>
      </c>
      <c r="B156" s="50">
        <v>24.315000000000001</v>
      </c>
      <c r="C156" s="50">
        <v>1405.87</v>
      </c>
      <c r="D156" s="51">
        <v>34791488.673621997</v>
      </c>
      <c r="E156" s="51">
        <v>1537766667</v>
      </c>
      <c r="F156" s="52">
        <f t="shared" si="5"/>
        <v>-2.690188600695287E-3</v>
      </c>
      <c r="G156" s="52">
        <f t="shared" si="6"/>
        <v>2.1860889478816747E-3</v>
      </c>
      <c r="I156" s="4">
        <v>62</v>
      </c>
      <c r="J156" s="48">
        <f t="shared" ca="1" si="4"/>
        <v>0.28890839991537731</v>
      </c>
      <c r="K156" s="23">
        <f ca="1">K155*EXP(J88*J91+J89*J156*SQRT(J91))</f>
        <v>415.07748557708101</v>
      </c>
    </row>
    <row r="157" spans="1:11" ht="15" customHeight="1" x14ac:dyDescent="0.2">
      <c r="A157" s="19" t="s">
        <v>281</v>
      </c>
      <c r="B157" s="50">
        <v>24.290299999999998</v>
      </c>
      <c r="C157" s="50">
        <v>1404.11</v>
      </c>
      <c r="D157" s="51">
        <v>28835944.145725001</v>
      </c>
      <c r="E157" s="51">
        <v>1388883333</v>
      </c>
      <c r="F157" s="52">
        <f t="shared" si="5"/>
        <v>-1.0163501563078606E-3</v>
      </c>
      <c r="G157" s="52">
        <f t="shared" si="6"/>
        <v>-1.2526781188120387E-3</v>
      </c>
      <c r="I157" s="4">
        <v>63</v>
      </c>
      <c r="J157" s="48">
        <f t="shared" ca="1" si="4"/>
        <v>-1.2744248086315533</v>
      </c>
      <c r="K157" s="23">
        <f ca="1">K156*EXP(J88*J91+J89*J157*SQRT(J91))</f>
        <v>406.83054197054838</v>
      </c>
    </row>
    <row r="158" spans="1:11" ht="15" customHeight="1" x14ac:dyDescent="0.2">
      <c r="A158" s="19" t="s">
        <v>282</v>
      </c>
      <c r="B158" s="50">
        <v>24.244499999999999</v>
      </c>
      <c r="C158" s="50">
        <v>1403.93</v>
      </c>
      <c r="D158" s="51">
        <v>42939813.957294002</v>
      </c>
      <c r="E158" s="51">
        <v>1628277778</v>
      </c>
      <c r="F158" s="52">
        <f t="shared" si="5"/>
        <v>-1.8873061636054229E-3</v>
      </c>
      <c r="G158" s="52">
        <f t="shared" si="6"/>
        <v>-1.2820330212278219E-4</v>
      </c>
      <c r="I158" s="4">
        <v>64</v>
      </c>
      <c r="J158" s="48">
        <f t="shared" ca="1" si="4"/>
        <v>2.0706914090964936</v>
      </c>
      <c r="K158" s="23">
        <f ca="1">K157*EXP(J88*J91+J89*J158*SQRT(J91))</f>
        <v>421.21954949528623</v>
      </c>
    </row>
    <row r="159" spans="1:11" ht="15" customHeight="1" x14ac:dyDescent="0.2">
      <c r="A159" s="19" t="s">
        <v>283</v>
      </c>
      <c r="B159" s="50">
        <v>24.3003</v>
      </c>
      <c r="C159" s="50">
        <v>1405.53</v>
      </c>
      <c r="D159" s="51">
        <v>30262985.780005001</v>
      </c>
      <c r="E159" s="51">
        <v>1475416667</v>
      </c>
      <c r="F159" s="52">
        <f t="shared" si="5"/>
        <v>2.2989084134719421E-3</v>
      </c>
      <c r="G159" s="52">
        <f t="shared" si="6"/>
        <v>1.1390090430037803E-3</v>
      </c>
      <c r="I159" s="4">
        <v>65</v>
      </c>
      <c r="J159" s="48">
        <f t="shared" ref="J159:J222" ca="1" si="7">NORMINV(RAND(),0,1)</f>
        <v>-0.13918449809658937</v>
      </c>
      <c r="K159" s="23">
        <f ca="1">K158*EXP(J88*J91+J89*J159*SQRT(J91))</f>
        <v>420.60414906334825</v>
      </c>
    </row>
    <row r="160" spans="1:11" ht="15" customHeight="1" x14ac:dyDescent="0.2">
      <c r="A160" s="19" t="s">
        <v>284</v>
      </c>
      <c r="B160" s="50">
        <v>24.766200000000001</v>
      </c>
      <c r="C160" s="50">
        <v>1415.51</v>
      </c>
      <c r="D160" s="51">
        <v>44475634.212664999</v>
      </c>
      <c r="E160" s="51">
        <v>1730055556</v>
      </c>
      <c r="F160" s="52">
        <f t="shared" si="5"/>
        <v>1.8991124398490721E-2</v>
      </c>
      <c r="G160" s="52">
        <f t="shared" si="6"/>
        <v>7.0754343324954463E-3</v>
      </c>
      <c r="I160" s="4">
        <v>66</v>
      </c>
      <c r="J160" s="48">
        <f t="shared" ca="1" si="7"/>
        <v>-0.68865674857398063</v>
      </c>
      <c r="K160" s="23">
        <f ca="1">K159*EXP(J88*J91+J89*J160*SQRT(J91))</f>
        <v>416.2243005788813</v>
      </c>
    </row>
    <row r="161" spans="1:11" ht="15" customHeight="1" x14ac:dyDescent="0.2">
      <c r="A161" s="19" t="s">
        <v>285</v>
      </c>
      <c r="B161" s="50">
        <v>24.864899999999999</v>
      </c>
      <c r="C161" s="50">
        <v>1418.16</v>
      </c>
      <c r="D161" s="51">
        <v>40502126.707534999</v>
      </c>
      <c r="E161" s="51">
        <v>1623883333</v>
      </c>
      <c r="F161" s="52">
        <f t="shared" si="5"/>
        <v>3.9773500935428386E-3</v>
      </c>
      <c r="G161" s="52">
        <f t="shared" si="6"/>
        <v>1.8703665370596102E-3</v>
      </c>
      <c r="I161" s="4">
        <v>67</v>
      </c>
      <c r="J161" s="48">
        <f t="shared" ca="1" si="7"/>
        <v>1.6840818769637385</v>
      </c>
      <c r="K161" s="23">
        <f ca="1">K160*EXP(J88*J91+J89*J161*SQRT(J91))</f>
        <v>428.22351163588678</v>
      </c>
    </row>
    <row r="162" spans="1:11" ht="15" customHeight="1" x14ac:dyDescent="0.2">
      <c r="A162" s="19" t="s">
        <v>286</v>
      </c>
      <c r="B162" s="50">
        <v>24.735800000000001</v>
      </c>
      <c r="C162" s="50">
        <v>1418.13</v>
      </c>
      <c r="D162" s="51">
        <v>29500908.855707999</v>
      </c>
      <c r="E162" s="51">
        <v>1536844444</v>
      </c>
      <c r="F162" s="52">
        <f t="shared" si="5"/>
        <v>-5.2055834506468104E-3</v>
      </c>
      <c r="G162" s="52">
        <f t="shared" si="6"/>
        <v>-2.1154395355287849E-5</v>
      </c>
      <c r="I162" s="4">
        <v>68</v>
      </c>
      <c r="J162" s="48">
        <f t="shared" ca="1" si="7"/>
        <v>1.7559796028232544E-2</v>
      </c>
      <c r="K162" s="23">
        <f ca="1">K161*EXP(J88*J91+J89*J162*SQRT(J91))</f>
        <v>428.69779574925224</v>
      </c>
    </row>
    <row r="163" spans="1:11" ht="15" customHeight="1" x14ac:dyDescent="0.2">
      <c r="A163" s="19" t="s">
        <v>287</v>
      </c>
      <c r="B163" s="50">
        <v>24.7806</v>
      </c>
      <c r="C163" s="50">
        <v>1413.17</v>
      </c>
      <c r="D163" s="51">
        <v>35818476.472949997</v>
      </c>
      <c r="E163" s="51">
        <v>1823861111</v>
      </c>
      <c r="F163" s="52">
        <f t="shared" si="5"/>
        <v>1.8095019922306167E-3</v>
      </c>
      <c r="G163" s="52">
        <f t="shared" si="6"/>
        <v>-3.5036944682847937E-3</v>
      </c>
      <c r="I163" s="4">
        <v>69</v>
      </c>
      <c r="J163" s="48">
        <f t="shared" ca="1" si="7"/>
        <v>1.2754924303362511</v>
      </c>
      <c r="K163" s="23">
        <f ca="1">K162*EXP(J88*J91+J89*J163*SQRT(J91))</f>
        <v>438.11283828961876</v>
      </c>
    </row>
    <row r="164" spans="1:11" ht="15" customHeight="1" x14ac:dyDescent="0.2">
      <c r="A164" s="19" t="s">
        <v>288</v>
      </c>
      <c r="B164" s="50">
        <v>24.5746</v>
      </c>
      <c r="C164" s="50">
        <v>1413.49</v>
      </c>
      <c r="D164" s="51">
        <v>41556057.302896</v>
      </c>
      <c r="E164" s="51">
        <v>1701494444</v>
      </c>
      <c r="F164" s="52">
        <f t="shared" si="5"/>
        <v>-8.3476997861292659E-3</v>
      </c>
      <c r="G164" s="52">
        <f t="shared" si="6"/>
        <v>2.2641562930589981E-4</v>
      </c>
      <c r="I164" s="4">
        <v>70</v>
      </c>
      <c r="J164" s="48">
        <f t="shared" ca="1" si="7"/>
        <v>0.47131477959845031</v>
      </c>
      <c r="K164" s="23">
        <f ca="1">K163*EXP(J88*J91+J89*J164*SQRT(J91))</f>
        <v>441.87207661498405</v>
      </c>
    </row>
    <row r="165" spans="1:11" ht="15" customHeight="1" x14ac:dyDescent="0.2">
      <c r="A165" s="19" t="s">
        <v>289</v>
      </c>
      <c r="B165" s="50">
        <v>24.339200000000002</v>
      </c>
      <c r="C165" s="50">
        <v>1402.08</v>
      </c>
      <c r="D165" s="51">
        <v>35241025.682983004</v>
      </c>
      <c r="E165" s="51">
        <v>1671244444</v>
      </c>
      <c r="F165" s="52">
        <f t="shared" si="5"/>
        <v>-9.6251698850469518E-3</v>
      </c>
      <c r="G165" s="52">
        <f t="shared" si="6"/>
        <v>-8.1049751636543699E-3</v>
      </c>
      <c r="I165" s="4">
        <v>71</v>
      </c>
      <c r="J165" s="48">
        <f t="shared" ca="1" si="7"/>
        <v>0.19189366043627715</v>
      </c>
      <c r="K165" s="23">
        <f ca="1">K164*EXP(J88*J91+J89*J165*SQRT(J91))</f>
        <v>443.62724632306612</v>
      </c>
    </row>
    <row r="166" spans="1:11" ht="15" customHeight="1" x14ac:dyDescent="0.2">
      <c r="A166" s="19" t="s">
        <v>290</v>
      </c>
      <c r="B166" s="50">
        <v>24.590399999999999</v>
      </c>
      <c r="C166" s="50">
        <v>1411.13</v>
      </c>
      <c r="D166" s="51">
        <v>28514971.041439999</v>
      </c>
      <c r="E166" s="51">
        <v>1443772222</v>
      </c>
      <c r="F166" s="52">
        <f t="shared" si="5"/>
        <v>1.0267903559161594E-2</v>
      </c>
      <c r="G166" s="52">
        <f t="shared" si="6"/>
        <v>6.4339535401051222E-3</v>
      </c>
      <c r="I166" s="4">
        <v>72</v>
      </c>
      <c r="J166" s="48">
        <f t="shared" ca="1" si="7"/>
        <v>-0.53470896310404659</v>
      </c>
      <c r="K166" s="23">
        <f ca="1">K165*EXP(J88*J91+J89*J166*SQRT(J91))</f>
        <v>440.11674693900039</v>
      </c>
    </row>
    <row r="167" spans="1:11" ht="15" customHeight="1" x14ac:dyDescent="0.2">
      <c r="A167" s="19" t="s">
        <v>291</v>
      </c>
      <c r="B167" s="50">
        <v>24.695900000000002</v>
      </c>
      <c r="C167" s="50">
        <v>1410.44</v>
      </c>
      <c r="D167" s="51">
        <v>43113638.811104</v>
      </c>
      <c r="E167" s="51">
        <v>1373611111</v>
      </c>
      <c r="F167" s="52">
        <f t="shared" si="5"/>
        <v>4.2811150820065346E-3</v>
      </c>
      <c r="G167" s="52">
        <f t="shared" si="6"/>
        <v>-4.8908941741975952E-4</v>
      </c>
      <c r="I167" s="4">
        <v>73</v>
      </c>
      <c r="J167" s="48">
        <f t="shared" ca="1" si="7"/>
        <v>1.7362561872649891</v>
      </c>
      <c r="K167" s="23">
        <f ca="1">K166*EXP(J88*J91+J89*J167*SQRT(J91))</f>
        <v>453.19211843488637</v>
      </c>
    </row>
    <row r="168" spans="1:11" ht="15" customHeight="1" x14ac:dyDescent="0.2">
      <c r="A168" s="19" t="s">
        <v>292</v>
      </c>
      <c r="B168" s="50">
        <v>24.647099999999998</v>
      </c>
      <c r="C168" s="50">
        <v>1409.3</v>
      </c>
      <c r="D168" s="51">
        <v>29762034.675377</v>
      </c>
      <c r="E168" s="51">
        <v>1460605556</v>
      </c>
      <c r="F168" s="52">
        <f t="shared" si="5"/>
        <v>-1.9779914439995304E-3</v>
      </c>
      <c r="G168" s="52">
        <f t="shared" si="6"/>
        <v>-8.0858523276048809E-4</v>
      </c>
      <c r="I168" s="4">
        <v>74</v>
      </c>
      <c r="J168" s="48">
        <f t="shared" ca="1" si="7"/>
        <v>-0.6852945395940655</v>
      </c>
      <c r="K168" s="23">
        <f ca="1">K167*EXP(J88*J91+J89*J168*SQRT(J91))</f>
        <v>448.49763813657421</v>
      </c>
    </row>
    <row r="169" spans="1:11" ht="15" customHeight="1" x14ac:dyDescent="0.2">
      <c r="A169" s="19" t="s">
        <v>293</v>
      </c>
      <c r="B169" s="50">
        <v>24.662600000000001</v>
      </c>
      <c r="C169" s="50">
        <v>1410.49</v>
      </c>
      <c r="D169" s="51">
        <v>29016333.720927</v>
      </c>
      <c r="E169" s="51">
        <v>1428455556</v>
      </c>
      <c r="F169" s="52">
        <f t="shared" si="5"/>
        <v>6.2867957057206143E-4</v>
      </c>
      <c r="G169" s="52">
        <f t="shared" si="6"/>
        <v>8.4403453494465283E-4</v>
      </c>
      <c r="I169" s="4">
        <v>75</v>
      </c>
      <c r="J169" s="48">
        <f t="shared" ca="1" si="7"/>
        <v>-1.7312629652795646</v>
      </c>
      <c r="K169" s="23">
        <f ca="1">K168*EXP(J88*J91+J89*J169*SQRT(J91))</f>
        <v>436.30757190677451</v>
      </c>
    </row>
    <row r="170" spans="1:11" ht="15" customHeight="1" x14ac:dyDescent="0.2">
      <c r="A170" s="19" t="s">
        <v>294</v>
      </c>
      <c r="B170" s="50">
        <v>24.396799999999999</v>
      </c>
      <c r="C170" s="50">
        <v>1399.48</v>
      </c>
      <c r="D170" s="51">
        <v>29792039.711220998</v>
      </c>
      <c r="E170" s="51">
        <v>1405711111</v>
      </c>
      <c r="F170" s="52">
        <f t="shared" si="5"/>
        <v>-1.083594992190772E-2</v>
      </c>
      <c r="G170" s="52">
        <f t="shared" si="6"/>
        <v>-7.836422697165871E-3</v>
      </c>
      <c r="I170" s="4">
        <v>76</v>
      </c>
      <c r="J170" s="48">
        <f t="shared" ca="1" si="7"/>
        <v>1.9991510639903989</v>
      </c>
      <c r="K170" s="23">
        <f ca="1">K169*EXP(J88*J91+J89*J170*SQRT(J91))</f>
        <v>451.20976978713043</v>
      </c>
    </row>
    <row r="171" spans="1:11" ht="15" customHeight="1" x14ac:dyDescent="0.2">
      <c r="A171" s="19" t="s">
        <v>295</v>
      </c>
      <c r="B171" s="50">
        <v>24.7974</v>
      </c>
      <c r="C171" s="50">
        <v>1406.58</v>
      </c>
      <c r="D171" s="51">
        <v>45475568.643613003</v>
      </c>
      <c r="E171" s="51">
        <v>1632361111</v>
      </c>
      <c r="F171" s="52">
        <f t="shared" si="5"/>
        <v>1.6286832807715666E-2</v>
      </c>
      <c r="G171" s="52">
        <f t="shared" si="6"/>
        <v>5.0604870542372508E-3</v>
      </c>
      <c r="I171" s="4">
        <v>77</v>
      </c>
      <c r="J171" s="48">
        <f t="shared" ca="1" si="7"/>
        <v>0.629995189011614</v>
      </c>
      <c r="K171" s="23">
        <f ca="1">K170*EXP(J88*J91+J89*J171*SQRT(J91))</f>
        <v>456.26647857735134</v>
      </c>
    </row>
    <row r="172" spans="1:11" ht="15" customHeight="1" x14ac:dyDescent="0.2">
      <c r="A172" s="19" t="s">
        <v>296</v>
      </c>
      <c r="B172" s="50">
        <v>24.454499999999999</v>
      </c>
      <c r="C172" s="50">
        <v>1404.94</v>
      </c>
      <c r="D172" s="51">
        <v>60346707.160853997</v>
      </c>
      <c r="E172" s="51">
        <v>1777950000</v>
      </c>
      <c r="F172" s="52">
        <f t="shared" si="5"/>
        <v>-1.3924560899615846E-2</v>
      </c>
      <c r="G172" s="52">
        <f t="shared" si="6"/>
        <v>-1.1666288598383128E-3</v>
      </c>
      <c r="I172" s="4">
        <v>78</v>
      </c>
      <c r="J172" s="48">
        <f t="shared" ca="1" si="7"/>
        <v>-0.67165909487612252</v>
      </c>
      <c r="K172" s="23">
        <f ca="1">K171*EXP(J88*J91+J89*J172*SQRT(J91))</f>
        <v>451.6410746414399</v>
      </c>
    </row>
    <row r="173" spans="1:11" ht="15" customHeight="1" x14ac:dyDescent="0.2">
      <c r="A173" s="19" t="s">
        <v>297</v>
      </c>
      <c r="B173" s="50">
        <v>24.454499999999999</v>
      </c>
      <c r="C173" s="50">
        <v>1403.44</v>
      </c>
      <c r="D173" s="51">
        <v>41820080.527670003</v>
      </c>
      <c r="E173" s="51">
        <v>1882838889</v>
      </c>
      <c r="F173" s="52">
        <f t="shared" si="5"/>
        <v>0</v>
      </c>
      <c r="G173" s="52">
        <f t="shared" si="6"/>
        <v>-1.0682316087138285E-3</v>
      </c>
      <c r="I173" s="4">
        <v>79</v>
      </c>
      <c r="J173" s="48">
        <f t="shared" ca="1" si="7"/>
        <v>1.2492202170391788</v>
      </c>
      <c r="K173" s="23">
        <f ca="1">K172*EXP(J88*J91+J89*J173*SQRT(J91))</f>
        <v>461.36129271651242</v>
      </c>
    </row>
    <row r="174" spans="1:11" ht="15" customHeight="1" x14ac:dyDescent="0.2">
      <c r="A174" s="19" t="s">
        <v>298</v>
      </c>
      <c r="B174" s="50">
        <v>25.215299999999999</v>
      </c>
      <c r="C174" s="50">
        <v>1432.12</v>
      </c>
      <c r="D174" s="51">
        <v>60101976.763575003</v>
      </c>
      <c r="E174" s="51">
        <v>2196038889</v>
      </c>
      <c r="F174" s="52">
        <f t="shared" si="5"/>
        <v>3.0636705072182628E-2</v>
      </c>
      <c r="G174" s="52">
        <f t="shared" si="6"/>
        <v>2.0229498271412946E-2</v>
      </c>
      <c r="I174" s="4">
        <v>80</v>
      </c>
      <c r="J174" s="48">
        <f t="shared" ca="1" si="7"/>
        <v>3.1460928186702137</v>
      </c>
      <c r="K174" s="23">
        <f ca="1">K173*EXP(J88*J91+J89*J174*SQRT(J91))</f>
        <v>486.17301772715041</v>
      </c>
    </row>
    <row r="175" spans="1:11" ht="15" customHeight="1" x14ac:dyDescent="0.2">
      <c r="A175" s="19" t="s">
        <v>299</v>
      </c>
      <c r="B175" s="50">
        <v>24.904900000000001</v>
      </c>
      <c r="C175" s="50">
        <v>1437.92</v>
      </c>
      <c r="D175" s="51">
        <v>53008015.150302999</v>
      </c>
      <c r="E175" s="51">
        <v>2065344444</v>
      </c>
      <c r="F175" s="52">
        <f t="shared" si="5"/>
        <v>-1.2386381878658863E-2</v>
      </c>
      <c r="G175" s="52">
        <f t="shared" si="6"/>
        <v>4.0417610177212364E-3</v>
      </c>
      <c r="I175" s="4">
        <v>81</v>
      </c>
      <c r="J175" s="48">
        <f t="shared" ca="1" si="7"/>
        <v>-0.16285951286602141</v>
      </c>
      <c r="K175" s="23">
        <f ca="1">K174*EXP(J88*J91+J89*J175*SQRT(J91))</f>
        <v>485.27438304071097</v>
      </c>
    </row>
    <row r="176" spans="1:11" ht="15" customHeight="1" x14ac:dyDescent="0.2">
      <c r="A176" s="19" t="s">
        <v>300</v>
      </c>
      <c r="B176" s="50">
        <v>24.7182</v>
      </c>
      <c r="C176" s="50">
        <v>1429.08</v>
      </c>
      <c r="D176" s="51">
        <v>50362468.263012998</v>
      </c>
      <c r="E176" s="51">
        <v>1790927778</v>
      </c>
      <c r="F176" s="52">
        <f t="shared" si="5"/>
        <v>-7.5247568548755129E-3</v>
      </c>
      <c r="G176" s="52">
        <f t="shared" si="6"/>
        <v>-6.1667443421586504E-3</v>
      </c>
      <c r="I176" s="4">
        <v>82</v>
      </c>
      <c r="J176" s="48">
        <f t="shared" ca="1" si="7"/>
        <v>0.44534309932803007</v>
      </c>
      <c r="K176" s="23">
        <f ca="1">K175*EXP(J88*J91+J89*J176*SQRT(J91))</f>
        <v>489.22999647881471</v>
      </c>
    </row>
    <row r="177" spans="1:11" ht="15" customHeight="1" x14ac:dyDescent="0.2">
      <c r="A177" s="19" t="s">
        <v>301</v>
      </c>
      <c r="B177" s="50">
        <v>24.773800000000001</v>
      </c>
      <c r="C177" s="50">
        <v>1433.56</v>
      </c>
      <c r="D177" s="51">
        <v>31308830.260336</v>
      </c>
      <c r="E177" s="51">
        <v>1949794444</v>
      </c>
      <c r="F177" s="52">
        <f t="shared" si="5"/>
        <v>2.2468287153551191E-3</v>
      </c>
      <c r="G177" s="52">
        <f t="shared" si="6"/>
        <v>3.1299804777848361E-3</v>
      </c>
      <c r="I177" s="4">
        <v>83</v>
      </c>
      <c r="J177" s="48">
        <f t="shared" ca="1" si="7"/>
        <v>-1.4835732597802636</v>
      </c>
      <c r="K177" s="23">
        <f ca="1">K176*EXP(J88*J91+J89*J177*SQRT(J91))</f>
        <v>477.8688555495682</v>
      </c>
    </row>
    <row r="178" spans="1:11" ht="15" customHeight="1" x14ac:dyDescent="0.2">
      <c r="A178" s="19" t="s">
        <v>302</v>
      </c>
      <c r="B178" s="50">
        <v>24.766200000000001</v>
      </c>
      <c r="C178" s="50">
        <v>1436.56</v>
      </c>
      <c r="D178" s="51">
        <v>40733726.638213001</v>
      </c>
      <c r="E178" s="51">
        <v>2022888889</v>
      </c>
      <c r="F178" s="52">
        <f t="shared" si="5"/>
        <v>-3.0682277188619276E-4</v>
      </c>
      <c r="G178" s="52">
        <f t="shared" si="6"/>
        <v>2.0905056879527827E-3</v>
      </c>
      <c r="I178" s="4">
        <v>84</v>
      </c>
      <c r="J178" s="48">
        <f t="shared" ca="1" si="7"/>
        <v>-0.74849030912154668</v>
      </c>
      <c r="K178" s="23">
        <f ca="1">K177*EXP(J88*J91+J89*J178*SQRT(J91))</f>
        <v>472.42917552202152</v>
      </c>
    </row>
    <row r="179" spans="1:11" ht="15" customHeight="1" x14ac:dyDescent="0.2">
      <c r="A179" s="19" t="s">
        <v>303</v>
      </c>
      <c r="B179" s="50">
        <v>24.8873</v>
      </c>
      <c r="C179" s="50">
        <v>1459.99</v>
      </c>
      <c r="D179" s="51">
        <v>55985258.612223998</v>
      </c>
      <c r="E179" s="51">
        <v>2559194444</v>
      </c>
      <c r="F179" s="52">
        <f t="shared" si="5"/>
        <v>4.8778128474937076E-3</v>
      </c>
      <c r="G179" s="52">
        <f t="shared" si="6"/>
        <v>1.617821963021452E-2</v>
      </c>
      <c r="I179" s="4">
        <v>85</v>
      </c>
      <c r="J179" s="48">
        <f t="shared" ca="1" si="7"/>
        <v>0.90071626525193016</v>
      </c>
      <c r="K179" s="23">
        <f ca="1">K178*EXP(J88*J91+J89*J179*SQRT(J91))</f>
        <v>479.84809605656955</v>
      </c>
    </row>
    <row r="180" spans="1:11" ht="15" customHeight="1" x14ac:dyDescent="0.2">
      <c r="A180" s="19" t="s">
        <v>304</v>
      </c>
      <c r="B180" s="50">
        <v>25.1128</v>
      </c>
      <c r="C180" s="50">
        <v>1465.77</v>
      </c>
      <c r="D180" s="51">
        <v>63907291.438033998</v>
      </c>
      <c r="E180" s="51">
        <v>2801105556</v>
      </c>
      <c r="F180" s="52">
        <f t="shared" si="5"/>
        <v>9.020043116316153E-3</v>
      </c>
      <c r="G180" s="52">
        <f t="shared" si="6"/>
        <v>3.9511152790704966E-3</v>
      </c>
      <c r="I180" s="4">
        <v>86</v>
      </c>
      <c r="J180" s="48">
        <f t="shared" ca="1" si="7"/>
        <v>8.919989635230087E-2</v>
      </c>
      <c r="K180" s="23">
        <f ca="1">K179*EXP(J88*J91+J89*J180*SQRT(J91))</f>
        <v>480.94393612241481</v>
      </c>
    </row>
    <row r="181" spans="1:11" ht="15" customHeight="1" x14ac:dyDescent="0.2">
      <c r="A181" s="19" t="s">
        <v>305</v>
      </c>
      <c r="B181" s="50">
        <v>25.1128</v>
      </c>
      <c r="C181" s="50">
        <v>1461.19</v>
      </c>
      <c r="D181" s="51">
        <v>45347661.005914003</v>
      </c>
      <c r="E181" s="51">
        <v>1934683333</v>
      </c>
      <c r="F181" s="52">
        <f t="shared" si="5"/>
        <v>0</v>
      </c>
      <c r="G181" s="52">
        <f t="shared" si="6"/>
        <v>-3.1295294353358739E-3</v>
      </c>
      <c r="I181" s="4">
        <v>87</v>
      </c>
      <c r="J181" s="48">
        <f t="shared" ca="1" si="7"/>
        <v>0.74601827781340291</v>
      </c>
      <c r="K181" s="23">
        <f ca="1">K180*EXP(J88*J91+J89*J181*SQRT(J91))</f>
        <v>487.25956821861763</v>
      </c>
    </row>
    <row r="182" spans="1:11" ht="15" customHeight="1" x14ac:dyDescent="0.2">
      <c r="A182" s="19" t="s">
        <v>306</v>
      </c>
      <c r="B182" s="50">
        <v>25.078600000000002</v>
      </c>
      <c r="C182" s="50">
        <v>1459.32</v>
      </c>
      <c r="D182" s="51">
        <v>42918545.160943002</v>
      </c>
      <c r="E182" s="51">
        <v>1876327778</v>
      </c>
      <c r="F182" s="52">
        <f t="shared" si="5"/>
        <v>-1.3627834765700536E-3</v>
      </c>
      <c r="G182" s="52">
        <f t="shared" si="6"/>
        <v>-1.2805984266831857E-3</v>
      </c>
      <c r="I182" s="4">
        <v>88</v>
      </c>
      <c r="J182" s="48">
        <f t="shared" ca="1" si="7"/>
        <v>-0.10183836915050877</v>
      </c>
      <c r="K182" s="23">
        <f ca="1">K181*EXP(J88*J91+J89*J182*SQRT(J91))</f>
        <v>486.84558915394041</v>
      </c>
    </row>
    <row r="183" spans="1:11" ht="15" customHeight="1" x14ac:dyDescent="0.2">
      <c r="A183" s="19" t="s">
        <v>307</v>
      </c>
      <c r="B183" s="50">
        <v>24.9849</v>
      </c>
      <c r="C183" s="50">
        <v>1461.05</v>
      </c>
      <c r="D183" s="51">
        <v>60744325.332643002</v>
      </c>
      <c r="E183" s="51">
        <v>1917422222</v>
      </c>
      <c r="F183" s="52">
        <f t="shared" si="5"/>
        <v>-3.7432504483206138E-3</v>
      </c>
      <c r="G183" s="52">
        <f t="shared" si="6"/>
        <v>1.18478151903211E-3</v>
      </c>
      <c r="I183" s="4">
        <v>89</v>
      </c>
      <c r="J183" s="48">
        <f t="shared" ca="1" si="7"/>
        <v>-0.95977262461196955</v>
      </c>
      <c r="K183" s="23">
        <f ca="1">K182*EXP(J88*J91+J89*J183*SQRT(J91))</f>
        <v>479.63990866160947</v>
      </c>
    </row>
    <row r="184" spans="1:11" ht="15" customHeight="1" x14ac:dyDescent="0.2">
      <c r="A184" s="19" t="s">
        <v>308</v>
      </c>
      <c r="B184" s="50">
        <v>25.306100000000001</v>
      </c>
      <c r="C184" s="50">
        <v>1460.26</v>
      </c>
      <c r="D184" s="51">
        <v>56602574.829759002</v>
      </c>
      <c r="E184" s="51">
        <v>1879177778</v>
      </c>
      <c r="F184" s="52">
        <f t="shared" si="5"/>
        <v>1.2773831004570411E-2</v>
      </c>
      <c r="G184" s="52">
        <f t="shared" si="6"/>
        <v>-5.4085326052881347E-4</v>
      </c>
      <c r="I184" s="4">
        <v>90</v>
      </c>
      <c r="J184" s="48">
        <f t="shared" ca="1" si="7"/>
        <v>-1.0167899627136316</v>
      </c>
      <c r="K184" s="23">
        <f ca="1">K183*EXP(J88*J91+J89*J184*SQRT(J91))</f>
        <v>472.09949202028918</v>
      </c>
    </row>
    <row r="185" spans="1:11" ht="15" customHeight="1" x14ac:dyDescent="0.2">
      <c r="A185" s="19" t="s">
        <v>309</v>
      </c>
      <c r="B185" s="50">
        <v>25.096399999999999</v>
      </c>
      <c r="C185" s="50">
        <v>1460.15</v>
      </c>
      <c r="D185" s="51">
        <v>127186969.09649999</v>
      </c>
      <c r="E185" s="51">
        <v>2685483333</v>
      </c>
      <c r="F185" s="52">
        <f t="shared" si="5"/>
        <v>-8.3210638349054695E-3</v>
      </c>
      <c r="G185" s="52">
        <f t="shared" si="6"/>
        <v>-7.5331888366289224E-5</v>
      </c>
      <c r="I185" s="4">
        <v>91</v>
      </c>
      <c r="J185" s="48">
        <f t="shared" ca="1" si="7"/>
        <v>0.59685108916999752</v>
      </c>
      <c r="K185" s="23">
        <f ca="1">K184*EXP(J88*J91+J89*J185*SQRT(J91))</f>
        <v>477.13105128874088</v>
      </c>
    </row>
    <row r="186" spans="1:11" ht="15" customHeight="1" x14ac:dyDescent="0.2">
      <c r="A186" s="19" t="s">
        <v>310</v>
      </c>
      <c r="B186" s="50">
        <v>24.766200000000001</v>
      </c>
      <c r="C186" s="50">
        <v>1456.89</v>
      </c>
      <c r="D186" s="51">
        <v>58170727.259423003</v>
      </c>
      <c r="E186" s="51">
        <v>1671622222</v>
      </c>
      <c r="F186" s="52">
        <f t="shared" si="5"/>
        <v>-1.3244589208584375E-2</v>
      </c>
      <c r="G186" s="52">
        <f t="shared" si="6"/>
        <v>-2.2351434037312782E-3</v>
      </c>
      <c r="I186" s="4">
        <v>92</v>
      </c>
      <c r="J186" s="48">
        <f t="shared" ca="1" si="7"/>
        <v>0.30621619847358245</v>
      </c>
      <c r="K186" s="23">
        <f ca="1">K185*EXP(J88*J91+J89*J186*SQRT(J91))</f>
        <v>479.92468049407518</v>
      </c>
    </row>
    <row r="187" spans="1:11" ht="15" customHeight="1" x14ac:dyDescent="0.2">
      <c r="A187" s="19" t="s">
        <v>311</v>
      </c>
      <c r="B187" s="50">
        <v>24.454499999999999</v>
      </c>
      <c r="C187" s="50">
        <v>1441.59</v>
      </c>
      <c r="D187" s="51">
        <v>67443686.989761993</v>
      </c>
      <c r="E187" s="51">
        <v>2077722222</v>
      </c>
      <c r="F187" s="52">
        <f t="shared" si="5"/>
        <v>-1.2665572282116877E-2</v>
      </c>
      <c r="G187" s="52">
        <f t="shared" si="6"/>
        <v>-1.0557355654258943E-2</v>
      </c>
      <c r="I187" s="4">
        <v>93</v>
      </c>
      <c r="J187" s="48">
        <f t="shared" ca="1" si="7"/>
        <v>-1.118071917863545</v>
      </c>
      <c r="K187" s="23">
        <f ca="1">K186*EXP(J88*J91+J89*J187*SQRT(J91))</f>
        <v>471.59628921195838</v>
      </c>
    </row>
    <row r="188" spans="1:11" ht="15" customHeight="1" x14ac:dyDescent="0.2">
      <c r="A188" s="19" t="s">
        <v>312</v>
      </c>
      <c r="B188" s="50">
        <v>24.273099999999999</v>
      </c>
      <c r="C188" s="50">
        <v>1433.32</v>
      </c>
      <c r="D188" s="51">
        <v>67952847.067585006</v>
      </c>
      <c r="E188" s="51">
        <v>1980766667</v>
      </c>
      <c r="F188" s="52">
        <f t="shared" si="5"/>
        <v>-7.4455067764583448E-3</v>
      </c>
      <c r="G188" s="52">
        <f t="shared" si="6"/>
        <v>-5.7532394483594748E-3</v>
      </c>
      <c r="I188" s="4">
        <v>94</v>
      </c>
      <c r="J188" s="48">
        <f t="shared" ca="1" si="7"/>
        <v>0.25889151017846856</v>
      </c>
      <c r="K188" s="23">
        <f ca="1">K187*EXP(J88*J91+J89*J188*SQRT(J91))</f>
        <v>473.98972208056472</v>
      </c>
    </row>
    <row r="189" spans="1:11" ht="15" customHeight="1" x14ac:dyDescent="0.2">
      <c r="A189" s="19" t="s">
        <v>313</v>
      </c>
      <c r="B189" s="50">
        <v>24.267099999999999</v>
      </c>
      <c r="C189" s="50">
        <v>1447.15</v>
      </c>
      <c r="D189" s="51">
        <v>58572552.299615003</v>
      </c>
      <c r="E189" s="51">
        <v>1750183333</v>
      </c>
      <c r="F189" s="52">
        <f t="shared" si="5"/>
        <v>-2.4721777127241528E-4</v>
      </c>
      <c r="G189" s="52">
        <f t="shared" si="6"/>
        <v>9.6026733646948151E-3</v>
      </c>
      <c r="I189" s="4">
        <v>95</v>
      </c>
      <c r="J189" s="48">
        <f t="shared" ca="1" si="7"/>
        <v>0.53915909697238462</v>
      </c>
      <c r="K189" s="23">
        <f ca="1">K188*EXP(J88*J91+J89*J189*SQRT(J91))</f>
        <v>478.58867750727416</v>
      </c>
    </row>
    <row r="190" spans="1:11" ht="15" customHeight="1" x14ac:dyDescent="0.2">
      <c r="A190" s="19" t="s">
        <v>314</v>
      </c>
      <c r="B190" s="50">
        <v>23.9466</v>
      </c>
      <c r="C190" s="50">
        <v>1440.67</v>
      </c>
      <c r="D190" s="51">
        <v>67395822.471705005</v>
      </c>
      <c r="E190" s="51">
        <v>1949572222</v>
      </c>
      <c r="F190" s="52">
        <f t="shared" si="5"/>
        <v>-1.3295172160356809E-2</v>
      </c>
      <c r="G190" s="52">
        <f t="shared" si="6"/>
        <v>-4.4878218697084783E-3</v>
      </c>
      <c r="I190" s="4">
        <v>96</v>
      </c>
      <c r="J190" s="48">
        <f t="shared" ca="1" si="7"/>
        <v>0.9736001830121942</v>
      </c>
      <c r="K190" s="23">
        <f ca="1">K189*EXP(J88*J91+J89*J190*SQRT(J91))</f>
        <v>486.68535123551817</v>
      </c>
    </row>
    <row r="191" spans="1:11" ht="15" customHeight="1" x14ac:dyDescent="0.2">
      <c r="A191" s="19" t="s">
        <v>315</v>
      </c>
      <c r="B191" s="50">
        <v>23.729700000000001</v>
      </c>
      <c r="C191" s="50">
        <v>1444.49</v>
      </c>
      <c r="D191" s="51">
        <v>67113800.525460005</v>
      </c>
      <c r="E191" s="51">
        <v>1947266667</v>
      </c>
      <c r="F191" s="52">
        <f t="shared" si="5"/>
        <v>-9.0989232148669108E-3</v>
      </c>
      <c r="G191" s="52">
        <f t="shared" si="6"/>
        <v>2.6480349319839992E-3</v>
      </c>
      <c r="I191" s="4">
        <v>97</v>
      </c>
      <c r="J191" s="48">
        <f t="shared" ca="1" si="7"/>
        <v>-1.9278497508923973</v>
      </c>
      <c r="K191" s="23">
        <f ca="1">K190*EXP(J88*J91+J89*J191*SQRT(J91))</f>
        <v>471.93431427662767</v>
      </c>
    </row>
    <row r="192" spans="1:11" ht="15" customHeight="1" x14ac:dyDescent="0.2">
      <c r="A192" s="19" t="s">
        <v>316</v>
      </c>
      <c r="B192" s="50">
        <v>23.8645</v>
      </c>
      <c r="C192" s="50">
        <v>1445.75</v>
      </c>
      <c r="D192" s="51">
        <v>53848141.820481002</v>
      </c>
      <c r="E192" s="51">
        <v>1845438889</v>
      </c>
      <c r="F192" s="52">
        <f t="shared" si="5"/>
        <v>5.6645709119118636E-3</v>
      </c>
      <c r="G192" s="52">
        <f t="shared" si="6"/>
        <v>8.7189996666161944E-4</v>
      </c>
      <c r="I192" s="4">
        <v>98</v>
      </c>
      <c r="J192" s="48">
        <f t="shared" ca="1" si="7"/>
        <v>4.5758242627593905E-2</v>
      </c>
      <c r="K192" s="23">
        <f ca="1">K191*EXP(J88*J91+J89*J192*SQRT(J91))</f>
        <v>472.67541584153622</v>
      </c>
    </row>
    <row r="193" spans="1:11" ht="15" customHeight="1" x14ac:dyDescent="0.2">
      <c r="A193" s="19" t="s">
        <v>317</v>
      </c>
      <c r="B193" s="50">
        <v>24.028700000000001</v>
      </c>
      <c r="C193" s="50">
        <v>1450.99</v>
      </c>
      <c r="D193" s="51">
        <v>57992848.086101003</v>
      </c>
      <c r="E193" s="51">
        <v>1962022222</v>
      </c>
      <c r="F193" s="52">
        <f t="shared" si="5"/>
        <v>6.8569501874696879E-3</v>
      </c>
      <c r="G193" s="52">
        <f t="shared" si="6"/>
        <v>3.6178640233520921E-3</v>
      </c>
      <c r="I193" s="4">
        <v>99</v>
      </c>
      <c r="J193" s="48">
        <f t="shared" ca="1" si="7"/>
        <v>0.51922936678387499</v>
      </c>
      <c r="K193" s="23">
        <f ca="1">K192*EXP(J88*J91+J89*J193*SQRT(J91))</f>
        <v>477.10574928755557</v>
      </c>
    </row>
    <row r="194" spans="1:11" ht="15" customHeight="1" x14ac:dyDescent="0.2">
      <c r="A194" s="19" t="s">
        <v>318</v>
      </c>
      <c r="B194" s="50">
        <v>24.1645</v>
      </c>
      <c r="C194" s="50">
        <v>1461.4</v>
      </c>
      <c r="D194" s="51">
        <v>54233420.937028997</v>
      </c>
      <c r="E194" s="51">
        <v>2008811111</v>
      </c>
      <c r="F194" s="52">
        <f t="shared" si="5"/>
        <v>5.6356647587320176E-3</v>
      </c>
      <c r="G194" s="52">
        <f t="shared" si="6"/>
        <v>7.1487982954376974E-3</v>
      </c>
      <c r="I194" s="4">
        <v>100</v>
      </c>
      <c r="J194" s="48">
        <f t="shared" ca="1" si="7"/>
        <v>0.78896976331145097</v>
      </c>
      <c r="K194" s="23">
        <f ca="1">K193*EXP(J88*J91+J89*J194*SQRT(J91))</f>
        <v>483.71137684419114</v>
      </c>
    </row>
    <row r="195" spans="1:11" ht="15" customHeight="1" x14ac:dyDescent="0.2">
      <c r="A195" s="19" t="s">
        <v>319</v>
      </c>
      <c r="B195" s="50">
        <v>24.0199</v>
      </c>
      <c r="C195" s="50">
        <v>1460.93</v>
      </c>
      <c r="D195" s="51">
        <v>51120488.820161998</v>
      </c>
      <c r="E195" s="51">
        <v>1762744444</v>
      </c>
      <c r="F195" s="52">
        <f t="shared" si="5"/>
        <v>-6.0019605550046115E-3</v>
      </c>
      <c r="G195" s="52">
        <f t="shared" si="6"/>
        <v>-3.2166114302795205E-4</v>
      </c>
      <c r="I195" s="4">
        <v>101</v>
      </c>
      <c r="J195" s="48">
        <f t="shared" ca="1" si="7"/>
        <v>-6.6748255763477357E-2</v>
      </c>
      <c r="K195" s="23">
        <f ca="1">K194*EXP(J88*J91+J89*J195*SQRT(J91))</f>
        <v>483.5784487178795</v>
      </c>
    </row>
    <row r="196" spans="1:11" ht="15" customHeight="1" x14ac:dyDescent="0.2">
      <c r="A196" s="19" t="s">
        <v>320</v>
      </c>
      <c r="B196" s="50">
        <v>23.964200000000002</v>
      </c>
      <c r="C196" s="50">
        <v>1455.88</v>
      </c>
      <c r="D196" s="51">
        <v>36978851.384228997</v>
      </c>
      <c r="E196" s="51">
        <v>1293733333</v>
      </c>
      <c r="F196" s="52">
        <f t="shared" si="5"/>
        <v>-2.3216034068722106E-3</v>
      </c>
      <c r="G196" s="52">
        <f t="shared" si="6"/>
        <v>-3.4626904363913532E-3</v>
      </c>
      <c r="I196" s="4">
        <v>102</v>
      </c>
      <c r="J196" s="48">
        <f t="shared" ca="1" si="7"/>
        <v>-0.28540609106413217</v>
      </c>
      <c r="K196" s="23">
        <f ca="1">K195*EXP(J88*J91+J89*J196*SQRT(J91))</f>
        <v>481.71610148324891</v>
      </c>
    </row>
    <row r="197" spans="1:11" ht="15" customHeight="1" x14ac:dyDescent="0.2">
      <c r="A197" s="19" t="s">
        <v>321</v>
      </c>
      <c r="B197" s="50">
        <v>23.561599999999999</v>
      </c>
      <c r="C197" s="50">
        <v>1441.48</v>
      </c>
      <c r="D197" s="51">
        <v>56076399.919620998</v>
      </c>
      <c r="E197" s="51">
        <v>1786844444</v>
      </c>
      <c r="F197" s="52">
        <f t="shared" si="5"/>
        <v>-1.6942781846703055E-2</v>
      </c>
      <c r="G197" s="52">
        <f t="shared" si="6"/>
        <v>-9.9401652318431739E-3</v>
      </c>
      <c r="I197" s="4">
        <v>103</v>
      </c>
      <c r="J197" s="48">
        <f t="shared" ca="1" si="7"/>
        <v>0.36633938388340098</v>
      </c>
      <c r="K197" s="23">
        <f ca="1">K196*EXP(J88*J91+J89*J197*SQRT(J91))</f>
        <v>485.01427870969911</v>
      </c>
    </row>
    <row r="198" spans="1:11" ht="15" customHeight="1" x14ac:dyDescent="0.2">
      <c r="A198" s="19" t="s">
        <v>322</v>
      </c>
      <c r="B198" s="50">
        <v>23.320499999999999</v>
      </c>
      <c r="C198" s="50">
        <v>1432.56</v>
      </c>
      <c r="D198" s="51">
        <v>58688931.745975003</v>
      </c>
      <c r="E198" s="51">
        <v>1791700000</v>
      </c>
      <c r="F198" s="52">
        <f t="shared" ref="F198:F261" si="8">LN(B198/B197)</f>
        <v>-1.0285466116492586E-2</v>
      </c>
      <c r="G198" s="52">
        <f t="shared" ref="G198:G261" si="9">LN(C198/C197)</f>
        <v>-6.2073100173509251E-3</v>
      </c>
      <c r="I198" s="4">
        <v>104</v>
      </c>
      <c r="J198" s="48">
        <f t="shared" ca="1" si="7"/>
        <v>-0.86100234863310254</v>
      </c>
      <c r="K198" s="23">
        <f ca="1">K197*EXP(J88*J91+J89*J198*SQRT(J91))</f>
        <v>478.6098638592394</v>
      </c>
    </row>
    <row r="199" spans="1:11" ht="15" customHeight="1" x14ac:dyDescent="0.2">
      <c r="A199" s="19" t="s">
        <v>323</v>
      </c>
      <c r="B199" s="50">
        <v>23.2942</v>
      </c>
      <c r="C199" s="50">
        <v>1432.84</v>
      </c>
      <c r="D199" s="51">
        <v>51562323.646266997</v>
      </c>
      <c r="E199" s="51">
        <v>2040300000</v>
      </c>
      <c r="F199" s="52">
        <f t="shared" si="8"/>
        <v>-1.1283995302175545E-3</v>
      </c>
      <c r="G199" s="52">
        <f t="shared" si="9"/>
        <v>1.954351929163438E-4</v>
      </c>
      <c r="I199" s="4">
        <v>105</v>
      </c>
      <c r="J199" s="48">
        <f t="shared" ca="1" si="7"/>
        <v>-0.90298823150467544</v>
      </c>
      <c r="K199" s="23">
        <f ca="1">K198*EXP(J88*J91+J89*J199*SQRT(J91))</f>
        <v>471.96512588019351</v>
      </c>
    </row>
    <row r="200" spans="1:11" ht="15" customHeight="1" x14ac:dyDescent="0.2">
      <c r="A200" s="19" t="s">
        <v>324</v>
      </c>
      <c r="B200" s="50">
        <v>23.493500000000001</v>
      </c>
      <c r="C200" s="50">
        <v>1428.59</v>
      </c>
      <c r="D200" s="51">
        <v>57746820.511340998</v>
      </c>
      <c r="E200" s="51">
        <v>1741527778</v>
      </c>
      <c r="F200" s="52">
        <f t="shared" si="8"/>
        <v>8.5193846002238408E-3</v>
      </c>
      <c r="G200" s="52">
        <f t="shared" si="9"/>
        <v>-2.9705448850503111E-3</v>
      </c>
      <c r="I200" s="4">
        <v>106</v>
      </c>
      <c r="J200" s="48">
        <f t="shared" ca="1" si="7"/>
        <v>-1.3867822297535166</v>
      </c>
      <c r="K200" s="23">
        <f ca="1">K199*EXP(J88*J91+J89*J200*SQRT(J91))</f>
        <v>461.73683218501338</v>
      </c>
    </row>
    <row r="201" spans="1:11" ht="15" customHeight="1" x14ac:dyDescent="0.2">
      <c r="A201" s="19" t="s">
        <v>325</v>
      </c>
      <c r="B201" s="50">
        <v>23.7453</v>
      </c>
      <c r="C201" s="50">
        <v>1440.13</v>
      </c>
      <c r="D201" s="51">
        <v>52750133.810061</v>
      </c>
      <c r="E201" s="51">
        <v>1935450000</v>
      </c>
      <c r="F201" s="52">
        <f t="shared" si="8"/>
        <v>1.0660829014286621E-2</v>
      </c>
      <c r="G201" s="52">
        <f t="shared" si="9"/>
        <v>8.0454434366606341E-3</v>
      </c>
      <c r="I201" s="4">
        <v>107</v>
      </c>
      <c r="J201" s="48">
        <f t="shared" ca="1" si="7"/>
        <v>-1.5900931398227836</v>
      </c>
      <c r="K201" s="23">
        <f ca="1">K200*EXP(J88*J91+J89*J201*SQRT(J91))</f>
        <v>450.22743767525782</v>
      </c>
    </row>
    <row r="202" spans="1:11" ht="15" customHeight="1" x14ac:dyDescent="0.2">
      <c r="A202" s="19" t="s">
        <v>326</v>
      </c>
      <c r="B202" s="50">
        <v>23.729700000000001</v>
      </c>
      <c r="C202" s="50">
        <v>1454.92</v>
      </c>
      <c r="D202" s="51">
        <v>59331244.481409997</v>
      </c>
      <c r="E202" s="51">
        <v>1982650000</v>
      </c>
      <c r="F202" s="52">
        <f t="shared" si="8"/>
        <v>-6.5718801733389675E-4</v>
      </c>
      <c r="G202" s="52">
        <f t="shared" si="9"/>
        <v>1.0217529003082159E-2</v>
      </c>
      <c r="I202" s="4">
        <v>108</v>
      </c>
      <c r="J202" s="48">
        <f t="shared" ca="1" si="7"/>
        <v>-0.84089900779843207</v>
      </c>
      <c r="K202" s="23">
        <f ca="1">K201*EXP(J88*J91+J89*J202*SQRT(J91))</f>
        <v>444.42877978874077</v>
      </c>
    </row>
    <row r="203" spans="1:11" ht="15" customHeight="1" x14ac:dyDescent="0.2">
      <c r="A203" s="19" t="s">
        <v>327</v>
      </c>
      <c r="B203" s="50">
        <v>23.809799999999999</v>
      </c>
      <c r="C203" s="50">
        <v>1460.91</v>
      </c>
      <c r="D203" s="51">
        <v>54941407.505653001</v>
      </c>
      <c r="E203" s="51">
        <v>2030733333</v>
      </c>
      <c r="F203" s="52">
        <f t="shared" si="8"/>
        <v>3.3698324887623003E-3</v>
      </c>
      <c r="G203" s="52">
        <f t="shared" si="9"/>
        <v>4.1086129344168739E-3</v>
      </c>
      <c r="I203" s="4">
        <v>109</v>
      </c>
      <c r="J203" s="48">
        <f t="shared" ca="1" si="7"/>
        <v>-0.64155806503609969</v>
      </c>
      <c r="K203" s="23">
        <f ca="1">K202*EXP(J88*J91+J89*J203*SQRT(J91))</f>
        <v>440.14047083709045</v>
      </c>
    </row>
    <row r="204" spans="1:11" ht="15" customHeight="1" x14ac:dyDescent="0.2">
      <c r="A204" s="19" t="s">
        <v>328</v>
      </c>
      <c r="B204" s="50">
        <v>23.738600000000002</v>
      </c>
      <c r="C204" s="50">
        <v>1457.34</v>
      </c>
      <c r="D204" s="51">
        <v>73584692.063706994</v>
      </c>
      <c r="E204" s="51">
        <v>2155572222</v>
      </c>
      <c r="F204" s="52">
        <f t="shared" si="8"/>
        <v>-2.9948453877162761E-3</v>
      </c>
      <c r="G204" s="52">
        <f t="shared" si="9"/>
        <v>-2.4466730272574805E-3</v>
      </c>
      <c r="I204" s="4">
        <v>110</v>
      </c>
      <c r="J204" s="48">
        <f t="shared" ca="1" si="7"/>
        <v>1.2444560472914148</v>
      </c>
      <c r="K204" s="23">
        <f ca="1">K203*EXP(J88*J91+J89*J204*SQRT(J91))</f>
        <v>449.57806672515187</v>
      </c>
    </row>
    <row r="205" spans="1:11" ht="15" customHeight="1" x14ac:dyDescent="0.2">
      <c r="A205" s="19" t="s">
        <v>329</v>
      </c>
      <c r="B205" s="50">
        <v>23.0441</v>
      </c>
      <c r="C205" s="50">
        <v>1433.19</v>
      </c>
      <c r="D205" s="51">
        <v>112436309.39313</v>
      </c>
      <c r="E205" s="51">
        <v>2152872222</v>
      </c>
      <c r="F205" s="52">
        <f t="shared" si="8"/>
        <v>-2.969264385866386E-2</v>
      </c>
      <c r="G205" s="52">
        <f t="shared" si="9"/>
        <v>-1.6710127170061661E-2</v>
      </c>
      <c r="I205" s="4">
        <v>111</v>
      </c>
      <c r="J205" s="48">
        <f t="shared" ca="1" si="7"/>
        <v>0.96002662247515891</v>
      </c>
      <c r="K205" s="23">
        <f ca="1">K204*EXP(J88*J91+J89*J205*SQRT(J91))</f>
        <v>457.08224664366213</v>
      </c>
    </row>
    <row r="206" spans="1:11" ht="15" customHeight="1" x14ac:dyDescent="0.2">
      <c r="A206" s="19" t="s">
        <v>330</v>
      </c>
      <c r="B206" s="50">
        <v>22.532399999999999</v>
      </c>
      <c r="C206" s="50">
        <v>1433.82</v>
      </c>
      <c r="D206" s="51">
        <v>103620727.07084</v>
      </c>
      <c r="E206" s="51">
        <v>1786788889</v>
      </c>
      <c r="F206" s="52">
        <f t="shared" si="8"/>
        <v>-2.2455497980480389E-2</v>
      </c>
      <c r="G206" s="52">
        <f t="shared" si="9"/>
        <v>4.3948225512983235E-4</v>
      </c>
      <c r="I206" s="4">
        <v>112</v>
      </c>
      <c r="J206" s="48">
        <f t="shared" ca="1" si="7"/>
        <v>0.71355539926584155</v>
      </c>
      <c r="K206" s="23">
        <f ca="1">K205*EXP(J88*J91+J89*J206*SQRT(J91))</f>
        <v>462.83820926848</v>
      </c>
    </row>
    <row r="207" spans="1:11" ht="15" customHeight="1" x14ac:dyDescent="0.2">
      <c r="A207" s="19" t="s">
        <v>331</v>
      </c>
      <c r="B207" s="50">
        <v>22.571300000000001</v>
      </c>
      <c r="C207" s="50">
        <v>1413.11</v>
      </c>
      <c r="D207" s="51">
        <v>80056495.823844999</v>
      </c>
      <c r="E207" s="51">
        <v>1993150000</v>
      </c>
      <c r="F207" s="52">
        <f t="shared" si="8"/>
        <v>1.7249143482698469E-3</v>
      </c>
      <c r="G207" s="52">
        <f t="shared" si="9"/>
        <v>-1.4549262064668257E-2</v>
      </c>
      <c r="I207" s="4">
        <v>113</v>
      </c>
      <c r="J207" s="48">
        <f t="shared" ca="1" si="7"/>
        <v>-0.17278076078964016</v>
      </c>
      <c r="K207" s="23">
        <f ca="1">K206*EXP(J88*J91+J89*J207*SQRT(J91))</f>
        <v>461.90759044711615</v>
      </c>
    </row>
    <row r="208" spans="1:11" ht="15" customHeight="1" x14ac:dyDescent="0.2">
      <c r="A208" s="19" t="s">
        <v>332</v>
      </c>
      <c r="B208" s="50">
        <v>22.4513</v>
      </c>
      <c r="C208" s="50">
        <v>1408.75</v>
      </c>
      <c r="D208" s="51">
        <v>66272644.918132998</v>
      </c>
      <c r="E208" s="51">
        <v>1881094444</v>
      </c>
      <c r="F208" s="52">
        <f t="shared" si="8"/>
        <v>-5.3306687823521026E-3</v>
      </c>
      <c r="G208" s="52">
        <f t="shared" si="9"/>
        <v>-3.0901628496863881E-3</v>
      </c>
      <c r="I208" s="4">
        <v>114</v>
      </c>
      <c r="J208" s="48">
        <f t="shared" ca="1" si="7"/>
        <v>-1.1823113756822528</v>
      </c>
      <c r="K208" s="23">
        <f ca="1">K207*EXP(J88*J91+J89*J208*SQRT(J91))</f>
        <v>453.41421970744057</v>
      </c>
    </row>
    <row r="209" spans="1:11" ht="15" customHeight="1" x14ac:dyDescent="0.2">
      <c r="A209" s="19" t="s">
        <v>333</v>
      </c>
      <c r="B209" s="50">
        <v>22.436599999999999</v>
      </c>
      <c r="C209" s="50">
        <v>1412.97</v>
      </c>
      <c r="D209" s="51">
        <v>67202230.762636006</v>
      </c>
      <c r="E209" s="51">
        <v>1951466667</v>
      </c>
      <c r="F209" s="52">
        <f t="shared" si="8"/>
        <v>-6.5496494714615693E-4</v>
      </c>
      <c r="G209" s="52">
        <f t="shared" si="9"/>
        <v>2.9910856826463454E-3</v>
      </c>
      <c r="I209" s="4">
        <v>115</v>
      </c>
      <c r="J209" s="48">
        <f t="shared" ca="1" si="7"/>
        <v>0.16393097972175152</v>
      </c>
      <c r="K209" s="23">
        <f ca="1">K208*EXP(J88*J91+J89*J209*SQRT(J91))</f>
        <v>455.00665707997661</v>
      </c>
    </row>
    <row r="210" spans="1:11" ht="15" customHeight="1" x14ac:dyDescent="0.2">
      <c r="A210" s="19" t="s">
        <v>334</v>
      </c>
      <c r="B210" s="50">
        <v>22.700500000000002</v>
      </c>
      <c r="C210" s="50">
        <v>1411.94</v>
      </c>
      <c r="D210" s="51">
        <v>71810636.512821004</v>
      </c>
      <c r="E210" s="51">
        <v>1824950000</v>
      </c>
      <c r="F210" s="52">
        <f t="shared" si="8"/>
        <v>1.1693396653096591E-2</v>
      </c>
      <c r="G210" s="52">
        <f t="shared" si="9"/>
        <v>-7.2922680414156456E-4</v>
      </c>
      <c r="I210" s="4">
        <v>116</v>
      </c>
      <c r="J210" s="48">
        <f t="shared" ca="1" si="7"/>
        <v>8.7923630047268733E-2</v>
      </c>
      <c r="K210" s="23">
        <f ca="1">K209*EXP(J88*J91+J89*J210*SQRT(J91))</f>
        <v>456.03622680769155</v>
      </c>
    </row>
    <row r="211" spans="1:11" ht="15" customHeight="1" x14ac:dyDescent="0.2">
      <c r="A211" s="19" t="s">
        <v>335</v>
      </c>
      <c r="B211" s="50">
        <v>22.962900000000001</v>
      </c>
      <c r="C211" s="50">
        <v>1412.16</v>
      </c>
      <c r="D211" s="51">
        <v>86333266.339090005</v>
      </c>
      <c r="E211" s="51">
        <v>1987283333</v>
      </c>
      <c r="F211" s="52">
        <f t="shared" si="8"/>
        <v>1.1492919419068442E-2</v>
      </c>
      <c r="G211" s="52">
        <f t="shared" si="9"/>
        <v>1.5580184869156202E-4</v>
      </c>
      <c r="I211" s="4">
        <v>117</v>
      </c>
      <c r="J211" s="48">
        <f t="shared" ca="1" si="7"/>
        <v>-0.77603218798170581</v>
      </c>
      <c r="K211" s="23">
        <f ca="1">K210*EXP(J88*J91+J89*J211*SQRT(J91))</f>
        <v>450.64160338846665</v>
      </c>
    </row>
    <row r="212" spans="1:11" ht="15" customHeight="1" x14ac:dyDescent="0.2">
      <c r="A212" s="19" t="s">
        <v>336</v>
      </c>
      <c r="B212" s="50">
        <v>23.7453</v>
      </c>
      <c r="C212" s="50">
        <v>1427.59</v>
      </c>
      <c r="D212" s="51">
        <v>89539808.188692003</v>
      </c>
      <c r="E212" s="51">
        <v>2183272222</v>
      </c>
      <c r="F212" s="52">
        <f t="shared" si="8"/>
        <v>3.3504746064495654E-2</v>
      </c>
      <c r="G212" s="52">
        <f t="shared" si="9"/>
        <v>1.0867260747050345E-2</v>
      </c>
      <c r="I212" s="4">
        <v>118</v>
      </c>
      <c r="J212" s="48">
        <f t="shared" ca="1" si="7"/>
        <v>-0.325543317318229</v>
      </c>
      <c r="K212" s="23">
        <f ca="1">K211*EXP(J88*J91+J89*J212*SQRT(J91))</f>
        <v>448.61088930246848</v>
      </c>
    </row>
    <row r="213" spans="1:11" ht="15" customHeight="1" x14ac:dyDescent="0.2">
      <c r="A213" s="19" t="s">
        <v>337</v>
      </c>
      <c r="B213" s="50">
        <v>23.738600000000002</v>
      </c>
      <c r="C213" s="50">
        <v>1414.2</v>
      </c>
      <c r="D213" s="51">
        <v>71011806.567855</v>
      </c>
      <c r="E213" s="51">
        <v>2073600000</v>
      </c>
      <c r="F213" s="52">
        <f t="shared" si="8"/>
        <v>-2.8220091628792398E-4</v>
      </c>
      <c r="G213" s="52">
        <f t="shared" si="9"/>
        <v>-9.4237076580922455E-3</v>
      </c>
      <c r="I213" s="4">
        <v>119</v>
      </c>
      <c r="J213" s="48">
        <f t="shared" ca="1" si="7"/>
        <v>-0.63871479161535938</v>
      </c>
      <c r="K213" s="23">
        <f ca="1">K212*EXP(J88*J91+J89*J213*SQRT(J91))</f>
        <v>444.30293142006838</v>
      </c>
    </row>
    <row r="214" spans="1:11" ht="15" customHeight="1" x14ac:dyDescent="0.2">
      <c r="A214" s="19" t="s">
        <v>338</v>
      </c>
      <c r="B214" s="50">
        <v>23.840199999999999</v>
      </c>
      <c r="C214" s="50">
        <v>1417.26</v>
      </c>
      <c r="D214" s="51">
        <v>47313865.706224002</v>
      </c>
      <c r="E214" s="51">
        <v>1622800000</v>
      </c>
      <c r="F214" s="52">
        <f t="shared" si="8"/>
        <v>4.270816179931229E-3</v>
      </c>
      <c r="G214" s="52">
        <f t="shared" si="9"/>
        <v>2.1614299275310735E-3</v>
      </c>
      <c r="I214" s="4">
        <v>120</v>
      </c>
      <c r="J214" s="48">
        <f t="shared" ca="1" si="7"/>
        <v>-1.1283457226075535</v>
      </c>
      <c r="K214" s="23">
        <f ca="1">K213*EXP(J88*J91+J89*J214*SQRT(J91))</f>
        <v>436.51919359351177</v>
      </c>
    </row>
    <row r="215" spans="1:11" ht="15" customHeight="1" x14ac:dyDescent="0.2">
      <c r="A215" s="19" t="s">
        <v>339</v>
      </c>
      <c r="B215" s="50">
        <v>24.028700000000001</v>
      </c>
      <c r="C215" s="50">
        <v>1428.39</v>
      </c>
      <c r="D215" s="51">
        <v>53944363.313084997</v>
      </c>
      <c r="E215" s="51">
        <v>1837205556</v>
      </c>
      <c r="F215" s="52">
        <f t="shared" si="8"/>
        <v>7.8757178184042584E-3</v>
      </c>
      <c r="G215" s="52">
        <f t="shared" si="9"/>
        <v>7.822505758014995E-3</v>
      </c>
      <c r="I215" s="4">
        <v>121</v>
      </c>
      <c r="J215" s="48">
        <f t="shared" ca="1" si="7"/>
        <v>-1.0722130337354672</v>
      </c>
      <c r="K215" s="23">
        <f ca="1">K214*EXP(J88*J91+J89*J215*SQRT(J91))</f>
        <v>429.26656515273993</v>
      </c>
    </row>
    <row r="216" spans="1:11" ht="15" customHeight="1" x14ac:dyDescent="0.2">
      <c r="A216" s="19" t="s">
        <v>340</v>
      </c>
      <c r="B216" s="50">
        <v>23.3978</v>
      </c>
      <c r="C216" s="50">
        <v>1394.53</v>
      </c>
      <c r="D216" s="51">
        <v>71925734.138970003</v>
      </c>
      <c r="E216" s="51">
        <v>2420272222</v>
      </c>
      <c r="F216" s="52">
        <f t="shared" si="8"/>
        <v>-2.6606948392353849E-2</v>
      </c>
      <c r="G216" s="52">
        <f t="shared" si="9"/>
        <v>-2.3990494932418175E-2</v>
      </c>
      <c r="I216" s="4">
        <v>122</v>
      </c>
      <c r="J216" s="48">
        <f t="shared" ca="1" si="7"/>
        <v>-2.0550046232012766</v>
      </c>
      <c r="K216" s="23">
        <f ca="1">K215*EXP(J88*J91+J89*J216*SQRT(J91))</f>
        <v>415.3892509000616</v>
      </c>
    </row>
    <row r="217" spans="1:11" ht="15" customHeight="1" x14ac:dyDescent="0.2">
      <c r="A217" s="19" t="s">
        <v>341</v>
      </c>
      <c r="B217" s="50">
        <v>23.182700000000001</v>
      </c>
      <c r="C217" s="50">
        <v>1377.51</v>
      </c>
      <c r="D217" s="51">
        <v>61935671.764013</v>
      </c>
      <c r="E217" s="51">
        <v>2099733333</v>
      </c>
      <c r="F217" s="52">
        <f t="shared" si="8"/>
        <v>-9.2356899974853218E-3</v>
      </c>
      <c r="G217" s="52">
        <f t="shared" si="9"/>
        <v>-1.2279919394418561E-2</v>
      </c>
      <c r="I217" s="4">
        <v>123</v>
      </c>
      <c r="J217" s="48">
        <f t="shared" ca="1" si="7"/>
        <v>0.32782895216043728</v>
      </c>
      <c r="K217" s="23">
        <f ca="1">K216*EXP(J88*J91+J89*J217*SQRT(J91))</f>
        <v>417.9694093124229</v>
      </c>
    </row>
    <row r="218" spans="1:11" ht="15" customHeight="1" x14ac:dyDescent="0.2">
      <c r="A218" s="19" t="s">
        <v>342</v>
      </c>
      <c r="B218" s="50">
        <v>23.198499999999999</v>
      </c>
      <c r="C218" s="50">
        <v>1379.85</v>
      </c>
      <c r="D218" s="51">
        <v>53803243.303337999</v>
      </c>
      <c r="E218" s="51">
        <v>2026305556</v>
      </c>
      <c r="F218" s="52">
        <f t="shared" si="8"/>
        <v>6.8131055734551714E-4</v>
      </c>
      <c r="G218" s="52">
        <f t="shared" si="9"/>
        <v>1.6972760624259981E-3</v>
      </c>
      <c r="I218" s="4">
        <v>124</v>
      </c>
      <c r="J218" s="48">
        <f t="shared" ca="1" si="7"/>
        <v>-0.94405454669832445</v>
      </c>
      <c r="K218" s="23">
        <f ca="1">K217*EXP(J88*J91+J89*J218*SQRT(J91))</f>
        <v>411.88924396074884</v>
      </c>
    </row>
    <row r="219" spans="1:11" ht="15" customHeight="1" x14ac:dyDescent="0.2">
      <c r="A219" s="19" t="s">
        <v>343</v>
      </c>
      <c r="B219" s="50">
        <v>22.706399999999999</v>
      </c>
      <c r="C219" s="50">
        <v>1380.03</v>
      </c>
      <c r="D219" s="51">
        <v>75936767.647403002</v>
      </c>
      <c r="E219" s="51">
        <v>1426411111</v>
      </c>
      <c r="F219" s="52">
        <f t="shared" si="8"/>
        <v>-2.1440798333407673E-2</v>
      </c>
      <c r="G219" s="52">
        <f t="shared" si="9"/>
        <v>1.3044045411771709E-4</v>
      </c>
      <c r="I219" s="4">
        <v>125</v>
      </c>
      <c r="J219" s="48">
        <f t="shared" ca="1" si="7"/>
        <v>-0.8271915463177818</v>
      </c>
      <c r="K219" s="23">
        <f ca="1">K218*EXP(J88*J91+J89*J219*SQRT(J91))</f>
        <v>406.67571366788047</v>
      </c>
    </row>
    <row r="220" spans="1:11" ht="15" customHeight="1" x14ac:dyDescent="0.2">
      <c r="A220" s="19" t="s">
        <v>344</v>
      </c>
      <c r="B220" s="50">
        <v>21.976500000000001</v>
      </c>
      <c r="C220" s="50">
        <v>1374.53</v>
      </c>
      <c r="D220" s="51">
        <v>162317632.31186</v>
      </c>
      <c r="E220" s="51">
        <v>1919750000</v>
      </c>
      <c r="F220" s="52">
        <f t="shared" si="8"/>
        <v>-3.2673122448866582E-2</v>
      </c>
      <c r="G220" s="52">
        <f t="shared" si="9"/>
        <v>-3.9933835596909703E-3</v>
      </c>
      <c r="I220" s="4">
        <v>126</v>
      </c>
      <c r="J220" s="48">
        <f t="shared" ca="1" si="7"/>
        <v>-0.18236666606096635</v>
      </c>
      <c r="K220" s="23">
        <f ca="1">K219*EXP(J88*J91+J89*J220*SQRT(J91))</f>
        <v>405.79425962258307</v>
      </c>
    </row>
    <row r="221" spans="1:11" ht="15" customHeight="1" x14ac:dyDescent="0.2">
      <c r="A221" s="19" t="s">
        <v>345</v>
      </c>
      <c r="B221" s="50">
        <v>21.7744</v>
      </c>
      <c r="C221" s="50">
        <v>1355.49</v>
      </c>
      <c r="D221" s="51">
        <v>93793809.079704002</v>
      </c>
      <c r="E221" s="51">
        <v>2283061111</v>
      </c>
      <c r="F221" s="52">
        <f t="shared" si="8"/>
        <v>-9.2387328034243613E-3</v>
      </c>
      <c r="G221" s="52">
        <f t="shared" si="9"/>
        <v>-1.394884192572606E-2</v>
      </c>
      <c r="I221" s="4">
        <v>127</v>
      </c>
      <c r="J221" s="48">
        <f t="shared" ca="1" si="7"/>
        <v>-0.20767207310051772</v>
      </c>
      <c r="K221" s="23">
        <f ca="1">K220*EXP(J88*J91+J89*J221*SQRT(J91))</f>
        <v>404.74681187547566</v>
      </c>
    </row>
    <row r="222" spans="1:11" ht="15" customHeight="1" x14ac:dyDescent="0.2">
      <c r="A222" s="19" t="s">
        <v>346</v>
      </c>
      <c r="B222" s="50">
        <v>21.626899999999999</v>
      </c>
      <c r="C222" s="50">
        <v>1353.33</v>
      </c>
      <c r="D222" s="51">
        <v>62801128.716779001</v>
      </c>
      <c r="E222" s="51">
        <v>2182705556</v>
      </c>
      <c r="F222" s="52">
        <f t="shared" si="8"/>
        <v>-6.7970575938722565E-3</v>
      </c>
      <c r="G222" s="52">
        <f t="shared" si="9"/>
        <v>-1.5947906895285239E-3</v>
      </c>
      <c r="I222" s="4">
        <v>128</v>
      </c>
      <c r="J222" s="48">
        <f t="shared" ca="1" si="7"/>
        <v>-0.47425739512980625</v>
      </c>
      <c r="K222" s="23">
        <f ca="1">K221*EXP(J88*J91+J89*J222*SQRT(J91))</f>
        <v>401.94202370794812</v>
      </c>
    </row>
    <row r="223" spans="1:11" ht="15" customHeight="1" x14ac:dyDescent="0.2">
      <c r="A223" s="19" t="s">
        <v>347</v>
      </c>
      <c r="B223" s="50">
        <v>21.515499999999999</v>
      </c>
      <c r="C223" s="50">
        <v>1359.88</v>
      </c>
      <c r="D223" s="51">
        <v>78998574.385692999</v>
      </c>
      <c r="E223" s="51">
        <v>2247727778</v>
      </c>
      <c r="F223" s="52">
        <f t="shared" si="8"/>
        <v>-5.1643046092373877E-3</v>
      </c>
      <c r="G223" s="52">
        <f t="shared" si="9"/>
        <v>4.8282386725694085E-3</v>
      </c>
      <c r="I223" s="4">
        <v>129</v>
      </c>
      <c r="J223" s="48">
        <f t="shared" ref="J223:J286" ca="1" si="10">NORMINV(RAND(),0,1)</f>
        <v>-0.20468017713224715</v>
      </c>
      <c r="K223" s="23">
        <f ca="1">K222*EXP(J88*J91+J89*J223*SQRT(J91))</f>
        <v>400.92417898055373</v>
      </c>
    </row>
    <row r="224" spans="1:11" ht="15" customHeight="1" x14ac:dyDescent="0.2">
      <c r="A224" s="19" t="s">
        <v>348</v>
      </c>
      <c r="B224" s="50">
        <v>21.683499999999999</v>
      </c>
      <c r="C224" s="50">
        <v>1386.89</v>
      </c>
      <c r="D224" s="51">
        <v>70466117.685519993</v>
      </c>
      <c r="E224" s="51">
        <v>1874888889</v>
      </c>
      <c r="F224" s="52">
        <f t="shared" si="8"/>
        <v>7.7779970351385362E-3</v>
      </c>
      <c r="G224" s="52">
        <f t="shared" si="9"/>
        <v>1.9667369768091868E-2</v>
      </c>
      <c r="I224" s="4">
        <v>130</v>
      </c>
      <c r="J224" s="48">
        <f t="shared" ca="1" si="10"/>
        <v>0.60184138603692339</v>
      </c>
      <c r="K224" s="23">
        <f ca="1">K223*EXP(J88*J91+J89*J224*SQRT(J91))</f>
        <v>405.23030589337662</v>
      </c>
    </row>
    <row r="225" spans="1:11" ht="15" customHeight="1" x14ac:dyDescent="0.2">
      <c r="A225" s="19" t="s">
        <v>349</v>
      </c>
      <c r="B225" s="50">
        <v>21.668900000000001</v>
      </c>
      <c r="C225" s="50">
        <v>1387.81</v>
      </c>
      <c r="D225" s="51">
        <v>58007499.946337</v>
      </c>
      <c r="E225" s="51">
        <v>1781755556</v>
      </c>
      <c r="F225" s="52">
        <f t="shared" si="8"/>
        <v>-6.7354981740166411E-4</v>
      </c>
      <c r="G225" s="52">
        <f t="shared" si="9"/>
        <v>6.6313477760757589E-4</v>
      </c>
      <c r="I225" s="4">
        <v>131</v>
      </c>
      <c r="J225" s="48">
        <f t="shared" ca="1" si="10"/>
        <v>0.85050855263742897</v>
      </c>
      <c r="K225" s="23">
        <f ca="1">K224*EXP(J88*J91+J89*J225*SQRT(J91))</f>
        <v>411.25539072855281</v>
      </c>
    </row>
    <row r="226" spans="1:11" ht="15" customHeight="1" x14ac:dyDescent="0.2">
      <c r="A226" s="19" t="s">
        <v>350</v>
      </c>
      <c r="B226" s="50">
        <v>21.8642</v>
      </c>
      <c r="C226" s="50">
        <v>1391.03</v>
      </c>
      <c r="D226" s="51">
        <v>81780822.483988002</v>
      </c>
      <c r="E226" s="51">
        <v>1481716667</v>
      </c>
      <c r="F226" s="52">
        <f t="shared" si="8"/>
        <v>8.9725432023926802E-3</v>
      </c>
      <c r="G226" s="52">
        <f t="shared" si="9"/>
        <v>2.3175148199859131E-3</v>
      </c>
      <c r="I226" s="4">
        <v>132</v>
      </c>
      <c r="J226" s="48">
        <f t="shared" ca="1" si="10"/>
        <v>-2.3213745294907659</v>
      </c>
      <c r="K226" s="23">
        <f ca="1">K225*EXP(J88*J91+J89*J226*SQRT(J91))</f>
        <v>396.22672843771682</v>
      </c>
    </row>
    <row r="227" spans="1:11" ht="15" customHeight="1" x14ac:dyDescent="0.2">
      <c r="A227" s="19" t="s">
        <v>351</v>
      </c>
      <c r="B227" s="50">
        <v>22.4726</v>
      </c>
      <c r="C227" s="50">
        <v>1409.15</v>
      </c>
      <c r="D227" s="51">
        <v>71303696.072549</v>
      </c>
      <c r="E227" s="51">
        <v>836088889</v>
      </c>
      <c r="F227" s="52">
        <f t="shared" si="8"/>
        <v>2.7446193297771027E-2</v>
      </c>
      <c r="G227" s="52">
        <f t="shared" si="9"/>
        <v>1.2942205804867957E-2</v>
      </c>
      <c r="I227" s="4">
        <v>133</v>
      </c>
      <c r="J227" s="48">
        <f t="shared" ca="1" si="10"/>
        <v>-0.67376995436455311</v>
      </c>
      <c r="K227" s="23">
        <f ca="1">K226*EXP(J88*J91+J89*J227*SQRT(J91))</f>
        <v>392.19640888060871</v>
      </c>
    </row>
    <row r="228" spans="1:11" ht="15" customHeight="1" x14ac:dyDescent="0.2">
      <c r="A228" s="19" t="s">
        <v>352</v>
      </c>
      <c r="B228" s="50">
        <v>22.218900000000001</v>
      </c>
      <c r="C228" s="50">
        <v>1406.29</v>
      </c>
      <c r="D228" s="51">
        <v>104999687.13765</v>
      </c>
      <c r="E228" s="51">
        <v>1638311111</v>
      </c>
      <c r="F228" s="52">
        <f t="shared" si="8"/>
        <v>-1.1353511303128694E-2</v>
      </c>
      <c r="G228" s="52">
        <f t="shared" si="9"/>
        <v>-2.0316547209315592E-3</v>
      </c>
      <c r="I228" s="4">
        <v>134</v>
      </c>
      <c r="J228" s="48">
        <f t="shared" ca="1" si="10"/>
        <v>-0.90758019064773932</v>
      </c>
      <c r="K228" s="23">
        <f ca="1">K227*EXP(J88*J91+J89*J228*SQRT(J91))</f>
        <v>386.72227811960067</v>
      </c>
    </row>
    <row r="229" spans="1:11" ht="15" customHeight="1" x14ac:dyDescent="0.2">
      <c r="A229" s="19" t="s">
        <v>353</v>
      </c>
      <c r="B229" s="50">
        <v>21.967600000000001</v>
      </c>
      <c r="C229" s="50">
        <v>1398.94</v>
      </c>
      <c r="D229" s="51">
        <v>55498018.479038</v>
      </c>
      <c r="E229" s="51">
        <v>1846177778</v>
      </c>
      <c r="F229" s="52">
        <f t="shared" si="8"/>
        <v>-1.1374637478722451E-2</v>
      </c>
      <c r="G229" s="52">
        <f t="shared" si="9"/>
        <v>-5.2402240238485368E-3</v>
      </c>
      <c r="I229" s="4">
        <v>135</v>
      </c>
      <c r="J229" s="48">
        <f t="shared" ca="1" si="10"/>
        <v>-1.2191995740699864</v>
      </c>
      <c r="K229" s="23">
        <f ca="1">K228*EXP(J88*J91+J89*J229*SQRT(J91))</f>
        <v>379.38194407147603</v>
      </c>
    </row>
    <row r="230" spans="1:11" ht="15" customHeight="1" x14ac:dyDescent="0.2">
      <c r="A230" s="19" t="s">
        <v>354</v>
      </c>
      <c r="B230" s="50">
        <v>22.194299999999998</v>
      </c>
      <c r="C230" s="50">
        <v>1409.93</v>
      </c>
      <c r="D230" s="51">
        <v>65335074.316588998</v>
      </c>
      <c r="E230" s="51">
        <v>1866250000</v>
      </c>
      <c r="F230" s="52">
        <f t="shared" si="8"/>
        <v>1.0266858596961638E-2</v>
      </c>
      <c r="G230" s="52">
        <f t="shared" si="9"/>
        <v>7.8252507809793547E-3</v>
      </c>
      <c r="I230" s="4">
        <v>136</v>
      </c>
      <c r="J230" s="48">
        <f t="shared" ca="1" si="10"/>
        <v>-1.3054113171585486</v>
      </c>
      <c r="K230" s="23">
        <f ca="1">K229*EXP(J88*J91+J89*J230*SQRT(J91))</f>
        <v>371.65541697456524</v>
      </c>
    </row>
    <row r="231" spans="1:11" ht="15" customHeight="1" x14ac:dyDescent="0.2">
      <c r="A231" s="19" t="s">
        <v>355</v>
      </c>
      <c r="B231" s="50">
        <v>21.8642</v>
      </c>
      <c r="C231" s="50">
        <v>1415.95</v>
      </c>
      <c r="D231" s="51">
        <v>85717481.753371</v>
      </c>
      <c r="E231" s="51">
        <v>1864916667</v>
      </c>
      <c r="F231" s="52">
        <f t="shared" si="8"/>
        <v>-1.4984903112881476E-2</v>
      </c>
      <c r="G231" s="52">
        <f t="shared" si="9"/>
        <v>4.2606261459933554E-3</v>
      </c>
      <c r="I231" s="4">
        <v>137</v>
      </c>
      <c r="J231" s="48">
        <f t="shared" ca="1" si="10"/>
        <v>0.5508712194164247</v>
      </c>
      <c r="K231" s="23">
        <f ca="1">K230*EXP(J88*J91+J89*J231*SQRT(J91))</f>
        <v>375.33350070598595</v>
      </c>
    </row>
    <row r="232" spans="1:11" ht="15" customHeight="1" x14ac:dyDescent="0.2">
      <c r="A232" s="19" t="s">
        <v>356</v>
      </c>
      <c r="B232" s="50">
        <v>21.588000000000001</v>
      </c>
      <c r="C232" s="50">
        <v>1416.18</v>
      </c>
      <c r="D232" s="51">
        <v>103145880.25526001</v>
      </c>
      <c r="E232" s="51">
        <v>2203333333</v>
      </c>
      <c r="F232" s="52">
        <f t="shared" si="8"/>
        <v>-1.271299128453972E-2</v>
      </c>
      <c r="G232" s="52">
        <f t="shared" si="9"/>
        <v>1.6242192307947768E-4</v>
      </c>
      <c r="I232" s="4">
        <v>138</v>
      </c>
      <c r="J232" s="48">
        <f t="shared" ca="1" si="10"/>
        <v>-3.4536851452230954E-2</v>
      </c>
      <c r="K232" s="23">
        <f ca="1">K231*EXP(J88*J91+J89*J232*SQRT(J91))</f>
        <v>375.42850712731541</v>
      </c>
    </row>
    <row r="233" spans="1:11" ht="15" customHeight="1" x14ac:dyDescent="0.2">
      <c r="A233" s="19" t="s">
        <v>357</v>
      </c>
      <c r="B233" s="50">
        <v>21.444299999999998</v>
      </c>
      <c r="C233" s="50">
        <v>1409.46</v>
      </c>
      <c r="D233" s="51">
        <v>65529790.177886002</v>
      </c>
      <c r="E233" s="51">
        <v>1707933333</v>
      </c>
      <c r="F233" s="52">
        <f t="shared" si="8"/>
        <v>-6.6787289617108916E-3</v>
      </c>
      <c r="G233" s="52">
        <f t="shared" si="9"/>
        <v>-4.7564535251138646E-3</v>
      </c>
      <c r="I233" s="4">
        <v>139</v>
      </c>
      <c r="J233" s="48">
        <f t="shared" ca="1" si="10"/>
        <v>0.17032615597059236</v>
      </c>
      <c r="K233" s="23">
        <f ca="1">K232*EXP(J88*J91+J89*J233*SQRT(J91))</f>
        <v>376.78654181935588</v>
      </c>
    </row>
    <row r="234" spans="1:11" ht="15" customHeight="1" x14ac:dyDescent="0.2">
      <c r="A234" s="19" t="s">
        <v>358</v>
      </c>
      <c r="B234" s="50">
        <v>21.392600000000002</v>
      </c>
      <c r="C234" s="50">
        <v>1407.05</v>
      </c>
      <c r="D234" s="51">
        <v>61367536.694559999</v>
      </c>
      <c r="E234" s="51">
        <v>1804283333</v>
      </c>
      <c r="F234" s="52">
        <f t="shared" si="8"/>
        <v>-2.4138079600700981E-3</v>
      </c>
      <c r="G234" s="52">
        <f t="shared" si="9"/>
        <v>-1.7113382080492271E-3</v>
      </c>
      <c r="I234" s="4">
        <v>140</v>
      </c>
      <c r="J234" s="48">
        <f t="shared" ca="1" si="10"/>
        <v>0.66651778462577793</v>
      </c>
      <c r="K234" s="23">
        <f ca="1">K233*EXP(J88*J91+J89*J234*SQRT(J91))</f>
        <v>381.23732956596984</v>
      </c>
    </row>
    <row r="235" spans="1:11" ht="15" customHeight="1" x14ac:dyDescent="0.2">
      <c r="A235" s="19" t="s">
        <v>359</v>
      </c>
      <c r="B235" s="50">
        <v>21.6358</v>
      </c>
      <c r="C235" s="50">
        <v>1409.28</v>
      </c>
      <c r="D235" s="51">
        <v>84167564.547149003</v>
      </c>
      <c r="E235" s="51">
        <v>2363288889</v>
      </c>
      <c r="F235" s="52">
        <f t="shared" si="8"/>
        <v>1.1304282279002632E-2</v>
      </c>
      <c r="G235" s="52">
        <f t="shared" si="9"/>
        <v>1.5836215685260085E-3</v>
      </c>
      <c r="I235" s="4">
        <v>141</v>
      </c>
      <c r="J235" s="48">
        <f t="shared" ca="1" si="10"/>
        <v>0.54928097217326066</v>
      </c>
      <c r="K235" s="23">
        <f ca="1">K234*EXP(J88*J91+J89*J235*SQRT(J91))</f>
        <v>385.00020585119495</v>
      </c>
    </row>
    <row r="236" spans="1:11" ht="15" customHeight="1" x14ac:dyDescent="0.2">
      <c r="A236" s="19" t="s">
        <v>360</v>
      </c>
      <c r="B236" s="50">
        <v>21.683499999999999</v>
      </c>
      <c r="C236" s="50">
        <v>1413.94</v>
      </c>
      <c r="D236" s="51">
        <v>48303379.716971003</v>
      </c>
      <c r="E236" s="51">
        <v>1794277778</v>
      </c>
      <c r="F236" s="52">
        <f t="shared" si="8"/>
        <v>2.2022525423270973E-3</v>
      </c>
      <c r="G236" s="52">
        <f t="shared" si="9"/>
        <v>3.3011980873050694E-3</v>
      </c>
      <c r="I236" s="4">
        <v>142</v>
      </c>
      <c r="J236" s="48">
        <f t="shared" ca="1" si="10"/>
        <v>-3.7550254502348328E-2</v>
      </c>
      <c r="K236" s="23">
        <f ca="1">K235*EXP(J88*J91+J89*J236*SQRT(J91))</f>
        <v>385.0786399643593</v>
      </c>
    </row>
    <row r="237" spans="1:11" ht="15" customHeight="1" x14ac:dyDescent="0.2">
      <c r="A237" s="19" t="s">
        <v>361</v>
      </c>
      <c r="B237" s="50">
        <v>21.458600000000001</v>
      </c>
      <c r="C237" s="50">
        <v>1418.07</v>
      </c>
      <c r="D237" s="51">
        <v>56906244.385035999</v>
      </c>
      <c r="E237" s="51">
        <v>1736200000</v>
      </c>
      <c r="F237" s="52">
        <f t="shared" si="8"/>
        <v>-1.0426105232905335E-2</v>
      </c>
      <c r="G237" s="52">
        <f t="shared" si="9"/>
        <v>2.916658435379544E-3</v>
      </c>
      <c r="I237" s="4">
        <v>143</v>
      </c>
      <c r="J237" s="48">
        <f t="shared" ca="1" si="10"/>
        <v>-0.80828839334058955</v>
      </c>
      <c r="K237" s="23">
        <f ca="1">K236*EXP(J88*J91+J89*J237*SQRT(J91))</f>
        <v>380.32228072160211</v>
      </c>
    </row>
    <row r="238" spans="1:11" ht="15" customHeight="1" x14ac:dyDescent="0.2">
      <c r="A238" s="19" t="s">
        <v>362</v>
      </c>
      <c r="B238" s="50">
        <v>21.8565</v>
      </c>
      <c r="C238" s="50">
        <v>1418.55</v>
      </c>
      <c r="D238" s="51">
        <v>57977098.692905001</v>
      </c>
      <c r="E238" s="51">
        <v>1666350000</v>
      </c>
      <c r="F238" s="52">
        <f t="shared" si="8"/>
        <v>1.8372862716842173E-2</v>
      </c>
      <c r="G238" s="52">
        <f t="shared" si="9"/>
        <v>3.3843095274054159E-4</v>
      </c>
      <c r="I238" s="4">
        <v>144</v>
      </c>
      <c r="J238" s="48">
        <f t="shared" ca="1" si="10"/>
        <v>8.291740351513896E-2</v>
      </c>
      <c r="K238" s="23">
        <f ca="1">K237*EXP(J88*J91+J89*J238*SQRT(J91))</f>
        <v>381.15158256383251</v>
      </c>
    </row>
    <row r="239" spans="1:11" ht="15" customHeight="1" x14ac:dyDescent="0.2">
      <c r="A239" s="19" t="s">
        <v>363</v>
      </c>
      <c r="B239" s="50">
        <v>22.164100000000001</v>
      </c>
      <c r="C239" s="50">
        <v>1427.84</v>
      </c>
      <c r="D239" s="51">
        <v>64437284.165714003</v>
      </c>
      <c r="E239" s="51">
        <v>2027905556</v>
      </c>
      <c r="F239" s="52">
        <f t="shared" si="8"/>
        <v>1.3975502676014053E-2</v>
      </c>
      <c r="G239" s="52">
        <f t="shared" si="9"/>
        <v>6.52758967448202E-3</v>
      </c>
      <c r="I239" s="4">
        <v>145</v>
      </c>
      <c r="J239" s="48">
        <f t="shared" ca="1" si="10"/>
        <v>1.9634300997509666E-3</v>
      </c>
      <c r="K239" s="23">
        <f ca="1">K238*EXP(J88*J91+J89*J239*SQRT(J91))</f>
        <v>381.47620542651867</v>
      </c>
    </row>
    <row r="240" spans="1:11" ht="15" customHeight="1" x14ac:dyDescent="0.2">
      <c r="A240" s="19" t="s">
        <v>364</v>
      </c>
      <c r="B240" s="50">
        <v>22.096699999999998</v>
      </c>
      <c r="C240" s="50">
        <v>1428.48</v>
      </c>
      <c r="D240" s="51">
        <v>54179935.657829002</v>
      </c>
      <c r="E240" s="51">
        <v>2060583333</v>
      </c>
      <c r="F240" s="52">
        <f t="shared" si="8"/>
        <v>-3.0455867086875469E-3</v>
      </c>
      <c r="G240" s="52">
        <f t="shared" si="9"/>
        <v>4.4812906866902318E-4</v>
      </c>
      <c r="I240" s="4">
        <v>146</v>
      </c>
      <c r="J240" s="48">
        <f t="shared" ca="1" si="10"/>
        <v>-0.50418796033671553</v>
      </c>
      <c r="K240" s="23">
        <f ca="1">K239*EXP(J88*J91+J89*J240*SQRT(J91))</f>
        <v>378.64688285455298</v>
      </c>
    </row>
    <row r="241" spans="1:11" ht="15" customHeight="1" x14ac:dyDescent="0.2">
      <c r="A241" s="19" t="s">
        <v>365</v>
      </c>
      <c r="B241" s="50">
        <v>21.993200000000002</v>
      </c>
      <c r="C241" s="50">
        <v>1419.45</v>
      </c>
      <c r="D241" s="51">
        <v>55565810.591789998</v>
      </c>
      <c r="E241" s="51">
        <v>1861088889</v>
      </c>
      <c r="F241" s="52">
        <f t="shared" si="8"/>
        <v>-4.6949614364239943E-3</v>
      </c>
      <c r="G241" s="52">
        <f t="shared" si="9"/>
        <v>-6.3414692504306803E-3</v>
      </c>
      <c r="I241" s="4">
        <v>147</v>
      </c>
      <c r="J241" s="48">
        <f t="shared" ca="1" si="10"/>
        <v>8.3353841905028397E-2</v>
      </c>
      <c r="K241" s="23">
        <f ca="1">K240*EXP(J88*J91+J89*J241*SQRT(J91))</f>
        <v>379.47524588771802</v>
      </c>
    </row>
    <row r="242" spans="1:11" ht="15" customHeight="1" x14ac:dyDescent="0.2">
      <c r="A242" s="19" t="s">
        <v>366</v>
      </c>
      <c r="B242" s="50">
        <v>21.747</v>
      </c>
      <c r="C242" s="50">
        <v>1413.58</v>
      </c>
      <c r="D242" s="51">
        <v>51855461.185176</v>
      </c>
      <c r="E242" s="51">
        <v>1783427778</v>
      </c>
      <c r="F242" s="52">
        <f t="shared" si="8"/>
        <v>-1.1257497683934106E-2</v>
      </c>
      <c r="G242" s="52">
        <f t="shared" si="9"/>
        <v>-4.1439789908631845E-3</v>
      </c>
      <c r="I242" s="4">
        <v>148</v>
      </c>
      <c r="J242" s="48">
        <f t="shared" ca="1" si="10"/>
        <v>-0.41706990137633293</v>
      </c>
      <c r="K242" s="23">
        <f ca="1">K241*EXP(J88*J91+J89*J242*SQRT(J91))</f>
        <v>377.19896367253273</v>
      </c>
    </row>
    <row r="243" spans="1:11" ht="15" customHeight="1" x14ac:dyDescent="0.2">
      <c r="A243" s="19" t="s">
        <v>367</v>
      </c>
      <c r="B243" s="50">
        <v>21.976500000000001</v>
      </c>
      <c r="C243" s="50">
        <v>1430.36</v>
      </c>
      <c r="D243" s="51">
        <v>51829577.017016999</v>
      </c>
      <c r="E243" s="51">
        <v>1919783333</v>
      </c>
      <c r="F243" s="52">
        <f t="shared" si="8"/>
        <v>1.0497883640489963E-2</v>
      </c>
      <c r="G243" s="52">
        <f t="shared" si="9"/>
        <v>1.1800667190939215E-2</v>
      </c>
      <c r="I243" s="4">
        <v>149</v>
      </c>
      <c r="J243" s="48">
        <f t="shared" ca="1" si="10"/>
        <v>8.2752916146318408E-3</v>
      </c>
      <c r="K243" s="23">
        <f ca="1">K242*EXP(J88*J91+J89*J243*SQRT(J91))</f>
        <v>377.55927677473846</v>
      </c>
    </row>
    <row r="244" spans="1:11" ht="15" customHeight="1" x14ac:dyDescent="0.2">
      <c r="A244" s="19" t="s">
        <v>368</v>
      </c>
      <c r="B244" s="50">
        <v>22.355499999999999</v>
      </c>
      <c r="C244" s="50">
        <v>1446.79</v>
      </c>
      <c r="D244" s="51">
        <v>62234875.424918003</v>
      </c>
      <c r="E244" s="51">
        <v>2390133333</v>
      </c>
      <c r="F244" s="52">
        <f t="shared" si="8"/>
        <v>1.7098675169473287E-2</v>
      </c>
      <c r="G244" s="52">
        <f t="shared" si="9"/>
        <v>1.1421148426265303E-2</v>
      </c>
      <c r="I244" s="4">
        <v>150</v>
      </c>
      <c r="J244" s="48">
        <f t="shared" ca="1" si="10"/>
        <v>-2.4501925450395787</v>
      </c>
      <c r="K244" s="23">
        <f ca="1">K243*EXP(J88*J91+J89*J244*SQRT(J91))</f>
        <v>362.99478136692466</v>
      </c>
    </row>
    <row r="245" spans="1:11" ht="15" customHeight="1" x14ac:dyDescent="0.2">
      <c r="A245" s="19" t="s">
        <v>369</v>
      </c>
      <c r="B245" s="50">
        <v>22.1553</v>
      </c>
      <c r="C245" s="50">
        <v>1435.81</v>
      </c>
      <c r="D245" s="51">
        <v>65972731.751313001</v>
      </c>
      <c r="E245" s="51">
        <v>2149888889</v>
      </c>
      <c r="F245" s="52">
        <f t="shared" si="8"/>
        <v>-8.995630275630568E-3</v>
      </c>
      <c r="G245" s="52">
        <f t="shared" si="9"/>
        <v>-7.6181593722409987E-3</v>
      </c>
      <c r="I245" s="4">
        <v>151</v>
      </c>
      <c r="J245" s="48">
        <f t="shared" ca="1" si="10"/>
        <v>-1.2011363367550205</v>
      </c>
      <c r="K245" s="23">
        <f ca="1">K244*EXP(J88*J91+J89*J245*SQRT(J91))</f>
        <v>356.2102581134813</v>
      </c>
    </row>
    <row r="246" spans="1:11" ht="15" customHeight="1" x14ac:dyDescent="0.2">
      <c r="A246" s="19" t="s">
        <v>370</v>
      </c>
      <c r="B246" s="50">
        <v>22.457999999999998</v>
      </c>
      <c r="C246" s="50">
        <v>1443.69</v>
      </c>
      <c r="D246" s="51">
        <v>64844924.492480002</v>
      </c>
      <c r="E246" s="51">
        <v>2048100000</v>
      </c>
      <c r="F246" s="52">
        <f t="shared" si="8"/>
        <v>1.3570152629163727E-2</v>
      </c>
      <c r="G246" s="52">
        <f t="shared" si="9"/>
        <v>5.4731860885176876E-3</v>
      </c>
      <c r="I246" s="4">
        <v>152</v>
      </c>
      <c r="J246" s="48">
        <f t="shared" ca="1" si="10"/>
        <v>0.15112853268447776</v>
      </c>
      <c r="K246" s="23">
        <f ca="1">K245*EXP(J88*J91+J89*J246*SQRT(J91))</f>
        <v>357.38630690606954</v>
      </c>
    </row>
    <row r="247" spans="1:11" ht="15" customHeight="1" x14ac:dyDescent="0.2">
      <c r="A247" s="19" t="s">
        <v>371</v>
      </c>
      <c r="B247" s="50">
        <v>22.270499999999998</v>
      </c>
      <c r="C247" s="50">
        <v>1430.15</v>
      </c>
      <c r="D247" s="51">
        <v>121760423.16893999</v>
      </c>
      <c r="E247" s="51">
        <v>2905088889</v>
      </c>
      <c r="F247" s="52">
        <f t="shared" si="8"/>
        <v>-8.3839654043238124E-3</v>
      </c>
      <c r="G247" s="52">
        <f t="shared" si="9"/>
        <v>-9.4230021072279815E-3</v>
      </c>
      <c r="I247" s="4">
        <v>153</v>
      </c>
      <c r="J247" s="48">
        <f t="shared" ca="1" si="10"/>
        <v>0.43107461861588836</v>
      </c>
      <c r="K247" s="23">
        <f ca="1">K246*EXP(J88*J91+J89*J247*SQRT(J91))</f>
        <v>360.21521811240888</v>
      </c>
    </row>
    <row r="248" spans="1:11" ht="15" customHeight="1" x14ac:dyDescent="0.2">
      <c r="A248" s="19" t="s">
        <v>372</v>
      </c>
      <c r="B248" s="50">
        <v>21.9514</v>
      </c>
      <c r="C248" s="50">
        <v>1426.66</v>
      </c>
      <c r="D248" s="51">
        <v>25691383.217574</v>
      </c>
      <c r="E248" s="51">
        <v>693866667</v>
      </c>
      <c r="F248" s="52">
        <f t="shared" si="8"/>
        <v>-1.4432013937600146E-2</v>
      </c>
      <c r="G248" s="52">
        <f t="shared" si="9"/>
        <v>-2.4432858581227004E-3</v>
      </c>
      <c r="I248" s="4">
        <v>154</v>
      </c>
      <c r="J248" s="48">
        <f t="shared" ca="1" si="10"/>
        <v>-1.5025484593924867</v>
      </c>
      <c r="K248" s="23">
        <f ca="1">K247*EXP(J88*J91+J89*J248*SQRT(J91))</f>
        <v>351.74071360929264</v>
      </c>
    </row>
    <row r="249" spans="1:11" ht="15" customHeight="1" x14ac:dyDescent="0.2">
      <c r="A249" s="19" t="s">
        <v>373</v>
      </c>
      <c r="B249" s="50">
        <v>21.791</v>
      </c>
      <c r="C249" s="50">
        <v>1419.83</v>
      </c>
      <c r="D249" s="51">
        <v>38995852.817518003</v>
      </c>
      <c r="E249" s="51">
        <v>1269461111</v>
      </c>
      <c r="F249" s="52">
        <f t="shared" si="8"/>
        <v>-7.3338782936383864E-3</v>
      </c>
      <c r="G249" s="52">
        <f t="shared" si="9"/>
        <v>-4.7989018809801616E-3</v>
      </c>
      <c r="I249" s="4">
        <v>155</v>
      </c>
      <c r="J249" s="48">
        <f t="shared" ca="1" si="10"/>
        <v>-1.180257810616969</v>
      </c>
      <c r="K249" s="23">
        <f ca="1">K248*EXP(J88*J91+J89*J249*SQRT(J91))</f>
        <v>345.28466829163057</v>
      </c>
    </row>
    <row r="250" spans="1:11" ht="15" customHeight="1" x14ac:dyDescent="0.2">
      <c r="A250" s="19" t="s">
        <v>374</v>
      </c>
      <c r="B250" s="50">
        <v>21.873000000000001</v>
      </c>
      <c r="C250" s="50">
        <v>1418.1</v>
      </c>
      <c r="D250" s="51">
        <v>48538990.966801003</v>
      </c>
      <c r="E250" s="51">
        <v>1572322222</v>
      </c>
      <c r="F250" s="52">
        <f t="shared" si="8"/>
        <v>3.7559589776185003E-3</v>
      </c>
      <c r="G250" s="52">
        <f t="shared" si="9"/>
        <v>-1.2191986513380225E-3</v>
      </c>
      <c r="I250" s="4">
        <v>156</v>
      </c>
      <c r="J250" s="48">
        <f t="shared" ca="1" si="10"/>
        <v>-2.40399664708066</v>
      </c>
      <c r="K250" s="23">
        <f ca="1">K249*EXP(J88*J91+J89*J250*SQRT(J91))</f>
        <v>332.21661886400108</v>
      </c>
    </row>
    <row r="251" spans="1:11" ht="15" customHeight="1" x14ac:dyDescent="0.2">
      <c r="A251" s="19" t="s">
        <v>375</v>
      </c>
      <c r="B251" s="50">
        <v>21.540099999999999</v>
      </c>
      <c r="C251" s="50">
        <v>1402.43</v>
      </c>
      <c r="D251" s="51">
        <v>34813582.667327002</v>
      </c>
      <c r="E251" s="51">
        <v>1348155556</v>
      </c>
      <c r="F251" s="52">
        <f t="shared" si="8"/>
        <v>-1.5336685249403086E-2</v>
      </c>
      <c r="G251" s="52">
        <f t="shared" si="9"/>
        <v>-1.11115011894783E-2</v>
      </c>
      <c r="I251" s="4">
        <v>157</v>
      </c>
      <c r="J251" s="48">
        <f t="shared" ca="1" si="10"/>
        <v>-0.57157784348254792</v>
      </c>
      <c r="K251" s="23">
        <f ca="1">K250*EXP(J88*J91+J89*J251*SQRT(J91))</f>
        <v>329.3886295966791</v>
      </c>
    </row>
    <row r="252" spans="1:11" ht="15" customHeight="1" x14ac:dyDescent="0.2">
      <c r="A252" s="19" t="s">
        <v>376</v>
      </c>
      <c r="B252" s="50">
        <v>21.668900000000001</v>
      </c>
      <c r="C252" s="50">
        <v>1426.19</v>
      </c>
      <c r="D252" s="51">
        <v>52697533.109664001</v>
      </c>
      <c r="E252" s="51">
        <v>1780183333</v>
      </c>
      <c r="F252" s="52">
        <f t="shared" si="8"/>
        <v>5.9617385955435002E-3</v>
      </c>
      <c r="G252" s="52">
        <f t="shared" si="9"/>
        <v>1.6800106652478265E-2</v>
      </c>
      <c r="I252" s="4">
        <v>158</v>
      </c>
      <c r="J252" s="48">
        <f t="shared" ca="1" si="10"/>
        <v>0.61949281437550774</v>
      </c>
      <c r="K252" s="23">
        <f ca="1">K251*EXP(J88*J91+J89*J252*SQRT(J91))</f>
        <v>333.02275972929988</v>
      </c>
    </row>
    <row r="253" spans="1:11" ht="15" customHeight="1" x14ac:dyDescent="0.2">
      <c r="A253" s="19" t="s">
        <v>377</v>
      </c>
      <c r="B253" s="50">
        <v>22.408100000000001</v>
      </c>
      <c r="C253" s="50">
        <v>1462.42</v>
      </c>
      <c r="D253" s="51">
        <v>65209983.202368997</v>
      </c>
      <c r="E253" s="51">
        <v>2334777778</v>
      </c>
      <c r="F253" s="52">
        <f t="shared" si="8"/>
        <v>3.3544447801201999E-2</v>
      </c>
      <c r="G253" s="52">
        <f t="shared" si="9"/>
        <v>2.5086044824864026E-2</v>
      </c>
      <c r="I253" s="4">
        <v>159</v>
      </c>
      <c r="J253" s="48">
        <f t="shared" ca="1" si="10"/>
        <v>-5.9638052299040394E-2</v>
      </c>
      <c r="K253" s="23">
        <f ca="1">K252*EXP(J88*J91+J89*J253*SQRT(J91))</f>
        <v>332.97004259728402</v>
      </c>
    </row>
    <row r="254" spans="1:11" ht="15" customHeight="1" x14ac:dyDescent="0.2">
      <c r="A254" s="19" t="s">
        <v>378</v>
      </c>
      <c r="B254" s="50">
        <v>22.1067</v>
      </c>
      <c r="C254" s="50">
        <v>1459.37</v>
      </c>
      <c r="D254" s="51">
        <v>59531021.075370997</v>
      </c>
      <c r="E254" s="51">
        <v>2127627778</v>
      </c>
      <c r="F254" s="52">
        <f t="shared" si="8"/>
        <v>-1.3541770641180329E-2</v>
      </c>
      <c r="G254" s="52">
        <f t="shared" si="9"/>
        <v>-2.0877620279685176E-3</v>
      </c>
      <c r="I254" s="4">
        <v>160</v>
      </c>
      <c r="J254" s="48">
        <f t="shared" ca="1" si="10"/>
        <v>2.7824025901090703</v>
      </c>
      <c r="K254" s="23">
        <f ca="1">K253*EXP(J88*J91+J89*J254*SQRT(J91))</f>
        <v>348.79167039677873</v>
      </c>
    </row>
    <row r="255" spans="1:11" ht="15" customHeight="1" x14ac:dyDescent="0.2">
      <c r="A255" s="19" t="s">
        <v>379</v>
      </c>
      <c r="B255" s="50">
        <v>21.690300000000001</v>
      </c>
      <c r="C255" s="50">
        <v>1466.47</v>
      </c>
      <c r="D255" s="51">
        <v>64733409.205716997</v>
      </c>
      <c r="E255" s="51">
        <v>1902383333</v>
      </c>
      <c r="F255" s="52">
        <f t="shared" si="8"/>
        <v>-1.9015573996788417E-2</v>
      </c>
      <c r="G255" s="52">
        <f t="shared" si="9"/>
        <v>4.8533166109664457E-3</v>
      </c>
      <c r="I255" s="4">
        <v>161</v>
      </c>
      <c r="J255" s="48">
        <f t="shared" ca="1" si="10"/>
        <v>0.58711512738585947</v>
      </c>
      <c r="K255" s="23">
        <f ca="1">K254*EXP(J88*J91+J89*J255*SQRT(J91))</f>
        <v>352.45278935522418</v>
      </c>
    </row>
    <row r="256" spans="1:11" ht="15" customHeight="1" x14ac:dyDescent="0.2">
      <c r="A256" s="19" t="s">
        <v>380</v>
      </c>
      <c r="B256" s="50">
        <v>21.654199999999999</v>
      </c>
      <c r="C256" s="50">
        <v>1461.89</v>
      </c>
      <c r="D256" s="51">
        <v>45748704.872927003</v>
      </c>
      <c r="E256" s="51">
        <v>1836094444</v>
      </c>
      <c r="F256" s="52">
        <f t="shared" si="8"/>
        <v>-1.6657249868860526E-3</v>
      </c>
      <c r="G256" s="52">
        <f t="shared" si="9"/>
        <v>-3.1280332571486792E-3</v>
      </c>
      <c r="I256" s="4">
        <v>162</v>
      </c>
      <c r="J256" s="48">
        <f t="shared" ca="1" si="10"/>
        <v>-0.25384646716554549</v>
      </c>
      <c r="K256" s="23">
        <f ca="1">K255*EXP(J88*J91+J89*J256*SQRT(J91))</f>
        <v>351.27708416429579</v>
      </c>
    </row>
    <row r="257" spans="1:11" ht="15" customHeight="1" x14ac:dyDescent="0.2">
      <c r="A257" s="19" t="s">
        <v>381</v>
      </c>
      <c r="B257" s="50">
        <v>21.540099999999999</v>
      </c>
      <c r="C257" s="50">
        <v>1457.15</v>
      </c>
      <c r="D257" s="51">
        <v>55091277.064526998</v>
      </c>
      <c r="E257" s="51">
        <v>2000888889</v>
      </c>
      <c r="F257" s="52">
        <f t="shared" si="8"/>
        <v>-5.2831167718906348E-3</v>
      </c>
      <c r="G257" s="52">
        <f t="shared" si="9"/>
        <v>-3.2476459151946561E-3</v>
      </c>
      <c r="I257" s="4">
        <v>163</v>
      </c>
      <c r="J257" s="48">
        <f t="shared" ca="1" si="10"/>
        <v>0.93711417212393933</v>
      </c>
      <c r="K257" s="23">
        <f ca="1">K256*EXP(J88*J91+J89*J257*SQRT(J91))</f>
        <v>357.00637052299709</v>
      </c>
    </row>
    <row r="258" spans="1:11" ht="15" customHeight="1" x14ac:dyDescent="0.2">
      <c r="A258" s="19" t="s">
        <v>382</v>
      </c>
      <c r="B258" s="50">
        <v>21.661100000000001</v>
      </c>
      <c r="C258" s="50">
        <v>1461.02</v>
      </c>
      <c r="D258" s="51">
        <v>60449724.75773</v>
      </c>
      <c r="E258" s="51">
        <v>2041327778</v>
      </c>
      <c r="F258" s="52">
        <f t="shared" si="8"/>
        <v>5.6017108972166692E-3</v>
      </c>
      <c r="G258" s="52">
        <f t="shared" si="9"/>
        <v>2.6523487451191913E-3</v>
      </c>
      <c r="I258" s="4">
        <v>164</v>
      </c>
      <c r="J258" s="48">
        <f t="shared" ca="1" si="10"/>
        <v>-0.53068918636995999</v>
      </c>
      <c r="K258" s="23">
        <f ca="1">K257*EXP(J88*J91+J89*J258*SQRT(J91))</f>
        <v>354.20465263697207</v>
      </c>
    </row>
    <row r="259" spans="1:11" ht="15" customHeight="1" x14ac:dyDescent="0.2">
      <c r="A259" s="19" t="s">
        <v>383</v>
      </c>
      <c r="B259" s="50">
        <v>21.4666</v>
      </c>
      <c r="C259" s="50">
        <v>1472.12</v>
      </c>
      <c r="D259" s="51">
        <v>88031107.849875003</v>
      </c>
      <c r="E259" s="51">
        <v>2267688889</v>
      </c>
      <c r="F259" s="52">
        <f t="shared" si="8"/>
        <v>-9.0197862929027022E-3</v>
      </c>
      <c r="G259" s="52">
        <f t="shared" si="9"/>
        <v>7.5687167942973159E-3</v>
      </c>
      <c r="I259" s="4">
        <v>165</v>
      </c>
      <c r="J259" s="48">
        <f t="shared" ca="1" si="10"/>
        <v>-0.12092675503880619</v>
      </c>
      <c r="K259" s="23">
        <f ca="1">K258*EXP(J88*J91+J89*J259*SQRT(J91))</f>
        <v>353.79301448346791</v>
      </c>
    </row>
    <row r="260" spans="1:11" ht="15" customHeight="1" x14ac:dyDescent="0.2">
      <c r="A260" s="19" t="s">
        <v>384</v>
      </c>
      <c r="B260" s="50">
        <v>21.764600000000002</v>
      </c>
      <c r="C260" s="50">
        <v>1472.05</v>
      </c>
      <c r="D260" s="51">
        <v>68428383.936544001</v>
      </c>
      <c r="E260" s="51">
        <v>1855916667</v>
      </c>
      <c r="F260" s="52">
        <f t="shared" si="8"/>
        <v>1.3786557858042029E-2</v>
      </c>
      <c r="G260" s="52">
        <f t="shared" si="9"/>
        <v>-4.7551601988409018E-5</v>
      </c>
      <c r="I260" s="4">
        <v>166</v>
      </c>
      <c r="J260" s="48">
        <f t="shared" ca="1" si="10"/>
        <v>0.97323591009191335</v>
      </c>
      <c r="K260" s="23">
        <f ca="1">K259*EXP(J88*J91+J89*J260*SQRT(J91))</f>
        <v>359.77627052117873</v>
      </c>
    </row>
    <row r="261" spans="1:11" ht="15" customHeight="1" x14ac:dyDescent="0.2">
      <c r="A261" s="19" t="s">
        <v>385</v>
      </c>
      <c r="B261" s="50">
        <v>21.8154</v>
      </c>
      <c r="C261" s="50">
        <v>1470.68</v>
      </c>
      <c r="D261" s="51">
        <v>59553551.215568997</v>
      </c>
      <c r="E261" s="51">
        <v>1668338889</v>
      </c>
      <c r="F261" s="52">
        <f t="shared" si="8"/>
        <v>2.3313457094490046E-3</v>
      </c>
      <c r="G261" s="52">
        <f t="shared" si="9"/>
        <v>-9.3110825592432821E-4</v>
      </c>
      <c r="I261" s="4">
        <v>167</v>
      </c>
      <c r="J261" s="48">
        <f t="shared" ca="1" si="10"/>
        <v>-1.0468902226470822</v>
      </c>
      <c r="K261" s="23">
        <f ca="1">K260*EXP(J88*J91+J89*J261*SQRT(J91))</f>
        <v>353.94557148057595</v>
      </c>
    </row>
    <row r="262" spans="1:11" ht="15" customHeight="1" x14ac:dyDescent="0.2">
      <c r="A262" s="19" t="s">
        <v>386</v>
      </c>
      <c r="B262" s="50">
        <v>22.072199999999999</v>
      </c>
      <c r="C262" s="50">
        <v>1472.34</v>
      </c>
      <c r="D262" s="51">
        <v>59457848.798721001</v>
      </c>
      <c r="E262" s="51">
        <v>1741861111</v>
      </c>
      <c r="F262" s="52">
        <f t="shared" ref="F262:F325" si="11">LN(B262/B261)</f>
        <v>1.1702755713204709E-2</v>
      </c>
      <c r="G262" s="52">
        <f t="shared" ref="G262:G325" si="12">LN(C262/C261)</f>
        <v>1.128093030996665E-3</v>
      </c>
      <c r="I262" s="4">
        <v>168</v>
      </c>
      <c r="J262" s="48">
        <f t="shared" ca="1" si="10"/>
        <v>9.7219250715405534E-2</v>
      </c>
      <c r="K262" s="23">
        <f ca="1">K261*EXP(J88*J91+J89*J262*SQRT(J91))</f>
        <v>354.8005155532403</v>
      </c>
    </row>
    <row r="263" spans="1:11" ht="15" customHeight="1" x14ac:dyDescent="0.2">
      <c r="A263" s="19" t="s">
        <v>387</v>
      </c>
      <c r="B263" s="50">
        <v>21.935500000000001</v>
      </c>
      <c r="C263" s="50">
        <v>1472.63</v>
      </c>
      <c r="D263" s="51">
        <v>50622764.790054001</v>
      </c>
      <c r="E263" s="51">
        <v>1880044444</v>
      </c>
      <c r="F263" s="52">
        <f t="shared" si="11"/>
        <v>-6.2125691491560185E-3</v>
      </c>
      <c r="G263" s="52">
        <f t="shared" si="12"/>
        <v>1.969459797129973E-4</v>
      </c>
      <c r="I263" s="4">
        <v>169</v>
      </c>
      <c r="J263" s="48">
        <f t="shared" ca="1" si="10"/>
        <v>-0.82516550083641338</v>
      </c>
      <c r="K263" s="23">
        <f ca="1">K262*EXP(J88*J91+J89*J263*SQRT(J91))</f>
        <v>350.32122445933277</v>
      </c>
    </row>
    <row r="264" spans="1:11" ht="15" customHeight="1" x14ac:dyDescent="0.2">
      <c r="A264" s="19" t="s">
        <v>388</v>
      </c>
      <c r="B264" s="50">
        <v>22.1067</v>
      </c>
      <c r="C264" s="50">
        <v>1480.94</v>
      </c>
      <c r="D264" s="51">
        <v>63700567.214729004</v>
      </c>
      <c r="E264" s="51">
        <v>2059283333</v>
      </c>
      <c r="F264" s="52">
        <f t="shared" si="11"/>
        <v>7.7744010197115703E-3</v>
      </c>
      <c r="G264" s="52">
        <f t="shared" si="12"/>
        <v>5.6271034223067872E-3</v>
      </c>
      <c r="I264" s="4">
        <v>170</v>
      </c>
      <c r="J264" s="48">
        <f t="shared" ca="1" si="10"/>
        <v>7.0705911702798316E-2</v>
      </c>
      <c r="K264" s="23">
        <f ca="1">K263*EXP(J88*J91+J89*J264*SQRT(J91))</f>
        <v>351.01484758297596</v>
      </c>
    </row>
    <row r="265" spans="1:11" ht="15" customHeight="1" x14ac:dyDescent="0.2">
      <c r="A265" s="19" t="s">
        <v>389</v>
      </c>
      <c r="B265" s="50">
        <v>22.1067</v>
      </c>
      <c r="C265" s="50">
        <v>1485.98</v>
      </c>
      <c r="D265" s="51">
        <v>64305718.426090002</v>
      </c>
      <c r="E265" s="51">
        <v>2108744444</v>
      </c>
      <c r="F265" s="52">
        <f t="shared" si="11"/>
        <v>0</v>
      </c>
      <c r="G265" s="52">
        <f t="shared" si="12"/>
        <v>3.3974659565910057E-3</v>
      </c>
      <c r="I265" s="4">
        <v>171</v>
      </c>
      <c r="J265" s="48">
        <f t="shared" ca="1" si="10"/>
        <v>1.0535091516862207</v>
      </c>
      <c r="K265" s="23">
        <f ca="1">K264*EXP(J88*J91+J89*J265*SQRT(J91))</f>
        <v>357.42105743011257</v>
      </c>
    </row>
    <row r="266" spans="1:11" ht="15" customHeight="1" x14ac:dyDescent="0.2">
      <c r="A266" s="19" t="s">
        <v>390</v>
      </c>
      <c r="B266" s="50">
        <v>22.029299999999999</v>
      </c>
      <c r="C266" s="50">
        <v>1492.56</v>
      </c>
      <c r="D266" s="51">
        <v>72298051.718895003</v>
      </c>
      <c r="E266" s="51">
        <v>1983861111</v>
      </c>
      <c r="F266" s="52">
        <f t="shared" si="11"/>
        <v>-3.5073445416185667E-3</v>
      </c>
      <c r="G266" s="52">
        <f t="shared" si="12"/>
        <v>4.41827922681335E-3</v>
      </c>
      <c r="I266" s="4">
        <v>172</v>
      </c>
      <c r="J266" s="48">
        <f t="shared" ca="1" si="10"/>
        <v>2.3161231057156333</v>
      </c>
      <c r="K266" s="23">
        <f ca="1">K265*EXP(J88*J91+J89*J266*SQRT(J91))</f>
        <v>371.55412968130076</v>
      </c>
    </row>
    <row r="267" spans="1:11" ht="15" customHeight="1" x14ac:dyDescent="0.2">
      <c r="A267" s="19" t="s">
        <v>391</v>
      </c>
      <c r="B267" s="50">
        <v>22.400300000000001</v>
      </c>
      <c r="C267" s="50">
        <v>1494.81</v>
      </c>
      <c r="D267" s="51">
        <v>62067778.079571001</v>
      </c>
      <c r="E267" s="51">
        <v>1973338889</v>
      </c>
      <c r="F267" s="52">
        <f t="shared" si="11"/>
        <v>1.6700966171507039E-2</v>
      </c>
      <c r="G267" s="52">
        <f t="shared" si="12"/>
        <v>1.5063419833833689E-3</v>
      </c>
      <c r="I267" s="4">
        <v>173</v>
      </c>
      <c r="J267" s="48">
        <f t="shared" ca="1" si="10"/>
        <v>0.12096295605061808</v>
      </c>
      <c r="K267" s="23">
        <f ca="1">K266*EXP(J88*J91+J89*J267*SQRT(J91))</f>
        <v>372.59657648800021</v>
      </c>
    </row>
    <row r="268" spans="1:11" ht="15" customHeight="1" x14ac:dyDescent="0.2">
      <c r="A268" s="19" t="s">
        <v>392</v>
      </c>
      <c r="B268" s="50">
        <v>22.417100000000001</v>
      </c>
      <c r="C268" s="50">
        <v>1494.82</v>
      </c>
      <c r="D268" s="51">
        <v>125320156.65332</v>
      </c>
      <c r="E268" s="51">
        <v>2055238889</v>
      </c>
      <c r="F268" s="52">
        <f t="shared" si="11"/>
        <v>7.497088535653231E-4</v>
      </c>
      <c r="G268" s="52">
        <f t="shared" si="12"/>
        <v>6.689791044299383E-6</v>
      </c>
      <c r="I268" s="4">
        <v>174</v>
      </c>
      <c r="J268" s="48">
        <f t="shared" ca="1" si="10"/>
        <v>-0.68316335058206479</v>
      </c>
      <c r="K268" s="23">
        <f ca="1">K267*EXP(J88*J91+J89*J268*SQRT(J91))</f>
        <v>368.74984122274878</v>
      </c>
    </row>
    <row r="269" spans="1:11" ht="15" customHeight="1" x14ac:dyDescent="0.2">
      <c r="A269" s="19" t="s">
        <v>393</v>
      </c>
      <c r="B269" s="50">
        <v>22.6174</v>
      </c>
      <c r="C269" s="50">
        <v>1502.96</v>
      </c>
      <c r="D269" s="51">
        <v>100892290.84971</v>
      </c>
      <c r="E269" s="51">
        <v>1931272222</v>
      </c>
      <c r="F269" s="52">
        <f t="shared" si="11"/>
        <v>8.8954610708211566E-3</v>
      </c>
      <c r="G269" s="52">
        <f t="shared" si="12"/>
        <v>5.4306987208722545E-3</v>
      </c>
      <c r="I269" s="4">
        <v>175</v>
      </c>
      <c r="J269" s="48">
        <f t="shared" ca="1" si="10"/>
        <v>-0.61339285244047081</v>
      </c>
      <c r="K269" s="23">
        <f ca="1">K268*EXP(J88*J91+J89*J269*SQRT(J91))</f>
        <v>365.36038099400849</v>
      </c>
    </row>
    <row r="270" spans="1:11" ht="15" customHeight="1" x14ac:dyDescent="0.2">
      <c r="A270" s="19" t="s">
        <v>394</v>
      </c>
      <c r="B270" s="50">
        <v>22.6416</v>
      </c>
      <c r="C270" s="50">
        <v>1500.18</v>
      </c>
      <c r="D270" s="51">
        <v>69100832.756536007</v>
      </c>
      <c r="E270" s="51">
        <v>1882522222</v>
      </c>
      <c r="F270" s="52">
        <f t="shared" si="11"/>
        <v>1.0694006631298814E-3</v>
      </c>
      <c r="G270" s="52">
        <f t="shared" si="12"/>
        <v>-1.8513960681661246E-3</v>
      </c>
      <c r="I270" s="4">
        <v>176</v>
      </c>
      <c r="J270" s="48">
        <f t="shared" ca="1" si="10"/>
        <v>1.09127349021842</v>
      </c>
      <c r="K270" s="23">
        <f ca="1">K269*EXP(J88*J91+J89*J270*SQRT(J91))</f>
        <v>372.25874338442787</v>
      </c>
    </row>
    <row r="271" spans="1:11" ht="15" customHeight="1" x14ac:dyDescent="0.2">
      <c r="A271" s="19" t="s">
        <v>395</v>
      </c>
      <c r="B271" s="50">
        <v>22.721599999999999</v>
      </c>
      <c r="C271" s="50">
        <v>1507.84</v>
      </c>
      <c r="D271" s="51">
        <v>60703264.085584</v>
      </c>
      <c r="E271" s="51">
        <v>2194244444</v>
      </c>
      <c r="F271" s="52">
        <f t="shared" si="11"/>
        <v>3.5270916926415422E-3</v>
      </c>
      <c r="G271" s="52">
        <f t="shared" si="12"/>
        <v>5.0930622521802886E-3</v>
      </c>
      <c r="I271" s="4">
        <v>177</v>
      </c>
      <c r="J271" s="48">
        <f t="shared" ca="1" si="10"/>
        <v>-0.70982001063530742</v>
      </c>
      <c r="K271" s="23">
        <f ca="1">K270*EXP(J88*J91+J89*J271*SQRT(J91))</f>
        <v>368.25457094506015</v>
      </c>
    </row>
    <row r="272" spans="1:11" ht="15" customHeight="1" x14ac:dyDescent="0.2">
      <c r="A272" s="19" t="s">
        <v>396</v>
      </c>
      <c r="B272" s="50">
        <v>22.593800000000002</v>
      </c>
      <c r="C272" s="50">
        <v>1501.96</v>
      </c>
      <c r="D272" s="51">
        <v>53721416.692639999</v>
      </c>
      <c r="E272" s="51">
        <v>2070450000</v>
      </c>
      <c r="F272" s="52">
        <f t="shared" si="11"/>
        <v>-5.6404815506388584E-3</v>
      </c>
      <c r="G272" s="52">
        <f t="shared" si="12"/>
        <v>-3.9072413320486547E-3</v>
      </c>
      <c r="I272" s="4">
        <v>178</v>
      </c>
      <c r="J272" s="48">
        <f t="shared" ca="1" si="10"/>
        <v>-2.418694512970539E-2</v>
      </c>
      <c r="K272" s="23">
        <f ca="1">K271*EXP(J88*J91+J89*J272*SQRT(J91))</f>
        <v>368.41027487317353</v>
      </c>
    </row>
    <row r="273" spans="1:11" ht="15" customHeight="1" x14ac:dyDescent="0.2">
      <c r="A273" s="19" t="s">
        <v>397</v>
      </c>
      <c r="B273" s="50">
        <v>22.270499999999998</v>
      </c>
      <c r="C273" s="50">
        <v>1498.11</v>
      </c>
      <c r="D273" s="51">
        <v>62287677.817473002</v>
      </c>
      <c r="E273" s="51">
        <v>2222155556</v>
      </c>
      <c r="F273" s="52">
        <f t="shared" si="11"/>
        <v>-1.4412599611949628E-2</v>
      </c>
      <c r="G273" s="52">
        <f t="shared" si="12"/>
        <v>-2.5666081881304615E-3</v>
      </c>
      <c r="I273" s="4">
        <v>179</v>
      </c>
      <c r="J273" s="48">
        <f t="shared" ca="1" si="10"/>
        <v>-0.22279788821704724</v>
      </c>
      <c r="K273" s="23">
        <f ca="1">K272*EXP(J88*J91+J89*J273*SQRT(J91))</f>
        <v>367.36823828639933</v>
      </c>
    </row>
    <row r="274" spans="1:11" ht="15" customHeight="1" x14ac:dyDescent="0.2">
      <c r="A274" s="19" t="s">
        <v>398</v>
      </c>
      <c r="B274" s="50">
        <v>22.657499999999999</v>
      </c>
      <c r="C274" s="50">
        <v>1513.17</v>
      </c>
      <c r="D274" s="51">
        <v>68493666.671234995</v>
      </c>
      <c r="E274" s="51">
        <v>2131288889</v>
      </c>
      <c r="F274" s="52">
        <f t="shared" si="11"/>
        <v>1.7227990200776606E-2</v>
      </c>
      <c r="G274" s="52">
        <f t="shared" si="12"/>
        <v>1.0002474404177631E-2</v>
      </c>
      <c r="I274" s="4">
        <v>180</v>
      </c>
      <c r="J274" s="48">
        <f t="shared" ca="1" si="10"/>
        <v>1.329318658730642</v>
      </c>
      <c r="K274" s="23">
        <f ca="1">K273*EXP(J88*J91+J89*J274*SQRT(J91))</f>
        <v>375.76772110582965</v>
      </c>
    </row>
    <row r="275" spans="1:11" ht="15" customHeight="1" x14ac:dyDescent="0.2">
      <c r="A275" s="19" t="s">
        <v>399</v>
      </c>
      <c r="B275" s="50">
        <v>22.261700000000001</v>
      </c>
      <c r="C275" s="50">
        <v>1495.71</v>
      </c>
      <c r="D275" s="51">
        <v>62278432.740404002</v>
      </c>
      <c r="E275" s="51">
        <v>1883333333</v>
      </c>
      <c r="F275" s="52">
        <f t="shared" si="11"/>
        <v>-1.7623209844744088E-2</v>
      </c>
      <c r="G275" s="52">
        <f t="shared" si="12"/>
        <v>-1.1605777551404992E-2</v>
      </c>
      <c r="I275" s="4">
        <v>181</v>
      </c>
      <c r="J275" s="48">
        <f t="shared" ca="1" si="10"/>
        <v>-0.34522931865551254</v>
      </c>
      <c r="K275" s="23">
        <f ca="1">K274*EXP(J88*J91+J89*J275*SQRT(J91))</f>
        <v>373.95373336129501</v>
      </c>
    </row>
    <row r="276" spans="1:11" ht="15" customHeight="1" x14ac:dyDescent="0.2">
      <c r="A276" s="19" t="s">
        <v>400</v>
      </c>
      <c r="B276" s="50">
        <v>22.310500000000001</v>
      </c>
      <c r="C276" s="50">
        <v>1511.29</v>
      </c>
      <c r="D276" s="51">
        <v>43621788.380502</v>
      </c>
      <c r="E276" s="51">
        <v>2010200000</v>
      </c>
      <c r="F276" s="52">
        <f t="shared" si="11"/>
        <v>2.1897065659272335E-3</v>
      </c>
      <c r="G276" s="52">
        <f t="shared" si="12"/>
        <v>1.036258025857612E-2</v>
      </c>
      <c r="I276" s="4">
        <v>182</v>
      </c>
      <c r="J276" s="48">
        <f t="shared" ca="1" si="10"/>
        <v>1.9074281251291215E-2</v>
      </c>
      <c r="K276" s="23">
        <f ca="1">K275*EXP(J88*J91+J89*J276*SQRT(J91))</f>
        <v>374.37720306828237</v>
      </c>
    </row>
    <row r="277" spans="1:11" ht="15" customHeight="1" x14ac:dyDescent="0.2">
      <c r="A277" s="19" t="s">
        <v>401</v>
      </c>
      <c r="B277" s="50">
        <v>22.178699999999999</v>
      </c>
      <c r="C277" s="50">
        <v>1512.12</v>
      </c>
      <c r="D277" s="51">
        <v>51627700.572218001</v>
      </c>
      <c r="E277" s="51">
        <v>2006427778</v>
      </c>
      <c r="F277" s="52">
        <f t="shared" si="11"/>
        <v>-5.9250508250619531E-3</v>
      </c>
      <c r="G277" s="52">
        <f t="shared" si="12"/>
        <v>5.4904893537455462E-4</v>
      </c>
      <c r="I277" s="4">
        <v>183</v>
      </c>
      <c r="J277" s="48">
        <f t="shared" ca="1" si="10"/>
        <v>-1.5117065715378444</v>
      </c>
      <c r="K277" s="23">
        <f ca="1">K276*EXP(J88*J91+J89*J277*SQRT(J91))</f>
        <v>365.51465263847638</v>
      </c>
    </row>
    <row r="278" spans="1:11" ht="15" customHeight="1" x14ac:dyDescent="0.2">
      <c r="A278" s="19" t="s">
        <v>402</v>
      </c>
      <c r="B278" s="50">
        <v>22.129799999999999</v>
      </c>
      <c r="C278" s="50">
        <v>1509.39</v>
      </c>
      <c r="D278" s="51">
        <v>46875664.410407998</v>
      </c>
      <c r="E278" s="51">
        <v>2008100000</v>
      </c>
      <c r="F278" s="52">
        <f t="shared" si="11"/>
        <v>-2.2072523264496653E-3</v>
      </c>
      <c r="G278" s="52">
        <f t="shared" si="12"/>
        <v>-1.807043989846203E-3</v>
      </c>
      <c r="I278" s="4">
        <v>184</v>
      </c>
      <c r="J278" s="48">
        <f t="shared" ca="1" si="10"/>
        <v>0.71493856547068446</v>
      </c>
      <c r="K278" s="23">
        <f ca="1">K277*EXP(J88*J91+J89*J278*SQRT(J91))</f>
        <v>370.12591001142181</v>
      </c>
    </row>
    <row r="279" spans="1:11" ht="15" customHeight="1" x14ac:dyDescent="0.2">
      <c r="A279" s="19" t="s">
        <v>403</v>
      </c>
      <c r="B279" s="50">
        <v>22.346699999999998</v>
      </c>
      <c r="C279" s="50">
        <v>1517.93</v>
      </c>
      <c r="D279" s="51">
        <v>41070105.132826</v>
      </c>
      <c r="E279" s="51">
        <v>1658972222</v>
      </c>
      <c r="F279" s="52">
        <f t="shared" si="11"/>
        <v>9.7535426349119672E-3</v>
      </c>
      <c r="G279" s="52">
        <f t="shared" si="12"/>
        <v>5.6419689055853262E-3</v>
      </c>
      <c r="I279" s="4">
        <v>185</v>
      </c>
      <c r="J279" s="48">
        <f t="shared" ca="1" si="10"/>
        <v>-0.28863827344754006</v>
      </c>
      <c r="K279" s="23">
        <f ca="1">K278*EXP(J88*J91+J89*J279*SQRT(J91))</f>
        <v>368.6809574508834</v>
      </c>
    </row>
    <row r="280" spans="1:11" ht="15" customHeight="1" x14ac:dyDescent="0.2">
      <c r="A280" s="19" t="s">
        <v>404</v>
      </c>
      <c r="B280" s="50">
        <v>22.601800000000001</v>
      </c>
      <c r="C280" s="50">
        <v>1517.01</v>
      </c>
      <c r="D280" s="51">
        <v>39750441.536533996</v>
      </c>
      <c r="E280" s="51">
        <v>1491166667</v>
      </c>
      <c r="F280" s="52">
        <f t="shared" si="11"/>
        <v>1.1350889972980199E-2</v>
      </c>
      <c r="G280" s="52">
        <f t="shared" si="12"/>
        <v>-6.0627230072434325E-4</v>
      </c>
      <c r="I280" s="4">
        <v>186</v>
      </c>
      <c r="J280" s="48">
        <f t="shared" ca="1" si="10"/>
        <v>8.2597975580242039E-2</v>
      </c>
      <c r="K280" s="23">
        <f ca="1">K279*EXP(J88*J91+J89*J280*SQRT(J91))</f>
        <v>369.48294072261768</v>
      </c>
    </row>
    <row r="281" spans="1:11" ht="15" customHeight="1" x14ac:dyDescent="0.2">
      <c r="A281" s="19" t="s">
        <v>405</v>
      </c>
      <c r="B281" s="50">
        <v>22.6174</v>
      </c>
      <c r="C281" s="50">
        <v>1519.43</v>
      </c>
      <c r="D281" s="51">
        <v>44364607.287118003</v>
      </c>
      <c r="E281" s="51">
        <v>1896872222</v>
      </c>
      <c r="F281" s="52">
        <f t="shared" si="11"/>
        <v>6.8997242847640254E-4</v>
      </c>
      <c r="G281" s="52">
        <f t="shared" si="12"/>
        <v>1.5939722256221329E-3</v>
      </c>
      <c r="I281" s="4">
        <v>187</v>
      </c>
      <c r="J281" s="48">
        <f t="shared" ca="1" si="10"/>
        <v>0.71095707822623855</v>
      </c>
      <c r="K281" s="23">
        <f ca="1">K280*EXP(J88*J91+J89*J281*SQRT(J91))</f>
        <v>374.11984685626345</v>
      </c>
    </row>
    <row r="282" spans="1:11" ht="15" customHeight="1" x14ac:dyDescent="0.2">
      <c r="A282" s="19" t="s">
        <v>406</v>
      </c>
      <c r="B282" s="50">
        <v>22.7394</v>
      </c>
      <c r="C282" s="50">
        <v>1520.33</v>
      </c>
      <c r="D282" s="51">
        <v>51421286.565784</v>
      </c>
      <c r="E282" s="51">
        <v>1881044444</v>
      </c>
      <c r="F282" s="52">
        <f t="shared" si="11"/>
        <v>5.3795811971794243E-3</v>
      </c>
      <c r="G282" s="52">
        <f t="shared" si="12"/>
        <v>5.92152029303837E-4</v>
      </c>
      <c r="I282" s="4">
        <v>188</v>
      </c>
      <c r="J282" s="48">
        <f t="shared" ca="1" si="10"/>
        <v>-0.74713751889914681</v>
      </c>
      <c r="K282" s="23">
        <f ca="1">K281*EXP(J88*J91+J89*J282*SQRT(J91))</f>
        <v>369.86936391420562</v>
      </c>
    </row>
    <row r="283" spans="1:11" ht="15" customHeight="1" x14ac:dyDescent="0.2">
      <c r="A283" s="19" t="s">
        <v>407</v>
      </c>
      <c r="B283" s="50">
        <v>22.748200000000001</v>
      </c>
      <c r="C283" s="50">
        <v>1521.38</v>
      </c>
      <c r="D283" s="51">
        <v>40262395.613838002</v>
      </c>
      <c r="E283" s="51">
        <v>2088744444</v>
      </c>
      <c r="F283" s="52">
        <f t="shared" si="11"/>
        <v>3.8691863759727043E-4</v>
      </c>
      <c r="G283" s="52">
        <f t="shared" si="12"/>
        <v>6.9040115047624235E-4</v>
      </c>
      <c r="I283" s="4">
        <v>189</v>
      </c>
      <c r="J283" s="48">
        <f t="shared" ca="1" si="10"/>
        <v>0.38513332913987619</v>
      </c>
      <c r="K283" s="23">
        <f ca="1">K282*EXP(J88*J91+J89*J283*SQRT(J91))</f>
        <v>372.5164858997282</v>
      </c>
    </row>
    <row r="284" spans="1:11" ht="15" customHeight="1" x14ac:dyDescent="0.2">
      <c r="A284" s="19" t="s">
        <v>408</v>
      </c>
      <c r="B284" s="50">
        <v>22.721599999999999</v>
      </c>
      <c r="C284" s="50">
        <v>1519.79</v>
      </c>
      <c r="D284" s="51">
        <v>61205943.395095997</v>
      </c>
      <c r="E284" s="51">
        <v>2132505556</v>
      </c>
      <c r="F284" s="52">
        <f t="shared" si="11"/>
        <v>-1.1700074790051817E-3</v>
      </c>
      <c r="G284" s="52">
        <f t="shared" si="12"/>
        <v>-1.0456502891147328E-3</v>
      </c>
      <c r="I284" s="4">
        <v>190</v>
      </c>
      <c r="J284" s="48">
        <f t="shared" ca="1" si="10"/>
        <v>0.57458497715495005</v>
      </c>
      <c r="K284" s="23">
        <f ca="1">K283*EXP(J88*J91+J89*J284*SQRT(J91))</f>
        <v>376.3493364911451</v>
      </c>
    </row>
    <row r="285" spans="1:11" ht="15" customHeight="1" x14ac:dyDescent="0.2">
      <c r="A285" s="19" t="s">
        <v>409</v>
      </c>
      <c r="B285" s="50">
        <v>22.939699999999998</v>
      </c>
      <c r="C285" s="50">
        <v>1530.94</v>
      </c>
      <c r="D285" s="51">
        <v>47441073.052371003</v>
      </c>
      <c r="E285" s="51">
        <v>2082727778</v>
      </c>
      <c r="F285" s="52">
        <f t="shared" si="11"/>
        <v>9.5530201133779014E-3</v>
      </c>
      <c r="G285" s="52">
        <f t="shared" si="12"/>
        <v>7.3097584169803118E-3</v>
      </c>
      <c r="I285" s="4">
        <v>191</v>
      </c>
      <c r="J285" s="48">
        <f t="shared" ca="1" si="10"/>
        <v>-2.1890121398492566</v>
      </c>
      <c r="K285" s="23">
        <f ca="1">K284*EXP(J88*J91+J89*J285*SQRT(J91))</f>
        <v>363.38372914997149</v>
      </c>
    </row>
    <row r="286" spans="1:11" ht="15" customHeight="1" x14ac:dyDescent="0.2">
      <c r="A286" s="19" t="s">
        <v>410</v>
      </c>
      <c r="B286" s="50">
        <v>22.796099999999999</v>
      </c>
      <c r="C286" s="50">
        <v>1511.95</v>
      </c>
      <c r="D286" s="51">
        <v>53927661.769093998</v>
      </c>
      <c r="E286" s="51">
        <v>2355872222</v>
      </c>
      <c r="F286" s="52">
        <f t="shared" si="11"/>
        <v>-6.2795653243430576E-3</v>
      </c>
      <c r="G286" s="52">
        <f t="shared" si="12"/>
        <v>-1.248171740825915E-2</v>
      </c>
      <c r="I286" s="4">
        <v>192</v>
      </c>
      <c r="J286" s="48">
        <f t="shared" ca="1" si="10"/>
        <v>0.38339289535133547</v>
      </c>
      <c r="K286" s="23">
        <f ca="1">K285*EXP(J88*J91+J89*J286*SQRT(J91))</f>
        <v>365.9739943104853</v>
      </c>
    </row>
    <row r="287" spans="1:11" ht="15" customHeight="1" x14ac:dyDescent="0.2">
      <c r="A287" s="19" t="s">
        <v>411</v>
      </c>
      <c r="B287" s="50">
        <v>22.485499999999998</v>
      </c>
      <c r="C287" s="50">
        <v>1502.42</v>
      </c>
      <c r="D287" s="51">
        <v>60007310.450603999</v>
      </c>
      <c r="E287" s="51">
        <v>2374777778</v>
      </c>
      <c r="F287" s="52">
        <f t="shared" si="11"/>
        <v>-1.3718811675294929E-2</v>
      </c>
      <c r="G287" s="52">
        <f t="shared" si="12"/>
        <v>-6.3230670101523416E-3</v>
      </c>
      <c r="I287" s="4">
        <v>193</v>
      </c>
      <c r="J287" s="48">
        <f t="shared" ref="J287:J344" ca="1" si="13">NORMINV(RAND(),0,1)</f>
        <v>-0.13079273562151672</v>
      </c>
      <c r="K287" s="23">
        <f ca="1">K286*EXP(J88*J91+J89*J287*SQRT(J91))</f>
        <v>365.48957331713331</v>
      </c>
    </row>
    <row r="288" spans="1:11" ht="15" customHeight="1" x14ac:dyDescent="0.2">
      <c r="A288" s="19" t="s">
        <v>412</v>
      </c>
      <c r="B288" s="50">
        <v>22.706399999999999</v>
      </c>
      <c r="C288" s="50">
        <v>1515.6</v>
      </c>
      <c r="D288" s="51">
        <v>38287133.195164002</v>
      </c>
      <c r="E288" s="51">
        <v>1899622222</v>
      </c>
      <c r="F288" s="52">
        <f t="shared" si="11"/>
        <v>9.7761660538556467E-3</v>
      </c>
      <c r="G288" s="52">
        <f t="shared" si="12"/>
        <v>8.7342587449727293E-3</v>
      </c>
      <c r="I288" s="4">
        <v>194</v>
      </c>
      <c r="J288" s="48">
        <f t="shared" ca="1" si="13"/>
        <v>-0.12816131419507085</v>
      </c>
      <c r="K288" s="23">
        <f ca="1">K287*EXP(J88*J91+J89*J288*SQRT(J91))</f>
        <v>365.02153604907693</v>
      </c>
    </row>
    <row r="289" spans="1:11" ht="15" customHeight="1" x14ac:dyDescent="0.2">
      <c r="A289" s="19" t="s">
        <v>413</v>
      </c>
      <c r="B289" s="50">
        <v>22.3888</v>
      </c>
      <c r="C289" s="50">
        <v>1487.85</v>
      </c>
      <c r="D289" s="51">
        <v>58698851.519144997</v>
      </c>
      <c r="E289" s="51">
        <v>2228361111</v>
      </c>
      <c r="F289" s="52">
        <f t="shared" si="11"/>
        <v>-1.4085989256895234E-2</v>
      </c>
      <c r="G289" s="52">
        <f t="shared" si="12"/>
        <v>-1.8479275284333255E-2</v>
      </c>
      <c r="I289" s="4">
        <v>195</v>
      </c>
      <c r="J289" s="48">
        <f t="shared" ca="1" si="13"/>
        <v>9.623572793605191E-2</v>
      </c>
      <c r="K289" s="23">
        <f ca="1">K288*EXP(J88*J91+J89*J289*SQRT(J91))</f>
        <v>365.89733552231786</v>
      </c>
    </row>
    <row r="290" spans="1:11" ht="15" customHeight="1" x14ac:dyDescent="0.2">
      <c r="A290" s="19" t="s">
        <v>414</v>
      </c>
      <c r="B290" s="50">
        <v>22.3888</v>
      </c>
      <c r="C290" s="50">
        <v>1496.94</v>
      </c>
      <c r="D290" s="51">
        <v>61034615.633529998</v>
      </c>
      <c r="E290" s="51">
        <v>2208488889</v>
      </c>
      <c r="F290" s="52">
        <f t="shared" si="11"/>
        <v>0</v>
      </c>
      <c r="G290" s="52">
        <f t="shared" si="12"/>
        <v>6.0908995959643225E-3</v>
      </c>
      <c r="I290" s="4">
        <v>196</v>
      </c>
      <c r="J290" s="48">
        <f t="shared" ca="1" si="13"/>
        <v>-1.7917158893189129</v>
      </c>
      <c r="K290" s="23">
        <f ca="1">K289*EXP(J88*J91+J89*J290*SQRT(J91))</f>
        <v>355.59981932649453</v>
      </c>
    </row>
    <row r="291" spans="1:11" ht="15" customHeight="1" x14ac:dyDescent="0.2">
      <c r="A291" s="19" t="s">
        <v>415</v>
      </c>
      <c r="B291" s="50">
        <v>22.748200000000001</v>
      </c>
      <c r="C291" s="50">
        <v>1515.99</v>
      </c>
      <c r="D291" s="51">
        <v>44493677.982129999</v>
      </c>
      <c r="E291" s="51">
        <v>1973250000</v>
      </c>
      <c r="F291" s="52">
        <f t="shared" si="11"/>
        <v>1.5925187568304942E-2</v>
      </c>
      <c r="G291" s="52">
        <f t="shared" si="12"/>
        <v>1.2645666418416045E-2</v>
      </c>
      <c r="I291" s="4">
        <v>197</v>
      </c>
      <c r="J291" s="48">
        <f t="shared" ca="1" si="13"/>
        <v>2.865909921975951</v>
      </c>
      <c r="K291" s="23">
        <f ca="1">K290*EXP(J88*J91+J89*J291*SQRT(J91))</f>
        <v>373.00691368608784</v>
      </c>
    </row>
    <row r="292" spans="1:11" ht="15" customHeight="1" x14ac:dyDescent="0.2">
      <c r="A292" s="19" t="s">
        <v>416</v>
      </c>
      <c r="B292" s="50">
        <v>22.7394</v>
      </c>
      <c r="C292" s="50">
        <v>1514.68</v>
      </c>
      <c r="D292" s="51">
        <v>43816116.214754</v>
      </c>
      <c r="E292" s="51">
        <v>2173511111</v>
      </c>
      <c r="F292" s="52">
        <f t="shared" si="11"/>
        <v>-3.8691863759724435E-4</v>
      </c>
      <c r="G292" s="52">
        <f t="shared" si="12"/>
        <v>-8.644953634581831E-4</v>
      </c>
      <c r="I292" s="4">
        <v>198</v>
      </c>
      <c r="J292" s="48">
        <f t="shared" ca="1" si="13"/>
        <v>-4.5635926932954658E-2</v>
      </c>
      <c r="K292" s="23">
        <f ca="1">K291*EXP(J88*J91+J89*J292*SQRT(J91))</f>
        <v>373.03346571571313</v>
      </c>
    </row>
    <row r="293" spans="1:11" ht="15" customHeight="1" x14ac:dyDescent="0.2">
      <c r="A293" s="19" t="s">
        <v>417</v>
      </c>
      <c r="B293" s="50">
        <v>22.8642</v>
      </c>
      <c r="C293" s="50">
        <v>1518.2</v>
      </c>
      <c r="D293" s="51">
        <v>42605599.814055003</v>
      </c>
      <c r="E293" s="51">
        <v>2053116667</v>
      </c>
      <c r="F293" s="52">
        <f t="shared" si="11"/>
        <v>5.4732657750212787E-3</v>
      </c>
      <c r="G293" s="52">
        <f t="shared" si="12"/>
        <v>2.3212270716333073E-3</v>
      </c>
      <c r="I293" s="4">
        <v>199</v>
      </c>
      <c r="J293" s="48">
        <f t="shared" ca="1" si="13"/>
        <v>0.18483778091175143</v>
      </c>
      <c r="K293" s="23">
        <f ca="1">K292*EXP(J88*J91+J89*J293*SQRT(J91))</f>
        <v>374.4718918626682</v>
      </c>
    </row>
    <row r="294" spans="1:11" ht="15" customHeight="1" x14ac:dyDescent="0.2">
      <c r="A294" s="19" t="s">
        <v>418</v>
      </c>
      <c r="B294" s="50">
        <v>23.0245</v>
      </c>
      <c r="C294" s="50">
        <v>1525.2</v>
      </c>
      <c r="D294" s="51">
        <v>47704756.369549997</v>
      </c>
      <c r="E294" s="51">
        <v>1896905556</v>
      </c>
      <c r="F294" s="52">
        <f t="shared" si="11"/>
        <v>6.9864978539426904E-3</v>
      </c>
      <c r="G294" s="52">
        <f t="shared" si="12"/>
        <v>4.6001264007408333E-3</v>
      </c>
      <c r="I294" s="4">
        <v>200</v>
      </c>
      <c r="J294" s="48">
        <f t="shared" ca="1" si="13"/>
        <v>1.7467576538254512</v>
      </c>
      <c r="K294" s="23">
        <f ca="1">K293*EXP(J88*J91+J89*J294*SQRT(J91))</f>
        <v>385.66340251528004</v>
      </c>
    </row>
    <row r="295" spans="1:11" ht="15" customHeight="1" x14ac:dyDescent="0.2">
      <c r="A295" s="19" t="s">
        <v>419</v>
      </c>
      <c r="B295" s="50">
        <v>23.189599999999999</v>
      </c>
      <c r="C295" s="50">
        <v>1539.79</v>
      </c>
      <c r="D295" s="51">
        <v>50653940.049939997</v>
      </c>
      <c r="E295" s="51">
        <v>2005938889</v>
      </c>
      <c r="F295" s="52">
        <f t="shared" si="11"/>
        <v>7.1450359255502529E-3</v>
      </c>
      <c r="G295" s="52">
        <f t="shared" si="12"/>
        <v>9.5204944895365129E-3</v>
      </c>
      <c r="I295" s="4">
        <v>201</v>
      </c>
      <c r="J295" s="48">
        <f t="shared" ca="1" si="13"/>
        <v>0.2444319135860977</v>
      </c>
      <c r="K295" s="23">
        <f ca="1">K294*EXP(J88*J91+J89*J295*SQRT(J91))</f>
        <v>387.52885955040807</v>
      </c>
    </row>
    <row r="296" spans="1:11" ht="15" customHeight="1" x14ac:dyDescent="0.2">
      <c r="A296" s="19" t="s">
        <v>420</v>
      </c>
      <c r="B296" s="50">
        <v>22.972799999999999</v>
      </c>
      <c r="C296" s="50">
        <v>1541.46</v>
      </c>
      <c r="D296" s="51">
        <v>62897391.162104003</v>
      </c>
      <c r="E296" s="51">
        <v>2042716667</v>
      </c>
      <c r="F296" s="52">
        <f t="shared" si="11"/>
        <v>-9.392994904506919E-3</v>
      </c>
      <c r="G296" s="52">
        <f t="shared" si="12"/>
        <v>1.0839757653689358E-3</v>
      </c>
      <c r="I296" s="4">
        <v>202</v>
      </c>
      <c r="J296" s="48">
        <f t="shared" ca="1" si="13"/>
        <v>-3.3356354366148824</v>
      </c>
      <c r="K296" s="23">
        <f ca="1">K295*EXP(J88*J91+J89*J296*SQRT(J91))</f>
        <v>367.21185002190327</v>
      </c>
    </row>
    <row r="297" spans="1:11" ht="15" customHeight="1" x14ac:dyDescent="0.2">
      <c r="A297" s="19" t="s">
        <v>421</v>
      </c>
      <c r="B297" s="50">
        <v>23.017600000000002</v>
      </c>
      <c r="C297" s="50">
        <v>1544.26</v>
      </c>
      <c r="D297" s="51">
        <v>35694138.888823003</v>
      </c>
      <c r="E297" s="51">
        <v>2019283333</v>
      </c>
      <c r="F297" s="52">
        <f t="shared" si="11"/>
        <v>1.9482332908733726E-3</v>
      </c>
      <c r="G297" s="52">
        <f t="shared" si="12"/>
        <v>1.8148119521493281E-3</v>
      </c>
      <c r="I297" s="4">
        <v>203</v>
      </c>
      <c r="J297" s="48">
        <f t="shared" ca="1" si="13"/>
        <v>0.38050104765455561</v>
      </c>
      <c r="K297" s="23">
        <f ca="1">K296*EXP(J88*J91+J89*J297*SQRT(J91))</f>
        <v>369.81187436030086</v>
      </c>
    </row>
    <row r="298" spans="1:11" ht="15" customHeight="1" x14ac:dyDescent="0.2">
      <c r="A298" s="19" t="s">
        <v>422</v>
      </c>
      <c r="B298" s="50">
        <v>22.9072</v>
      </c>
      <c r="C298" s="50">
        <v>1551.18</v>
      </c>
      <c r="D298" s="51">
        <v>46053138.196475998</v>
      </c>
      <c r="E298" s="51">
        <v>2029033333</v>
      </c>
      <c r="F298" s="52">
        <f t="shared" si="11"/>
        <v>-4.8078690669740463E-3</v>
      </c>
      <c r="G298" s="52">
        <f t="shared" si="12"/>
        <v>4.4711004109199912E-3</v>
      </c>
      <c r="I298" s="4">
        <v>204</v>
      </c>
      <c r="J298" s="48">
        <f t="shared" ca="1" si="13"/>
        <v>-0.41810019524802239</v>
      </c>
      <c r="K298" s="23">
        <f ca="1">K297*EXP(J88*J91+J89*J298*SQRT(J91))</f>
        <v>367.5873506153564</v>
      </c>
    </row>
    <row r="299" spans="1:11" ht="15" customHeight="1" x14ac:dyDescent="0.2">
      <c r="A299" s="19" t="s">
        <v>423</v>
      </c>
      <c r="B299" s="50">
        <v>22.796099999999999</v>
      </c>
      <c r="C299" s="50">
        <v>1556.22</v>
      </c>
      <c r="D299" s="51">
        <v>44787993.935622998</v>
      </c>
      <c r="E299" s="51">
        <v>1717266667</v>
      </c>
      <c r="F299" s="52">
        <f t="shared" si="11"/>
        <v>-4.8618029262797787E-3</v>
      </c>
      <c r="G299" s="52">
        <f t="shared" si="12"/>
        <v>3.2438723173948535E-3</v>
      </c>
      <c r="I299" s="4">
        <v>205</v>
      </c>
      <c r="J299" s="48">
        <f t="shared" ca="1" si="13"/>
        <v>-8.3377551806692374E-2</v>
      </c>
      <c r="K299" s="23">
        <f ca="1">K298*EXP(J88*J91+J89*J299*SQRT(J91))</f>
        <v>367.38618906952439</v>
      </c>
    </row>
    <row r="300" spans="1:11" ht="15" customHeight="1" x14ac:dyDescent="0.2">
      <c r="A300" s="19" t="s">
        <v>424</v>
      </c>
      <c r="B300" s="50">
        <v>22.8292</v>
      </c>
      <c r="C300" s="50">
        <v>1552.48</v>
      </c>
      <c r="D300" s="51">
        <v>47995946.606510997</v>
      </c>
      <c r="E300" s="51">
        <v>1819394444</v>
      </c>
      <c r="F300" s="52">
        <f t="shared" si="11"/>
        <v>1.4509496181721721E-3</v>
      </c>
      <c r="G300" s="52">
        <f t="shared" si="12"/>
        <v>-2.4061516417888235E-3</v>
      </c>
      <c r="I300" s="4">
        <v>206</v>
      </c>
      <c r="J300" s="48">
        <f t="shared" ca="1" si="13"/>
        <v>0.38854079421223403</v>
      </c>
      <c r="K300" s="23">
        <f ca="1">K299*EXP(J88*J91+J89*J300*SQRT(J91))</f>
        <v>370.03620433139537</v>
      </c>
    </row>
    <row r="301" spans="1:11" ht="15" customHeight="1" x14ac:dyDescent="0.2">
      <c r="A301" s="19" t="s">
        <v>425</v>
      </c>
      <c r="B301" s="50">
        <v>22.836200000000002</v>
      </c>
      <c r="C301" s="50">
        <v>1554.52</v>
      </c>
      <c r="D301" s="51">
        <v>35579599.243513003</v>
      </c>
      <c r="E301" s="51">
        <v>1707683333</v>
      </c>
      <c r="F301" s="52">
        <f t="shared" si="11"/>
        <v>3.0657784908620585E-4</v>
      </c>
      <c r="G301" s="52">
        <f t="shared" si="12"/>
        <v>1.3131640123256268E-3</v>
      </c>
      <c r="I301" s="4">
        <v>207</v>
      </c>
      <c r="J301" s="48">
        <f t="shared" ca="1" si="13"/>
        <v>1.1912222032925237</v>
      </c>
      <c r="K301" s="23">
        <f ca="1">K300*EXP(J88*J91+J89*J301*SQRT(J91))</f>
        <v>377.64097459950221</v>
      </c>
    </row>
    <row r="302" spans="1:11" ht="15" customHeight="1" x14ac:dyDescent="0.2">
      <c r="A302" s="19" t="s">
        <v>426</v>
      </c>
      <c r="B302" s="50">
        <v>23.017600000000002</v>
      </c>
      <c r="C302" s="50">
        <v>1563.23</v>
      </c>
      <c r="D302" s="51">
        <v>68360706.491414994</v>
      </c>
      <c r="E302" s="51">
        <v>1921811111</v>
      </c>
      <c r="F302" s="52">
        <f t="shared" si="11"/>
        <v>7.912144525995625E-3</v>
      </c>
      <c r="G302" s="52">
        <f t="shared" si="12"/>
        <v>5.5873772173025285E-3</v>
      </c>
      <c r="I302" s="4">
        <v>208</v>
      </c>
      <c r="J302" s="48">
        <f t="shared" ca="1" si="13"/>
        <v>1.4780902514069243</v>
      </c>
      <c r="K302" s="23">
        <f ca="1">K301*EXP(J88*J91+J89*J302*SQRT(J91))</f>
        <v>387.21835355740478</v>
      </c>
    </row>
    <row r="303" spans="1:11" ht="15" customHeight="1" x14ac:dyDescent="0.2">
      <c r="A303" s="19" t="s">
        <v>427</v>
      </c>
      <c r="B303" s="50">
        <v>22.928999999999998</v>
      </c>
      <c r="C303" s="50">
        <v>1560.7</v>
      </c>
      <c r="D303" s="51">
        <v>113343299.57308</v>
      </c>
      <c r="E303" s="51">
        <v>2875472222</v>
      </c>
      <c r="F303" s="52">
        <f t="shared" si="11"/>
        <v>-3.8566557620433807E-3</v>
      </c>
      <c r="G303" s="52">
        <f t="shared" si="12"/>
        <v>-1.6197549581095975E-3</v>
      </c>
      <c r="I303" s="4">
        <v>209</v>
      </c>
      <c r="J303" s="48">
        <f t="shared" ca="1" si="13"/>
        <v>0.44285029192718062</v>
      </c>
      <c r="K303" s="23">
        <f ca="1">K302*EXP(J88*J91+J89*J303*SQRT(J91))</f>
        <v>390.35873451432053</v>
      </c>
    </row>
    <row r="304" spans="1:11" ht="15" customHeight="1" x14ac:dyDescent="0.2">
      <c r="A304" s="19" t="s">
        <v>428</v>
      </c>
      <c r="B304" s="50">
        <v>22.982700000000001</v>
      </c>
      <c r="C304" s="50">
        <v>1552.1</v>
      </c>
      <c r="D304" s="51">
        <v>54803699.881495997</v>
      </c>
      <c r="E304" s="51">
        <v>1758088889</v>
      </c>
      <c r="F304" s="52">
        <f t="shared" si="11"/>
        <v>2.3392740625203441E-3</v>
      </c>
      <c r="G304" s="52">
        <f t="shared" si="12"/>
        <v>-5.5255858913691377E-3</v>
      </c>
      <c r="I304" s="4">
        <v>210</v>
      </c>
      <c r="J304" s="48">
        <f t="shared" ca="1" si="13"/>
        <v>0.26266445678792932</v>
      </c>
      <c r="K304" s="23">
        <f ca="1">K303*EXP(J88*J91+J89*J304*SQRT(J91))</f>
        <v>392.36413498253808</v>
      </c>
    </row>
    <row r="305" spans="1:11" ht="15" customHeight="1" x14ac:dyDescent="0.2">
      <c r="A305" s="19" t="s">
        <v>429</v>
      </c>
      <c r="B305" s="50">
        <v>23.0501</v>
      </c>
      <c r="C305" s="50">
        <v>1548.34</v>
      </c>
      <c r="D305" s="51">
        <v>63453049.984695002</v>
      </c>
      <c r="E305" s="51">
        <v>2109005556</v>
      </c>
      <c r="F305" s="52">
        <f t="shared" si="11"/>
        <v>2.9283488366635396E-3</v>
      </c>
      <c r="G305" s="52">
        <f t="shared" si="12"/>
        <v>-2.4254633815200036E-3</v>
      </c>
      <c r="I305" s="4">
        <v>211</v>
      </c>
      <c r="J305" s="48">
        <f t="shared" ca="1" si="13"/>
        <v>-9.4732316744634129E-2</v>
      </c>
      <c r="K305" s="23">
        <f ca="1">K304*EXP(J88*J91+J89*J305*SQRT(J91))</f>
        <v>392.07644106673973</v>
      </c>
    </row>
    <row r="306" spans="1:11" ht="15" customHeight="1" x14ac:dyDescent="0.2">
      <c r="A306" s="19" t="s">
        <v>430</v>
      </c>
      <c r="B306" s="50">
        <v>23.165299999999998</v>
      </c>
      <c r="C306" s="50">
        <v>1558.71</v>
      </c>
      <c r="D306" s="51">
        <v>43343913.921212003</v>
      </c>
      <c r="E306" s="51">
        <v>1860605556</v>
      </c>
      <c r="F306" s="52">
        <f t="shared" si="11"/>
        <v>4.9853615286966678E-3</v>
      </c>
      <c r="G306" s="52">
        <f t="shared" si="12"/>
        <v>6.6751668015524457E-3</v>
      </c>
      <c r="I306" s="4">
        <v>212</v>
      </c>
      <c r="J306" s="48">
        <f t="shared" ca="1" si="13"/>
        <v>0.18109213929884824</v>
      </c>
      <c r="K306" s="23">
        <f ca="1">K305*EXP(J88*J91+J89*J306*SQRT(J91))</f>
        <v>393.56413555997369</v>
      </c>
    </row>
    <row r="307" spans="1:11" ht="15" customHeight="1" x14ac:dyDescent="0.2">
      <c r="A307" s="19" t="s">
        <v>431</v>
      </c>
      <c r="B307" s="50">
        <v>22.9925</v>
      </c>
      <c r="C307" s="50">
        <v>1545.8</v>
      </c>
      <c r="D307" s="51">
        <v>41852863.181906</v>
      </c>
      <c r="E307" s="51">
        <v>1801816667</v>
      </c>
      <c r="F307" s="52">
        <f t="shared" si="11"/>
        <v>-7.4873935620217167E-3</v>
      </c>
      <c r="G307" s="52">
        <f t="shared" si="12"/>
        <v>-8.3169804044007662E-3</v>
      </c>
      <c r="I307" s="4">
        <v>213</v>
      </c>
      <c r="J307" s="48">
        <f t="shared" ca="1" si="13"/>
        <v>1.0034774744253934</v>
      </c>
      <c r="K307" s="23">
        <f ca="1">K306*EXP(J88*J91+J89*J307*SQRT(J91))</f>
        <v>400.41841052042815</v>
      </c>
    </row>
    <row r="308" spans="1:11" ht="15" customHeight="1" x14ac:dyDescent="0.2">
      <c r="A308" s="19" t="s">
        <v>432</v>
      </c>
      <c r="B308" s="50">
        <v>23.1066</v>
      </c>
      <c r="C308" s="50">
        <v>1556.89</v>
      </c>
      <c r="D308" s="51">
        <v>35112147.465764001</v>
      </c>
      <c r="E308" s="51">
        <v>1637988889</v>
      </c>
      <c r="F308" s="52">
        <f t="shared" si="11"/>
        <v>4.9502152101928397E-3</v>
      </c>
      <c r="G308" s="52">
        <f t="shared" si="12"/>
        <v>7.1486659821265496E-3</v>
      </c>
      <c r="I308" s="4">
        <v>214</v>
      </c>
      <c r="J308" s="48">
        <f t="shared" ca="1" si="13"/>
        <v>-1.1735625212945575</v>
      </c>
      <c r="K308" s="23">
        <f ca="1">K307*EXP(J88*J91+J89*J308*SQRT(J91))</f>
        <v>393.11204327328784</v>
      </c>
    </row>
    <row r="309" spans="1:11" ht="15" customHeight="1" x14ac:dyDescent="0.2">
      <c r="A309" s="19" t="s">
        <v>433</v>
      </c>
      <c r="B309" s="50">
        <v>23.0335</v>
      </c>
      <c r="C309" s="50">
        <v>1551.69</v>
      </c>
      <c r="D309" s="51">
        <v>53979596.987754002</v>
      </c>
      <c r="E309" s="51">
        <v>1765650000</v>
      </c>
      <c r="F309" s="52">
        <f t="shared" si="11"/>
        <v>-3.168613035558382E-3</v>
      </c>
      <c r="G309" s="52">
        <f t="shared" si="12"/>
        <v>-3.3455821309178592E-3</v>
      </c>
      <c r="I309" s="4">
        <v>215</v>
      </c>
      <c r="J309" s="48">
        <f t="shared" ca="1" si="13"/>
        <v>-1.1519812845540158</v>
      </c>
      <c r="K309" s="23">
        <f ca="1">K308*EXP(J88*J91+J89*J309*SQRT(J91))</f>
        <v>386.07552989097394</v>
      </c>
    </row>
    <row r="310" spans="1:11" ht="15" customHeight="1" x14ac:dyDescent="0.2">
      <c r="A310" s="19" t="s">
        <v>434</v>
      </c>
      <c r="B310" s="50">
        <v>23.0335</v>
      </c>
      <c r="C310" s="50">
        <v>1563.77</v>
      </c>
      <c r="D310" s="51">
        <v>34025096.356209002</v>
      </c>
      <c r="E310" s="51">
        <v>1594033333</v>
      </c>
      <c r="F310" s="52">
        <f t="shared" si="11"/>
        <v>0</v>
      </c>
      <c r="G310" s="52">
        <f t="shared" si="12"/>
        <v>7.7549129435386119E-3</v>
      </c>
      <c r="I310" s="4">
        <v>216</v>
      </c>
      <c r="J310" s="48">
        <f t="shared" ca="1" si="13"/>
        <v>0.19446880798766178</v>
      </c>
      <c r="K310" s="23">
        <f ca="1">K309*EXP(J88*J91+J89*J310*SQRT(J91))</f>
        <v>387.62542879499568</v>
      </c>
    </row>
    <row r="311" spans="1:11" ht="15" customHeight="1" x14ac:dyDescent="0.2">
      <c r="A311" s="19" t="s">
        <v>435</v>
      </c>
      <c r="B311" s="50">
        <v>23.206199999999999</v>
      </c>
      <c r="C311" s="50">
        <v>1562.85</v>
      </c>
      <c r="D311" s="51">
        <v>44071017.220627002</v>
      </c>
      <c r="E311" s="51">
        <v>1619005556</v>
      </c>
      <c r="F311" s="52">
        <f t="shared" si="11"/>
        <v>7.4698063796078068E-3</v>
      </c>
      <c r="G311" s="52">
        <f t="shared" si="12"/>
        <v>-5.8849494121564802E-4</v>
      </c>
      <c r="I311" s="4">
        <v>217</v>
      </c>
      <c r="J311" s="48">
        <f t="shared" ca="1" si="13"/>
        <v>0.42423312340360003</v>
      </c>
      <c r="K311" s="23">
        <f ca="1">K310*EXP(J88*J91+J89*J311*SQRT(J91))</f>
        <v>390.64989302330861</v>
      </c>
    </row>
    <row r="312" spans="1:11" ht="15" customHeight="1" x14ac:dyDescent="0.2">
      <c r="A312" s="19" t="s">
        <v>436</v>
      </c>
      <c r="B312" s="50">
        <v>23.390999999999998</v>
      </c>
      <c r="C312" s="50">
        <v>1569.19</v>
      </c>
      <c r="D312" s="51">
        <v>67796272.524243996</v>
      </c>
      <c r="E312" s="51">
        <v>1835800000</v>
      </c>
      <c r="F312" s="52">
        <f t="shared" si="11"/>
        <v>7.9318486466147826E-3</v>
      </c>
      <c r="G312" s="52">
        <f t="shared" si="12"/>
        <v>4.0484851148155808E-3</v>
      </c>
      <c r="I312" s="4">
        <v>218</v>
      </c>
      <c r="J312" s="48">
        <f t="shared" ca="1" si="13"/>
        <v>-2.0997439812591017</v>
      </c>
      <c r="K312" s="23">
        <f ca="1">K311*EXP(J88*J91+J89*J312*SQRT(J91))</f>
        <v>377.74388694447686</v>
      </c>
    </row>
    <row r="313" spans="1:11" ht="15" customHeight="1" x14ac:dyDescent="0.2">
      <c r="A313" s="19" t="s">
        <v>437</v>
      </c>
      <c r="B313" s="50">
        <v>23.400600000000001</v>
      </c>
      <c r="C313" s="50">
        <v>1562.17</v>
      </c>
      <c r="D313" s="51">
        <v>35699184.264215998</v>
      </c>
      <c r="E313" s="51">
        <v>1529505556</v>
      </c>
      <c r="F313" s="52">
        <f t="shared" si="11"/>
        <v>4.1033006499879751E-4</v>
      </c>
      <c r="G313" s="52">
        <f t="shared" si="12"/>
        <v>-4.4836823364220995E-3</v>
      </c>
      <c r="I313" s="4">
        <v>219</v>
      </c>
      <c r="J313" s="48">
        <f t="shared" ca="1" si="13"/>
        <v>-1.7572088958484084</v>
      </c>
      <c r="K313" s="23">
        <f ca="1">K312*EXP(J88*J91+J89*J313*SQRT(J91))</f>
        <v>367.32065574121248</v>
      </c>
    </row>
    <row r="314" spans="1:11" ht="15" customHeight="1" x14ac:dyDescent="0.2">
      <c r="A314" s="19" t="s">
        <v>438</v>
      </c>
      <c r="B314" s="50">
        <v>23.558800000000002</v>
      </c>
      <c r="C314" s="50">
        <v>1570.25</v>
      </c>
      <c r="D314" s="51">
        <v>34790979.836048</v>
      </c>
      <c r="E314" s="51">
        <v>1840088889</v>
      </c>
      <c r="F314" s="52">
        <f t="shared" si="11"/>
        <v>6.7377606395673103E-3</v>
      </c>
      <c r="G314" s="52">
        <f t="shared" si="12"/>
        <v>5.1589620297942326E-3</v>
      </c>
      <c r="I314" s="4">
        <v>220</v>
      </c>
      <c r="J314" s="48">
        <f t="shared" ca="1" si="13"/>
        <v>-0.19489901116489308</v>
      </c>
      <c r="K314" s="23">
        <f ca="1">K313*EXP(J88*J91+J89*J314*SQRT(J91))</f>
        <v>366.44922471706957</v>
      </c>
    </row>
    <row r="315" spans="1:11" ht="15" customHeight="1" x14ac:dyDescent="0.2">
      <c r="A315" s="19" t="s">
        <v>439</v>
      </c>
      <c r="B315" s="50">
        <v>23.3596</v>
      </c>
      <c r="C315" s="50">
        <v>1553.69</v>
      </c>
      <c r="D315" s="51">
        <v>42865610.695859</v>
      </c>
      <c r="E315" s="51">
        <v>2255894444</v>
      </c>
      <c r="F315" s="52">
        <f t="shared" si="11"/>
        <v>-8.4913891743886843E-3</v>
      </c>
      <c r="G315" s="52">
        <f t="shared" si="12"/>
        <v>-1.0602095506201462E-2</v>
      </c>
      <c r="I315" s="4">
        <v>221</v>
      </c>
      <c r="J315" s="48">
        <f t="shared" ca="1" si="13"/>
        <v>0.15469604509379808</v>
      </c>
      <c r="K315" s="23">
        <f ca="1">K314*EXP(J88*J91+J89*J315*SQRT(J91))</f>
        <v>367.68057606096738</v>
      </c>
    </row>
    <row r="316" spans="1:11" ht="15" customHeight="1" x14ac:dyDescent="0.2">
      <c r="A316" s="19" t="s">
        <v>440</v>
      </c>
      <c r="B316" s="50">
        <v>23.3841</v>
      </c>
      <c r="C316" s="50">
        <v>1559.98</v>
      </c>
      <c r="D316" s="51">
        <v>55336167.177423</v>
      </c>
      <c r="E316" s="51">
        <v>1861483333</v>
      </c>
      <c r="F316" s="52">
        <f t="shared" si="11"/>
        <v>1.0482697023780308E-3</v>
      </c>
      <c r="G316" s="52">
        <f t="shared" si="12"/>
        <v>4.0402538202902035E-3</v>
      </c>
      <c r="I316" s="4">
        <v>222</v>
      </c>
      <c r="J316" s="48">
        <f t="shared" ca="1" si="13"/>
        <v>-0.31683600057052691</v>
      </c>
      <c r="K316" s="23">
        <f ca="1">K315*EXP(J88*J91+J89*J316*SQRT(J91))</f>
        <v>366.07594654999923</v>
      </c>
    </row>
    <row r="317" spans="1:11" ht="15" customHeight="1" x14ac:dyDescent="0.2">
      <c r="A317" s="19" t="s">
        <v>441</v>
      </c>
      <c r="B317" s="50">
        <v>23.474900000000002</v>
      </c>
      <c r="C317" s="50">
        <v>1553.28</v>
      </c>
      <c r="D317" s="51">
        <v>62260211.850414999</v>
      </c>
      <c r="E317" s="51">
        <v>1953005556</v>
      </c>
      <c r="F317" s="52">
        <f t="shared" si="11"/>
        <v>3.8754610062201947E-3</v>
      </c>
      <c r="G317" s="52">
        <f t="shared" si="12"/>
        <v>-4.3041765503969041E-3</v>
      </c>
      <c r="I317" s="4">
        <v>223</v>
      </c>
      <c r="J317" s="48">
        <f t="shared" ca="1" si="13"/>
        <v>0.26858464760255996</v>
      </c>
      <c r="K317" s="23">
        <f ca="1">K316*EXP(J88*J91+J89*J317*SQRT(J91))</f>
        <v>367.99230332306433</v>
      </c>
    </row>
    <row r="318" spans="1:11" ht="15" customHeight="1" x14ac:dyDescent="0.2">
      <c r="A318" s="19" t="s">
        <v>442</v>
      </c>
      <c r="B318" s="50">
        <v>23.3841</v>
      </c>
      <c r="C318" s="50">
        <v>1563.07</v>
      </c>
      <c r="D318" s="51">
        <v>42494883.105378002</v>
      </c>
      <c r="E318" s="51">
        <v>1603955556</v>
      </c>
      <c r="F318" s="52">
        <f t="shared" si="11"/>
        <v>-3.8754610062202762E-3</v>
      </c>
      <c r="G318" s="52">
        <f t="shared" si="12"/>
        <v>6.2830119890327149E-3</v>
      </c>
      <c r="I318" s="4">
        <v>224</v>
      </c>
      <c r="J318" s="48">
        <f t="shared" ca="1" si="13"/>
        <v>0.14807303430619909</v>
      </c>
      <c r="K318" s="23">
        <f ca="1">K317*EXP(J88*J91+J89*J318*SQRT(J91))</f>
        <v>369.18876210244213</v>
      </c>
    </row>
    <row r="319" spans="1:11" ht="15" customHeight="1" x14ac:dyDescent="0.2">
      <c r="A319" s="19" t="s">
        <v>443</v>
      </c>
      <c r="B319" s="50">
        <v>24.222100000000001</v>
      </c>
      <c r="C319" s="50">
        <v>1568.61</v>
      </c>
      <c r="D319" s="51">
        <v>95036669.940511003</v>
      </c>
      <c r="E319" s="51">
        <v>1807100000</v>
      </c>
      <c r="F319" s="52">
        <f t="shared" si="11"/>
        <v>3.5209135340451614E-2</v>
      </c>
      <c r="G319" s="52">
        <f t="shared" si="12"/>
        <v>3.5380407825949659E-3</v>
      </c>
      <c r="I319" s="4">
        <v>225</v>
      </c>
      <c r="J319" s="48">
        <f t="shared" ca="1" si="13"/>
        <v>-0.45990166051644799</v>
      </c>
      <c r="K319" s="23">
        <f ca="1">K318*EXP(J88*J91+J89*J319*SQRT(J91))</f>
        <v>366.71665576148354</v>
      </c>
    </row>
    <row r="320" spans="1:11" ht="15" customHeight="1" x14ac:dyDescent="0.2">
      <c r="A320" s="19" t="s">
        <v>444</v>
      </c>
      <c r="B320" s="50">
        <v>24.767199999999999</v>
      </c>
      <c r="C320" s="50">
        <v>1587.73</v>
      </c>
      <c r="D320" s="51">
        <v>86914127.467010006</v>
      </c>
      <c r="E320" s="51">
        <v>1918527778</v>
      </c>
      <c r="F320" s="52">
        <f t="shared" si="11"/>
        <v>2.2254757575486957E-2</v>
      </c>
      <c r="G320" s="52">
        <f t="shared" si="12"/>
        <v>1.2115446292433605E-2</v>
      </c>
      <c r="I320" s="4">
        <v>226</v>
      </c>
      <c r="J320" s="48">
        <f t="shared" ca="1" si="13"/>
        <v>-1.3314232365188972</v>
      </c>
      <c r="K320" s="23">
        <f ca="1">K319*EXP(J88*J91+J89*J320*SQRT(J91))</f>
        <v>359.0949450352191</v>
      </c>
    </row>
    <row r="321" spans="1:11" ht="15" customHeight="1" x14ac:dyDescent="0.2">
      <c r="A321" s="19" t="s">
        <v>445</v>
      </c>
      <c r="B321" s="50">
        <v>23.665400000000002</v>
      </c>
      <c r="C321" s="50">
        <v>1593.37</v>
      </c>
      <c r="D321" s="51">
        <v>160044304.71794999</v>
      </c>
      <c r="E321" s="51">
        <v>1885527778</v>
      </c>
      <c r="F321" s="52">
        <f t="shared" si="11"/>
        <v>-4.5506131329927979E-2</v>
      </c>
      <c r="G321" s="52">
        <f t="shared" si="12"/>
        <v>3.5459469426653589E-3</v>
      </c>
      <c r="I321" s="4">
        <v>227</v>
      </c>
      <c r="J321" s="48">
        <f t="shared" ca="1" si="13"/>
        <v>-0.36299187517109421</v>
      </c>
      <c r="K321" s="23">
        <f ca="1">K320*EXP(J88*J91+J89*J321*SQRT(J91))</f>
        <v>357.25742185664166</v>
      </c>
    </row>
    <row r="322" spans="1:11" ht="15" customHeight="1" x14ac:dyDescent="0.2">
      <c r="A322" s="19" t="s">
        <v>446</v>
      </c>
      <c r="B322" s="50">
        <v>23.549199999999999</v>
      </c>
      <c r="C322" s="50">
        <v>1588.85</v>
      </c>
      <c r="D322" s="51">
        <v>76880787.278897002</v>
      </c>
      <c r="E322" s="51">
        <v>1781272222</v>
      </c>
      <c r="F322" s="52">
        <f t="shared" si="11"/>
        <v>-4.9222162047233321E-3</v>
      </c>
      <c r="G322" s="52">
        <f t="shared" si="12"/>
        <v>-2.8407860171352811E-3</v>
      </c>
      <c r="I322" s="4">
        <v>228</v>
      </c>
      <c r="J322" s="48">
        <f t="shared" ca="1" si="13"/>
        <v>1.0037854496646355</v>
      </c>
      <c r="K322" s="23">
        <f ca="1">K321*EXP(J88*J91+J89*J322*SQRT(J91))</f>
        <v>363.481217326072</v>
      </c>
    </row>
    <row r="323" spans="1:11" ht="15" customHeight="1" x14ac:dyDescent="0.2">
      <c r="A323" s="19" t="s">
        <v>447</v>
      </c>
      <c r="B323" s="50">
        <v>23.468</v>
      </c>
      <c r="C323" s="50">
        <v>1552.36</v>
      </c>
      <c r="D323" s="51">
        <v>68869043.419517994</v>
      </c>
      <c r="E323" s="51">
        <v>2588961111</v>
      </c>
      <c r="F323" s="52">
        <f t="shared" si="11"/>
        <v>-3.4540585458018289E-3</v>
      </c>
      <c r="G323" s="52">
        <f t="shared" si="12"/>
        <v>-2.3234130479996954E-2</v>
      </c>
      <c r="I323" s="4">
        <v>229</v>
      </c>
      <c r="J323" s="48">
        <f t="shared" ca="1" si="13"/>
        <v>0.37634255563894553</v>
      </c>
      <c r="K323" s="23">
        <f ca="1">K322*EXP(J88*J91+J89*J323*SQRT(J91))</f>
        <v>366.02987875497797</v>
      </c>
    </row>
    <row r="324" spans="1:11" ht="15" customHeight="1" x14ac:dyDescent="0.2">
      <c r="A324" s="19" t="s">
        <v>448</v>
      </c>
      <c r="B324" s="50">
        <v>23.698399999999999</v>
      </c>
      <c r="C324" s="50">
        <v>1574.57</v>
      </c>
      <c r="D324" s="51">
        <v>64551256.615817003</v>
      </c>
      <c r="E324" s="51">
        <v>2030388889</v>
      </c>
      <c r="F324" s="52">
        <f t="shared" si="11"/>
        <v>9.7697442500092532E-3</v>
      </c>
      <c r="G324" s="52">
        <f t="shared" si="12"/>
        <v>1.4205865503323178E-2</v>
      </c>
      <c r="I324" s="4">
        <v>230</v>
      </c>
      <c r="J324" s="48">
        <f t="shared" ca="1" si="13"/>
        <v>-0.36130831959764775</v>
      </c>
      <c r="K324" s="23">
        <f ca="1">K323*EXP(J88*J91+J89*J324*SQRT(J91))</f>
        <v>364.16691725315246</v>
      </c>
    </row>
    <row r="325" spans="1:11" ht="15" customHeight="1" x14ac:dyDescent="0.2">
      <c r="A325" s="19" t="s">
        <v>449</v>
      </c>
      <c r="B325" s="50">
        <v>23.5852</v>
      </c>
      <c r="C325" s="50">
        <v>1552.01</v>
      </c>
      <c r="D325" s="51">
        <v>64600221.738288</v>
      </c>
      <c r="E325" s="51">
        <v>2361283333</v>
      </c>
      <c r="F325" s="52">
        <f t="shared" si="11"/>
        <v>-4.7881386472721525E-3</v>
      </c>
      <c r="G325" s="52">
        <f t="shared" si="12"/>
        <v>-1.4431354089724242E-2</v>
      </c>
      <c r="I325" s="4">
        <v>231</v>
      </c>
      <c r="J325" s="48">
        <f t="shared" ca="1" si="13"/>
        <v>6.8168660609482359E-2</v>
      </c>
      <c r="K325" s="23">
        <f ca="1">K324*EXP(J88*J91+J89*J325*SQRT(J91))</f>
        <v>364.87278073531968</v>
      </c>
    </row>
    <row r="326" spans="1:11" ht="15" customHeight="1" x14ac:dyDescent="0.2">
      <c r="A326" s="19" t="s">
        <v>450</v>
      </c>
      <c r="B326" s="50">
        <v>23.549199999999999</v>
      </c>
      <c r="C326" s="50">
        <v>1541.61</v>
      </c>
      <c r="D326" s="51">
        <v>69529787.951462999</v>
      </c>
      <c r="E326" s="51">
        <v>2161555556</v>
      </c>
      <c r="F326" s="52">
        <f t="shared" ref="F326:F389" si="14">LN(B326/B325)</f>
        <v>-1.5275470569350554E-3</v>
      </c>
      <c r="G326" s="52">
        <f t="shared" ref="G326:G389" si="15">LN(C326/C325)</f>
        <v>-6.7235401752622328E-3</v>
      </c>
      <c r="I326" s="4">
        <v>232</v>
      </c>
      <c r="J326" s="48">
        <f t="shared" ca="1" si="13"/>
        <v>0.45207053710555983</v>
      </c>
      <c r="K326" s="23">
        <f ca="1">K325*EXP(J88*J91+J89*J326*SQRT(J91))</f>
        <v>367.88752714380053</v>
      </c>
    </row>
    <row r="327" spans="1:11" ht="15" customHeight="1" x14ac:dyDescent="0.2">
      <c r="A327" s="19" t="s">
        <v>451</v>
      </c>
      <c r="B327" s="50">
        <v>24.340199999999999</v>
      </c>
      <c r="C327" s="50">
        <v>1555.25</v>
      </c>
      <c r="D327" s="51">
        <v>121997244.57172</v>
      </c>
      <c r="E327" s="51">
        <v>1983261111</v>
      </c>
      <c r="F327" s="52">
        <f t="shared" si="14"/>
        <v>3.3037454843076269E-2</v>
      </c>
      <c r="G327" s="52">
        <f t="shared" si="15"/>
        <v>8.8089795490163252E-3</v>
      </c>
      <c r="I327" s="4">
        <v>233</v>
      </c>
      <c r="J327" s="48">
        <f t="shared" ca="1" si="13"/>
        <v>1.7931238132005143</v>
      </c>
      <c r="K327" s="23">
        <f ca="1">K326*EXP(J88*J91+J89*J327*SQRT(J91))</f>
        <v>379.17029166266167</v>
      </c>
    </row>
    <row r="328" spans="1:11" ht="15" customHeight="1" x14ac:dyDescent="0.2">
      <c r="A328" s="19" t="s">
        <v>452</v>
      </c>
      <c r="B328" s="50">
        <v>25.2163</v>
      </c>
      <c r="C328" s="50">
        <v>1562.5</v>
      </c>
      <c r="D328" s="51">
        <v>168594147.8964</v>
      </c>
      <c r="E328" s="51">
        <v>1655488889</v>
      </c>
      <c r="F328" s="52">
        <f t="shared" si="14"/>
        <v>3.5361306360327534E-2</v>
      </c>
      <c r="G328" s="52">
        <f t="shared" si="15"/>
        <v>4.6507982154273889E-3</v>
      </c>
      <c r="I328" s="4">
        <v>234</v>
      </c>
      <c r="J328" s="48">
        <f t="shared" ca="1" si="13"/>
        <v>0.53582867379616839</v>
      </c>
      <c r="K328" s="23">
        <f ca="1">K327*EXP(J88*J91+J89*J328*SQRT(J91))</f>
        <v>382.82835023440049</v>
      </c>
    </row>
    <row r="329" spans="1:11" ht="15" customHeight="1" x14ac:dyDescent="0.2">
      <c r="A329" s="19" t="s">
        <v>453</v>
      </c>
      <c r="B329" s="50">
        <v>25.029800000000002</v>
      </c>
      <c r="C329" s="50">
        <v>1578.78</v>
      </c>
      <c r="D329" s="51">
        <v>72252477.481833994</v>
      </c>
      <c r="E329" s="51">
        <v>1980638889</v>
      </c>
      <c r="F329" s="52">
        <f t="shared" si="14"/>
        <v>-7.4234958125659993E-3</v>
      </c>
      <c r="G329" s="52">
        <f t="shared" si="15"/>
        <v>1.0365294248898439E-2</v>
      </c>
      <c r="I329" s="4">
        <v>235</v>
      </c>
      <c r="J329" s="48">
        <f t="shared" ca="1" si="13"/>
        <v>-0.21316576335843426</v>
      </c>
      <c r="K329" s="23">
        <f ca="1">K328*EXP(J88*J91+J89*J329*SQRT(J91))</f>
        <v>381.80580313279359</v>
      </c>
    </row>
    <row r="330" spans="1:11" ht="15" customHeight="1" x14ac:dyDescent="0.2">
      <c r="A330" s="19" t="s">
        <v>454</v>
      </c>
      <c r="B330" s="50">
        <v>25.978300000000001</v>
      </c>
      <c r="C330" s="50">
        <v>1578.79</v>
      </c>
      <c r="D330" s="51">
        <v>111192004.94887</v>
      </c>
      <c r="E330" s="51">
        <v>1999022222</v>
      </c>
      <c r="F330" s="52">
        <f t="shared" si="14"/>
        <v>3.7194459151278982E-2</v>
      </c>
      <c r="G330" s="52">
        <f t="shared" si="15"/>
        <v>6.3339846780946741E-6</v>
      </c>
      <c r="I330" s="4">
        <v>236</v>
      </c>
      <c r="J330" s="48">
        <f t="shared" ca="1" si="13"/>
        <v>1.0399317913748933</v>
      </c>
      <c r="K330" s="23">
        <f ca="1">K329*EXP(J88*J91+J89*J330*SQRT(J91))</f>
        <v>388.68745993196279</v>
      </c>
    </row>
    <row r="331" spans="1:11" ht="15" customHeight="1" x14ac:dyDescent="0.2">
      <c r="A331" s="19" t="s">
        <v>455</v>
      </c>
      <c r="B331" s="50">
        <v>26.125800000000002</v>
      </c>
      <c r="C331" s="50">
        <v>1585.16</v>
      </c>
      <c r="D331" s="51">
        <v>135331079.32122001</v>
      </c>
      <c r="E331" s="51">
        <v>2171433333</v>
      </c>
      <c r="F331" s="52">
        <f t="shared" si="14"/>
        <v>5.6617576741680555E-3</v>
      </c>
      <c r="G331" s="52">
        <f t="shared" si="15"/>
        <v>4.0266177447456745E-3</v>
      </c>
      <c r="I331" s="4">
        <v>237</v>
      </c>
      <c r="J331" s="48">
        <f t="shared" ca="1" si="13"/>
        <v>-1.1753385316871936</v>
      </c>
      <c r="K331" s="23">
        <f ca="1">K330*EXP(J88*J91+J89*J331*SQRT(J91))</f>
        <v>381.58403785064007</v>
      </c>
    </row>
    <row r="332" spans="1:11" ht="15" customHeight="1" x14ac:dyDescent="0.2">
      <c r="A332" s="19" t="s">
        <v>456</v>
      </c>
      <c r="B332" s="50">
        <v>26.003499999999999</v>
      </c>
      <c r="C332" s="50">
        <v>1582.24</v>
      </c>
      <c r="D332" s="51">
        <v>58436775.596317001</v>
      </c>
      <c r="E332" s="51">
        <v>1777011111</v>
      </c>
      <c r="F332" s="52">
        <f t="shared" si="14"/>
        <v>-4.6921874794407896E-3</v>
      </c>
      <c r="G332" s="52">
        <f t="shared" si="15"/>
        <v>-1.8437840671979098E-3</v>
      </c>
      <c r="I332" s="4">
        <v>238</v>
      </c>
      <c r="J332" s="48">
        <f t="shared" ca="1" si="13"/>
        <v>1.3993143139141251</v>
      </c>
      <c r="K332" s="23">
        <f ca="1">K331*EXP(J88*J91+J89*J332*SQRT(J91))</f>
        <v>390.75657560583784</v>
      </c>
    </row>
    <row r="333" spans="1:11" ht="15" customHeight="1" x14ac:dyDescent="0.2">
      <c r="A333" s="19" t="s">
        <v>457</v>
      </c>
      <c r="B333" s="50">
        <v>26.674700000000001</v>
      </c>
      <c r="C333" s="50">
        <v>1593.61</v>
      </c>
      <c r="D333" s="51">
        <v>72271852.214775994</v>
      </c>
      <c r="E333" s="51">
        <v>1606222222</v>
      </c>
      <c r="F333" s="52">
        <f t="shared" si="14"/>
        <v>2.5484406292842168E-2</v>
      </c>
      <c r="G333" s="52">
        <f t="shared" si="15"/>
        <v>7.1603183893662135E-3</v>
      </c>
      <c r="I333" s="4">
        <v>239</v>
      </c>
      <c r="J333" s="48">
        <f t="shared" ca="1" si="13"/>
        <v>-0.40240448739430945</v>
      </c>
      <c r="K333" s="23">
        <f ca="1">K332*EXP(J88*J91+J89*J333*SQRT(J91))</f>
        <v>388.50599390089701</v>
      </c>
    </row>
    <row r="334" spans="1:11" ht="15" customHeight="1" x14ac:dyDescent="0.2">
      <c r="A334" s="19" t="s">
        <v>458</v>
      </c>
      <c r="B334" s="50">
        <v>27.076899999999998</v>
      </c>
      <c r="C334" s="50">
        <v>1597.57</v>
      </c>
      <c r="D334" s="51">
        <v>91893187.092775002</v>
      </c>
      <c r="E334" s="51">
        <v>2080594444</v>
      </c>
      <c r="F334" s="52">
        <f t="shared" si="14"/>
        <v>1.4965415224368228E-2</v>
      </c>
      <c r="G334" s="52">
        <f t="shared" si="15"/>
        <v>2.4818418469955725E-3</v>
      </c>
      <c r="I334" s="4">
        <v>240</v>
      </c>
      <c r="J334" s="48">
        <f t="shared" ca="1" si="13"/>
        <v>-1.5840473375325952</v>
      </c>
      <c r="K334" s="23">
        <f ca="1">K333*EXP(J88*J91+J89*J334*SQRT(J91))</f>
        <v>378.85951305744533</v>
      </c>
    </row>
    <row r="335" spans="1:11" ht="15" customHeight="1" x14ac:dyDescent="0.2">
      <c r="A335" s="19" t="s">
        <v>459</v>
      </c>
      <c r="B335" s="50">
        <v>26.763400000000001</v>
      </c>
      <c r="C335" s="50">
        <v>1582.7</v>
      </c>
      <c r="D335" s="51">
        <v>66423797.321033001</v>
      </c>
      <c r="E335" s="51">
        <v>1961288889</v>
      </c>
      <c r="F335" s="52">
        <f t="shared" si="14"/>
        <v>-1.1645683367856454E-2</v>
      </c>
      <c r="G335" s="52">
        <f t="shared" si="15"/>
        <v>-9.3514754188050771E-3</v>
      </c>
      <c r="I335" s="4">
        <v>241</v>
      </c>
      <c r="J335" s="48">
        <f t="shared" ca="1" si="13"/>
        <v>-1.7460251099970987</v>
      </c>
      <c r="K335" s="23">
        <f ca="1">K334*EXP(J88*J91+J89*J335*SQRT(J91))</f>
        <v>368.47303305461054</v>
      </c>
    </row>
    <row r="336" spans="1:11" ht="15" customHeight="1" x14ac:dyDescent="0.2">
      <c r="A336" s="19" t="s">
        <v>460</v>
      </c>
      <c r="B336" s="50">
        <v>27.125900000000001</v>
      </c>
      <c r="C336" s="50">
        <v>1597.59</v>
      </c>
      <c r="D336" s="51">
        <v>56316088.012960002</v>
      </c>
      <c r="E336" s="51">
        <v>1870527778</v>
      </c>
      <c r="F336" s="52">
        <f t="shared" si="14"/>
        <v>1.3453708538077714E-2</v>
      </c>
      <c r="G336" s="52">
        <f t="shared" si="15"/>
        <v>9.3639943536941335E-3</v>
      </c>
      <c r="I336" s="4">
        <v>242</v>
      </c>
      <c r="J336" s="48">
        <f t="shared" ca="1" si="13"/>
        <v>-8.2312888808146675E-3</v>
      </c>
      <c r="K336" s="23">
        <f ca="1">K335*EXP(J88*J91+J89*J336*SQRT(J91))</f>
        <v>368.72524233886907</v>
      </c>
    </row>
    <row r="337" spans="1:11" ht="15" customHeight="1" x14ac:dyDescent="0.2">
      <c r="A337" s="19" t="s">
        <v>461</v>
      </c>
      <c r="B337" s="50">
        <v>27.3964</v>
      </c>
      <c r="C337" s="50">
        <v>1614.42</v>
      </c>
      <c r="D337" s="51">
        <v>57197931.173756003</v>
      </c>
      <c r="E337" s="51">
        <v>2002172222</v>
      </c>
      <c r="F337" s="52">
        <f t="shared" si="14"/>
        <v>9.9226268670098167E-3</v>
      </c>
      <c r="G337" s="52">
        <f t="shared" si="15"/>
        <v>1.04795153331448E-2</v>
      </c>
      <c r="I337" s="4">
        <v>243</v>
      </c>
      <c r="J337" s="48">
        <f t="shared" ca="1" si="13"/>
        <v>0.42373901847598905</v>
      </c>
      <c r="K337" s="23">
        <f ca="1">K336*EXP(J88*J91+J89*J337*SQRT(J91))</f>
        <v>371.59922770728423</v>
      </c>
    </row>
    <row r="338" spans="1:11" ht="15" customHeight="1" x14ac:dyDescent="0.2">
      <c r="A338" s="19" t="s">
        <v>462</v>
      </c>
      <c r="B338" s="50">
        <v>27.6035</v>
      </c>
      <c r="C338" s="50">
        <v>1617.5</v>
      </c>
      <c r="D338" s="51">
        <v>50101910.662367001</v>
      </c>
      <c r="E338" s="51">
        <v>1701244444</v>
      </c>
      <c r="F338" s="52">
        <f t="shared" si="14"/>
        <v>7.5309583766957813E-3</v>
      </c>
      <c r="G338" s="52">
        <f t="shared" si="15"/>
        <v>1.9059883489792062E-3</v>
      </c>
      <c r="I338" s="4">
        <v>244</v>
      </c>
      <c r="J338" s="48">
        <f t="shared" ca="1" si="13"/>
        <v>0.3399519128961645</v>
      </c>
      <c r="K338" s="23">
        <f ca="1">K337*EXP(J88*J91+J89*J338*SQRT(J91))</f>
        <v>373.98168807356444</v>
      </c>
    </row>
    <row r="339" spans="1:11" ht="15" customHeight="1" x14ac:dyDescent="0.2">
      <c r="A339" s="19" t="s">
        <v>463</v>
      </c>
      <c r="B339" s="50">
        <v>27.2471</v>
      </c>
      <c r="C339" s="50">
        <v>1625.96</v>
      </c>
      <c r="D339" s="51">
        <v>55043063.424511001</v>
      </c>
      <c r="E339" s="51">
        <v>1838655556</v>
      </c>
      <c r="F339" s="52">
        <f t="shared" si="14"/>
        <v>-1.2995482849717053E-2</v>
      </c>
      <c r="G339" s="52">
        <f t="shared" si="15"/>
        <v>5.2166631841068997E-3</v>
      </c>
      <c r="I339" s="4">
        <v>245</v>
      </c>
      <c r="J339" s="48">
        <f t="shared" ca="1" si="13"/>
        <v>1.0489756725784209</v>
      </c>
      <c r="K339" s="23">
        <f ca="1">K338*EXP(J88*J91+J89*J339*SQRT(J91))</f>
        <v>380.7787610591713</v>
      </c>
    </row>
    <row r="340" spans="1:11" ht="15" customHeight="1" x14ac:dyDescent="0.2">
      <c r="A340" s="19" t="s">
        <v>464</v>
      </c>
      <c r="B340" s="50">
        <v>26.9862</v>
      </c>
      <c r="C340" s="50">
        <v>1632.69</v>
      </c>
      <c r="D340" s="51">
        <v>63076624.846717998</v>
      </c>
      <c r="E340" s="51">
        <v>1974833333</v>
      </c>
      <c r="F340" s="52">
        <f t="shared" si="14"/>
        <v>-9.6214691962693485E-3</v>
      </c>
      <c r="G340" s="52">
        <f t="shared" si="15"/>
        <v>4.1305507302880854E-3</v>
      </c>
      <c r="I340" s="4">
        <v>246</v>
      </c>
      <c r="J340" s="48">
        <f t="shared" ca="1" si="13"/>
        <v>1.022817855963263</v>
      </c>
      <c r="K340" s="23">
        <f ca="1">K339*EXP(J88*J91+J89*J340*SQRT(J91))</f>
        <v>387.53319022653631</v>
      </c>
    </row>
    <row r="341" spans="1:11" ht="15" customHeight="1" x14ac:dyDescent="0.2">
      <c r="A341" s="19" t="s">
        <v>465</v>
      </c>
      <c r="B341" s="50">
        <v>26.713699999999999</v>
      </c>
      <c r="C341" s="50">
        <v>1626.67</v>
      </c>
      <c r="D341" s="51">
        <v>58730091.279568002</v>
      </c>
      <c r="E341" s="51">
        <v>1920777778</v>
      </c>
      <c r="F341" s="52">
        <f t="shared" si="14"/>
        <v>-1.0149081806186162E-2</v>
      </c>
      <c r="G341" s="52">
        <f t="shared" si="15"/>
        <v>-3.6939809321391258E-3</v>
      </c>
      <c r="I341" s="4">
        <v>247</v>
      </c>
      <c r="J341" s="48">
        <f t="shared" ca="1" si="13"/>
        <v>-1.1830518688596379</v>
      </c>
      <c r="K341" s="23">
        <f ca="1">K340*EXP(J88*J91+J89*J341*SQRT(J91))</f>
        <v>380.40276919224226</v>
      </c>
    </row>
    <row r="342" spans="1:11" ht="15" customHeight="1" x14ac:dyDescent="0.2">
      <c r="A342" s="19" t="s">
        <v>466</v>
      </c>
      <c r="B342" s="50">
        <v>26.740100000000002</v>
      </c>
      <c r="C342" s="50">
        <v>1633.7</v>
      </c>
      <c r="D342" s="51">
        <v>44494033.246996999</v>
      </c>
      <c r="E342" s="51">
        <v>1714705556</v>
      </c>
      <c r="F342" s="52">
        <f t="shared" si="14"/>
        <v>9.8776895736196334E-4</v>
      </c>
      <c r="G342" s="52">
        <f t="shared" si="15"/>
        <v>4.3124006751514296E-3</v>
      </c>
      <c r="I342" s="4">
        <v>248</v>
      </c>
      <c r="J342" s="48">
        <f t="shared" ca="1" si="13"/>
        <v>0.22632776206525326</v>
      </c>
      <c r="K342" s="23">
        <f ca="1">K341*EXP(J88*J91+J89*J342*SQRT(J91))</f>
        <v>382.1293766460152</v>
      </c>
    </row>
    <row r="343" spans="1:11" ht="15" customHeight="1" x14ac:dyDescent="0.2">
      <c r="A343" s="19" t="s">
        <v>467</v>
      </c>
      <c r="B343" s="50">
        <v>27.0213</v>
      </c>
      <c r="C343" s="50">
        <v>1633.77</v>
      </c>
      <c r="D343" s="51">
        <v>44055594.425391003</v>
      </c>
      <c r="E343" s="51">
        <v>1617000000</v>
      </c>
      <c r="F343" s="52">
        <f t="shared" si="14"/>
        <v>1.0461132501349562E-2</v>
      </c>
      <c r="G343" s="52">
        <f t="shared" si="15"/>
        <v>4.2846606096343147E-5</v>
      </c>
      <c r="I343" s="4">
        <v>249</v>
      </c>
      <c r="J343" s="48">
        <f t="shared" ca="1" si="13"/>
        <v>0.25789603729003419</v>
      </c>
      <c r="K343" s="23">
        <f ca="1">K342*EXP(J88*J91+J89*J343*SQRT(J91))</f>
        <v>384.06248315598162</v>
      </c>
    </row>
    <row r="344" spans="1:11" ht="15" customHeight="1" x14ac:dyDescent="0.2">
      <c r="A344" s="19" t="s">
        <v>468</v>
      </c>
      <c r="B344" s="50">
        <v>27.618099999999998</v>
      </c>
      <c r="C344" s="50">
        <v>1650.34</v>
      </c>
      <c r="D344" s="51">
        <v>69043352.539270997</v>
      </c>
      <c r="E344" s="51">
        <v>1920994444</v>
      </c>
      <c r="F344" s="52">
        <f t="shared" si="14"/>
        <v>2.1845910999665492E-2</v>
      </c>
      <c r="G344" s="52">
        <f t="shared" si="15"/>
        <v>1.0091099634557102E-2</v>
      </c>
      <c r="I344" s="4">
        <v>250</v>
      </c>
      <c r="J344" s="48">
        <f t="shared" ca="1" si="13"/>
        <v>-0.18405239350145991</v>
      </c>
      <c r="K344" s="23">
        <f ca="1">K343*EXP(J88*J91+J89*J344*SQRT(J91))</f>
        <v>383.21945437963706</v>
      </c>
    </row>
    <row r="345" spans="1:11" ht="15" customHeight="1" x14ac:dyDescent="0.2">
      <c r="A345" s="19" t="s">
        <v>469</v>
      </c>
      <c r="B345" s="50">
        <v>27.884799999999998</v>
      </c>
      <c r="C345" s="50">
        <v>1658.78</v>
      </c>
      <c r="D345" s="51">
        <v>56218596.985964</v>
      </c>
      <c r="E345" s="51">
        <v>2031911111</v>
      </c>
      <c r="F345" s="52">
        <f t="shared" si="14"/>
        <v>9.6103826173301338E-3</v>
      </c>
      <c r="G345" s="52">
        <f t="shared" si="15"/>
        <v>5.1010651178161831E-3</v>
      </c>
    </row>
    <row r="346" spans="1:11" ht="15" customHeight="1" x14ac:dyDescent="0.2">
      <c r="A346" s="19" t="s">
        <v>470</v>
      </c>
      <c r="B346" s="50">
        <v>28.073399999999999</v>
      </c>
      <c r="C346" s="50">
        <v>1650.47</v>
      </c>
      <c r="D346" s="51">
        <v>72093429.394063994</v>
      </c>
      <c r="E346" s="51">
        <v>1951738889</v>
      </c>
      <c r="F346" s="52">
        <f t="shared" si="14"/>
        <v>6.7407712947636089E-3</v>
      </c>
      <c r="G346" s="52">
        <f t="shared" si="15"/>
        <v>-5.0222965730849136E-3</v>
      </c>
    </row>
    <row r="347" spans="1:11" ht="15" customHeight="1" x14ac:dyDescent="0.2">
      <c r="A347" s="19" t="s">
        <v>471</v>
      </c>
      <c r="B347" s="50">
        <v>28.722000000000001</v>
      </c>
      <c r="C347" s="50">
        <v>1667.47</v>
      </c>
      <c r="D347" s="51">
        <v>73657601.219115004</v>
      </c>
      <c r="E347" s="51">
        <v>1911505556</v>
      </c>
      <c r="F347" s="52">
        <f t="shared" si="14"/>
        <v>2.2840870842732217E-2</v>
      </c>
      <c r="G347" s="52">
        <f t="shared" si="15"/>
        <v>1.0247411805593496E-2</v>
      </c>
      <c r="I347" t="s">
        <v>472</v>
      </c>
    </row>
    <row r="348" spans="1:11" ht="15" customHeight="1" thickBot="1" x14ac:dyDescent="0.25">
      <c r="A348" s="19" t="s">
        <v>473</v>
      </c>
      <c r="B348" s="50">
        <v>28.895800000000001</v>
      </c>
      <c r="C348" s="50">
        <v>1666.29</v>
      </c>
      <c r="D348" s="51">
        <v>65586859.844108999</v>
      </c>
      <c r="E348" s="51">
        <v>1819488889</v>
      </c>
      <c r="F348" s="52">
        <f t="shared" si="14"/>
        <v>6.032876198994586E-3</v>
      </c>
      <c r="G348" s="52">
        <f t="shared" si="15"/>
        <v>-7.0790941716164719E-4</v>
      </c>
    </row>
    <row r="349" spans="1:11" ht="15" customHeight="1" x14ac:dyDescent="0.2">
      <c r="A349" s="19" t="s">
        <v>474</v>
      </c>
      <c r="B349" s="50">
        <v>28.706199999999999</v>
      </c>
      <c r="C349" s="50">
        <v>1669.16</v>
      </c>
      <c r="D349" s="51">
        <v>59126821.801101997</v>
      </c>
      <c r="E349" s="51">
        <v>1951977778</v>
      </c>
      <c r="F349" s="52">
        <f t="shared" si="14"/>
        <v>-6.5831285279431082E-3</v>
      </c>
      <c r="G349" s="52">
        <f t="shared" si="15"/>
        <v>1.7209076486218429E-3</v>
      </c>
      <c r="I349" s="60" t="s">
        <v>475</v>
      </c>
      <c r="J349" s="60"/>
    </row>
    <row r="350" spans="1:11" ht="15" customHeight="1" x14ac:dyDescent="0.2">
      <c r="A350" s="19" t="s">
        <v>476</v>
      </c>
      <c r="B350" s="50">
        <v>28.506</v>
      </c>
      <c r="C350" s="50">
        <v>1655.35</v>
      </c>
      <c r="D350" s="51">
        <v>80185899.259728998</v>
      </c>
      <c r="E350" s="51">
        <v>2422788889</v>
      </c>
      <c r="F350" s="52">
        <f t="shared" si="14"/>
        <v>-6.9985358766393134E-3</v>
      </c>
      <c r="G350" s="52">
        <f t="shared" si="15"/>
        <v>-8.3080390400197494E-3</v>
      </c>
      <c r="I350" t="s">
        <v>477</v>
      </c>
      <c r="J350">
        <v>0.74977659430425714</v>
      </c>
    </row>
    <row r="351" spans="1:11" ht="15" customHeight="1" x14ac:dyDescent="0.2">
      <c r="A351" s="19" t="s">
        <v>478</v>
      </c>
      <c r="B351" s="50">
        <v>28.129100000000001</v>
      </c>
      <c r="C351" s="50">
        <v>1650.51</v>
      </c>
      <c r="D351" s="51">
        <v>62042837.871661998</v>
      </c>
      <c r="E351" s="51">
        <v>2191950000</v>
      </c>
      <c r="F351" s="52">
        <f t="shared" si="14"/>
        <v>-1.3309963755024946E-2</v>
      </c>
      <c r="G351" s="52">
        <f t="shared" si="15"/>
        <v>-2.928135769918223E-3</v>
      </c>
      <c r="I351" t="s">
        <v>479</v>
      </c>
      <c r="J351">
        <v>0.56216494136649064</v>
      </c>
    </row>
    <row r="352" spans="1:11" ht="15" customHeight="1" x14ac:dyDescent="0.2">
      <c r="A352" s="19" t="s">
        <v>480</v>
      </c>
      <c r="B352" s="50">
        <v>28.229600000000001</v>
      </c>
      <c r="C352" s="50">
        <v>1649.6</v>
      </c>
      <c r="D352" s="51">
        <v>40274244.260231003</v>
      </c>
      <c r="E352" s="51">
        <v>1532266667</v>
      </c>
      <c r="F352" s="52">
        <f t="shared" si="14"/>
        <v>3.5664451637831048E-3</v>
      </c>
      <c r="G352" s="52">
        <f t="shared" si="15"/>
        <v>-5.5149678226770488E-4</v>
      </c>
      <c r="I352" t="s">
        <v>481</v>
      </c>
      <c r="J352">
        <v>0.56204167699187535</v>
      </c>
    </row>
    <row r="353" spans="1:17" ht="15" customHeight="1" x14ac:dyDescent="0.2">
      <c r="A353" s="19" t="s">
        <v>482</v>
      </c>
      <c r="B353" s="50">
        <v>28.846</v>
      </c>
      <c r="C353" s="50">
        <v>1660.06</v>
      </c>
      <c r="D353" s="51">
        <v>58533250.995798998</v>
      </c>
      <c r="E353" s="51">
        <v>1920777778</v>
      </c>
      <c r="F353" s="52">
        <f t="shared" si="14"/>
        <v>2.1600262319721193E-2</v>
      </c>
      <c r="G353" s="52">
        <f t="shared" si="15"/>
        <v>6.3209120130071905E-3</v>
      </c>
      <c r="I353" t="s">
        <v>483</v>
      </c>
      <c r="J353">
        <v>1.0846920371190409E-2</v>
      </c>
    </row>
    <row r="354" spans="1:17" ht="15" customHeight="1" thickBot="1" x14ac:dyDescent="0.25">
      <c r="A354" s="19" t="s">
        <v>484</v>
      </c>
      <c r="B354" s="50">
        <v>28.729800000000001</v>
      </c>
      <c r="C354" s="50">
        <v>1648.36</v>
      </c>
      <c r="D354" s="51">
        <v>46633360.461929001</v>
      </c>
      <c r="E354" s="51">
        <v>1992855556</v>
      </c>
      <c r="F354" s="52">
        <f t="shared" si="14"/>
        <v>-4.0364235587780732E-3</v>
      </c>
      <c r="G354" s="52">
        <f t="shared" si="15"/>
        <v>-7.072892060328735E-3</v>
      </c>
      <c r="I354" s="61" t="s">
        <v>149</v>
      </c>
      <c r="J354" s="61">
        <v>3554</v>
      </c>
    </row>
    <row r="355" spans="1:17" ht="15" customHeight="1" x14ac:dyDescent="0.2">
      <c r="A355" s="19" t="s">
        <v>485</v>
      </c>
      <c r="B355" s="50">
        <v>28.854700000000001</v>
      </c>
      <c r="C355" s="50">
        <v>1654.41</v>
      </c>
      <c r="D355" s="51">
        <v>62076592.129238002</v>
      </c>
      <c r="E355" s="51">
        <v>1943677778</v>
      </c>
      <c r="F355" s="52">
        <f t="shared" si="14"/>
        <v>4.3379796946976558E-3</v>
      </c>
      <c r="G355" s="52">
        <f t="shared" si="15"/>
        <v>3.6635955678957278E-3</v>
      </c>
    </row>
    <row r="356" spans="1:17" ht="15" customHeight="1" thickBot="1" x14ac:dyDescent="0.25">
      <c r="A356" s="19" t="s">
        <v>486</v>
      </c>
      <c r="B356" s="50">
        <v>28.751999999999999</v>
      </c>
      <c r="C356" s="50">
        <v>1630.74</v>
      </c>
      <c r="D356" s="51">
        <v>68188545.341950998</v>
      </c>
      <c r="E356" s="51">
        <v>2277555556</v>
      </c>
      <c r="F356" s="52">
        <f t="shared" si="14"/>
        <v>-3.5655612560349841E-3</v>
      </c>
      <c r="G356" s="52">
        <f t="shared" si="15"/>
        <v>-1.4410550273650714E-2</v>
      </c>
      <c r="I356" t="s">
        <v>487</v>
      </c>
    </row>
    <row r="357" spans="1:17" ht="15" customHeight="1" x14ac:dyDescent="0.2">
      <c r="A357" s="19" t="s">
        <v>488</v>
      </c>
      <c r="B357" s="50">
        <v>29.3169</v>
      </c>
      <c r="C357" s="50">
        <v>1640.42</v>
      </c>
      <c r="D357" s="51">
        <v>62224280.955646999</v>
      </c>
      <c r="E357" s="51">
        <v>2195594444</v>
      </c>
      <c r="F357" s="52">
        <f t="shared" si="14"/>
        <v>1.9456811510233148E-2</v>
      </c>
      <c r="G357" s="52">
        <f t="shared" si="15"/>
        <v>5.9184070822181989E-3</v>
      </c>
      <c r="I357" s="62"/>
      <c r="J357" s="62" t="s">
        <v>489</v>
      </c>
      <c r="K357" s="62" t="s">
        <v>490</v>
      </c>
      <c r="L357" s="62" t="s">
        <v>491</v>
      </c>
      <c r="M357" s="62" t="s">
        <v>492</v>
      </c>
      <c r="N357" s="62" t="s">
        <v>493</v>
      </c>
    </row>
    <row r="358" spans="1:17" ht="15" customHeight="1" x14ac:dyDescent="0.2">
      <c r="A358" s="19" t="s">
        <v>494</v>
      </c>
      <c r="B358" s="50">
        <v>28.820399999999999</v>
      </c>
      <c r="C358" s="50">
        <v>1631.38</v>
      </c>
      <c r="D358" s="51">
        <v>79550910.918684006</v>
      </c>
      <c r="E358" s="51">
        <v>2029911111</v>
      </c>
      <c r="F358" s="52">
        <f t="shared" si="14"/>
        <v>-1.7080671825855841E-2</v>
      </c>
      <c r="G358" s="52">
        <f t="shared" si="15"/>
        <v>-5.5260242096006633E-3</v>
      </c>
      <c r="I358" t="s">
        <v>495</v>
      </c>
      <c r="J358">
        <v>1</v>
      </c>
      <c r="K358">
        <v>0.53658568844571497</v>
      </c>
      <c r="L358">
        <v>0.53658568844571497</v>
      </c>
      <c r="M358">
        <v>4560.6440881318467</v>
      </c>
      <c r="N358">
        <v>0</v>
      </c>
    </row>
    <row r="359" spans="1:17" ht="15" customHeight="1" x14ac:dyDescent="0.2">
      <c r="A359" s="19" t="s">
        <v>496</v>
      </c>
      <c r="B359" s="50">
        <v>28.647600000000001</v>
      </c>
      <c r="C359" s="50">
        <v>1608.9</v>
      </c>
      <c r="D359" s="51">
        <v>55876886.446901999</v>
      </c>
      <c r="E359" s="51">
        <v>2017972222</v>
      </c>
      <c r="F359" s="52">
        <f t="shared" si="14"/>
        <v>-6.0137997072115977E-3</v>
      </c>
      <c r="G359" s="52">
        <f t="shared" si="15"/>
        <v>-1.3875566725247141E-2</v>
      </c>
      <c r="I359" t="s">
        <v>497</v>
      </c>
      <c r="J359">
        <v>3552</v>
      </c>
      <c r="K359">
        <v>0.41791298082633432</v>
      </c>
      <c r="L359">
        <v>1.176556815389455E-4</v>
      </c>
    </row>
    <row r="360" spans="1:17" ht="15" customHeight="1" thickBot="1" x14ac:dyDescent="0.25">
      <c r="A360" s="19" t="s">
        <v>498</v>
      </c>
      <c r="B360" s="50">
        <v>28.798100000000002</v>
      </c>
      <c r="C360" s="50">
        <v>1622.56</v>
      </c>
      <c r="D360" s="51">
        <v>45673662.080684997</v>
      </c>
      <c r="E360" s="51">
        <v>1970766667</v>
      </c>
      <c r="F360" s="52">
        <f t="shared" si="14"/>
        <v>5.2397427250462933E-3</v>
      </c>
      <c r="G360" s="52">
        <f t="shared" si="15"/>
        <v>8.4544332066969503E-3</v>
      </c>
      <c r="I360" s="61" t="s">
        <v>499</v>
      </c>
      <c r="J360" s="61">
        <v>3553</v>
      </c>
      <c r="K360" s="61">
        <v>0.95449866927204929</v>
      </c>
      <c r="L360" s="61"/>
      <c r="M360" s="61"/>
      <c r="N360" s="61"/>
    </row>
    <row r="361" spans="1:17" ht="15" customHeight="1" thickBot="1" x14ac:dyDescent="0.25">
      <c r="A361" s="19" t="s">
        <v>500</v>
      </c>
      <c r="B361" s="50">
        <v>29.3811</v>
      </c>
      <c r="C361" s="50">
        <v>1643.38</v>
      </c>
      <c r="D361" s="51">
        <v>49480206.360633001</v>
      </c>
      <c r="E361" s="51">
        <v>1873327778</v>
      </c>
      <c r="F361" s="52">
        <f t="shared" si="14"/>
        <v>2.004219773711087E-2</v>
      </c>
      <c r="G361" s="52">
        <f t="shared" si="15"/>
        <v>1.2749947667659597E-2</v>
      </c>
    </row>
    <row r="362" spans="1:17" ht="15" customHeight="1" x14ac:dyDescent="0.2">
      <c r="A362" s="19" t="s">
        <v>501</v>
      </c>
      <c r="B362" s="50">
        <v>29.22</v>
      </c>
      <c r="C362" s="50">
        <v>1642.81</v>
      </c>
      <c r="D362" s="51">
        <v>43698431.400370002</v>
      </c>
      <c r="E362" s="51">
        <v>1654850000</v>
      </c>
      <c r="F362" s="52">
        <f t="shared" si="14"/>
        <v>-5.4982041579727629E-3</v>
      </c>
      <c r="G362" s="52">
        <f t="shared" si="15"/>
        <v>-3.4690629921981507E-4</v>
      </c>
      <c r="I362" s="62"/>
      <c r="J362" s="62" t="s">
        <v>502</v>
      </c>
      <c r="K362" s="62" t="s">
        <v>483</v>
      </c>
      <c r="L362" s="62" t="s">
        <v>503</v>
      </c>
      <c r="M362" s="62" t="s">
        <v>504</v>
      </c>
      <c r="N362" s="62" t="s">
        <v>505</v>
      </c>
      <c r="O362" s="62" t="s">
        <v>506</v>
      </c>
      <c r="P362" s="62" t="s">
        <v>507</v>
      </c>
      <c r="Q362" s="62" t="s">
        <v>508</v>
      </c>
    </row>
    <row r="363" spans="1:17" ht="15" customHeight="1" x14ac:dyDescent="0.2">
      <c r="A363" s="19" t="s">
        <v>509</v>
      </c>
      <c r="B363" s="50">
        <v>28.697399999999998</v>
      </c>
      <c r="C363" s="50">
        <v>1626.13</v>
      </c>
      <c r="D363" s="51">
        <v>47875891.65332</v>
      </c>
      <c r="E363" s="51">
        <v>1908727778</v>
      </c>
      <c r="F363" s="52">
        <f t="shared" si="14"/>
        <v>-1.8046879995206148E-2</v>
      </c>
      <c r="G363" s="52">
        <f t="shared" si="15"/>
        <v>-1.020523152075696E-2</v>
      </c>
      <c r="I363" t="s">
        <v>510</v>
      </c>
      <c r="J363">
        <v>2.6296780239794498E-4</v>
      </c>
      <c r="K363">
        <v>1.821318218577295E-4</v>
      </c>
      <c r="L363">
        <v>1.443832273326513</v>
      </c>
      <c r="M363">
        <v>0.1488743527234406</v>
      </c>
      <c r="N363">
        <v>-9.4125689862722365E-5</v>
      </c>
      <c r="O363">
        <v>6.2006129465861227E-4</v>
      </c>
      <c r="P363">
        <v>-9.4125689862722365E-5</v>
      </c>
      <c r="Q363">
        <v>6.2006129465861227E-4</v>
      </c>
    </row>
    <row r="364" spans="1:17" ht="15" customHeight="1" thickBot="1" x14ac:dyDescent="0.25">
      <c r="A364" s="19" t="s">
        <v>511</v>
      </c>
      <c r="B364" s="50">
        <v>28.830200000000001</v>
      </c>
      <c r="C364" s="50">
        <v>1612.52</v>
      </c>
      <c r="D364" s="51">
        <v>45370669.269144997</v>
      </c>
      <c r="E364" s="51">
        <v>1779194444</v>
      </c>
      <c r="F364" s="52">
        <f t="shared" si="14"/>
        <v>4.6169225170767051E-3</v>
      </c>
      <c r="G364" s="52">
        <f t="shared" si="15"/>
        <v>-8.404786017584211E-3</v>
      </c>
      <c r="I364" s="61">
        <v>-2.5401851188711091E-3</v>
      </c>
      <c r="J364" s="61">
        <v>1.162836029706825</v>
      </c>
      <c r="K364" s="61">
        <v>1.721889941094194E-2</v>
      </c>
      <c r="L364" s="61">
        <v>67.532540957169914</v>
      </c>
      <c r="M364" s="61">
        <v>0</v>
      </c>
      <c r="N364" s="61">
        <v>1.1290761031831591</v>
      </c>
      <c r="O364" s="61">
        <v>1.1965959562304911</v>
      </c>
      <c r="P364" s="61">
        <v>1.1290761031831591</v>
      </c>
      <c r="Q364" s="61">
        <v>1.1965959562304911</v>
      </c>
    </row>
    <row r="365" spans="1:17" ht="15" customHeight="1" x14ac:dyDescent="0.2">
      <c r="A365" s="19" t="s">
        <v>512</v>
      </c>
      <c r="B365" s="50">
        <v>28.599799999999998</v>
      </c>
      <c r="C365" s="50">
        <v>1636.36</v>
      </c>
      <c r="D365" s="51">
        <v>55418338.814808004</v>
      </c>
      <c r="E365" s="51">
        <v>1877011111</v>
      </c>
      <c r="F365" s="52">
        <f t="shared" si="14"/>
        <v>-8.0237240500613174E-3</v>
      </c>
      <c r="G365" s="52">
        <f t="shared" si="15"/>
        <v>1.4676090161454946E-2</v>
      </c>
    </row>
    <row r="366" spans="1:17" ht="15" customHeight="1" x14ac:dyDescent="0.2">
      <c r="A366" s="19" t="s">
        <v>513</v>
      </c>
      <c r="B366" s="50">
        <v>28.335999999999999</v>
      </c>
      <c r="C366" s="50">
        <v>1626.73</v>
      </c>
      <c r="D366" s="51">
        <v>64583526.337205999</v>
      </c>
      <c r="E366" s="51">
        <v>1633000000</v>
      </c>
      <c r="F366" s="52">
        <f t="shared" si="14"/>
        <v>-9.2666437538849542E-3</v>
      </c>
      <c r="G366" s="52">
        <f t="shared" si="15"/>
        <v>-5.902398007852176E-3</v>
      </c>
    </row>
    <row r="367" spans="1:17" ht="15" customHeight="1" x14ac:dyDescent="0.2">
      <c r="A367" s="19" t="s">
        <v>514</v>
      </c>
      <c r="B367" s="50">
        <v>28.830200000000001</v>
      </c>
      <c r="C367" s="50">
        <v>1639.04</v>
      </c>
      <c r="D367" s="51">
        <v>60300938.398360997</v>
      </c>
      <c r="E367" s="51">
        <v>1742822222</v>
      </c>
      <c r="F367" s="52">
        <f t="shared" si="14"/>
        <v>1.7290367803946251E-2</v>
      </c>
      <c r="G367" s="52">
        <f t="shared" si="15"/>
        <v>7.5388397237181716E-3</v>
      </c>
    </row>
    <row r="368" spans="1:17" ht="15" customHeight="1" x14ac:dyDescent="0.2">
      <c r="A368" s="19" t="s">
        <v>515</v>
      </c>
      <c r="B368" s="50">
        <v>28.812799999999999</v>
      </c>
      <c r="C368" s="50">
        <v>1651.81</v>
      </c>
      <c r="D368" s="51">
        <v>34741156.754042</v>
      </c>
      <c r="E368" s="51">
        <v>1733877778</v>
      </c>
      <c r="F368" s="52">
        <f t="shared" si="14"/>
        <v>-6.0371599425738129E-4</v>
      </c>
      <c r="G368" s="52">
        <f t="shared" si="15"/>
        <v>7.7609517888806018E-3</v>
      </c>
    </row>
    <row r="369" spans="1:7" ht="15" customHeight="1" x14ac:dyDescent="0.2">
      <c r="A369" s="19" t="s">
        <v>516</v>
      </c>
      <c r="B369" s="50">
        <v>28.493300000000001</v>
      </c>
      <c r="C369" s="50">
        <v>1628.93</v>
      </c>
      <c r="D369" s="51">
        <v>37415231.307718001</v>
      </c>
      <c r="E369" s="51">
        <v>1969477778</v>
      </c>
      <c r="F369" s="52">
        <f t="shared" si="14"/>
        <v>-1.11507609323095E-2</v>
      </c>
      <c r="G369" s="52">
        <f t="shared" si="15"/>
        <v>-1.3948298829170962E-2</v>
      </c>
    </row>
    <row r="370" spans="1:7" ht="15" customHeight="1" x14ac:dyDescent="0.2">
      <c r="A370" s="19" t="s">
        <v>517</v>
      </c>
      <c r="B370" s="50">
        <v>27.587</v>
      </c>
      <c r="C370" s="50">
        <v>1588.19</v>
      </c>
      <c r="D370" s="51">
        <v>66158116.534822002</v>
      </c>
      <c r="E370" s="51">
        <v>2699361111</v>
      </c>
      <c r="F370" s="52">
        <f t="shared" si="14"/>
        <v>-3.2324324649677216E-2</v>
      </c>
      <c r="G370" s="52">
        <f t="shared" si="15"/>
        <v>-2.532835452574456E-2</v>
      </c>
    </row>
    <row r="371" spans="1:7" ht="15" customHeight="1" x14ac:dyDescent="0.2">
      <c r="A371" s="19" t="s">
        <v>518</v>
      </c>
      <c r="B371" s="50">
        <v>27.398299999999999</v>
      </c>
      <c r="C371" s="50">
        <v>1592.43</v>
      </c>
      <c r="D371" s="51">
        <v>103602343.39377999</v>
      </c>
      <c r="E371" s="51">
        <v>3220711111</v>
      </c>
      <c r="F371" s="52">
        <f t="shared" si="14"/>
        <v>-6.86367959457176E-3</v>
      </c>
      <c r="G371" s="52">
        <f t="shared" si="15"/>
        <v>2.6661484311964016E-3</v>
      </c>
    </row>
    <row r="372" spans="1:7" ht="15" customHeight="1" x14ac:dyDescent="0.2">
      <c r="A372" s="19" t="s">
        <v>519</v>
      </c>
      <c r="B372" s="50">
        <v>27.776299999999999</v>
      </c>
      <c r="C372" s="50">
        <v>1573.09</v>
      </c>
      <c r="D372" s="51">
        <v>68120862.777731001</v>
      </c>
      <c r="E372" s="51">
        <v>2629811111</v>
      </c>
      <c r="F372" s="52">
        <f t="shared" si="14"/>
        <v>1.3702171437248667E-2</v>
      </c>
      <c r="G372" s="52">
        <f t="shared" si="15"/>
        <v>-1.2219313502973374E-2</v>
      </c>
    </row>
    <row r="373" spans="1:7" ht="15" customHeight="1" x14ac:dyDescent="0.2">
      <c r="A373" s="19" t="s">
        <v>520</v>
      </c>
      <c r="B373" s="50">
        <v>27.733499999999999</v>
      </c>
      <c r="C373" s="50">
        <v>1588.03</v>
      </c>
      <c r="D373" s="51">
        <v>53490652.197498001</v>
      </c>
      <c r="E373" s="51">
        <v>2089538889</v>
      </c>
      <c r="F373" s="52">
        <f t="shared" si="14"/>
        <v>-1.542070354476709E-3</v>
      </c>
      <c r="G373" s="52">
        <f t="shared" si="15"/>
        <v>9.4524163829988878E-3</v>
      </c>
    </row>
    <row r="374" spans="1:7" ht="15" customHeight="1" x14ac:dyDescent="0.2">
      <c r="A374" s="19" t="s">
        <v>521</v>
      </c>
      <c r="B374" s="50">
        <v>28.293199999999999</v>
      </c>
      <c r="C374" s="50">
        <v>1603.26</v>
      </c>
      <c r="D374" s="51">
        <v>59081779.949429996</v>
      </c>
      <c r="E374" s="51">
        <v>1976855556</v>
      </c>
      <c r="F374" s="52">
        <f t="shared" si="14"/>
        <v>1.9980424334789783E-2</v>
      </c>
      <c r="G374" s="52">
        <f t="shared" si="15"/>
        <v>9.5448020236501563E-3</v>
      </c>
    </row>
    <row r="375" spans="1:7" ht="15" customHeight="1" x14ac:dyDescent="0.2">
      <c r="A375" s="19" t="s">
        <v>522</v>
      </c>
      <c r="B375" s="50">
        <v>28.515899999999998</v>
      </c>
      <c r="C375" s="50">
        <v>1613.2</v>
      </c>
      <c r="D375" s="51">
        <v>35198598.662634</v>
      </c>
      <c r="E375" s="51">
        <v>1869188889</v>
      </c>
      <c r="F375" s="52">
        <f t="shared" si="14"/>
        <v>7.8403333548650866E-3</v>
      </c>
      <c r="G375" s="52">
        <f t="shared" si="15"/>
        <v>6.1807276592703957E-3</v>
      </c>
    </row>
    <row r="376" spans="1:7" ht="15" customHeight="1" x14ac:dyDescent="0.2">
      <c r="A376" s="19" t="s">
        <v>523</v>
      </c>
      <c r="B376" s="50">
        <v>28.4542</v>
      </c>
      <c r="C376" s="50">
        <v>1606.28</v>
      </c>
      <c r="D376" s="51">
        <v>79574353.280772001</v>
      </c>
      <c r="E376" s="51">
        <v>2765105556</v>
      </c>
      <c r="F376" s="52">
        <f t="shared" si="14"/>
        <v>-2.1660493530294891E-3</v>
      </c>
      <c r="G376" s="52">
        <f t="shared" si="15"/>
        <v>-4.2988374872954703E-3</v>
      </c>
    </row>
    <row r="377" spans="1:7" ht="15" customHeight="1" x14ac:dyDescent="0.2">
      <c r="A377" s="19" t="s">
        <v>524</v>
      </c>
      <c r="B377" s="50">
        <v>28.302900000000001</v>
      </c>
      <c r="C377" s="50">
        <v>1614.96</v>
      </c>
      <c r="D377" s="51">
        <v>37708351.441720001</v>
      </c>
      <c r="E377" s="51">
        <v>1724827778</v>
      </c>
      <c r="F377" s="52">
        <f t="shared" si="14"/>
        <v>-5.3315041956304883E-3</v>
      </c>
      <c r="G377" s="52">
        <f t="shared" si="15"/>
        <v>5.3892420362545825E-3</v>
      </c>
    </row>
    <row r="378" spans="1:7" ht="15" customHeight="1" x14ac:dyDescent="0.2">
      <c r="A378" s="19" t="s">
        <v>525</v>
      </c>
      <c r="B378" s="50">
        <v>27.954999999999998</v>
      </c>
      <c r="C378" s="50">
        <v>1614.08</v>
      </c>
      <c r="D378" s="51">
        <v>45687518.434290998</v>
      </c>
      <c r="E378" s="51">
        <v>1842850000</v>
      </c>
      <c r="F378" s="52">
        <f t="shared" si="14"/>
        <v>-1.2368198418766348E-2</v>
      </c>
      <c r="G378" s="52">
        <f t="shared" si="15"/>
        <v>-5.4505365172693261E-4</v>
      </c>
    </row>
    <row r="379" spans="1:7" ht="15" customHeight="1" x14ac:dyDescent="0.2">
      <c r="A379" s="19" t="s">
        <v>526</v>
      </c>
      <c r="B379" s="50">
        <v>28.0138</v>
      </c>
      <c r="C379" s="50">
        <v>1615.41</v>
      </c>
      <c r="D379" s="51">
        <v>19417486.559620999</v>
      </c>
      <c r="E379" s="51">
        <v>1092250000</v>
      </c>
      <c r="F379" s="52">
        <f t="shared" si="14"/>
        <v>2.1011714252624387E-3</v>
      </c>
      <c r="G379" s="52">
        <f t="shared" si="15"/>
        <v>8.236595098241727E-4</v>
      </c>
    </row>
    <row r="380" spans="1:7" ht="15" customHeight="1" x14ac:dyDescent="0.2">
      <c r="A380" s="19" t="s">
        <v>527</v>
      </c>
      <c r="B380" s="50">
        <v>28.180900000000001</v>
      </c>
      <c r="C380" s="50">
        <v>1631.89</v>
      </c>
      <c r="D380" s="51">
        <v>31668700.260306001</v>
      </c>
      <c r="E380" s="51">
        <v>1463411111</v>
      </c>
      <c r="F380" s="52">
        <f t="shared" si="14"/>
        <v>5.9471976010283508E-3</v>
      </c>
      <c r="G380" s="52">
        <f t="shared" si="15"/>
        <v>1.0150057885384197E-2</v>
      </c>
    </row>
    <row r="381" spans="1:7" ht="15" customHeight="1" x14ac:dyDescent="0.2">
      <c r="A381" s="19" t="s">
        <v>528</v>
      </c>
      <c r="B381" s="50">
        <v>28.2745</v>
      </c>
      <c r="C381" s="50">
        <v>1640.46</v>
      </c>
      <c r="D381" s="51">
        <v>39330632.108323</v>
      </c>
      <c r="E381" s="51">
        <v>1952550000</v>
      </c>
      <c r="F381" s="52">
        <f t="shared" si="14"/>
        <v>3.3158948749711205E-3</v>
      </c>
      <c r="G381" s="52">
        <f t="shared" si="15"/>
        <v>5.2378380021182091E-3</v>
      </c>
    </row>
    <row r="382" spans="1:7" ht="15" customHeight="1" x14ac:dyDescent="0.2">
      <c r="A382" s="19" t="s">
        <v>529</v>
      </c>
      <c r="B382" s="50">
        <v>28.293199999999999</v>
      </c>
      <c r="C382" s="50">
        <v>1652.32</v>
      </c>
      <c r="D382" s="51">
        <v>30738912.723644</v>
      </c>
      <c r="E382" s="51">
        <v>1752977778</v>
      </c>
      <c r="F382" s="52">
        <f t="shared" si="14"/>
        <v>6.611547112993217E-4</v>
      </c>
      <c r="G382" s="52">
        <f t="shared" si="15"/>
        <v>7.2036706293219874E-3</v>
      </c>
    </row>
    <row r="383" spans="1:7" ht="15" customHeight="1" x14ac:dyDescent="0.2">
      <c r="A383" s="19" t="s">
        <v>530</v>
      </c>
      <c r="B383" s="50">
        <v>28.583200000000001</v>
      </c>
      <c r="C383" s="50">
        <v>1652.62</v>
      </c>
      <c r="D383" s="51">
        <v>36260613.325383998</v>
      </c>
      <c r="E383" s="51">
        <v>1672783333</v>
      </c>
      <c r="F383" s="52">
        <f t="shared" si="14"/>
        <v>1.0197639552857882E-2</v>
      </c>
      <c r="G383" s="52">
        <f t="shared" si="15"/>
        <v>1.8154641283901302E-4</v>
      </c>
    </row>
    <row r="384" spans="1:7" ht="15" customHeight="1" x14ac:dyDescent="0.2">
      <c r="A384" s="19" t="s">
        <v>531</v>
      </c>
      <c r="B384" s="50">
        <v>29.396000000000001</v>
      </c>
      <c r="C384" s="50">
        <v>1675.02</v>
      </c>
      <c r="D384" s="51">
        <v>65109044.979970001</v>
      </c>
      <c r="E384" s="51">
        <v>1914633333</v>
      </c>
      <c r="F384" s="52">
        <f t="shared" si="14"/>
        <v>2.8039478022597E-2</v>
      </c>
      <c r="G384" s="52">
        <f t="shared" si="15"/>
        <v>1.3463198150456835E-2</v>
      </c>
    </row>
    <row r="385" spans="1:7" ht="15" customHeight="1" x14ac:dyDescent="0.2">
      <c r="A385" s="19" t="s">
        <v>532</v>
      </c>
      <c r="B385" s="50">
        <v>29.3811</v>
      </c>
      <c r="C385" s="50">
        <v>1680.19</v>
      </c>
      <c r="D385" s="51">
        <v>43099445.621358</v>
      </c>
      <c r="E385" s="51">
        <v>1688372222</v>
      </c>
      <c r="F385" s="52">
        <f t="shared" si="14"/>
        <v>-5.070001860987168E-4</v>
      </c>
      <c r="G385" s="52">
        <f t="shared" si="15"/>
        <v>3.0817767542262128E-3</v>
      </c>
    </row>
    <row r="386" spans="1:7" ht="15" customHeight="1" x14ac:dyDescent="0.2">
      <c r="A386" s="19" t="s">
        <v>533</v>
      </c>
      <c r="B386" s="50">
        <v>29.7944</v>
      </c>
      <c r="C386" s="50">
        <v>1682.5</v>
      </c>
      <c r="D386" s="51">
        <v>41450486.303781003</v>
      </c>
      <c r="E386" s="51">
        <v>1457333333</v>
      </c>
      <c r="F386" s="52">
        <f t="shared" si="14"/>
        <v>1.3968845908670665E-2</v>
      </c>
      <c r="G386" s="52">
        <f t="shared" si="15"/>
        <v>1.3739002782673193E-3</v>
      </c>
    </row>
    <row r="387" spans="1:7" ht="15" customHeight="1" x14ac:dyDescent="0.2">
      <c r="A387" s="19" t="s">
        <v>534</v>
      </c>
      <c r="B387" s="50">
        <v>29.874199999999998</v>
      </c>
      <c r="C387" s="50">
        <v>1676.26</v>
      </c>
      <c r="D387" s="51">
        <v>44164299.331583999</v>
      </c>
      <c r="E387" s="51">
        <v>1712061111</v>
      </c>
      <c r="F387" s="52">
        <f t="shared" si="14"/>
        <v>2.6747752612565068E-3</v>
      </c>
      <c r="G387" s="52">
        <f t="shared" si="15"/>
        <v>-3.7156612435484218E-3</v>
      </c>
    </row>
    <row r="388" spans="1:7" ht="15" customHeight="1" x14ac:dyDescent="0.2">
      <c r="A388" s="19" t="s">
        <v>535</v>
      </c>
      <c r="B388" s="50">
        <v>29.4389</v>
      </c>
      <c r="C388" s="50">
        <v>1680.91</v>
      </c>
      <c r="D388" s="51">
        <v>45267508.337739997</v>
      </c>
      <c r="E388" s="51">
        <v>1751911111</v>
      </c>
      <c r="F388" s="52">
        <f t="shared" si="14"/>
        <v>-1.4678302618269115E-2</v>
      </c>
      <c r="G388" s="52">
        <f t="shared" si="15"/>
        <v>2.7701921402020061E-3</v>
      </c>
    </row>
    <row r="389" spans="1:7" ht="15" customHeight="1" x14ac:dyDescent="0.2">
      <c r="A389" s="19" t="s">
        <v>536</v>
      </c>
      <c r="B389" s="50">
        <v>29.192699999999999</v>
      </c>
      <c r="C389" s="50">
        <v>1689.37</v>
      </c>
      <c r="D389" s="51">
        <v>59988881.725547999</v>
      </c>
      <c r="E389" s="51">
        <v>1917983333</v>
      </c>
      <c r="F389" s="52">
        <f t="shared" si="14"/>
        <v>-8.3982510131575035E-3</v>
      </c>
      <c r="G389" s="52">
        <f t="shared" si="15"/>
        <v>5.0203649363598224E-3</v>
      </c>
    </row>
    <row r="390" spans="1:7" ht="15" customHeight="1" x14ac:dyDescent="0.2">
      <c r="A390" s="19" t="s">
        <v>537</v>
      </c>
      <c r="B390" s="50">
        <v>25.8629</v>
      </c>
      <c r="C390" s="50">
        <v>1692.09</v>
      </c>
      <c r="D390" s="51">
        <v>301555805.08455998</v>
      </c>
      <c r="E390" s="51">
        <v>1834766667</v>
      </c>
      <c r="F390" s="52">
        <f t="shared" ref="F390:F453" si="16">LN(B390/B389)</f>
        <v>-0.12110916865807582</v>
      </c>
      <c r="G390" s="52">
        <f t="shared" ref="G390:G453" si="17">LN(C390/C389)</f>
        <v>1.6087728890168559E-3</v>
      </c>
    </row>
    <row r="391" spans="1:7" ht="15" customHeight="1" x14ac:dyDescent="0.2">
      <c r="A391" s="19" t="s">
        <v>538</v>
      </c>
      <c r="B391" s="50">
        <v>26.367100000000001</v>
      </c>
      <c r="C391" s="50">
        <v>1695.53</v>
      </c>
      <c r="D391" s="51">
        <v>95944625.58089</v>
      </c>
      <c r="E391" s="51">
        <v>1543961111</v>
      </c>
      <c r="F391" s="52">
        <f t="shared" si="16"/>
        <v>1.9307511502037359E-2</v>
      </c>
      <c r="G391" s="52">
        <f t="shared" si="17"/>
        <v>2.0309250638510861E-3</v>
      </c>
    </row>
    <row r="392" spans="1:7" ht="15" customHeight="1" x14ac:dyDescent="0.2">
      <c r="A392" s="19" t="s">
        <v>539</v>
      </c>
      <c r="B392" s="50">
        <v>26.211600000000001</v>
      </c>
      <c r="C392" s="50">
        <v>1692.39</v>
      </c>
      <c r="D392" s="51">
        <v>79901914.654266</v>
      </c>
      <c r="E392" s="51">
        <v>1720100000</v>
      </c>
      <c r="F392" s="52">
        <f t="shared" si="16"/>
        <v>-5.9149599883498508E-3</v>
      </c>
      <c r="G392" s="52">
        <f t="shared" si="17"/>
        <v>-1.8536452449211241E-3</v>
      </c>
    </row>
    <row r="393" spans="1:7" ht="15" customHeight="1" x14ac:dyDescent="0.2">
      <c r="A393" s="19" t="s">
        <v>540</v>
      </c>
      <c r="B393" s="50">
        <v>26.323</v>
      </c>
      <c r="C393" s="50">
        <v>1685.94</v>
      </c>
      <c r="D393" s="51">
        <v>64110510.108309001</v>
      </c>
      <c r="E393" s="51">
        <v>1853400000</v>
      </c>
      <c r="F393" s="52">
        <f t="shared" si="16"/>
        <v>4.2410208499684054E-3</v>
      </c>
      <c r="G393" s="52">
        <f t="shared" si="17"/>
        <v>-3.8184593198933806E-3</v>
      </c>
    </row>
    <row r="394" spans="1:7" ht="15" customHeight="1" x14ac:dyDescent="0.2">
      <c r="A394" s="19" t="s">
        <v>541</v>
      </c>
      <c r="B394" s="50">
        <v>25.853999999999999</v>
      </c>
      <c r="C394" s="50">
        <v>1690.25</v>
      </c>
      <c r="D394" s="51">
        <v>76749721.162486002</v>
      </c>
      <c r="E394" s="51">
        <v>1845833333</v>
      </c>
      <c r="F394" s="52">
        <f t="shared" si="16"/>
        <v>-1.7977753862850946E-2</v>
      </c>
      <c r="G394" s="52">
        <f t="shared" si="17"/>
        <v>2.5531752308375314E-3</v>
      </c>
    </row>
    <row r="395" spans="1:7" ht="15" customHeight="1" x14ac:dyDescent="0.2">
      <c r="A395" s="19" t="s">
        <v>542</v>
      </c>
      <c r="B395" s="50">
        <v>26.046600000000002</v>
      </c>
      <c r="C395" s="50">
        <v>1691.65</v>
      </c>
      <c r="D395" s="51">
        <v>46905843.495323002</v>
      </c>
      <c r="E395" s="51">
        <v>1534872222</v>
      </c>
      <c r="F395" s="52">
        <f t="shared" si="16"/>
        <v>7.4219135852091334E-3</v>
      </c>
      <c r="G395" s="52">
        <f t="shared" si="17"/>
        <v>8.2793700580897325E-4</v>
      </c>
    </row>
    <row r="396" spans="1:7" ht="15" customHeight="1" x14ac:dyDescent="0.2">
      <c r="A396" s="19" t="s">
        <v>543</v>
      </c>
      <c r="B396" s="50">
        <v>25.979299999999999</v>
      </c>
      <c r="C396" s="50">
        <v>1685.33</v>
      </c>
      <c r="D396" s="51">
        <v>35053817.479510002</v>
      </c>
      <c r="E396" s="51">
        <v>1578066667</v>
      </c>
      <c r="F396" s="52">
        <f t="shared" si="16"/>
        <v>-2.5871743704276753E-3</v>
      </c>
      <c r="G396" s="52">
        <f t="shared" si="17"/>
        <v>-3.7429936680698351E-3</v>
      </c>
    </row>
    <row r="397" spans="1:7" ht="15" customHeight="1" x14ac:dyDescent="0.2">
      <c r="A397" s="19" t="s">
        <v>544</v>
      </c>
      <c r="B397" s="50">
        <v>26.234200000000001</v>
      </c>
      <c r="C397" s="50">
        <v>1685.96</v>
      </c>
      <c r="D397" s="51">
        <v>55603363.214362003</v>
      </c>
      <c r="E397" s="51">
        <v>1844738889</v>
      </c>
      <c r="F397" s="52">
        <f t="shared" si="16"/>
        <v>9.763835981798882E-3</v>
      </c>
      <c r="G397" s="52">
        <f t="shared" si="17"/>
        <v>3.7374417942905253E-4</v>
      </c>
    </row>
    <row r="398" spans="1:7" ht="15" customHeight="1" x14ac:dyDescent="0.2">
      <c r="A398" s="19" t="s">
        <v>545</v>
      </c>
      <c r="B398" s="50">
        <v>26.226299999999998</v>
      </c>
      <c r="C398" s="50">
        <v>1685.73</v>
      </c>
      <c r="D398" s="51">
        <v>53295459.236987002</v>
      </c>
      <c r="E398" s="51">
        <v>2137438889</v>
      </c>
      <c r="F398" s="52">
        <f t="shared" si="16"/>
        <v>-3.0117898455862309E-4</v>
      </c>
      <c r="G398" s="52">
        <f t="shared" si="17"/>
        <v>-1.3643009906418412E-4</v>
      </c>
    </row>
    <row r="399" spans="1:7" ht="15" customHeight="1" x14ac:dyDescent="0.2">
      <c r="A399" s="19" t="s">
        <v>546</v>
      </c>
      <c r="B399" s="50">
        <v>26.085799999999999</v>
      </c>
      <c r="C399" s="50">
        <v>1706.87</v>
      </c>
      <c r="D399" s="51">
        <v>51665166.170254998</v>
      </c>
      <c r="E399" s="51">
        <v>2097316667</v>
      </c>
      <c r="F399" s="52">
        <f t="shared" si="16"/>
        <v>-5.3716191028653814E-3</v>
      </c>
      <c r="G399" s="52">
        <f t="shared" si="17"/>
        <v>1.2462579504871753E-2</v>
      </c>
    </row>
    <row r="400" spans="1:7" ht="15" customHeight="1" x14ac:dyDescent="0.2">
      <c r="A400" s="19" t="s">
        <v>547</v>
      </c>
      <c r="B400" s="50">
        <v>26.2685</v>
      </c>
      <c r="C400" s="50">
        <v>1709.67</v>
      </c>
      <c r="D400" s="51">
        <v>35447917.812449999</v>
      </c>
      <c r="E400" s="51">
        <v>1742572222</v>
      </c>
      <c r="F400" s="52">
        <f t="shared" si="16"/>
        <v>6.9793977434323305E-3</v>
      </c>
      <c r="G400" s="52">
        <f t="shared" si="17"/>
        <v>1.6390855232919159E-3</v>
      </c>
    </row>
    <row r="401" spans="1:7" ht="15" customHeight="1" x14ac:dyDescent="0.2">
      <c r="A401" s="19" t="s">
        <v>548</v>
      </c>
      <c r="B401" s="50">
        <v>26.11</v>
      </c>
      <c r="C401" s="50">
        <v>1707.14</v>
      </c>
      <c r="D401" s="51">
        <v>37618224.738017999</v>
      </c>
      <c r="E401" s="51">
        <v>1405166667</v>
      </c>
      <c r="F401" s="52">
        <f t="shared" si="16"/>
        <v>-6.0521200033069236E-3</v>
      </c>
      <c r="G401" s="52">
        <f t="shared" si="17"/>
        <v>-1.480913754279429E-3</v>
      </c>
    </row>
    <row r="402" spans="1:7" ht="15" customHeight="1" x14ac:dyDescent="0.2">
      <c r="A402" s="19" t="s">
        <v>549</v>
      </c>
      <c r="B402" s="50">
        <v>26.014299999999999</v>
      </c>
      <c r="C402" s="50">
        <v>1697.37</v>
      </c>
      <c r="D402" s="51">
        <v>44109555.779990003</v>
      </c>
      <c r="E402" s="51">
        <v>1745116667</v>
      </c>
      <c r="F402" s="52">
        <f t="shared" si="16"/>
        <v>-3.6719958841200193E-3</v>
      </c>
      <c r="G402" s="52">
        <f t="shared" si="17"/>
        <v>-5.7394613731720544E-3</v>
      </c>
    </row>
    <row r="403" spans="1:7" ht="15" customHeight="1" x14ac:dyDescent="0.2">
      <c r="A403" s="19" t="s">
        <v>550</v>
      </c>
      <c r="B403" s="50">
        <v>26.409099999999999</v>
      </c>
      <c r="C403" s="50">
        <v>1690.91</v>
      </c>
      <c r="D403" s="51">
        <v>46218432.598222002</v>
      </c>
      <c r="E403" s="51">
        <v>1672350000</v>
      </c>
      <c r="F403" s="52">
        <f t="shared" si="16"/>
        <v>1.5062260900697691E-2</v>
      </c>
      <c r="G403" s="52">
        <f t="shared" si="17"/>
        <v>-3.81314875241731E-3</v>
      </c>
    </row>
    <row r="404" spans="1:7" ht="15" customHeight="1" x14ac:dyDescent="0.2">
      <c r="A404" s="19" t="s">
        <v>551</v>
      </c>
      <c r="B404" s="50">
        <v>27.093699999999998</v>
      </c>
      <c r="C404" s="50">
        <v>1697.48</v>
      </c>
      <c r="D404" s="51">
        <v>71672679.077057004</v>
      </c>
      <c r="E404" s="51">
        <v>1817588889</v>
      </c>
      <c r="F404" s="52">
        <f t="shared" si="16"/>
        <v>2.5592580807437124E-2</v>
      </c>
      <c r="G404" s="52">
        <f t="shared" si="17"/>
        <v>3.8779527938558253E-3</v>
      </c>
    </row>
    <row r="405" spans="1:7" ht="15" customHeight="1" x14ac:dyDescent="0.2">
      <c r="A405" s="19" t="s">
        <v>552</v>
      </c>
      <c r="B405" s="50">
        <v>26.933399999999999</v>
      </c>
      <c r="C405" s="50">
        <v>1691.42</v>
      </c>
      <c r="D405" s="51">
        <v>32539956.118556</v>
      </c>
      <c r="E405" s="51">
        <v>1643150000</v>
      </c>
      <c r="F405" s="52">
        <f t="shared" si="16"/>
        <v>-5.9340764316511471E-3</v>
      </c>
      <c r="G405" s="52">
        <f t="shared" si="17"/>
        <v>-3.5763855287662917E-3</v>
      </c>
    </row>
    <row r="406" spans="1:7" ht="15" customHeight="1" x14ac:dyDescent="0.2">
      <c r="A406" s="19" t="s">
        <v>553</v>
      </c>
      <c r="B406" s="50">
        <v>27.076899999999998</v>
      </c>
      <c r="C406" s="50">
        <v>1689.47</v>
      </c>
      <c r="D406" s="51">
        <v>30951136.897562001</v>
      </c>
      <c r="E406" s="51">
        <v>1549533333</v>
      </c>
      <c r="F406" s="52">
        <f t="shared" si="16"/>
        <v>5.3138137600685165E-3</v>
      </c>
      <c r="G406" s="52">
        <f t="shared" si="17"/>
        <v>-1.1535425383448848E-3</v>
      </c>
    </row>
    <row r="407" spans="1:7" ht="15" customHeight="1" x14ac:dyDescent="0.2">
      <c r="A407" s="19" t="s">
        <v>554</v>
      </c>
      <c r="B407" s="50">
        <v>26.734300000000001</v>
      </c>
      <c r="C407" s="50">
        <v>1694.16</v>
      </c>
      <c r="D407" s="51">
        <v>47581450.794023998</v>
      </c>
      <c r="E407" s="51">
        <v>1686422222</v>
      </c>
      <c r="F407" s="52">
        <f t="shared" si="16"/>
        <v>-1.2733580711855748E-2</v>
      </c>
      <c r="G407" s="52">
        <f t="shared" si="17"/>
        <v>2.7721724913956085E-3</v>
      </c>
    </row>
    <row r="408" spans="1:7" ht="15" customHeight="1" x14ac:dyDescent="0.2">
      <c r="A408" s="19" t="s">
        <v>555</v>
      </c>
      <c r="B408" s="50">
        <v>26.836600000000001</v>
      </c>
      <c r="C408" s="50">
        <v>1685.39</v>
      </c>
      <c r="D408" s="51">
        <v>58499194.711897001</v>
      </c>
      <c r="E408" s="51">
        <v>1595238889</v>
      </c>
      <c r="F408" s="52">
        <f t="shared" si="16"/>
        <v>3.8192423256221916E-3</v>
      </c>
      <c r="G408" s="52">
        <f t="shared" si="17"/>
        <v>-5.1900517442756379E-3</v>
      </c>
    </row>
    <row r="409" spans="1:7" ht="15" customHeight="1" x14ac:dyDescent="0.2">
      <c r="A409" s="19" t="s">
        <v>556</v>
      </c>
      <c r="B409" s="50">
        <v>26.370999999999999</v>
      </c>
      <c r="C409" s="50">
        <v>1661.32</v>
      </c>
      <c r="D409" s="51">
        <v>40192937.749105997</v>
      </c>
      <c r="E409" s="51">
        <v>1903716667</v>
      </c>
      <c r="F409" s="52">
        <f t="shared" si="16"/>
        <v>-1.7501705950131979E-2</v>
      </c>
      <c r="G409" s="52">
        <f t="shared" si="17"/>
        <v>-1.4384523926260438E-2</v>
      </c>
    </row>
    <row r="410" spans="1:7" ht="15" customHeight="1" x14ac:dyDescent="0.2">
      <c r="A410" s="19" t="s">
        <v>557</v>
      </c>
      <c r="B410" s="50">
        <v>26.378599999999999</v>
      </c>
      <c r="C410" s="50">
        <v>1655.83</v>
      </c>
      <c r="D410" s="51">
        <v>39619911.900785998</v>
      </c>
      <c r="E410" s="51">
        <v>1784138889</v>
      </c>
      <c r="F410" s="52">
        <f t="shared" si="16"/>
        <v>2.8815384581437885E-4</v>
      </c>
      <c r="G410" s="52">
        <f t="shared" si="17"/>
        <v>-3.3100734140073594E-3</v>
      </c>
    </row>
    <row r="411" spans="1:7" ht="15" customHeight="1" x14ac:dyDescent="0.2">
      <c r="A411" s="19" t="s">
        <v>558</v>
      </c>
      <c r="B411" s="50">
        <v>26.040900000000001</v>
      </c>
      <c r="C411" s="50">
        <v>1646.06</v>
      </c>
      <c r="D411" s="51">
        <v>33644279.038759999</v>
      </c>
      <c r="E411" s="51">
        <v>1613627778</v>
      </c>
      <c r="F411" s="52">
        <f t="shared" si="16"/>
        <v>-1.2884696417828035E-2</v>
      </c>
      <c r="G411" s="52">
        <f t="shared" si="17"/>
        <v>-5.9178400932658947E-3</v>
      </c>
    </row>
    <row r="412" spans="1:7" ht="15" customHeight="1" x14ac:dyDescent="0.2">
      <c r="A412" s="19" t="s">
        <v>559</v>
      </c>
      <c r="B412" s="50">
        <v>26.228300000000001</v>
      </c>
      <c r="C412" s="50">
        <v>1652.35</v>
      </c>
      <c r="D412" s="51">
        <v>27702365.624496002</v>
      </c>
      <c r="E412" s="51">
        <v>1663383333</v>
      </c>
      <c r="F412" s="52">
        <f t="shared" si="16"/>
        <v>7.1706015385612585E-3</v>
      </c>
      <c r="G412" s="52">
        <f t="shared" si="17"/>
        <v>3.8139634700918462E-3</v>
      </c>
    </row>
    <row r="413" spans="1:7" ht="15" customHeight="1" x14ac:dyDescent="0.2">
      <c r="A413" s="19" t="s">
        <v>560</v>
      </c>
      <c r="B413" s="50">
        <v>26.220400000000001</v>
      </c>
      <c r="C413" s="50">
        <v>1642.8</v>
      </c>
      <c r="D413" s="51">
        <v>45087491.432310998</v>
      </c>
      <c r="E413" s="51">
        <v>1628988889</v>
      </c>
      <c r="F413" s="52">
        <f t="shared" si="16"/>
        <v>-3.0124674433278076E-4</v>
      </c>
      <c r="G413" s="52">
        <f t="shared" si="17"/>
        <v>-5.7964139652054766E-3</v>
      </c>
    </row>
    <row r="414" spans="1:7" ht="15" customHeight="1" x14ac:dyDescent="0.2">
      <c r="A414" s="19" t="s">
        <v>561</v>
      </c>
      <c r="B414" s="50">
        <v>26.866199999999999</v>
      </c>
      <c r="C414" s="50">
        <v>1656.96</v>
      </c>
      <c r="D414" s="51">
        <v>37573645.652111001</v>
      </c>
      <c r="E414" s="51">
        <v>1409700000</v>
      </c>
      <c r="F414" s="52">
        <f t="shared" si="16"/>
        <v>2.4331257217251274E-2</v>
      </c>
      <c r="G414" s="52">
        <f t="shared" si="17"/>
        <v>8.5824950407145766E-3</v>
      </c>
    </row>
    <row r="415" spans="1:7" ht="15" customHeight="1" x14ac:dyDescent="0.2">
      <c r="A415" s="19" t="s">
        <v>562</v>
      </c>
      <c r="B415" s="50">
        <v>28.825399999999998</v>
      </c>
      <c r="C415" s="50">
        <v>1663.5</v>
      </c>
      <c r="D415" s="51">
        <v>271820691.70503002</v>
      </c>
      <c r="E415" s="51">
        <v>1434816667</v>
      </c>
      <c r="F415" s="52">
        <f t="shared" si="16"/>
        <v>7.0387951935288129E-2</v>
      </c>
      <c r="G415" s="52">
        <f t="shared" si="17"/>
        <v>3.9392183354132132E-3</v>
      </c>
    </row>
    <row r="416" spans="1:7" ht="15" customHeight="1" x14ac:dyDescent="0.2">
      <c r="A416" s="19" t="s">
        <v>563</v>
      </c>
      <c r="B416" s="50">
        <v>28.328399999999998</v>
      </c>
      <c r="C416" s="50">
        <v>1656.78</v>
      </c>
      <c r="D416" s="51">
        <v>87740075.280894995</v>
      </c>
      <c r="E416" s="51">
        <v>1350372222</v>
      </c>
      <c r="F416" s="52">
        <f t="shared" si="16"/>
        <v>-1.7392107886947842E-2</v>
      </c>
      <c r="G416" s="52">
        <f t="shared" si="17"/>
        <v>-4.047856913079035E-3</v>
      </c>
    </row>
    <row r="417" spans="1:7" ht="15" customHeight="1" x14ac:dyDescent="0.2">
      <c r="A417" s="19" t="s">
        <v>564</v>
      </c>
      <c r="B417" s="50">
        <v>27.5899</v>
      </c>
      <c r="C417" s="50">
        <v>1630.48</v>
      </c>
      <c r="D417" s="51">
        <v>70547473.339911997</v>
      </c>
      <c r="E417" s="51">
        <v>1788438889</v>
      </c>
      <c r="F417" s="52">
        <f t="shared" si="16"/>
        <v>-2.6415071293915363E-2</v>
      </c>
      <c r="G417" s="52">
        <f t="shared" si="17"/>
        <v>-1.6001509567328324E-2</v>
      </c>
    </row>
    <row r="418" spans="1:7" ht="15" customHeight="1" x14ac:dyDescent="0.2">
      <c r="A418" s="19" t="s">
        <v>565</v>
      </c>
      <c r="B418" s="50">
        <v>27.3935</v>
      </c>
      <c r="C418" s="50">
        <v>1634.96</v>
      </c>
      <c r="D418" s="51">
        <v>53358240.784158997</v>
      </c>
      <c r="E418" s="51">
        <v>1546672222</v>
      </c>
      <c r="F418" s="52">
        <f t="shared" si="16"/>
        <v>-7.1440047469470717E-3</v>
      </c>
      <c r="G418" s="52">
        <f t="shared" si="17"/>
        <v>2.7438892221566106E-3</v>
      </c>
    </row>
    <row r="419" spans="1:7" ht="15" customHeight="1" x14ac:dyDescent="0.2">
      <c r="A419" s="19" t="s">
        <v>566</v>
      </c>
      <c r="B419" s="50">
        <v>27.830100000000002</v>
      </c>
      <c r="C419" s="50">
        <v>1638.17</v>
      </c>
      <c r="D419" s="51">
        <v>54588837.328442</v>
      </c>
      <c r="E419" s="51">
        <v>1404194444</v>
      </c>
      <c r="F419" s="52">
        <f t="shared" si="16"/>
        <v>1.5812409801995584E-2</v>
      </c>
      <c r="G419" s="52">
        <f t="shared" si="17"/>
        <v>1.9614259312179068E-3</v>
      </c>
    </row>
    <row r="420" spans="1:7" ht="15" customHeight="1" x14ac:dyDescent="0.2">
      <c r="A420" s="19" t="s">
        <v>567</v>
      </c>
      <c r="B420" s="50">
        <v>27.703099999999999</v>
      </c>
      <c r="C420" s="50">
        <v>1632.97</v>
      </c>
      <c r="D420" s="51">
        <v>51572585.374669001</v>
      </c>
      <c r="E420" s="51">
        <v>1519055556</v>
      </c>
      <c r="F420" s="52">
        <f t="shared" si="16"/>
        <v>-4.573848487182868E-3</v>
      </c>
      <c r="G420" s="52">
        <f t="shared" si="17"/>
        <v>-3.1793224259261555E-3</v>
      </c>
    </row>
    <row r="421" spans="1:7" ht="15" customHeight="1" x14ac:dyDescent="0.2">
      <c r="A421" s="19" t="s">
        <v>568</v>
      </c>
      <c r="B421" s="50">
        <v>26.446000000000002</v>
      </c>
      <c r="C421" s="50">
        <v>1639.77</v>
      </c>
      <c r="D421" s="51">
        <v>186253924.16045001</v>
      </c>
      <c r="E421" s="51">
        <v>2073116667</v>
      </c>
      <c r="F421" s="52">
        <f t="shared" si="16"/>
        <v>-4.6439402154229766E-2</v>
      </c>
      <c r="G421" s="52">
        <f t="shared" si="17"/>
        <v>4.1555453751369511E-3</v>
      </c>
    </row>
    <row r="422" spans="1:7" ht="15" customHeight="1" x14ac:dyDescent="0.2">
      <c r="A422" s="19" t="s">
        <v>569</v>
      </c>
      <c r="B422" s="50">
        <v>25.869900000000001</v>
      </c>
      <c r="C422" s="50">
        <v>1653.08</v>
      </c>
      <c r="D422" s="51">
        <v>171550439.94556999</v>
      </c>
      <c r="E422" s="51">
        <v>1840083333</v>
      </c>
      <c r="F422" s="52">
        <f t="shared" si="16"/>
        <v>-2.2024787425416737E-2</v>
      </c>
      <c r="G422" s="52">
        <f t="shared" si="17"/>
        <v>8.0842264234291927E-3</v>
      </c>
    </row>
    <row r="423" spans="1:7" ht="15" customHeight="1" x14ac:dyDescent="0.2">
      <c r="A423" s="19" t="s">
        <v>570</v>
      </c>
      <c r="B423" s="50">
        <v>25.913799999999998</v>
      </c>
      <c r="C423" s="50">
        <v>1655.08</v>
      </c>
      <c r="D423" s="51">
        <v>86366447.258550003</v>
      </c>
      <c r="E423" s="51">
        <v>1642838889</v>
      </c>
      <c r="F423" s="52">
        <f t="shared" si="16"/>
        <v>1.6955146317031006E-3</v>
      </c>
      <c r="G423" s="52">
        <f t="shared" si="17"/>
        <v>1.2091315073432651E-3</v>
      </c>
    </row>
    <row r="424" spans="1:7" ht="15" customHeight="1" x14ac:dyDescent="0.2">
      <c r="A424" s="19" t="s">
        <v>571</v>
      </c>
      <c r="B424" s="50">
        <v>25.8386</v>
      </c>
      <c r="C424" s="50">
        <v>1655.17</v>
      </c>
      <c r="D424" s="51">
        <v>90940583.770677999</v>
      </c>
      <c r="E424" s="51">
        <v>1735488889</v>
      </c>
      <c r="F424" s="52">
        <f t="shared" si="16"/>
        <v>-2.9061474608456954E-3</v>
      </c>
      <c r="G424" s="52">
        <f t="shared" si="17"/>
        <v>5.4376557675273835E-5</v>
      </c>
    </row>
    <row r="425" spans="1:7" ht="15" customHeight="1" x14ac:dyDescent="0.2">
      <c r="A425" s="19" t="s">
        <v>572</v>
      </c>
      <c r="B425" s="50">
        <v>26.263500000000001</v>
      </c>
      <c r="C425" s="50">
        <v>1671.71</v>
      </c>
      <c r="D425" s="51">
        <v>59827583.285685003</v>
      </c>
      <c r="E425" s="51">
        <v>1723766667</v>
      </c>
      <c r="F425" s="52">
        <f t="shared" si="16"/>
        <v>1.6310644672272279E-2</v>
      </c>
      <c r="G425" s="52">
        <f t="shared" si="17"/>
        <v>9.9433320560937486E-3</v>
      </c>
    </row>
    <row r="426" spans="1:7" ht="15" customHeight="1" x14ac:dyDescent="0.2">
      <c r="A426" s="19" t="s">
        <v>573</v>
      </c>
      <c r="B426" s="50">
        <v>26.866199999999999</v>
      </c>
      <c r="C426" s="50">
        <v>1683.99</v>
      </c>
      <c r="D426" s="51">
        <v>68577187.700819999</v>
      </c>
      <c r="E426" s="51">
        <v>2051000000</v>
      </c>
      <c r="F426" s="52">
        <f t="shared" si="16"/>
        <v>2.2688848414226227E-2</v>
      </c>
      <c r="G426" s="52">
        <f t="shared" si="17"/>
        <v>7.3189229171092005E-3</v>
      </c>
    </row>
    <row r="427" spans="1:7" ht="15" customHeight="1" x14ac:dyDescent="0.2">
      <c r="A427" s="19" t="s">
        <v>574</v>
      </c>
      <c r="B427" s="50">
        <v>27.159099999999999</v>
      </c>
      <c r="C427" s="50">
        <v>1689.13</v>
      </c>
      <c r="D427" s="51">
        <v>47114218.113338001</v>
      </c>
      <c r="E427" s="51">
        <v>1741922222</v>
      </c>
      <c r="F427" s="52">
        <f t="shared" si="16"/>
        <v>1.0843174208757071E-2</v>
      </c>
      <c r="G427" s="52">
        <f t="shared" si="17"/>
        <v>3.0476259239930587E-3</v>
      </c>
    </row>
    <row r="428" spans="1:7" ht="15" customHeight="1" x14ac:dyDescent="0.2">
      <c r="A428" s="19" t="s">
        <v>575</v>
      </c>
      <c r="B428" s="50">
        <v>27.1189</v>
      </c>
      <c r="C428" s="50">
        <v>1683.42</v>
      </c>
      <c r="D428" s="51">
        <v>39619589.398097001</v>
      </c>
      <c r="E428" s="51">
        <v>1725716667</v>
      </c>
      <c r="F428" s="52">
        <f t="shared" si="16"/>
        <v>-1.481263397707044E-3</v>
      </c>
      <c r="G428" s="52">
        <f t="shared" si="17"/>
        <v>-3.3861650418574234E-3</v>
      </c>
    </row>
    <row r="429" spans="1:7" ht="15" customHeight="1" x14ac:dyDescent="0.2">
      <c r="A429" s="19" t="s">
        <v>576</v>
      </c>
      <c r="B429" s="50">
        <v>27.400300000000001</v>
      </c>
      <c r="C429" s="50">
        <v>1687.99</v>
      </c>
      <c r="D429" s="51">
        <v>49312632.939888999</v>
      </c>
      <c r="E429" s="51">
        <v>1520277778</v>
      </c>
      <c r="F429" s="52">
        <f t="shared" si="16"/>
        <v>1.0323060461575131E-2</v>
      </c>
      <c r="G429" s="52">
        <f t="shared" si="17"/>
        <v>2.7110335432424617E-3</v>
      </c>
    </row>
    <row r="430" spans="1:7" ht="15" customHeight="1" x14ac:dyDescent="0.2">
      <c r="A430" s="19" t="s">
        <v>577</v>
      </c>
      <c r="B430" s="50">
        <v>27.206900000000001</v>
      </c>
      <c r="C430" s="50">
        <v>1697.6</v>
      </c>
      <c r="D430" s="51">
        <v>66324309.848825</v>
      </c>
      <c r="E430" s="51">
        <v>1711000000</v>
      </c>
      <c r="F430" s="52">
        <f t="shared" si="16"/>
        <v>-7.0833446370907683E-3</v>
      </c>
      <c r="G430" s="52">
        <f t="shared" si="17"/>
        <v>5.6770168919803715E-3</v>
      </c>
    </row>
    <row r="431" spans="1:7" ht="15" customHeight="1" x14ac:dyDescent="0.2">
      <c r="A431" s="19" t="s">
        <v>578</v>
      </c>
      <c r="B431" s="50">
        <v>27.314299999999999</v>
      </c>
      <c r="C431" s="50">
        <v>1704.76</v>
      </c>
      <c r="D431" s="51">
        <v>102121710.00322001</v>
      </c>
      <c r="E431" s="51">
        <v>1541244444</v>
      </c>
      <c r="F431" s="52">
        <f t="shared" si="16"/>
        <v>3.9397569722985706E-3</v>
      </c>
      <c r="G431" s="52">
        <f t="shared" si="17"/>
        <v>4.2088494865901299E-3</v>
      </c>
    </row>
    <row r="432" spans="1:7" ht="15" customHeight="1" x14ac:dyDescent="0.2">
      <c r="A432" s="19" t="s">
        <v>579</v>
      </c>
      <c r="B432" s="50">
        <v>27.639700000000001</v>
      </c>
      <c r="C432" s="50">
        <v>1725.52</v>
      </c>
      <c r="D432" s="51">
        <v>77276657.793259993</v>
      </c>
      <c r="E432" s="51">
        <v>2216533333</v>
      </c>
      <c r="F432" s="52">
        <f t="shared" si="16"/>
        <v>1.1842770431141042E-2</v>
      </c>
      <c r="G432" s="52">
        <f t="shared" si="17"/>
        <v>1.2104115967809937E-2</v>
      </c>
    </row>
    <row r="433" spans="1:7" ht="15" customHeight="1" x14ac:dyDescent="0.2">
      <c r="A433" s="19" t="s">
        <v>580</v>
      </c>
      <c r="B433" s="50">
        <v>27.907299999999999</v>
      </c>
      <c r="C433" s="50">
        <v>1722.34</v>
      </c>
      <c r="D433" s="51">
        <v>50663684.750220999</v>
      </c>
      <c r="E433" s="51">
        <v>2077850000</v>
      </c>
      <c r="F433" s="52">
        <f t="shared" si="16"/>
        <v>9.6351583432321593E-3</v>
      </c>
      <c r="G433" s="52">
        <f t="shared" si="17"/>
        <v>-1.8446229845168335E-3</v>
      </c>
    </row>
    <row r="434" spans="1:7" ht="15" customHeight="1" x14ac:dyDescent="0.2">
      <c r="A434" s="19" t="s">
        <v>581</v>
      </c>
      <c r="B434" s="50">
        <v>27.197399999999998</v>
      </c>
      <c r="C434" s="50">
        <v>1709.91</v>
      </c>
      <c r="D434" s="51">
        <v>124051218.12275</v>
      </c>
      <c r="E434" s="51">
        <v>2818905556</v>
      </c>
      <c r="F434" s="52">
        <f t="shared" si="16"/>
        <v>-2.5766922850965362E-2</v>
      </c>
      <c r="G434" s="52">
        <f t="shared" si="17"/>
        <v>-7.2430937969337897E-3</v>
      </c>
    </row>
    <row r="435" spans="1:7" ht="15" customHeight="1" x14ac:dyDescent="0.2">
      <c r="A435" s="19" t="s">
        <v>582</v>
      </c>
      <c r="B435" s="50">
        <v>27.159099999999999</v>
      </c>
      <c r="C435" s="50">
        <v>1701.84</v>
      </c>
      <c r="D435" s="51">
        <v>48011537.307907</v>
      </c>
      <c r="E435" s="51">
        <v>1737194444</v>
      </c>
      <c r="F435" s="52">
        <f t="shared" si="16"/>
        <v>-1.4092153224836881E-3</v>
      </c>
      <c r="G435" s="52">
        <f t="shared" si="17"/>
        <v>-4.7307188688171364E-3</v>
      </c>
    </row>
    <row r="436" spans="1:7" ht="15" customHeight="1" x14ac:dyDescent="0.2">
      <c r="A436" s="19" t="s">
        <v>583</v>
      </c>
      <c r="B436" s="50">
        <v>26.9237</v>
      </c>
      <c r="C436" s="50">
        <v>1697.42</v>
      </c>
      <c r="D436" s="51">
        <v>48518056.958956003</v>
      </c>
      <c r="E436" s="51">
        <v>1816072222</v>
      </c>
      <c r="F436" s="52">
        <f t="shared" si="16"/>
        <v>-8.70522556405353E-3</v>
      </c>
      <c r="G436" s="52">
        <f t="shared" si="17"/>
        <v>-2.6005674711671984E-3</v>
      </c>
    </row>
    <row r="437" spans="1:7" ht="15" customHeight="1" x14ac:dyDescent="0.2">
      <c r="A437" s="19" t="s">
        <v>584</v>
      </c>
      <c r="B437" s="50">
        <v>26.966899999999999</v>
      </c>
      <c r="C437" s="50">
        <v>1692.77</v>
      </c>
      <c r="D437" s="51">
        <v>34844662.712131999</v>
      </c>
      <c r="E437" s="51">
        <v>1749294444</v>
      </c>
      <c r="F437" s="52">
        <f t="shared" si="16"/>
        <v>1.6032484052305753E-3</v>
      </c>
      <c r="G437" s="52">
        <f t="shared" si="17"/>
        <v>-2.7432108029442847E-3</v>
      </c>
    </row>
    <row r="438" spans="1:7" ht="15" customHeight="1" x14ac:dyDescent="0.2">
      <c r="A438" s="19" t="s">
        <v>585</v>
      </c>
      <c r="B438" s="50">
        <v>27.179600000000001</v>
      </c>
      <c r="C438" s="50">
        <v>1698.67</v>
      </c>
      <c r="D438" s="51">
        <v>34345658.909451999</v>
      </c>
      <c r="E438" s="51">
        <v>1563294444</v>
      </c>
      <c r="F438" s="52">
        <f t="shared" si="16"/>
        <v>7.8565038947433549E-3</v>
      </c>
      <c r="G438" s="52">
        <f t="shared" si="17"/>
        <v>3.4793515156158698E-3</v>
      </c>
    </row>
    <row r="439" spans="1:7" ht="15" customHeight="1" x14ac:dyDescent="0.2">
      <c r="A439" s="19" t="s">
        <v>586</v>
      </c>
      <c r="B439" s="50">
        <v>27.596800000000002</v>
      </c>
      <c r="C439" s="50">
        <v>1691.75</v>
      </c>
      <c r="D439" s="51">
        <v>66719117.640042998</v>
      </c>
      <c r="E439" s="51">
        <v>1639833333</v>
      </c>
      <c r="F439" s="52">
        <f t="shared" si="16"/>
        <v>1.5233132061074673E-2</v>
      </c>
      <c r="G439" s="52">
        <f t="shared" si="17"/>
        <v>-4.0820957930202389E-3</v>
      </c>
    </row>
    <row r="440" spans="1:7" ht="15" customHeight="1" x14ac:dyDescent="0.2">
      <c r="A440" s="19" t="s">
        <v>587</v>
      </c>
      <c r="B440" s="50">
        <v>27.6035</v>
      </c>
      <c r="C440" s="50">
        <v>1681.55</v>
      </c>
      <c r="D440" s="51">
        <v>48026043.785979003</v>
      </c>
      <c r="E440" s="51">
        <v>1838127778</v>
      </c>
      <c r="F440" s="52">
        <f t="shared" si="16"/>
        <v>2.4275230507446086E-4</v>
      </c>
      <c r="G440" s="52">
        <f t="shared" si="17"/>
        <v>-6.0475090187600816E-3</v>
      </c>
    </row>
    <row r="441" spans="1:7" ht="15" customHeight="1" x14ac:dyDescent="0.2">
      <c r="A441" s="19" t="s">
        <v>588</v>
      </c>
      <c r="B441" s="50">
        <v>27.8535</v>
      </c>
      <c r="C441" s="50">
        <v>1695</v>
      </c>
      <c r="D441" s="51">
        <v>44241730.691356003</v>
      </c>
      <c r="E441" s="51">
        <v>1799272222</v>
      </c>
      <c r="F441" s="52">
        <f t="shared" si="16"/>
        <v>9.0160554492262155E-3</v>
      </c>
      <c r="G441" s="52">
        <f t="shared" si="17"/>
        <v>7.9667537209757739E-3</v>
      </c>
    </row>
    <row r="442" spans="1:7" ht="15" customHeight="1" x14ac:dyDescent="0.2">
      <c r="A442" s="19" t="s">
        <v>589</v>
      </c>
      <c r="B442" s="50">
        <v>28.136099999999999</v>
      </c>
      <c r="C442" s="50">
        <v>1693.87</v>
      </c>
      <c r="D442" s="51">
        <v>56578280.651046999</v>
      </c>
      <c r="E442" s="51">
        <v>1749222222</v>
      </c>
      <c r="F442" s="52">
        <f t="shared" si="16"/>
        <v>1.0094817604224225E-2</v>
      </c>
      <c r="G442" s="52">
        <f t="shared" si="17"/>
        <v>-6.6688898770376765E-4</v>
      </c>
    </row>
    <row r="443" spans="1:7" ht="15" customHeight="1" x14ac:dyDescent="0.2">
      <c r="A443" s="19" t="s">
        <v>590</v>
      </c>
      <c r="B443" s="50">
        <v>28.088100000000001</v>
      </c>
      <c r="C443" s="50">
        <v>1678.66</v>
      </c>
      <c r="D443" s="51">
        <v>46661524.672904</v>
      </c>
      <c r="E443" s="51">
        <v>1822027778</v>
      </c>
      <c r="F443" s="52">
        <f t="shared" si="16"/>
        <v>-1.7074502318056455E-3</v>
      </c>
      <c r="G443" s="52">
        <f t="shared" si="17"/>
        <v>-9.0199957444824265E-3</v>
      </c>
    </row>
    <row r="444" spans="1:7" ht="15" customHeight="1" x14ac:dyDescent="0.2">
      <c r="A444" s="19" t="s">
        <v>591</v>
      </c>
      <c r="B444" s="50">
        <v>28.1053</v>
      </c>
      <c r="C444" s="50">
        <v>1690.5</v>
      </c>
      <c r="D444" s="51">
        <v>39772235.551546998</v>
      </c>
      <c r="E444" s="51">
        <v>1600150000</v>
      </c>
      <c r="F444" s="52">
        <f t="shared" si="16"/>
        <v>6.1217155527689576E-4</v>
      </c>
      <c r="G444" s="52">
        <f t="shared" si="17"/>
        <v>7.0284870655762189E-3</v>
      </c>
    </row>
    <row r="445" spans="1:7" ht="15" customHeight="1" x14ac:dyDescent="0.2">
      <c r="A445" s="19" t="s">
        <v>592</v>
      </c>
      <c r="B445" s="50">
        <v>27.6221</v>
      </c>
      <c r="C445" s="50">
        <v>1676.12</v>
      </c>
      <c r="D445" s="51">
        <v>42274972.105476998</v>
      </c>
      <c r="E445" s="51">
        <v>1488050000</v>
      </c>
      <c r="F445" s="52">
        <f t="shared" si="16"/>
        <v>-1.7341993702477486E-2</v>
      </c>
      <c r="G445" s="52">
        <f t="shared" si="17"/>
        <v>-8.5427446236556424E-3</v>
      </c>
    </row>
    <row r="446" spans="1:7" ht="15" customHeight="1" x14ac:dyDescent="0.2">
      <c r="A446" s="19" t="s">
        <v>593</v>
      </c>
      <c r="B446" s="50">
        <v>27.384899999999998</v>
      </c>
      <c r="C446" s="50">
        <v>1655.45</v>
      </c>
      <c r="D446" s="51">
        <v>49394795.362911001</v>
      </c>
      <c r="E446" s="51">
        <v>1982905556</v>
      </c>
      <c r="F446" s="52">
        <f t="shared" si="16"/>
        <v>-8.6244103569298302E-3</v>
      </c>
      <c r="G446" s="52">
        <f t="shared" si="17"/>
        <v>-1.2408723348868085E-2</v>
      </c>
    </row>
    <row r="447" spans="1:7" ht="15" customHeight="1" x14ac:dyDescent="0.2">
      <c r="A447" s="19" t="s">
        <v>594</v>
      </c>
      <c r="B447" s="50">
        <v>27.4345</v>
      </c>
      <c r="C447" s="50">
        <v>1656.4</v>
      </c>
      <c r="D447" s="51">
        <v>43251085.361653998</v>
      </c>
      <c r="E447" s="51">
        <v>1987688889</v>
      </c>
      <c r="F447" s="52">
        <f t="shared" si="16"/>
        <v>1.8095788547454231E-3</v>
      </c>
      <c r="G447" s="52">
        <f t="shared" si="17"/>
        <v>5.7369749599523064E-4</v>
      </c>
    </row>
    <row r="448" spans="1:7" ht="15" customHeight="1" x14ac:dyDescent="0.2">
      <c r="A448" s="19" t="s">
        <v>595</v>
      </c>
      <c r="B448" s="50">
        <v>28.003900000000002</v>
      </c>
      <c r="C448" s="50">
        <v>1692.56</v>
      </c>
      <c r="D448" s="51">
        <v>51680963.682898998</v>
      </c>
      <c r="E448" s="51">
        <v>1867944444</v>
      </c>
      <c r="F448" s="52">
        <f t="shared" si="16"/>
        <v>2.0542440740478809E-2</v>
      </c>
      <c r="G448" s="52">
        <f t="shared" si="17"/>
        <v>2.1595603003649867E-2</v>
      </c>
    </row>
    <row r="449" spans="1:7" ht="15" customHeight="1" x14ac:dyDescent="0.2">
      <c r="A449" s="19" t="s">
        <v>596</v>
      </c>
      <c r="B449" s="50">
        <v>28.311599999999999</v>
      </c>
      <c r="C449" s="50">
        <v>1703.2</v>
      </c>
      <c r="D449" s="51">
        <v>36204672.930480003</v>
      </c>
      <c r="E449" s="51">
        <v>1635927778</v>
      </c>
      <c r="F449" s="52">
        <f t="shared" si="16"/>
        <v>1.0927828468395642E-2</v>
      </c>
      <c r="G449" s="52">
        <f t="shared" si="17"/>
        <v>6.2666589042077387E-3</v>
      </c>
    </row>
    <row r="450" spans="1:7" ht="15" customHeight="1" x14ac:dyDescent="0.2">
      <c r="A450" s="19" t="s">
        <v>597</v>
      </c>
      <c r="B450" s="50">
        <v>28.578399999999998</v>
      </c>
      <c r="C450" s="50">
        <v>1710.14</v>
      </c>
      <c r="D450" s="51">
        <v>33455958.968876</v>
      </c>
      <c r="E450" s="51">
        <v>1433655556</v>
      </c>
      <c r="F450" s="52">
        <f t="shared" si="16"/>
        <v>9.3795730710337991E-3</v>
      </c>
      <c r="G450" s="52">
        <f t="shared" si="17"/>
        <v>4.0664039111895159E-3</v>
      </c>
    </row>
    <row r="451" spans="1:7" ht="15" customHeight="1" x14ac:dyDescent="0.2">
      <c r="A451" s="19" t="s">
        <v>598</v>
      </c>
      <c r="B451" s="50">
        <v>28.612300000000001</v>
      </c>
      <c r="C451" s="50">
        <v>1698.06</v>
      </c>
      <c r="D451" s="51">
        <v>56780685.385963</v>
      </c>
      <c r="E451" s="51">
        <v>1848744444</v>
      </c>
      <c r="F451" s="52">
        <f t="shared" si="16"/>
        <v>1.1855075727465105E-3</v>
      </c>
      <c r="G451" s="52">
        <f t="shared" si="17"/>
        <v>-7.0888155544114413E-3</v>
      </c>
    </row>
    <row r="452" spans="1:7" ht="15" customHeight="1" x14ac:dyDescent="0.2">
      <c r="A452" s="19" t="s">
        <v>599</v>
      </c>
      <c r="B452" s="50">
        <v>28.733599999999999</v>
      </c>
      <c r="C452" s="50">
        <v>1721.54</v>
      </c>
      <c r="D452" s="51">
        <v>42325806.719724</v>
      </c>
      <c r="E452" s="51">
        <v>1936766667</v>
      </c>
      <c r="F452" s="52">
        <f t="shared" si="16"/>
        <v>4.2304743986200637E-3</v>
      </c>
      <c r="G452" s="52">
        <f t="shared" si="17"/>
        <v>1.3732816122981576E-2</v>
      </c>
    </row>
    <row r="453" spans="1:7" ht="15" customHeight="1" x14ac:dyDescent="0.2">
      <c r="A453" s="19" t="s">
        <v>600</v>
      </c>
      <c r="B453" s="50">
        <v>28.968</v>
      </c>
      <c r="C453" s="50">
        <v>1733.15</v>
      </c>
      <c r="D453" s="51">
        <v>37787407.600752003</v>
      </c>
      <c r="E453" s="51">
        <v>1918661111</v>
      </c>
      <c r="F453" s="52">
        <f t="shared" si="16"/>
        <v>8.1246027624087315E-3</v>
      </c>
      <c r="G453" s="52">
        <f t="shared" si="17"/>
        <v>6.7213230176509332E-3</v>
      </c>
    </row>
    <row r="454" spans="1:7" ht="15" customHeight="1" x14ac:dyDescent="0.2">
      <c r="A454" s="19" t="s">
        <v>601</v>
      </c>
      <c r="B454" s="50">
        <v>29.000399999999999</v>
      </c>
      <c r="C454" s="50">
        <v>1744.5</v>
      </c>
      <c r="D454" s="51">
        <v>50401772.638282001</v>
      </c>
      <c r="E454" s="51">
        <v>2036050000</v>
      </c>
      <c r="F454" s="52">
        <f t="shared" ref="F454:F517" si="18">LN(B454/B453)</f>
        <v>1.117850531458197E-3</v>
      </c>
      <c r="G454" s="52">
        <f t="shared" ref="G454:G517" si="19">LN(C454/C453)</f>
        <v>6.5274195501484516E-3</v>
      </c>
    </row>
    <row r="455" spans="1:7" ht="15" customHeight="1" x14ac:dyDescent="0.2">
      <c r="A455" s="19" t="s">
        <v>602</v>
      </c>
      <c r="B455" s="50">
        <v>29.026599999999998</v>
      </c>
      <c r="C455" s="50">
        <v>1744.66</v>
      </c>
      <c r="D455" s="51">
        <v>33073188.206574</v>
      </c>
      <c r="E455" s="51">
        <v>1695950000</v>
      </c>
      <c r="F455" s="52">
        <f t="shared" si="18"/>
        <v>9.0302796217004593E-4</v>
      </c>
      <c r="G455" s="52">
        <f t="shared" si="19"/>
        <v>9.1712618574313345E-5</v>
      </c>
    </row>
    <row r="456" spans="1:7" ht="15" customHeight="1" x14ac:dyDescent="0.2">
      <c r="A456" s="19" t="s">
        <v>603</v>
      </c>
      <c r="B456" s="50">
        <v>28.683900000000001</v>
      </c>
      <c r="C456" s="50">
        <v>1754.67</v>
      </c>
      <c r="D456" s="51">
        <v>48748240.949258</v>
      </c>
      <c r="E456" s="51">
        <v>2139355556</v>
      </c>
      <c r="F456" s="52">
        <f t="shared" si="18"/>
        <v>-1.1876661206836251E-2</v>
      </c>
      <c r="G456" s="52">
        <f t="shared" si="19"/>
        <v>5.7211107858845976E-3</v>
      </c>
    </row>
    <row r="457" spans="1:7" ht="15" customHeight="1" x14ac:dyDescent="0.2">
      <c r="A457" s="19" t="s">
        <v>604</v>
      </c>
      <c r="B457" s="50">
        <v>28.003900000000002</v>
      </c>
      <c r="C457" s="50">
        <v>1746.38</v>
      </c>
      <c r="D457" s="51">
        <v>70619866.491018996</v>
      </c>
      <c r="E457" s="51">
        <v>2062988889</v>
      </c>
      <c r="F457" s="52">
        <f t="shared" si="18"/>
        <v>-2.3992203559996889E-2</v>
      </c>
      <c r="G457" s="52">
        <f t="shared" si="19"/>
        <v>-4.7357309912257808E-3</v>
      </c>
    </row>
    <row r="458" spans="1:7" ht="15" customHeight="1" x14ac:dyDescent="0.2">
      <c r="A458" s="19" t="s">
        <v>605</v>
      </c>
      <c r="B458" s="50">
        <v>27.968900000000001</v>
      </c>
      <c r="C458" s="50">
        <v>1752.07</v>
      </c>
      <c r="D458" s="51">
        <v>63823970.05297</v>
      </c>
      <c r="E458" s="51">
        <v>2039833333</v>
      </c>
      <c r="F458" s="52">
        <f t="shared" si="18"/>
        <v>-1.2506076008962854E-3</v>
      </c>
      <c r="G458" s="52">
        <f t="shared" si="19"/>
        <v>3.2528719960210105E-3</v>
      </c>
    </row>
    <row r="459" spans="1:7" ht="15" customHeight="1" x14ac:dyDescent="0.2">
      <c r="A459" s="19" t="s">
        <v>606</v>
      </c>
      <c r="B459" s="50">
        <v>29.638200000000001</v>
      </c>
      <c r="C459" s="50">
        <v>1759.77</v>
      </c>
      <c r="D459" s="51">
        <v>136808476.42291</v>
      </c>
      <c r="E459" s="51">
        <v>1764288889</v>
      </c>
      <c r="F459" s="52">
        <f t="shared" si="18"/>
        <v>5.7970891249642997E-2</v>
      </c>
      <c r="G459" s="52">
        <f t="shared" si="19"/>
        <v>4.3851726383198801E-3</v>
      </c>
    </row>
    <row r="460" spans="1:7" ht="15" customHeight="1" x14ac:dyDescent="0.2">
      <c r="A460" s="19" t="s">
        <v>607</v>
      </c>
      <c r="B460" s="50">
        <v>29.508199999999999</v>
      </c>
      <c r="C460" s="50">
        <v>1762.11</v>
      </c>
      <c r="D460" s="51">
        <v>46272279.285196997</v>
      </c>
      <c r="E460" s="51">
        <v>1823500000</v>
      </c>
      <c r="F460" s="52">
        <f t="shared" si="18"/>
        <v>-4.3958790168323473E-3</v>
      </c>
      <c r="G460" s="52">
        <f t="shared" si="19"/>
        <v>1.328835930998072E-3</v>
      </c>
    </row>
    <row r="461" spans="1:7" ht="15" customHeight="1" x14ac:dyDescent="0.2">
      <c r="A461" s="19" t="s">
        <v>608</v>
      </c>
      <c r="B461" s="50">
        <v>29.464300000000001</v>
      </c>
      <c r="C461" s="50">
        <v>1771.95</v>
      </c>
      <c r="D461" s="51">
        <v>38218258.906723998</v>
      </c>
      <c r="E461" s="51">
        <v>1865811111</v>
      </c>
      <c r="F461" s="52">
        <f t="shared" si="18"/>
        <v>-1.4888298142053239E-3</v>
      </c>
      <c r="G461" s="52">
        <f t="shared" si="19"/>
        <v>5.568680457237637E-3</v>
      </c>
    </row>
    <row r="462" spans="1:7" ht="15" customHeight="1" x14ac:dyDescent="0.2">
      <c r="A462" s="19" t="s">
        <v>609</v>
      </c>
      <c r="B462" s="50">
        <v>29.4819</v>
      </c>
      <c r="C462" s="50">
        <v>1763.31</v>
      </c>
      <c r="D462" s="51">
        <v>44605873.084083997</v>
      </c>
      <c r="E462" s="51">
        <v>1957244444</v>
      </c>
      <c r="F462" s="52">
        <f t="shared" si="18"/>
        <v>5.9715471134701593E-4</v>
      </c>
      <c r="G462" s="52">
        <f t="shared" si="19"/>
        <v>-4.8879104801314577E-3</v>
      </c>
    </row>
    <row r="463" spans="1:7" ht="15" customHeight="1" x14ac:dyDescent="0.2">
      <c r="A463" s="19" t="s">
        <v>610</v>
      </c>
      <c r="B463" s="50">
        <v>29.368400000000001</v>
      </c>
      <c r="C463" s="50">
        <v>1756.54</v>
      </c>
      <c r="D463" s="51">
        <v>50257790.033244997</v>
      </c>
      <c r="E463" s="51">
        <v>2125850000</v>
      </c>
      <c r="F463" s="52">
        <f t="shared" si="18"/>
        <v>-3.857249350455966E-3</v>
      </c>
      <c r="G463" s="52">
        <f t="shared" si="19"/>
        <v>-3.846759576849974E-3</v>
      </c>
    </row>
    <row r="464" spans="1:7" ht="15" customHeight="1" x14ac:dyDescent="0.2">
      <c r="A464" s="19" t="s">
        <v>611</v>
      </c>
      <c r="B464" s="50">
        <v>29.472999999999999</v>
      </c>
      <c r="C464" s="50">
        <v>1761.64</v>
      </c>
      <c r="D464" s="51">
        <v>48544785.777011998</v>
      </c>
      <c r="E464" s="51">
        <v>2047938889</v>
      </c>
      <c r="F464" s="52">
        <f t="shared" si="18"/>
        <v>3.5553236388489924E-3</v>
      </c>
      <c r="G464" s="52">
        <f t="shared" si="19"/>
        <v>2.8992283353028092E-3</v>
      </c>
    </row>
    <row r="465" spans="1:7" ht="15" customHeight="1" x14ac:dyDescent="0.2">
      <c r="A465" s="19" t="s">
        <v>612</v>
      </c>
      <c r="B465" s="50">
        <v>29.814</v>
      </c>
      <c r="C465" s="50">
        <v>1767.93</v>
      </c>
      <c r="D465" s="51">
        <v>33829274.771407999</v>
      </c>
      <c r="E465" s="51">
        <v>1774927778</v>
      </c>
      <c r="F465" s="52">
        <f t="shared" si="18"/>
        <v>1.1503491840654044E-2</v>
      </c>
      <c r="G465" s="52">
        <f t="shared" si="19"/>
        <v>3.5641773126337483E-3</v>
      </c>
    </row>
    <row r="466" spans="1:7" ht="15" customHeight="1" x14ac:dyDescent="0.2">
      <c r="A466" s="19" t="s">
        <v>613</v>
      </c>
      <c r="B466" s="50">
        <v>30.395</v>
      </c>
      <c r="C466" s="50">
        <v>1762.97</v>
      </c>
      <c r="D466" s="51">
        <v>62290293.672611997</v>
      </c>
      <c r="E466" s="51">
        <v>1953711111</v>
      </c>
      <c r="F466" s="52">
        <f t="shared" si="18"/>
        <v>1.9300039352447364E-2</v>
      </c>
      <c r="G466" s="52">
        <f t="shared" si="19"/>
        <v>-2.8094838497391963E-3</v>
      </c>
    </row>
    <row r="467" spans="1:7" ht="15" customHeight="1" x14ac:dyDescent="0.2">
      <c r="A467" s="19" t="s">
        <v>614</v>
      </c>
      <c r="B467" s="50">
        <v>31.671800000000001</v>
      </c>
      <c r="C467" s="50">
        <v>1770.49</v>
      </c>
      <c r="D467" s="51">
        <v>107208503.95566</v>
      </c>
      <c r="E467" s="51">
        <v>1845611111</v>
      </c>
      <c r="F467" s="52">
        <f t="shared" si="18"/>
        <v>4.1148573857264795E-2</v>
      </c>
      <c r="G467" s="52">
        <f t="shared" si="19"/>
        <v>4.2564576101536706E-3</v>
      </c>
    </row>
    <row r="468" spans="1:7" ht="15" customHeight="1" x14ac:dyDescent="0.2">
      <c r="A468" s="19" t="s">
        <v>615</v>
      </c>
      <c r="B468" s="50">
        <v>31.107099999999999</v>
      </c>
      <c r="C468" s="50">
        <v>1747.15</v>
      </c>
      <c r="D468" s="51">
        <v>72864658.227987006</v>
      </c>
      <c r="E468" s="51">
        <v>2301777778</v>
      </c>
      <c r="F468" s="52">
        <f t="shared" si="18"/>
        <v>-1.7990606108351785E-2</v>
      </c>
      <c r="G468" s="52">
        <f t="shared" si="19"/>
        <v>-1.327045548901987E-2</v>
      </c>
    </row>
    <row r="469" spans="1:7" ht="15" customHeight="1" x14ac:dyDescent="0.2">
      <c r="A469" s="19" t="s">
        <v>616</v>
      </c>
      <c r="B469" s="50">
        <v>31.3385</v>
      </c>
      <c r="C469" s="50">
        <v>1770.61</v>
      </c>
      <c r="D469" s="51">
        <v>44294526.941003002</v>
      </c>
      <c r="E469" s="51">
        <v>2131761111</v>
      </c>
      <c r="F469" s="52">
        <f t="shared" si="18"/>
        <v>7.4112846758582797E-3</v>
      </c>
      <c r="G469" s="52">
        <f t="shared" si="19"/>
        <v>1.333823103901602E-2</v>
      </c>
    </row>
    <row r="470" spans="1:7" ht="15" customHeight="1" x14ac:dyDescent="0.2">
      <c r="A470" s="19" t="s">
        <v>617</v>
      </c>
      <c r="B470" s="50">
        <v>31.182200000000002</v>
      </c>
      <c r="C470" s="50">
        <v>1771.89</v>
      </c>
      <c r="D470" s="51">
        <v>32395302.912689999</v>
      </c>
      <c r="E470" s="51">
        <v>1407811111</v>
      </c>
      <c r="F470" s="52">
        <f t="shared" si="18"/>
        <v>-4.999954434896872E-3</v>
      </c>
      <c r="G470" s="52">
        <f t="shared" si="19"/>
        <v>7.2265352474504111E-4</v>
      </c>
    </row>
    <row r="471" spans="1:7" ht="15" customHeight="1" x14ac:dyDescent="0.2">
      <c r="A471" s="19" t="s">
        <v>618</v>
      </c>
      <c r="B471" s="50">
        <v>30.99</v>
      </c>
      <c r="C471" s="50">
        <v>1767.69</v>
      </c>
      <c r="D471" s="51">
        <v>38155210.143037997</v>
      </c>
      <c r="E471" s="51">
        <v>1789461111</v>
      </c>
      <c r="F471" s="52">
        <f t="shared" si="18"/>
        <v>-6.1828473909036393E-3</v>
      </c>
      <c r="G471" s="52">
        <f t="shared" si="19"/>
        <v>-2.3731640314203425E-3</v>
      </c>
    </row>
    <row r="472" spans="1:7" ht="15" customHeight="1" x14ac:dyDescent="0.2">
      <c r="A472" s="19" t="s">
        <v>619</v>
      </c>
      <c r="B472" s="50">
        <v>31.6462</v>
      </c>
      <c r="C472" s="50">
        <v>1782</v>
      </c>
      <c r="D472" s="51">
        <v>54188292.060823001</v>
      </c>
      <c r="E472" s="51">
        <v>1848600000</v>
      </c>
      <c r="F472" s="52">
        <f t="shared" si="18"/>
        <v>2.0953506391213201E-2</v>
      </c>
      <c r="G472" s="52">
        <f t="shared" si="19"/>
        <v>8.0627195734255634E-3</v>
      </c>
    </row>
    <row r="473" spans="1:7" ht="15" customHeight="1" x14ac:dyDescent="0.2">
      <c r="A473" s="19" t="s">
        <v>620</v>
      </c>
      <c r="B473" s="50">
        <v>31.5398</v>
      </c>
      <c r="C473" s="50">
        <v>1790.62</v>
      </c>
      <c r="D473" s="51">
        <v>55678712.128202997</v>
      </c>
      <c r="E473" s="51">
        <v>1743922222</v>
      </c>
      <c r="F473" s="52">
        <f t="shared" si="18"/>
        <v>-3.3678378301729857E-3</v>
      </c>
      <c r="G473" s="52">
        <f t="shared" si="19"/>
        <v>4.8255995473341796E-3</v>
      </c>
    </row>
    <row r="474" spans="1:7" ht="15" customHeight="1" x14ac:dyDescent="0.2">
      <c r="A474" s="19" t="s">
        <v>621</v>
      </c>
      <c r="B474" s="50">
        <v>31.388400000000001</v>
      </c>
      <c r="C474" s="50">
        <v>1798.18</v>
      </c>
      <c r="D474" s="51">
        <v>61001527.881511003</v>
      </c>
      <c r="E474" s="51">
        <v>1808233333</v>
      </c>
      <c r="F474" s="52">
        <f t="shared" si="18"/>
        <v>-4.8118424529547095E-3</v>
      </c>
      <c r="G474" s="52">
        <f t="shared" si="19"/>
        <v>4.2131136773868576E-3</v>
      </c>
    </row>
    <row r="475" spans="1:7" ht="15" customHeight="1" x14ac:dyDescent="0.2">
      <c r="A475" s="19" t="s">
        <v>622</v>
      </c>
      <c r="B475" s="50">
        <v>30.858899999999998</v>
      </c>
      <c r="C475" s="50">
        <v>1791.53</v>
      </c>
      <c r="D475" s="51">
        <v>64222724.662804998</v>
      </c>
      <c r="E475" s="51">
        <v>1760288889</v>
      </c>
      <c r="F475" s="52">
        <f t="shared" si="18"/>
        <v>-1.7013196455719543E-2</v>
      </c>
      <c r="G475" s="52">
        <f t="shared" si="19"/>
        <v>-3.7050389068854113E-3</v>
      </c>
    </row>
    <row r="476" spans="1:7" ht="15" customHeight="1" x14ac:dyDescent="0.2">
      <c r="A476" s="19" t="s">
        <v>623</v>
      </c>
      <c r="B476" s="50">
        <v>30.708500000000001</v>
      </c>
      <c r="C476" s="50">
        <v>1787.87</v>
      </c>
      <c r="D476" s="51">
        <v>52966983.593967997</v>
      </c>
      <c r="E476" s="51">
        <v>1791361111</v>
      </c>
      <c r="F476" s="52">
        <f t="shared" si="18"/>
        <v>-4.8857122169475966E-3</v>
      </c>
      <c r="G476" s="52">
        <f t="shared" si="19"/>
        <v>-2.0450361935312332E-3</v>
      </c>
    </row>
    <row r="477" spans="1:7" ht="15" customHeight="1" x14ac:dyDescent="0.2">
      <c r="A477" s="19" t="s">
        <v>624</v>
      </c>
      <c r="B477" s="50">
        <v>30.9909</v>
      </c>
      <c r="C477" s="50">
        <v>1781.37</v>
      </c>
      <c r="D477" s="51">
        <v>38563158.639040001</v>
      </c>
      <c r="E477" s="51">
        <v>1727300000</v>
      </c>
      <c r="F477" s="52">
        <f t="shared" si="18"/>
        <v>9.1541237692128758E-3</v>
      </c>
      <c r="G477" s="52">
        <f t="shared" si="19"/>
        <v>-3.642235986195912E-3</v>
      </c>
    </row>
    <row r="478" spans="1:7" ht="15" customHeight="1" x14ac:dyDescent="0.2">
      <c r="A478" s="19" t="s">
        <v>625</v>
      </c>
      <c r="B478" s="50">
        <v>31.2605</v>
      </c>
      <c r="C478" s="50">
        <v>1795.85</v>
      </c>
      <c r="D478" s="51">
        <v>27577566.298423</v>
      </c>
      <c r="E478" s="51">
        <v>1809238889</v>
      </c>
      <c r="F478" s="52">
        <f t="shared" si="18"/>
        <v>8.6617067427636838E-3</v>
      </c>
      <c r="G478" s="52">
        <f t="shared" si="19"/>
        <v>8.0957162744240488E-3</v>
      </c>
    </row>
    <row r="479" spans="1:7" ht="15" customHeight="1" x14ac:dyDescent="0.2">
      <c r="A479" s="19" t="s">
        <v>626</v>
      </c>
      <c r="B479" s="50">
        <v>31.401199999999999</v>
      </c>
      <c r="C479" s="50">
        <v>1804.76</v>
      </c>
      <c r="D479" s="51">
        <v>33478245.440375999</v>
      </c>
      <c r="E479" s="51">
        <v>1697300000</v>
      </c>
      <c r="F479" s="52">
        <f t="shared" si="18"/>
        <v>4.4907889974314958E-3</v>
      </c>
      <c r="G479" s="52">
        <f t="shared" si="19"/>
        <v>4.9491714942796741E-3</v>
      </c>
    </row>
    <row r="480" spans="1:7" ht="15" customHeight="1" x14ac:dyDescent="0.2">
      <c r="A480" s="19" t="s">
        <v>627</v>
      </c>
      <c r="B480" s="50">
        <v>31.456700000000001</v>
      </c>
      <c r="C480" s="50">
        <v>1802.48</v>
      </c>
      <c r="D480" s="51">
        <v>36667437.669156998</v>
      </c>
      <c r="E480" s="51">
        <v>1665855556</v>
      </c>
      <c r="F480" s="52">
        <f t="shared" si="18"/>
        <v>1.7658882788772873E-3</v>
      </c>
      <c r="G480" s="52">
        <f t="shared" si="19"/>
        <v>-1.2641245404365169E-3</v>
      </c>
    </row>
    <row r="481" spans="1:7" ht="15" customHeight="1" x14ac:dyDescent="0.2">
      <c r="A481" s="19" t="s">
        <v>628</v>
      </c>
      <c r="B481" s="50">
        <v>31.217500000000001</v>
      </c>
      <c r="C481" s="50">
        <v>1802.75</v>
      </c>
      <c r="D481" s="51">
        <v>41239141.589575998</v>
      </c>
      <c r="E481" s="51">
        <v>1903955556</v>
      </c>
      <c r="F481" s="52">
        <f t="shared" si="18"/>
        <v>-7.6331620161973141E-3</v>
      </c>
      <c r="G481" s="52">
        <f t="shared" si="19"/>
        <v>1.4978239973848013E-4</v>
      </c>
    </row>
    <row r="482" spans="1:7" ht="15" customHeight="1" x14ac:dyDescent="0.2">
      <c r="A482" s="19" t="s">
        <v>629</v>
      </c>
      <c r="B482" s="50">
        <v>31.423400000000001</v>
      </c>
      <c r="C482" s="50">
        <v>1807.23</v>
      </c>
      <c r="D482" s="51">
        <v>31109768.291382998</v>
      </c>
      <c r="E482" s="51">
        <v>1451994444</v>
      </c>
      <c r="F482" s="52">
        <f t="shared" si="18"/>
        <v>6.5740032962512034E-3</v>
      </c>
      <c r="G482" s="52">
        <f t="shared" si="19"/>
        <v>2.4820094847459511E-3</v>
      </c>
    </row>
    <row r="483" spans="1:7" ht="15" customHeight="1" x14ac:dyDescent="0.2">
      <c r="A483" s="19" t="s">
        <v>630</v>
      </c>
      <c r="B483" s="50">
        <v>31.867899999999999</v>
      </c>
      <c r="C483" s="50">
        <v>1805.81</v>
      </c>
      <c r="D483" s="51">
        <v>26430107.875771999</v>
      </c>
      <c r="E483" s="51">
        <v>887944444</v>
      </c>
      <c r="F483" s="52">
        <f t="shared" si="18"/>
        <v>1.4046395265762924E-2</v>
      </c>
      <c r="G483" s="52">
        <f t="shared" si="19"/>
        <v>-7.8604171175170024E-4</v>
      </c>
    </row>
    <row r="484" spans="1:7" ht="15" customHeight="1" x14ac:dyDescent="0.2">
      <c r="A484" s="19" t="s">
        <v>631</v>
      </c>
      <c r="B484" s="50">
        <v>32.137500000000003</v>
      </c>
      <c r="C484" s="50">
        <v>1800.9</v>
      </c>
      <c r="D484" s="51">
        <v>51386869.897926003</v>
      </c>
      <c r="E484" s="51">
        <v>1719683333</v>
      </c>
      <c r="F484" s="52">
        <f t="shared" si="18"/>
        <v>8.4243390228307229E-3</v>
      </c>
      <c r="G484" s="52">
        <f t="shared" si="19"/>
        <v>-2.7227046439559808E-3</v>
      </c>
    </row>
    <row r="485" spans="1:7" ht="15" customHeight="1" x14ac:dyDescent="0.2">
      <c r="A485" s="19" t="s">
        <v>632</v>
      </c>
      <c r="B485" s="50">
        <v>32.019399999999997</v>
      </c>
      <c r="C485" s="50">
        <v>1795.15</v>
      </c>
      <c r="D485" s="51">
        <v>62345016.747845002</v>
      </c>
      <c r="E485" s="51">
        <v>1930933333</v>
      </c>
      <c r="F485" s="52">
        <f t="shared" si="18"/>
        <v>-3.6816034875729207E-3</v>
      </c>
      <c r="G485" s="52">
        <f t="shared" si="19"/>
        <v>-3.1979560353162999E-3</v>
      </c>
    </row>
    <row r="486" spans="1:7" ht="15" customHeight="1" x14ac:dyDescent="0.2">
      <c r="A486" s="19" t="s">
        <v>633</v>
      </c>
      <c r="B486" s="50">
        <v>32.547800000000002</v>
      </c>
      <c r="C486" s="50">
        <v>1792.81</v>
      </c>
      <c r="D486" s="51">
        <v>62124209.907144003</v>
      </c>
      <c r="E486" s="51">
        <v>2005855556</v>
      </c>
      <c r="F486" s="52">
        <f t="shared" si="18"/>
        <v>1.6367808940296706E-2</v>
      </c>
      <c r="G486" s="52">
        <f t="shared" si="19"/>
        <v>-1.3043625524062031E-3</v>
      </c>
    </row>
    <row r="487" spans="1:7" ht="15" customHeight="1" x14ac:dyDescent="0.2">
      <c r="A487" s="19" t="s">
        <v>634</v>
      </c>
      <c r="B487" s="50">
        <v>31.760400000000001</v>
      </c>
      <c r="C487" s="50">
        <v>1785.03</v>
      </c>
      <c r="D487" s="51">
        <v>139158024.19981</v>
      </c>
      <c r="E487" s="51">
        <v>1853822222</v>
      </c>
      <c r="F487" s="52">
        <f t="shared" si="18"/>
        <v>-2.4489547286667867E-2</v>
      </c>
      <c r="G487" s="52">
        <f t="shared" si="19"/>
        <v>-4.3489995429874546E-3</v>
      </c>
    </row>
    <row r="488" spans="1:7" ht="15" customHeight="1" x14ac:dyDescent="0.2">
      <c r="A488" s="19" t="s">
        <v>635</v>
      </c>
      <c r="B488" s="50">
        <v>32.0623</v>
      </c>
      <c r="C488" s="50">
        <v>1805.09</v>
      </c>
      <c r="D488" s="51">
        <v>43602846.722599</v>
      </c>
      <c r="E488" s="51">
        <v>1750016667</v>
      </c>
      <c r="F488" s="52">
        <f t="shared" si="18"/>
        <v>9.4606543367051488E-3</v>
      </c>
      <c r="G488" s="52">
        <f t="shared" si="19"/>
        <v>1.1175230224585924E-2</v>
      </c>
    </row>
    <row r="489" spans="1:7" ht="15" customHeight="1" x14ac:dyDescent="0.2">
      <c r="A489" s="19" t="s">
        <v>636</v>
      </c>
      <c r="B489" s="50">
        <v>32.354100000000003</v>
      </c>
      <c r="C489" s="50">
        <v>1808.37</v>
      </c>
      <c r="D489" s="51">
        <v>36222423.887979999</v>
      </c>
      <c r="E489" s="51">
        <v>1738611111</v>
      </c>
      <c r="F489" s="52">
        <f t="shared" si="18"/>
        <v>9.059866615894193E-3</v>
      </c>
      <c r="G489" s="52">
        <f t="shared" si="19"/>
        <v>1.8154350128978636E-3</v>
      </c>
    </row>
    <row r="490" spans="1:7" ht="15" customHeight="1" x14ac:dyDescent="0.2">
      <c r="A490" s="19" t="s">
        <v>637</v>
      </c>
      <c r="B490" s="50">
        <v>31.851400000000002</v>
      </c>
      <c r="C490" s="50">
        <v>1802.62</v>
      </c>
      <c r="D490" s="51">
        <v>45255270.640485004</v>
      </c>
      <c r="E490" s="51">
        <v>1731750000</v>
      </c>
      <c r="F490" s="52">
        <f t="shared" si="18"/>
        <v>-1.5659414614573163E-2</v>
      </c>
      <c r="G490" s="52">
        <f t="shared" si="19"/>
        <v>-3.1847248870443094E-3</v>
      </c>
    </row>
    <row r="491" spans="1:7" ht="15" customHeight="1" x14ac:dyDescent="0.2">
      <c r="A491" s="19" t="s">
        <v>638</v>
      </c>
      <c r="B491" s="50">
        <v>31.4313</v>
      </c>
      <c r="C491" s="50">
        <v>1782.22</v>
      </c>
      <c r="D491" s="51">
        <v>47679122.012998998</v>
      </c>
      <c r="E491" s="51">
        <v>1929022222</v>
      </c>
      <c r="F491" s="52">
        <f t="shared" si="18"/>
        <v>-1.3277125385703657E-2</v>
      </c>
      <c r="G491" s="52">
        <f t="shared" si="19"/>
        <v>-1.1381383944921048E-2</v>
      </c>
    </row>
    <row r="492" spans="1:7" ht="15" customHeight="1" x14ac:dyDescent="0.2">
      <c r="A492" s="19" t="s">
        <v>639</v>
      </c>
      <c r="B492" s="50">
        <v>31.109000000000002</v>
      </c>
      <c r="C492" s="50">
        <v>1775.5</v>
      </c>
      <c r="D492" s="51">
        <v>43085525.791031003</v>
      </c>
      <c r="E492" s="51">
        <v>1837022222</v>
      </c>
      <c r="F492" s="52">
        <f t="shared" si="18"/>
        <v>-1.0307045322613144E-2</v>
      </c>
      <c r="G492" s="52">
        <f t="shared" si="19"/>
        <v>-3.777704817573199E-3</v>
      </c>
    </row>
    <row r="493" spans="1:7" ht="15" customHeight="1" x14ac:dyDescent="0.2">
      <c r="A493" s="19" t="s">
        <v>640</v>
      </c>
      <c r="B493" s="50">
        <v>30.666699999999999</v>
      </c>
      <c r="C493" s="50">
        <v>1775.32</v>
      </c>
      <c r="D493" s="51">
        <v>47945603.424932003</v>
      </c>
      <c r="E493" s="51">
        <v>1700594444</v>
      </c>
      <c r="F493" s="52">
        <f t="shared" si="18"/>
        <v>-1.4319791050911452E-2</v>
      </c>
      <c r="G493" s="52">
        <f t="shared" si="19"/>
        <v>-1.0138503227667498E-4</v>
      </c>
    </row>
    <row r="494" spans="1:7" ht="15" customHeight="1" x14ac:dyDescent="0.2">
      <c r="A494" s="19" t="s">
        <v>641</v>
      </c>
      <c r="B494" s="50">
        <v>30.825800000000001</v>
      </c>
      <c r="C494" s="50">
        <v>1786.54</v>
      </c>
      <c r="D494" s="51">
        <v>37968464.705328003</v>
      </c>
      <c r="E494" s="51">
        <v>1783272222</v>
      </c>
      <c r="F494" s="52">
        <f t="shared" si="18"/>
        <v>5.1746263370337402E-3</v>
      </c>
      <c r="G494" s="52">
        <f t="shared" si="19"/>
        <v>6.3001000102775595E-3</v>
      </c>
    </row>
    <row r="495" spans="1:7" ht="15" customHeight="1" x14ac:dyDescent="0.2">
      <c r="A495" s="19" t="s">
        <v>642</v>
      </c>
      <c r="B495" s="50">
        <v>30.521100000000001</v>
      </c>
      <c r="C495" s="50">
        <v>1781</v>
      </c>
      <c r="D495" s="51">
        <v>54534174.658473998</v>
      </c>
      <c r="E495" s="51">
        <v>1816683333</v>
      </c>
      <c r="F495" s="52">
        <f t="shared" si="18"/>
        <v>-9.9337539674224547E-3</v>
      </c>
      <c r="G495" s="52">
        <f t="shared" si="19"/>
        <v>-3.1057840714818681E-3</v>
      </c>
    </row>
    <row r="496" spans="1:7" ht="15" customHeight="1" x14ac:dyDescent="0.2">
      <c r="A496" s="19" t="s">
        <v>643</v>
      </c>
      <c r="B496" s="50">
        <v>30.571899999999999</v>
      </c>
      <c r="C496" s="50">
        <v>1810.65</v>
      </c>
      <c r="D496" s="51">
        <v>75605036.262957007</v>
      </c>
      <c r="E496" s="51">
        <v>2404316667</v>
      </c>
      <c r="F496" s="52">
        <f t="shared" si="18"/>
        <v>1.6630387019174705E-3</v>
      </c>
      <c r="G496" s="52">
        <f t="shared" si="19"/>
        <v>1.6510892525584176E-2</v>
      </c>
    </row>
    <row r="497" spans="1:7" ht="15" customHeight="1" x14ac:dyDescent="0.2">
      <c r="A497" s="19" t="s">
        <v>644</v>
      </c>
      <c r="B497" s="50">
        <v>30.2974</v>
      </c>
      <c r="C497" s="50">
        <v>1809.6</v>
      </c>
      <c r="D497" s="51">
        <v>40872551.247870997</v>
      </c>
      <c r="E497" s="51">
        <v>1942894444</v>
      </c>
      <c r="F497" s="52">
        <f t="shared" si="18"/>
        <v>-9.0193861556917363E-3</v>
      </c>
      <c r="G497" s="52">
        <f t="shared" si="19"/>
        <v>-5.8007045338986994E-4</v>
      </c>
    </row>
    <row r="498" spans="1:7" ht="15" customHeight="1" x14ac:dyDescent="0.2">
      <c r="A498" s="19" t="s">
        <v>645</v>
      </c>
      <c r="B498" s="50">
        <v>30.7575</v>
      </c>
      <c r="C498" s="50">
        <v>1818.32</v>
      </c>
      <c r="D498" s="51">
        <v>74957073.075654998</v>
      </c>
      <c r="E498" s="51">
        <v>2832055556</v>
      </c>
      <c r="F498" s="52">
        <f t="shared" si="18"/>
        <v>1.5071966699488423E-2</v>
      </c>
      <c r="G498" s="52">
        <f t="shared" si="19"/>
        <v>4.8071714880478693E-3</v>
      </c>
    </row>
    <row r="499" spans="1:7" ht="15" customHeight="1" x14ac:dyDescent="0.2">
      <c r="A499" s="19" t="s">
        <v>646</v>
      </c>
      <c r="B499" s="50">
        <v>30.606000000000002</v>
      </c>
      <c r="C499" s="50">
        <v>1827.99</v>
      </c>
      <c r="D499" s="51">
        <v>30035023.474890999</v>
      </c>
      <c r="E499" s="51">
        <v>1584188889</v>
      </c>
      <c r="F499" s="52">
        <f t="shared" si="18"/>
        <v>-4.9377987833424631E-3</v>
      </c>
      <c r="G499" s="52">
        <f t="shared" si="19"/>
        <v>5.3040046897099881E-3</v>
      </c>
    </row>
    <row r="500" spans="1:7" ht="15" customHeight="1" x14ac:dyDescent="0.2">
      <c r="A500" s="19" t="s">
        <v>647</v>
      </c>
      <c r="B500" s="50">
        <v>30.9909</v>
      </c>
      <c r="C500" s="50">
        <v>1833.32</v>
      </c>
      <c r="D500" s="51">
        <v>17041042.058493</v>
      </c>
      <c r="E500" s="51">
        <v>726461111</v>
      </c>
      <c r="F500" s="52">
        <f t="shared" si="18"/>
        <v>1.2497544835443469E-2</v>
      </c>
      <c r="G500" s="52">
        <f t="shared" si="19"/>
        <v>2.9115282591196121E-3</v>
      </c>
    </row>
    <row r="501" spans="1:7" ht="15" customHeight="1" x14ac:dyDescent="0.2">
      <c r="A501" s="19" t="s">
        <v>648</v>
      </c>
      <c r="B501" s="50">
        <v>31.291699999999999</v>
      </c>
      <c r="C501" s="50">
        <v>1842.02</v>
      </c>
      <c r="D501" s="51">
        <v>21073445.721262999</v>
      </c>
      <c r="E501" s="51">
        <v>1101261111</v>
      </c>
      <c r="F501" s="52">
        <f t="shared" si="18"/>
        <v>9.6592736576718852E-3</v>
      </c>
      <c r="G501" s="52">
        <f t="shared" si="19"/>
        <v>4.7342647208743665E-3</v>
      </c>
    </row>
    <row r="502" spans="1:7" ht="15" customHeight="1" x14ac:dyDescent="0.2">
      <c r="A502" s="19" t="s">
        <v>649</v>
      </c>
      <c r="B502" s="50">
        <v>31.1678</v>
      </c>
      <c r="C502" s="50">
        <v>1841.4</v>
      </c>
      <c r="D502" s="51">
        <v>17424361.587276999</v>
      </c>
      <c r="E502" s="51">
        <v>1140511111</v>
      </c>
      <c r="F502" s="52">
        <f t="shared" si="18"/>
        <v>-3.9673760602057144E-3</v>
      </c>
      <c r="G502" s="52">
        <f t="shared" si="19"/>
        <v>-3.3664366586225631E-4</v>
      </c>
    </row>
    <row r="503" spans="1:7" ht="15" customHeight="1" x14ac:dyDescent="0.2">
      <c r="A503" s="19" t="s">
        <v>650</v>
      </c>
      <c r="B503" s="50">
        <v>31.1678</v>
      </c>
      <c r="C503" s="50">
        <v>1841.07</v>
      </c>
      <c r="D503" s="51">
        <v>19478152.898683999</v>
      </c>
      <c r="E503" s="51">
        <v>1274366667</v>
      </c>
      <c r="F503" s="52">
        <f t="shared" si="18"/>
        <v>0</v>
      </c>
      <c r="G503" s="52">
        <f t="shared" si="19"/>
        <v>-1.7922752982837381E-4</v>
      </c>
    </row>
    <row r="504" spans="1:7" ht="15" customHeight="1" x14ac:dyDescent="0.2">
      <c r="A504" s="19" t="s">
        <v>651</v>
      </c>
      <c r="B504" s="50">
        <v>31.269200000000001</v>
      </c>
      <c r="C504" s="50">
        <v>1848.36</v>
      </c>
      <c r="D504" s="51">
        <v>20943124.944398999</v>
      </c>
      <c r="E504" s="51">
        <v>1284911111</v>
      </c>
      <c r="F504" s="52">
        <f t="shared" si="18"/>
        <v>3.2480769142502006E-3</v>
      </c>
      <c r="G504" s="52">
        <f t="shared" si="19"/>
        <v>3.9518351004493735E-3</v>
      </c>
    </row>
    <row r="505" spans="1:7" ht="15" customHeight="1" x14ac:dyDescent="0.2">
      <c r="A505" s="19" t="s">
        <v>652</v>
      </c>
      <c r="B505" s="50">
        <v>31.060099999999998</v>
      </c>
      <c r="C505" s="50">
        <v>1831.98</v>
      </c>
      <c r="D505" s="51">
        <v>36663608.589617997</v>
      </c>
      <c r="E505" s="51">
        <v>1711444444</v>
      </c>
      <c r="F505" s="52">
        <f t="shared" si="18"/>
        <v>-6.7095502256300631E-3</v>
      </c>
      <c r="G505" s="52">
        <f t="shared" si="19"/>
        <v>-8.9014102804498407E-3</v>
      </c>
    </row>
    <row r="506" spans="1:7" ht="15" customHeight="1" x14ac:dyDescent="0.2">
      <c r="A506" s="19" t="s">
        <v>653</v>
      </c>
      <c r="B506" s="50">
        <v>30.850200000000001</v>
      </c>
      <c r="C506" s="50">
        <v>1831.37</v>
      </c>
      <c r="D506" s="51">
        <v>37251245.345452003</v>
      </c>
      <c r="E506" s="51">
        <v>1541261111</v>
      </c>
      <c r="F506" s="52">
        <f t="shared" si="18"/>
        <v>-6.7808039778200803E-3</v>
      </c>
      <c r="G506" s="52">
        <f t="shared" si="19"/>
        <v>-3.3302851523223272E-4</v>
      </c>
    </row>
    <row r="507" spans="1:7" ht="15" customHeight="1" x14ac:dyDescent="0.2">
      <c r="A507" s="19" t="s">
        <v>654</v>
      </c>
      <c r="B507" s="50">
        <v>30.197900000000001</v>
      </c>
      <c r="C507" s="50">
        <v>1826.77</v>
      </c>
      <c r="D507" s="51">
        <v>52179125.907135002</v>
      </c>
      <c r="E507" s="51">
        <v>1830472222</v>
      </c>
      <c r="F507" s="52">
        <f t="shared" si="18"/>
        <v>-2.1370847773340501E-2</v>
      </c>
      <c r="G507" s="52">
        <f t="shared" si="19"/>
        <v>-2.514940611652187E-3</v>
      </c>
    </row>
    <row r="508" spans="1:7" ht="15" customHeight="1" x14ac:dyDescent="0.2">
      <c r="A508" s="19" t="s">
        <v>655</v>
      </c>
      <c r="B508" s="50">
        <v>30.433199999999999</v>
      </c>
      <c r="C508" s="50">
        <v>1837.88</v>
      </c>
      <c r="D508" s="51">
        <v>42957190.197384</v>
      </c>
      <c r="E508" s="51">
        <v>1950972222</v>
      </c>
      <c r="F508" s="52">
        <f t="shared" si="18"/>
        <v>7.7617322229943048E-3</v>
      </c>
      <c r="G508" s="52">
        <f t="shared" si="19"/>
        <v>6.0633534103130306E-3</v>
      </c>
    </row>
    <row r="509" spans="1:7" ht="15" customHeight="1" x14ac:dyDescent="0.2">
      <c r="A509" s="19" t="s">
        <v>656</v>
      </c>
      <c r="B509" s="50">
        <v>29.886099999999999</v>
      </c>
      <c r="C509" s="50">
        <v>1837.49</v>
      </c>
      <c r="D509" s="51">
        <v>71760769.406638995</v>
      </c>
      <c r="E509" s="51">
        <v>2028966667</v>
      </c>
      <c r="F509" s="52">
        <f t="shared" si="18"/>
        <v>-1.8140628400287816E-2</v>
      </c>
      <c r="G509" s="52">
        <f t="shared" si="19"/>
        <v>-2.1222353203285233E-4</v>
      </c>
    </row>
    <row r="510" spans="1:7" ht="15" customHeight="1" x14ac:dyDescent="0.2">
      <c r="A510" s="19" t="s">
        <v>657</v>
      </c>
      <c r="B510" s="50">
        <v>29.694800000000001</v>
      </c>
      <c r="C510" s="50">
        <v>1838.13</v>
      </c>
      <c r="D510" s="51">
        <v>43692342.754375003</v>
      </c>
      <c r="E510" s="51">
        <v>1989527778</v>
      </c>
      <c r="F510" s="52">
        <f t="shared" si="18"/>
        <v>-6.4215430573739485E-3</v>
      </c>
      <c r="G510" s="52">
        <f t="shared" si="19"/>
        <v>3.4824057245738698E-4</v>
      </c>
    </row>
    <row r="511" spans="1:7" ht="15" customHeight="1" x14ac:dyDescent="0.2">
      <c r="A511" s="19" t="s">
        <v>658</v>
      </c>
      <c r="B511" s="50">
        <v>30.1205</v>
      </c>
      <c r="C511" s="50">
        <v>1842.37</v>
      </c>
      <c r="D511" s="51">
        <v>48520378.978312999</v>
      </c>
      <c r="E511" s="51">
        <v>1853172222</v>
      </c>
      <c r="F511" s="52">
        <f t="shared" si="18"/>
        <v>1.423405675496796E-2</v>
      </c>
      <c r="G511" s="52">
        <f t="shared" si="19"/>
        <v>2.3040357971461523E-3</v>
      </c>
    </row>
    <row r="512" spans="1:7" ht="15" customHeight="1" x14ac:dyDescent="0.2">
      <c r="A512" s="19" t="s">
        <v>659</v>
      </c>
      <c r="B512" s="50">
        <v>29.235600000000002</v>
      </c>
      <c r="C512" s="50">
        <v>1819.2</v>
      </c>
      <c r="D512" s="51">
        <v>54928621.041918002</v>
      </c>
      <c r="E512" s="51">
        <v>1995194444</v>
      </c>
      <c r="F512" s="52">
        <f t="shared" si="18"/>
        <v>-2.9818858297175985E-2</v>
      </c>
      <c r="G512" s="52">
        <f t="shared" si="19"/>
        <v>-1.2655942268644282E-2</v>
      </c>
    </row>
    <row r="513" spans="1:7" ht="15" customHeight="1" x14ac:dyDescent="0.2">
      <c r="A513" s="19" t="s">
        <v>660</v>
      </c>
      <c r="B513" s="50">
        <v>29.9039</v>
      </c>
      <c r="C513" s="50">
        <v>1838.88</v>
      </c>
      <c r="D513" s="51">
        <v>49803333.578114003</v>
      </c>
      <c r="E513" s="51">
        <v>1862927778</v>
      </c>
      <c r="F513" s="52">
        <f t="shared" si="18"/>
        <v>2.2601761911034614E-2</v>
      </c>
      <c r="G513" s="52">
        <f t="shared" si="19"/>
        <v>1.075984662417709E-2</v>
      </c>
    </row>
    <row r="514" spans="1:7" ht="15" customHeight="1" x14ac:dyDescent="0.2">
      <c r="A514" s="19" t="s">
        <v>661</v>
      </c>
      <c r="B514" s="50">
        <v>30.724299999999999</v>
      </c>
      <c r="C514" s="50">
        <v>1848.38</v>
      </c>
      <c r="D514" s="51">
        <v>53699531.557819001</v>
      </c>
      <c r="E514" s="51">
        <v>2098777778</v>
      </c>
      <c r="F514" s="52">
        <f t="shared" si="18"/>
        <v>2.7064965768991454E-2</v>
      </c>
      <c r="G514" s="52">
        <f t="shared" si="19"/>
        <v>5.1528891483296332E-3</v>
      </c>
    </row>
    <row r="515" spans="1:7" ht="15" customHeight="1" x14ac:dyDescent="0.2">
      <c r="A515" s="19" t="s">
        <v>662</v>
      </c>
      <c r="B515" s="50">
        <v>30.8337</v>
      </c>
      <c r="C515" s="50">
        <v>1845.89</v>
      </c>
      <c r="D515" s="51">
        <v>45490122.217316002</v>
      </c>
      <c r="E515" s="51">
        <v>1939616667</v>
      </c>
      <c r="F515" s="52">
        <f t="shared" si="18"/>
        <v>3.5543752290894581E-3</v>
      </c>
      <c r="G515" s="52">
        <f t="shared" si="19"/>
        <v>-1.3480337804588889E-3</v>
      </c>
    </row>
    <row r="516" spans="1:7" ht="15" customHeight="1" x14ac:dyDescent="0.2">
      <c r="A516" s="19" t="s">
        <v>663</v>
      </c>
      <c r="B516" s="50">
        <v>30.407800000000002</v>
      </c>
      <c r="C516" s="50">
        <v>1838.7</v>
      </c>
      <c r="D516" s="51">
        <v>55393869.563206002</v>
      </c>
      <c r="E516" s="51">
        <v>2014511111</v>
      </c>
      <c r="F516" s="52">
        <f t="shared" si="18"/>
        <v>-1.3909093222657992E-2</v>
      </c>
      <c r="G516" s="52">
        <f t="shared" si="19"/>
        <v>-3.9027458285236156E-3</v>
      </c>
    </row>
    <row r="517" spans="1:7" ht="15" customHeight="1" x14ac:dyDescent="0.2">
      <c r="A517" s="19" t="s">
        <v>664</v>
      </c>
      <c r="B517" s="50">
        <v>30.23</v>
      </c>
      <c r="C517" s="50">
        <v>1843.8</v>
      </c>
      <c r="D517" s="51">
        <v>37779751.489308</v>
      </c>
      <c r="E517" s="51">
        <v>2101372222</v>
      </c>
      <c r="F517" s="52">
        <f t="shared" si="18"/>
        <v>-5.8643456574290704E-3</v>
      </c>
      <c r="G517" s="52">
        <f t="shared" si="19"/>
        <v>2.7698592046981876E-3</v>
      </c>
    </row>
    <row r="518" spans="1:7" ht="15" customHeight="1" x14ac:dyDescent="0.2">
      <c r="A518" s="19" t="s">
        <v>665</v>
      </c>
      <c r="B518" s="50">
        <v>30.0288</v>
      </c>
      <c r="C518" s="50">
        <v>1844.86</v>
      </c>
      <c r="D518" s="51">
        <v>26271129.407628998</v>
      </c>
      <c r="E518" s="51">
        <v>1874538889</v>
      </c>
      <c r="F518" s="52">
        <f t="shared" ref="F518:F581" si="20">LN(B518/B517)</f>
        <v>-6.6778876345114655E-3</v>
      </c>
      <c r="G518" s="52">
        <f t="shared" ref="G518:G581" si="21">LN(C518/C517)</f>
        <v>5.747344722354488E-4</v>
      </c>
    </row>
    <row r="519" spans="1:7" ht="15" customHeight="1" x14ac:dyDescent="0.2">
      <c r="A519" s="19" t="s">
        <v>666</v>
      </c>
      <c r="B519" s="50">
        <v>30.138300000000001</v>
      </c>
      <c r="C519" s="50">
        <v>1828.46</v>
      </c>
      <c r="D519" s="51">
        <v>53134961.422844999</v>
      </c>
      <c r="E519" s="51">
        <v>2206805556</v>
      </c>
      <c r="F519" s="52">
        <f t="shared" si="20"/>
        <v>3.6398670001957069E-3</v>
      </c>
      <c r="G519" s="52">
        <f t="shared" si="21"/>
        <v>-8.9293113410991373E-3</v>
      </c>
    </row>
    <row r="520" spans="1:7" ht="15" customHeight="1" x14ac:dyDescent="0.2">
      <c r="A520" s="19" t="s">
        <v>667</v>
      </c>
      <c r="B520" s="50">
        <v>30.7652</v>
      </c>
      <c r="C520" s="50">
        <v>1790.29</v>
      </c>
      <c r="D520" s="51">
        <v>92179917.578272</v>
      </c>
      <c r="E520" s="51">
        <v>2565805556</v>
      </c>
      <c r="F520" s="52">
        <f t="shared" si="20"/>
        <v>2.0587392908144951E-2</v>
      </c>
      <c r="G520" s="52">
        <f t="shared" si="21"/>
        <v>-2.109646461003822E-2</v>
      </c>
    </row>
    <row r="521" spans="1:7" ht="15" customHeight="1" x14ac:dyDescent="0.2">
      <c r="A521" s="19" t="s">
        <v>668</v>
      </c>
      <c r="B521" s="50">
        <v>30.113600000000002</v>
      </c>
      <c r="C521" s="50">
        <v>1781.56</v>
      </c>
      <c r="D521" s="51">
        <v>53215165.281921998</v>
      </c>
      <c r="E521" s="51">
        <v>2247333333</v>
      </c>
      <c r="F521" s="52">
        <f t="shared" si="20"/>
        <v>-2.1407284111033223E-2</v>
      </c>
      <c r="G521" s="52">
        <f t="shared" si="21"/>
        <v>-4.8882329232613157E-3</v>
      </c>
    </row>
    <row r="522" spans="1:7" ht="15" customHeight="1" x14ac:dyDescent="0.2">
      <c r="A522" s="19" t="s">
        <v>669</v>
      </c>
      <c r="B522" s="50">
        <v>30.315000000000001</v>
      </c>
      <c r="C522" s="50">
        <v>1792.5</v>
      </c>
      <c r="D522" s="51">
        <v>43341304.208981</v>
      </c>
      <c r="E522" s="51">
        <v>1909905556</v>
      </c>
      <c r="F522" s="52">
        <f t="shared" si="20"/>
        <v>6.6657425695314382E-3</v>
      </c>
      <c r="G522" s="52">
        <f t="shared" si="21"/>
        <v>6.121908511444599E-3</v>
      </c>
    </row>
    <row r="523" spans="1:7" ht="15" customHeight="1" x14ac:dyDescent="0.2">
      <c r="A523" s="19" t="s">
        <v>670</v>
      </c>
      <c r="B523" s="50">
        <v>30.639099999999999</v>
      </c>
      <c r="C523" s="50">
        <v>1774.2</v>
      </c>
      <c r="D523" s="51">
        <v>63154042.896857001</v>
      </c>
      <c r="E523" s="51">
        <v>2202233333</v>
      </c>
      <c r="F523" s="52">
        <f t="shared" si="20"/>
        <v>1.0634331549144362E-2</v>
      </c>
      <c r="G523" s="52">
        <f t="shared" si="21"/>
        <v>-1.0261676387288874E-2</v>
      </c>
    </row>
    <row r="524" spans="1:7" ht="15" customHeight="1" x14ac:dyDescent="0.2">
      <c r="A524" s="19" t="s">
        <v>671</v>
      </c>
      <c r="B524" s="50">
        <v>30.808299999999999</v>
      </c>
      <c r="C524" s="50">
        <v>1794.19</v>
      </c>
      <c r="D524" s="51">
        <v>41991947.841352001</v>
      </c>
      <c r="E524" s="51">
        <v>1970838889</v>
      </c>
      <c r="F524" s="52">
        <f t="shared" si="20"/>
        <v>5.5071631228174166E-3</v>
      </c>
      <c r="G524" s="52">
        <f t="shared" si="21"/>
        <v>1.1204049508506285E-2</v>
      </c>
    </row>
    <row r="525" spans="1:7" ht="15" customHeight="1" x14ac:dyDescent="0.2">
      <c r="A525" s="19" t="s">
        <v>672</v>
      </c>
      <c r="B525" s="50">
        <v>31.626799999999999</v>
      </c>
      <c r="C525" s="50">
        <v>1782.59</v>
      </c>
      <c r="D525" s="51">
        <v>111488262.06139</v>
      </c>
      <c r="E525" s="51">
        <v>2255383333</v>
      </c>
      <c r="F525" s="52">
        <f t="shared" si="20"/>
        <v>2.6220728228365062E-2</v>
      </c>
      <c r="G525" s="52">
        <f t="shared" si="21"/>
        <v>-6.4863036975730442E-3</v>
      </c>
    </row>
    <row r="526" spans="1:7" ht="15" customHeight="1" x14ac:dyDescent="0.2">
      <c r="A526" s="19" t="s">
        <v>673</v>
      </c>
      <c r="B526" s="50">
        <v>30.489899999999999</v>
      </c>
      <c r="C526" s="50">
        <v>1741.89</v>
      </c>
      <c r="D526" s="51">
        <v>76688679.082194999</v>
      </c>
      <c r="E526" s="51">
        <v>2625577778</v>
      </c>
      <c r="F526" s="52">
        <f t="shared" si="20"/>
        <v>-3.6609381193092982E-2</v>
      </c>
      <c r="G526" s="52">
        <f t="shared" si="21"/>
        <v>-2.3096632288166549E-2</v>
      </c>
    </row>
    <row r="527" spans="1:7" ht="15" customHeight="1" x14ac:dyDescent="0.2">
      <c r="A527" s="19" t="s">
        <v>674</v>
      </c>
      <c r="B527" s="50">
        <v>30.381399999999999</v>
      </c>
      <c r="C527" s="50">
        <v>1755.2</v>
      </c>
      <c r="D527" s="51">
        <v>65450548.707783997</v>
      </c>
      <c r="E527" s="51">
        <v>2260227778</v>
      </c>
      <c r="F527" s="52">
        <f t="shared" si="20"/>
        <v>-3.5649021757789404E-3</v>
      </c>
      <c r="G527" s="52">
        <f t="shared" si="21"/>
        <v>7.6120799117127824E-3</v>
      </c>
    </row>
    <row r="528" spans="1:7" ht="15" customHeight="1" x14ac:dyDescent="0.2">
      <c r="A528" s="19" t="s">
        <v>675</v>
      </c>
      <c r="B528" s="50">
        <v>29.9389</v>
      </c>
      <c r="C528" s="50">
        <v>1751.64</v>
      </c>
      <c r="D528" s="51">
        <v>66800214.268466003</v>
      </c>
      <c r="E528" s="51">
        <v>2213494444</v>
      </c>
      <c r="F528" s="52">
        <f t="shared" si="20"/>
        <v>-1.467194088556305E-2</v>
      </c>
      <c r="G528" s="52">
        <f t="shared" si="21"/>
        <v>-2.0303185904787225E-3</v>
      </c>
    </row>
    <row r="529" spans="1:7" ht="15" customHeight="1" x14ac:dyDescent="0.2">
      <c r="A529" s="19" t="s">
        <v>676</v>
      </c>
      <c r="B529" s="50">
        <v>30.239000000000001</v>
      </c>
      <c r="C529" s="50">
        <v>1773.43</v>
      </c>
      <c r="D529" s="51">
        <v>42319481.571758002</v>
      </c>
      <c r="E529" s="51">
        <v>2125227778</v>
      </c>
      <c r="F529" s="52">
        <f t="shared" si="20"/>
        <v>9.9738438118932553E-3</v>
      </c>
      <c r="G529" s="52">
        <f t="shared" si="21"/>
        <v>1.2363032529603139E-2</v>
      </c>
    </row>
    <row r="530" spans="1:7" ht="15" customHeight="1" x14ac:dyDescent="0.2">
      <c r="A530" s="19" t="s">
        <v>677</v>
      </c>
      <c r="B530" s="50">
        <v>30.555199999999999</v>
      </c>
      <c r="C530" s="50">
        <v>1797.02</v>
      </c>
      <c r="D530" s="51">
        <v>39891650.618450999</v>
      </c>
      <c r="E530" s="51">
        <v>2097772222</v>
      </c>
      <c r="F530" s="52">
        <f t="shared" si="20"/>
        <v>1.0402401917533357E-2</v>
      </c>
      <c r="G530" s="52">
        <f t="shared" si="21"/>
        <v>1.3214212922079903E-2</v>
      </c>
    </row>
    <row r="531" spans="1:7" ht="15" customHeight="1" x14ac:dyDescent="0.2">
      <c r="A531" s="19" t="s">
        <v>678</v>
      </c>
      <c r="B531" s="50">
        <v>30.7575</v>
      </c>
      <c r="C531" s="50">
        <v>1799.84</v>
      </c>
      <c r="D531" s="51">
        <v>32043415.622124001</v>
      </c>
      <c r="E531" s="51">
        <v>1840088889</v>
      </c>
      <c r="F531" s="52">
        <f t="shared" si="20"/>
        <v>6.5989830531745014E-3</v>
      </c>
      <c r="G531" s="52">
        <f t="shared" si="21"/>
        <v>1.5680346623456046E-3</v>
      </c>
    </row>
    <row r="532" spans="1:7" ht="15" customHeight="1" x14ac:dyDescent="0.2">
      <c r="A532" s="19" t="s">
        <v>679</v>
      </c>
      <c r="B532" s="50">
        <v>31.0671</v>
      </c>
      <c r="C532" s="50">
        <v>1819.75</v>
      </c>
      <c r="D532" s="51">
        <v>38476020.460253</v>
      </c>
      <c r="E532" s="51">
        <v>2055211111</v>
      </c>
      <c r="F532" s="52">
        <f t="shared" si="20"/>
        <v>1.001551447182342E-2</v>
      </c>
      <c r="G532" s="52">
        <f t="shared" si="21"/>
        <v>1.1001356953851574E-2</v>
      </c>
    </row>
    <row r="533" spans="1:7" ht="15" customHeight="1" x14ac:dyDescent="0.2">
      <c r="A533" s="19" t="s">
        <v>680</v>
      </c>
      <c r="B533" s="50">
        <v>31.318100000000001</v>
      </c>
      <c r="C533" s="50">
        <v>1819.26</v>
      </c>
      <c r="D533" s="51">
        <v>32370462.015133001</v>
      </c>
      <c r="E533" s="51">
        <v>1847988889</v>
      </c>
      <c r="F533" s="52">
        <f t="shared" si="20"/>
        <v>8.0468237460619655E-3</v>
      </c>
      <c r="G533" s="52">
        <f t="shared" si="21"/>
        <v>-2.6930401563143885E-4</v>
      </c>
    </row>
    <row r="534" spans="1:7" ht="15" customHeight="1" x14ac:dyDescent="0.2">
      <c r="A534" s="19" t="s">
        <v>681</v>
      </c>
      <c r="B534" s="50">
        <v>31.4313</v>
      </c>
      <c r="C534" s="50">
        <v>1829.83</v>
      </c>
      <c r="D534" s="51">
        <v>45040753.114116997</v>
      </c>
      <c r="E534" s="51">
        <v>1827505556</v>
      </c>
      <c r="F534" s="52">
        <f t="shared" si="20"/>
        <v>3.6080065403137039E-3</v>
      </c>
      <c r="G534" s="52">
        <f t="shared" si="21"/>
        <v>5.7932413627504236E-3</v>
      </c>
    </row>
    <row r="535" spans="1:7" ht="15" customHeight="1" x14ac:dyDescent="0.2">
      <c r="A535" s="19" t="s">
        <v>682</v>
      </c>
      <c r="B535" s="50">
        <v>31.440200000000001</v>
      </c>
      <c r="C535" s="50">
        <v>1838.63</v>
      </c>
      <c r="D535" s="51">
        <v>51431221.696225002</v>
      </c>
      <c r="E535" s="51">
        <v>1730416667</v>
      </c>
      <c r="F535" s="52">
        <f t="shared" si="20"/>
        <v>2.831171535417024E-4</v>
      </c>
      <c r="G535" s="52">
        <f t="shared" si="21"/>
        <v>4.7976627138052634E-3</v>
      </c>
    </row>
    <row r="536" spans="1:7" ht="15" customHeight="1" x14ac:dyDescent="0.2">
      <c r="A536" s="19" t="s">
        <v>683</v>
      </c>
      <c r="B536" s="50">
        <v>31.511299999999999</v>
      </c>
      <c r="C536" s="50">
        <v>1840.76</v>
      </c>
      <c r="D536" s="51">
        <v>38993219.557471</v>
      </c>
      <c r="E536" s="51">
        <v>1900616667</v>
      </c>
      <c r="F536" s="52">
        <f t="shared" si="20"/>
        <v>2.258882798109985E-3</v>
      </c>
      <c r="G536" s="52">
        <f t="shared" si="21"/>
        <v>1.1578007430249318E-3</v>
      </c>
    </row>
    <row r="537" spans="1:7" ht="15" customHeight="1" x14ac:dyDescent="0.2">
      <c r="A537" s="19" t="s">
        <v>684</v>
      </c>
      <c r="B537" s="50">
        <v>31.587800000000001</v>
      </c>
      <c r="C537" s="50">
        <v>1828.75</v>
      </c>
      <c r="D537" s="51">
        <v>35378926.808752999</v>
      </c>
      <c r="E537" s="51">
        <v>2034205556</v>
      </c>
      <c r="F537" s="52">
        <f t="shared" si="20"/>
        <v>2.4247584349543693E-3</v>
      </c>
      <c r="G537" s="52">
        <f t="shared" si="21"/>
        <v>-6.5458564679824966E-3</v>
      </c>
    </row>
    <row r="538" spans="1:7" ht="15" customHeight="1" x14ac:dyDescent="0.2">
      <c r="A538" s="19" t="s">
        <v>685</v>
      </c>
      <c r="B538" s="50">
        <v>31.7879</v>
      </c>
      <c r="C538" s="50">
        <v>1839.78</v>
      </c>
      <c r="D538" s="51">
        <v>32690996.925289001</v>
      </c>
      <c r="E538" s="51">
        <v>1891655556</v>
      </c>
      <c r="F538" s="52">
        <f t="shared" si="20"/>
        <v>6.3147441347944913E-3</v>
      </c>
      <c r="G538" s="52">
        <f t="shared" si="21"/>
        <v>6.0133259028154577E-3</v>
      </c>
    </row>
    <row r="539" spans="1:7" ht="15" customHeight="1" x14ac:dyDescent="0.2">
      <c r="A539" s="19" t="s">
        <v>686</v>
      </c>
      <c r="B539" s="50">
        <v>31.982199999999999</v>
      </c>
      <c r="C539" s="50">
        <v>1836.25</v>
      </c>
      <c r="D539" s="51">
        <v>45230549.529642001</v>
      </c>
      <c r="E539" s="51">
        <v>1891044444</v>
      </c>
      <c r="F539" s="52">
        <f t="shared" si="20"/>
        <v>6.0937838035140263E-3</v>
      </c>
      <c r="G539" s="52">
        <f t="shared" si="21"/>
        <v>-1.9205507490625245E-3</v>
      </c>
    </row>
    <row r="540" spans="1:7" ht="15" customHeight="1" x14ac:dyDescent="0.2">
      <c r="A540" s="19" t="s">
        <v>687</v>
      </c>
      <c r="B540" s="50">
        <v>31.740100000000002</v>
      </c>
      <c r="C540" s="50">
        <v>1847.61</v>
      </c>
      <c r="D540" s="51">
        <v>38169561.000765003</v>
      </c>
      <c r="E540" s="51">
        <v>2230294444</v>
      </c>
      <c r="F540" s="52">
        <f t="shared" si="20"/>
        <v>-7.5986323433871288E-3</v>
      </c>
      <c r="G540" s="52">
        <f t="shared" si="21"/>
        <v>6.167463480648212E-3</v>
      </c>
    </row>
    <row r="541" spans="1:7" ht="15" customHeight="1" x14ac:dyDescent="0.2">
      <c r="A541" s="19" t="s">
        <v>688</v>
      </c>
      <c r="B541" s="50">
        <v>31.6111</v>
      </c>
      <c r="C541" s="50">
        <v>1845.12</v>
      </c>
      <c r="D541" s="51">
        <v>36649737.902558997</v>
      </c>
      <c r="E541" s="51">
        <v>1953088889</v>
      </c>
      <c r="F541" s="52">
        <f t="shared" si="20"/>
        <v>-4.0725409556580175E-3</v>
      </c>
      <c r="G541" s="52">
        <f t="shared" si="21"/>
        <v>-1.3485959587527492E-3</v>
      </c>
    </row>
    <row r="542" spans="1:7" ht="15" customHeight="1" x14ac:dyDescent="0.2">
      <c r="A542" s="19" t="s">
        <v>689</v>
      </c>
      <c r="B542" s="50">
        <v>31.555399999999999</v>
      </c>
      <c r="C542" s="50">
        <v>1845.16</v>
      </c>
      <c r="D542" s="51">
        <v>48739993.070978001</v>
      </c>
      <c r="E542" s="51">
        <v>2064850000</v>
      </c>
      <c r="F542" s="52">
        <f t="shared" si="20"/>
        <v>-1.7635935008841503E-3</v>
      </c>
      <c r="G542" s="52">
        <f t="shared" si="21"/>
        <v>2.1678571816661324E-5</v>
      </c>
    </row>
    <row r="543" spans="1:7" ht="15" customHeight="1" x14ac:dyDescent="0.2">
      <c r="A543" s="19" t="s">
        <v>690</v>
      </c>
      <c r="B543" s="50">
        <v>31.881699999999999</v>
      </c>
      <c r="C543" s="50">
        <v>1854.29</v>
      </c>
      <c r="D543" s="51">
        <v>40263351.859903999</v>
      </c>
      <c r="E543" s="51">
        <v>1970811111</v>
      </c>
      <c r="F543" s="52">
        <f t="shared" si="20"/>
        <v>1.0287446233549586E-2</v>
      </c>
      <c r="G543" s="52">
        <f t="shared" si="21"/>
        <v>4.9358788663713881E-3</v>
      </c>
    </row>
    <row r="544" spans="1:7" ht="15" customHeight="1" x14ac:dyDescent="0.2">
      <c r="A544" s="19" t="s">
        <v>691</v>
      </c>
      <c r="B544" s="50">
        <v>32.258699999999997</v>
      </c>
      <c r="C544" s="50">
        <v>1859.45</v>
      </c>
      <c r="D544" s="51">
        <v>48945223.543736003</v>
      </c>
      <c r="E544" s="51">
        <v>2176361111</v>
      </c>
      <c r="F544" s="52">
        <f t="shared" si="20"/>
        <v>1.1755596834027241E-2</v>
      </c>
      <c r="G544" s="52">
        <f t="shared" si="21"/>
        <v>2.778871606797594E-3</v>
      </c>
    </row>
    <row r="545" spans="1:7" ht="15" customHeight="1" x14ac:dyDescent="0.2">
      <c r="A545" s="19" t="s">
        <v>692</v>
      </c>
      <c r="B545" s="50">
        <v>31.811199999999999</v>
      </c>
      <c r="C545" s="50">
        <v>1845.73</v>
      </c>
      <c r="D545" s="51">
        <v>35301496.472797997</v>
      </c>
      <c r="E545" s="51">
        <v>1904566667</v>
      </c>
      <c r="F545" s="52">
        <f t="shared" si="20"/>
        <v>-1.3969345267259358E-2</v>
      </c>
      <c r="G545" s="52">
        <f t="shared" si="21"/>
        <v>-7.4058818780435871E-3</v>
      </c>
    </row>
    <row r="546" spans="1:7" ht="15" customHeight="1" x14ac:dyDescent="0.2">
      <c r="A546" s="19" t="s">
        <v>693</v>
      </c>
      <c r="B546" s="50">
        <v>32.344900000000003</v>
      </c>
      <c r="C546" s="50">
        <v>1873.91</v>
      </c>
      <c r="D546" s="51">
        <v>31900968.744174</v>
      </c>
      <c r="E546" s="51">
        <v>2092094444</v>
      </c>
      <c r="F546" s="52">
        <f t="shared" si="20"/>
        <v>1.6637928787525937E-2</v>
      </c>
      <c r="G546" s="52">
        <f t="shared" si="21"/>
        <v>1.5152293854515365E-2</v>
      </c>
    </row>
    <row r="547" spans="1:7" ht="15" customHeight="1" x14ac:dyDescent="0.2">
      <c r="A547" s="19" t="s">
        <v>694</v>
      </c>
      <c r="B547" s="50">
        <v>32.092700000000001</v>
      </c>
      <c r="C547" s="50">
        <v>1873.81</v>
      </c>
      <c r="D547" s="51">
        <v>24368740.310731001</v>
      </c>
      <c r="E547" s="51">
        <v>1884994444</v>
      </c>
      <c r="F547" s="52">
        <f t="shared" si="20"/>
        <v>-7.8277678800224935E-3</v>
      </c>
      <c r="G547" s="52">
        <f t="shared" si="21"/>
        <v>-5.3365779740162576E-5</v>
      </c>
    </row>
    <row r="548" spans="1:7" ht="15" customHeight="1" x14ac:dyDescent="0.2">
      <c r="A548" s="19" t="s">
        <v>695</v>
      </c>
      <c r="B548" s="50">
        <v>32.126800000000003</v>
      </c>
      <c r="C548" s="50">
        <v>1877.03</v>
      </c>
      <c r="D548" s="51">
        <v>28021427.260465998</v>
      </c>
      <c r="E548" s="51">
        <v>1866916667</v>
      </c>
      <c r="F548" s="52">
        <f t="shared" si="20"/>
        <v>1.0619828309114156E-3</v>
      </c>
      <c r="G548" s="52">
        <f t="shared" si="21"/>
        <v>1.716949158601179E-3</v>
      </c>
    </row>
    <row r="549" spans="1:7" ht="15" customHeight="1" x14ac:dyDescent="0.2">
      <c r="A549" s="19" t="s">
        <v>696</v>
      </c>
      <c r="B549" s="50">
        <v>31.915800000000001</v>
      </c>
      <c r="C549" s="50">
        <v>1878.04</v>
      </c>
      <c r="D549" s="51">
        <v>31582225.515620001</v>
      </c>
      <c r="E549" s="51">
        <v>1980411111</v>
      </c>
      <c r="F549" s="52">
        <f t="shared" si="20"/>
        <v>-6.5893877971330951E-3</v>
      </c>
      <c r="G549" s="52">
        <f t="shared" si="21"/>
        <v>5.3793938560730995E-4</v>
      </c>
    </row>
    <row r="550" spans="1:7" ht="15" customHeight="1" x14ac:dyDescent="0.2">
      <c r="A550" s="19" t="s">
        <v>697</v>
      </c>
      <c r="B550" s="50">
        <v>31.845500000000001</v>
      </c>
      <c r="C550" s="50">
        <v>1877.17</v>
      </c>
      <c r="D550" s="51">
        <v>22572690.076490998</v>
      </c>
      <c r="E550" s="51">
        <v>1678527778</v>
      </c>
      <c r="F550" s="52">
        <f t="shared" si="20"/>
        <v>-2.205100224931126E-3</v>
      </c>
      <c r="G550" s="52">
        <f t="shared" si="21"/>
        <v>-4.633562520154853E-4</v>
      </c>
    </row>
    <row r="551" spans="1:7" ht="15" customHeight="1" x14ac:dyDescent="0.2">
      <c r="A551" s="19" t="s">
        <v>698</v>
      </c>
      <c r="B551" s="50">
        <v>32.0154</v>
      </c>
      <c r="C551" s="50">
        <v>1867.63</v>
      </c>
      <c r="D551" s="51">
        <v>29947685.651581999</v>
      </c>
      <c r="E551" s="51">
        <v>1884666667</v>
      </c>
      <c r="F551" s="52">
        <f t="shared" si="20"/>
        <v>5.3209522840452442E-3</v>
      </c>
      <c r="G551" s="52">
        <f t="shared" si="21"/>
        <v>-5.0950761792528144E-3</v>
      </c>
    </row>
    <row r="552" spans="1:7" ht="15" customHeight="1" x14ac:dyDescent="0.2">
      <c r="A552" s="19" t="s">
        <v>699</v>
      </c>
      <c r="B552" s="50">
        <v>32.226500000000001</v>
      </c>
      <c r="C552" s="50">
        <v>1868.2</v>
      </c>
      <c r="D552" s="51">
        <v>36215740.403692998</v>
      </c>
      <c r="E552" s="51">
        <v>1817144444</v>
      </c>
      <c r="F552" s="52">
        <f t="shared" si="20"/>
        <v>6.5720584172596786E-3</v>
      </c>
      <c r="G552" s="52">
        <f t="shared" si="21"/>
        <v>3.0515307410829926E-4</v>
      </c>
    </row>
    <row r="553" spans="1:7" ht="15" customHeight="1" x14ac:dyDescent="0.2">
      <c r="A553" s="19" t="s">
        <v>700</v>
      </c>
      <c r="B553" s="50">
        <v>31.9071</v>
      </c>
      <c r="C553" s="50">
        <v>1846.34</v>
      </c>
      <c r="D553" s="51">
        <v>38202928.255115002</v>
      </c>
      <c r="E553" s="51">
        <v>2039438889</v>
      </c>
      <c r="F553" s="52">
        <f t="shared" si="20"/>
        <v>-9.9605398947764569E-3</v>
      </c>
      <c r="G553" s="52">
        <f t="shared" si="21"/>
        <v>-1.1770099320208021E-2</v>
      </c>
    </row>
    <row r="554" spans="1:7" ht="15" customHeight="1" x14ac:dyDescent="0.2">
      <c r="A554" s="19" t="s">
        <v>701</v>
      </c>
      <c r="B554" s="50">
        <v>31.748000000000001</v>
      </c>
      <c r="C554" s="50">
        <v>1841.13</v>
      </c>
      <c r="D554" s="51">
        <v>32296061.156814002</v>
      </c>
      <c r="E554" s="51">
        <v>1825255556</v>
      </c>
      <c r="F554" s="52">
        <f t="shared" si="20"/>
        <v>-4.9988243299386526E-3</v>
      </c>
      <c r="G554" s="52">
        <f t="shared" si="21"/>
        <v>-2.8257875816496739E-3</v>
      </c>
    </row>
    <row r="555" spans="1:7" ht="15" customHeight="1" x14ac:dyDescent="0.2">
      <c r="A555" s="19" t="s">
        <v>702</v>
      </c>
      <c r="B555" s="50">
        <v>32.0398</v>
      </c>
      <c r="C555" s="50">
        <v>1858.83</v>
      </c>
      <c r="D555" s="51">
        <v>24320469.336902998</v>
      </c>
      <c r="E555" s="51">
        <v>1589161111</v>
      </c>
      <c r="F555" s="52">
        <f t="shared" si="20"/>
        <v>9.1491487547931891E-3</v>
      </c>
      <c r="G555" s="52">
        <f t="shared" si="21"/>
        <v>9.567743988496134E-3</v>
      </c>
    </row>
    <row r="556" spans="1:7" ht="15" customHeight="1" x14ac:dyDescent="0.2">
      <c r="A556" s="19" t="s">
        <v>703</v>
      </c>
      <c r="B556" s="50">
        <v>33.302700000000002</v>
      </c>
      <c r="C556" s="50">
        <v>1872.25</v>
      </c>
      <c r="D556" s="51">
        <v>76078764.045405999</v>
      </c>
      <c r="E556" s="51">
        <v>1627883333</v>
      </c>
      <c r="F556" s="52">
        <f t="shared" si="20"/>
        <v>3.8659594797163688E-2</v>
      </c>
      <c r="G556" s="52">
        <f t="shared" si="21"/>
        <v>7.1936586040894802E-3</v>
      </c>
    </row>
    <row r="557" spans="1:7" ht="15" customHeight="1" x14ac:dyDescent="0.2">
      <c r="A557" s="19" t="s">
        <v>704</v>
      </c>
      <c r="B557" s="50">
        <v>33.065399999999997</v>
      </c>
      <c r="C557" s="50">
        <v>1860.77</v>
      </c>
      <c r="D557" s="51">
        <v>41733301.709022</v>
      </c>
      <c r="E557" s="51">
        <v>1827338889</v>
      </c>
      <c r="F557" s="52">
        <f t="shared" si="20"/>
        <v>-7.1510563431925155E-3</v>
      </c>
      <c r="G557" s="52">
        <f t="shared" si="21"/>
        <v>-6.1505355930613122E-3</v>
      </c>
    </row>
    <row r="558" spans="1:7" ht="15" customHeight="1" x14ac:dyDescent="0.2">
      <c r="A558" s="19" t="s">
        <v>705</v>
      </c>
      <c r="B558" s="50">
        <v>33.960099999999997</v>
      </c>
      <c r="C558" s="50">
        <v>1872.01</v>
      </c>
      <c r="D558" s="51">
        <v>70385604.633388996</v>
      </c>
      <c r="E558" s="51">
        <v>1848633333</v>
      </c>
      <c r="F558" s="52">
        <f t="shared" si="20"/>
        <v>2.6698887642171352E-2</v>
      </c>
      <c r="G558" s="52">
        <f t="shared" si="21"/>
        <v>6.022339367196353E-3</v>
      </c>
    </row>
    <row r="559" spans="1:7" ht="15" customHeight="1" x14ac:dyDescent="0.2">
      <c r="A559" s="19" t="s">
        <v>706</v>
      </c>
      <c r="B559" s="50">
        <v>33.818300000000001</v>
      </c>
      <c r="C559" s="50">
        <v>1866.52</v>
      </c>
      <c r="D559" s="51">
        <v>95872868.220798001</v>
      </c>
      <c r="E559" s="51">
        <v>2928172222</v>
      </c>
      <c r="F559" s="52">
        <f t="shared" si="20"/>
        <v>-4.1842299872390772E-3</v>
      </c>
      <c r="G559" s="52">
        <f t="shared" si="21"/>
        <v>-2.9369853639483641E-3</v>
      </c>
    </row>
    <row r="560" spans="1:7" ht="15" customHeight="1" x14ac:dyDescent="0.2">
      <c r="A560" s="19" t="s">
        <v>707</v>
      </c>
      <c r="B560" s="50">
        <v>34.102800000000002</v>
      </c>
      <c r="C560" s="50">
        <v>1857.44</v>
      </c>
      <c r="D560" s="51">
        <v>54743924.264144003</v>
      </c>
      <c r="E560" s="51">
        <v>1893888889</v>
      </c>
      <c r="F560" s="52">
        <f t="shared" si="20"/>
        <v>8.3774162631360706E-3</v>
      </c>
      <c r="G560" s="52">
        <f t="shared" si="21"/>
        <v>-4.8765389499373611E-3</v>
      </c>
    </row>
    <row r="561" spans="1:7" ht="15" customHeight="1" x14ac:dyDescent="0.2">
      <c r="A561" s="19" t="s">
        <v>708</v>
      </c>
      <c r="B561" s="50">
        <v>33.966900000000003</v>
      </c>
      <c r="C561" s="50">
        <v>1865.62</v>
      </c>
      <c r="D561" s="51">
        <v>51293838.622392997</v>
      </c>
      <c r="E561" s="51">
        <v>1778088889</v>
      </c>
      <c r="F561" s="52">
        <f t="shared" si="20"/>
        <v>-3.9929713386048218E-3</v>
      </c>
      <c r="G561" s="52">
        <f t="shared" si="21"/>
        <v>4.3942419206480258E-3</v>
      </c>
    </row>
    <row r="562" spans="1:7" ht="15" customHeight="1" x14ac:dyDescent="0.2">
      <c r="A562" s="19" t="s">
        <v>709</v>
      </c>
      <c r="B562" s="50">
        <v>33.504899999999999</v>
      </c>
      <c r="C562" s="50">
        <v>1852.56</v>
      </c>
      <c r="D562" s="51">
        <v>49856607.950793996</v>
      </c>
      <c r="E562" s="51">
        <v>1933805556</v>
      </c>
      <c r="F562" s="52">
        <f t="shared" si="20"/>
        <v>-1.3694824225336858E-2</v>
      </c>
      <c r="G562" s="52">
        <f t="shared" si="21"/>
        <v>-7.0249712006657423E-3</v>
      </c>
    </row>
    <row r="563" spans="1:7" ht="15" customHeight="1" x14ac:dyDescent="0.2">
      <c r="A563" s="19" t="s">
        <v>710</v>
      </c>
      <c r="B563" s="50">
        <v>33.144599999999997</v>
      </c>
      <c r="C563" s="50">
        <v>1849.04</v>
      </c>
      <c r="D563" s="51">
        <v>42002504.429353997</v>
      </c>
      <c r="E563" s="51">
        <v>2074127778</v>
      </c>
      <c r="F563" s="52">
        <f t="shared" si="20"/>
        <v>-1.0811889356233138E-2</v>
      </c>
      <c r="G563" s="52">
        <f t="shared" si="21"/>
        <v>-1.9018808412744233E-3</v>
      </c>
    </row>
    <row r="564" spans="1:7" ht="15" customHeight="1" x14ac:dyDescent="0.2">
      <c r="A564" s="19" t="s">
        <v>711</v>
      </c>
      <c r="B564" s="50">
        <v>33.936799999999998</v>
      </c>
      <c r="C564" s="50">
        <v>1857.62</v>
      </c>
      <c r="D564" s="51">
        <v>51625871.009346999</v>
      </c>
      <c r="E564" s="51">
        <v>1641955556</v>
      </c>
      <c r="F564" s="52">
        <f t="shared" si="20"/>
        <v>2.3620163895132218E-2</v>
      </c>
      <c r="G564" s="52">
        <f t="shared" si="21"/>
        <v>4.6295129977681881E-3</v>
      </c>
    </row>
    <row r="565" spans="1:7" ht="15" customHeight="1" x14ac:dyDescent="0.2">
      <c r="A565" s="19" t="s">
        <v>712</v>
      </c>
      <c r="B565" s="50">
        <v>34.515799999999999</v>
      </c>
      <c r="C565" s="50">
        <v>1872.34</v>
      </c>
      <c r="D565" s="51">
        <v>55670703.823348999</v>
      </c>
      <c r="E565" s="51">
        <v>1819055556</v>
      </c>
      <c r="F565" s="52">
        <f t="shared" si="20"/>
        <v>1.6917218884669256E-2</v>
      </c>
      <c r="G565" s="52">
        <f t="shared" si="21"/>
        <v>7.8928870113299885E-3</v>
      </c>
    </row>
    <row r="566" spans="1:7" ht="15" customHeight="1" x14ac:dyDescent="0.2">
      <c r="A566" s="19" t="s">
        <v>713</v>
      </c>
      <c r="B566" s="50">
        <v>34.879199999999997</v>
      </c>
      <c r="C566" s="50">
        <v>1885.52</v>
      </c>
      <c r="D566" s="51">
        <v>38724354.697095998</v>
      </c>
      <c r="E566" s="51">
        <v>1853438889</v>
      </c>
      <c r="F566" s="52">
        <f t="shared" si="20"/>
        <v>1.0473472782844679E-2</v>
      </c>
      <c r="G566" s="52">
        <f t="shared" si="21"/>
        <v>7.0146594306005365E-3</v>
      </c>
    </row>
    <row r="567" spans="1:7" ht="15" customHeight="1" x14ac:dyDescent="0.2">
      <c r="A567" s="19" t="s">
        <v>714</v>
      </c>
      <c r="B567" s="50">
        <v>34.816899999999997</v>
      </c>
      <c r="C567" s="50">
        <v>1890.9</v>
      </c>
      <c r="D567" s="51">
        <v>34039899.741517</v>
      </c>
      <c r="E567" s="51">
        <v>1739811111</v>
      </c>
      <c r="F567" s="52">
        <f t="shared" si="20"/>
        <v>-1.7877619147426192E-3</v>
      </c>
      <c r="G567" s="52">
        <f t="shared" si="21"/>
        <v>2.8492612790418292E-3</v>
      </c>
    </row>
    <row r="568" spans="1:7" ht="15" customHeight="1" x14ac:dyDescent="0.2">
      <c r="A568" s="19" t="s">
        <v>715</v>
      </c>
      <c r="B568" s="50">
        <v>34.531500000000001</v>
      </c>
      <c r="C568" s="50">
        <v>1888.77</v>
      </c>
      <c r="D568" s="51">
        <v>35791984.156865999</v>
      </c>
      <c r="E568" s="51">
        <v>1697555556</v>
      </c>
      <c r="F568" s="52">
        <f t="shared" si="20"/>
        <v>-8.2309501382667877E-3</v>
      </c>
      <c r="G568" s="52">
        <f t="shared" si="21"/>
        <v>-1.1270826423899496E-3</v>
      </c>
    </row>
    <row r="569" spans="1:7" ht="15" customHeight="1" x14ac:dyDescent="0.2">
      <c r="A569" s="19" t="s">
        <v>716</v>
      </c>
      <c r="B569" s="50">
        <v>33.574199999999998</v>
      </c>
      <c r="C569" s="50">
        <v>1865.09</v>
      </c>
      <c r="D569" s="51">
        <v>61048327.628789999</v>
      </c>
      <c r="E569" s="51">
        <v>1990972222</v>
      </c>
      <c r="F569" s="52">
        <f t="shared" si="20"/>
        <v>-2.8114036071916104E-2</v>
      </c>
      <c r="G569" s="52">
        <f t="shared" si="21"/>
        <v>-1.2616514258563742E-2</v>
      </c>
    </row>
    <row r="570" spans="1:7" ht="15" customHeight="1" x14ac:dyDescent="0.2">
      <c r="A570" s="19" t="s">
        <v>717</v>
      </c>
      <c r="B570" s="50">
        <v>33.514899999999997</v>
      </c>
      <c r="C570" s="50">
        <v>1845.04</v>
      </c>
      <c r="D570" s="51">
        <v>44597555.586175002</v>
      </c>
      <c r="E570" s="51">
        <v>2111966667</v>
      </c>
      <c r="F570" s="52">
        <f t="shared" si="20"/>
        <v>-1.7677988061626691E-3</v>
      </c>
      <c r="G570" s="52">
        <f t="shared" si="21"/>
        <v>-1.0808351829803234E-2</v>
      </c>
    </row>
    <row r="571" spans="1:7" ht="15" customHeight="1" x14ac:dyDescent="0.2">
      <c r="A571" s="19" t="s">
        <v>718</v>
      </c>
      <c r="B571" s="50">
        <v>33.5321</v>
      </c>
      <c r="C571" s="50">
        <v>1851.96</v>
      </c>
      <c r="D571" s="51">
        <v>42655776.113289997</v>
      </c>
      <c r="E571" s="51">
        <v>2067472222</v>
      </c>
      <c r="F571" s="52">
        <f t="shared" si="20"/>
        <v>5.1307293025253304E-4</v>
      </c>
      <c r="G571" s="52">
        <f t="shared" si="21"/>
        <v>3.7435802443231501E-3</v>
      </c>
    </row>
    <row r="572" spans="1:7" ht="15" customHeight="1" x14ac:dyDescent="0.2">
      <c r="A572" s="19" t="s">
        <v>719</v>
      </c>
      <c r="B572" s="50">
        <v>34.081299999999999</v>
      </c>
      <c r="C572" s="50">
        <v>1872.18</v>
      </c>
      <c r="D572" s="51">
        <v>32533791.710025001</v>
      </c>
      <c r="E572" s="51">
        <v>1838138889</v>
      </c>
      <c r="F572" s="52">
        <f t="shared" si="20"/>
        <v>1.6245657776400812E-2</v>
      </c>
      <c r="G572" s="52">
        <f t="shared" si="21"/>
        <v>1.085898956046606E-2</v>
      </c>
    </row>
    <row r="573" spans="1:7" ht="15" customHeight="1" x14ac:dyDescent="0.2">
      <c r="A573" s="19" t="s">
        <v>720</v>
      </c>
      <c r="B573" s="50">
        <v>33.144599999999997</v>
      </c>
      <c r="C573" s="50">
        <v>1833.08</v>
      </c>
      <c r="D573" s="51">
        <v>54578505.980411999</v>
      </c>
      <c r="E573" s="51">
        <v>2088211111</v>
      </c>
      <c r="F573" s="52">
        <f t="shared" si="20"/>
        <v>-2.7869039338211454E-2</v>
      </c>
      <c r="G573" s="52">
        <f t="shared" si="21"/>
        <v>-2.1105915074922734E-2</v>
      </c>
    </row>
    <row r="574" spans="1:7" ht="15" customHeight="1" x14ac:dyDescent="0.2">
      <c r="A574" s="19" t="s">
        <v>721</v>
      </c>
      <c r="B574" s="50">
        <v>33.0167</v>
      </c>
      <c r="C574" s="50">
        <v>1815.69</v>
      </c>
      <c r="D574" s="51">
        <v>40769709.747699998</v>
      </c>
      <c r="E574" s="51">
        <v>2079700000</v>
      </c>
      <c r="F574" s="52">
        <f t="shared" si="20"/>
        <v>-3.8663133682307737E-3</v>
      </c>
      <c r="G574" s="52">
        <f t="shared" si="21"/>
        <v>-9.5320514425906184E-3</v>
      </c>
    </row>
    <row r="575" spans="1:7" ht="15" customHeight="1" x14ac:dyDescent="0.2">
      <c r="A575" s="19" t="s">
        <v>722</v>
      </c>
      <c r="B575" s="50">
        <v>32.995100000000001</v>
      </c>
      <c r="C575" s="50">
        <v>1830.61</v>
      </c>
      <c r="D575" s="51">
        <v>38009288.426597998</v>
      </c>
      <c r="E575" s="51">
        <v>1728633333</v>
      </c>
      <c r="F575" s="52">
        <f t="shared" si="20"/>
        <v>-6.5442847402724126E-4</v>
      </c>
      <c r="G575" s="52">
        <f t="shared" si="21"/>
        <v>8.1836838818938485E-3</v>
      </c>
    </row>
    <row r="576" spans="1:7" ht="15" customHeight="1" x14ac:dyDescent="0.2">
      <c r="A576" s="19" t="s">
        <v>723</v>
      </c>
      <c r="B576" s="50">
        <v>33.471899999999998</v>
      </c>
      <c r="C576" s="50">
        <v>1842.98</v>
      </c>
      <c r="D576" s="51">
        <v>40339459.422928996</v>
      </c>
      <c r="E576" s="51">
        <v>2075800000</v>
      </c>
      <c r="F576" s="52">
        <f t="shared" si="20"/>
        <v>1.4347215273264177E-2</v>
      </c>
      <c r="G576" s="52">
        <f t="shared" si="21"/>
        <v>6.7345821134063982E-3</v>
      </c>
    </row>
    <row r="577" spans="1:7" ht="15" customHeight="1" x14ac:dyDescent="0.2">
      <c r="A577" s="19" t="s">
        <v>724</v>
      </c>
      <c r="B577" s="50">
        <v>34.017800000000001</v>
      </c>
      <c r="C577" s="50">
        <v>1862.31</v>
      </c>
      <c r="D577" s="51">
        <v>36357688.682249002</v>
      </c>
      <c r="E577" s="51">
        <v>1752822222</v>
      </c>
      <c r="F577" s="52">
        <f t="shared" si="20"/>
        <v>1.6177636167922008E-2</v>
      </c>
      <c r="G577" s="52">
        <f t="shared" si="21"/>
        <v>1.0433825888179194E-2</v>
      </c>
    </row>
    <row r="578" spans="1:7" ht="15" customHeight="1" x14ac:dyDescent="0.2">
      <c r="A578" s="19" t="s">
        <v>725</v>
      </c>
      <c r="B578" s="50">
        <v>33.693399999999997</v>
      </c>
      <c r="C578" s="50">
        <v>1864.85</v>
      </c>
      <c r="D578" s="51">
        <v>43569151.846472003</v>
      </c>
      <c r="E578" s="51">
        <v>1856350000</v>
      </c>
      <c r="F578" s="52">
        <f t="shared" si="20"/>
        <v>-9.5819445535013752E-3</v>
      </c>
      <c r="G578" s="52">
        <f t="shared" si="21"/>
        <v>1.3629682617378818E-3</v>
      </c>
    </row>
    <row r="579" spans="1:7" ht="15" customHeight="1" x14ac:dyDescent="0.2">
      <c r="A579" s="19" t="s">
        <v>726</v>
      </c>
      <c r="B579" s="50">
        <v>33.633000000000003</v>
      </c>
      <c r="C579" s="50">
        <v>1871.89</v>
      </c>
      <c r="D579" s="51">
        <v>26389425.441394001</v>
      </c>
      <c r="E579" s="51">
        <v>1468055556</v>
      </c>
      <c r="F579" s="52">
        <f t="shared" si="20"/>
        <v>-1.7942446411474162E-3</v>
      </c>
      <c r="G579" s="52">
        <f t="shared" si="21"/>
        <v>3.767994738389568E-3</v>
      </c>
    </row>
    <row r="580" spans="1:7" ht="15" customHeight="1" x14ac:dyDescent="0.2">
      <c r="A580" s="19" t="s">
        <v>727</v>
      </c>
      <c r="B580" s="50">
        <v>33.6768</v>
      </c>
      <c r="C580" s="50">
        <v>1879.55</v>
      </c>
      <c r="D580" s="51">
        <v>32131029.876308002</v>
      </c>
      <c r="E580" s="51">
        <v>1786355556</v>
      </c>
      <c r="F580" s="52">
        <f t="shared" si="20"/>
        <v>1.3014451441608606E-3</v>
      </c>
      <c r="G580" s="52">
        <f t="shared" si="21"/>
        <v>4.0837708429826225E-3</v>
      </c>
    </row>
    <row r="581" spans="1:7" ht="15" customHeight="1" x14ac:dyDescent="0.2">
      <c r="A581" s="19" t="s">
        <v>728</v>
      </c>
      <c r="B581" s="50">
        <v>33.421999999999997</v>
      </c>
      <c r="C581" s="50">
        <v>1875.39</v>
      </c>
      <c r="D581" s="51">
        <v>29202139.29366</v>
      </c>
      <c r="E581" s="51">
        <v>1714288889</v>
      </c>
      <c r="F581" s="52">
        <f t="shared" si="20"/>
        <v>-7.5948072025363482E-3</v>
      </c>
      <c r="G581" s="52">
        <f t="shared" si="21"/>
        <v>-2.2157486947723798E-3</v>
      </c>
    </row>
    <row r="582" spans="1:7" ht="15" customHeight="1" x14ac:dyDescent="0.2">
      <c r="A582" s="19" t="s">
        <v>729</v>
      </c>
      <c r="B582" s="50">
        <v>33.564700000000002</v>
      </c>
      <c r="C582" s="50">
        <v>1878.61</v>
      </c>
      <c r="D582" s="51">
        <v>50307344.874918997</v>
      </c>
      <c r="E582" s="51">
        <v>1773238889</v>
      </c>
      <c r="F582" s="52">
        <f t="shared" ref="F582:F645" si="22">LN(B582/B581)</f>
        <v>4.260553687858987E-3</v>
      </c>
      <c r="G582" s="52">
        <f t="shared" ref="G582:G645" si="23">LN(C582/C581)</f>
        <v>1.715503883693198E-3</v>
      </c>
    </row>
    <row r="583" spans="1:7" ht="15" customHeight="1" x14ac:dyDescent="0.2">
      <c r="A583" s="19" t="s">
        <v>730</v>
      </c>
      <c r="B583" s="50">
        <v>33.604700000000001</v>
      </c>
      <c r="C583" s="50">
        <v>1863.4</v>
      </c>
      <c r="D583" s="51">
        <v>67545052.144292995</v>
      </c>
      <c r="E583" s="51">
        <v>1785011111</v>
      </c>
      <c r="F583" s="52">
        <f t="shared" si="22"/>
        <v>1.1910186700615389E-3</v>
      </c>
      <c r="G583" s="52">
        <f t="shared" si="23"/>
        <v>-8.1293656428790845E-3</v>
      </c>
    </row>
    <row r="584" spans="1:7" ht="15" customHeight="1" x14ac:dyDescent="0.2">
      <c r="A584" s="19" t="s">
        <v>731</v>
      </c>
      <c r="B584" s="50">
        <v>34.414099999999998</v>
      </c>
      <c r="C584" s="50">
        <v>1869.43</v>
      </c>
      <c r="D584" s="51">
        <v>60095580.972163998</v>
      </c>
      <c r="E584" s="51">
        <v>2241488889</v>
      </c>
      <c r="F584" s="52">
        <f t="shared" si="22"/>
        <v>2.3800425981786184E-2</v>
      </c>
      <c r="G584" s="52">
        <f t="shared" si="23"/>
        <v>3.2307955332088844E-3</v>
      </c>
    </row>
    <row r="585" spans="1:7" ht="15" customHeight="1" x14ac:dyDescent="0.2">
      <c r="A585" s="19" t="s">
        <v>732</v>
      </c>
      <c r="B585" s="50">
        <v>34.111499999999999</v>
      </c>
      <c r="C585" s="50">
        <v>1878.33</v>
      </c>
      <c r="D585" s="51">
        <v>35195607.066266</v>
      </c>
      <c r="E585" s="51">
        <v>2026566667</v>
      </c>
      <c r="F585" s="52">
        <f t="shared" si="22"/>
        <v>-8.831793283440921E-3</v>
      </c>
      <c r="G585" s="52">
        <f t="shared" si="23"/>
        <v>4.7495126317660839E-3</v>
      </c>
    </row>
    <row r="586" spans="1:7" ht="15" customHeight="1" x14ac:dyDescent="0.2">
      <c r="A586" s="19" t="s">
        <v>733</v>
      </c>
      <c r="B586" s="50">
        <v>34.017800000000001</v>
      </c>
      <c r="C586" s="50">
        <v>1883.95</v>
      </c>
      <c r="D586" s="51">
        <v>42108946.697637998</v>
      </c>
      <c r="E586" s="51">
        <v>2099572222</v>
      </c>
      <c r="F586" s="52">
        <f t="shared" si="22"/>
        <v>-2.7506538032415566E-3</v>
      </c>
      <c r="G586" s="52">
        <f t="shared" si="23"/>
        <v>2.9875523247041838E-3</v>
      </c>
    </row>
    <row r="587" spans="1:7" ht="15" customHeight="1" x14ac:dyDescent="0.2">
      <c r="A587" s="19" t="s">
        <v>734</v>
      </c>
      <c r="B587" s="50">
        <v>33.684800000000003</v>
      </c>
      <c r="C587" s="50">
        <v>1883.68</v>
      </c>
      <c r="D587" s="51">
        <v>34187789.236267999</v>
      </c>
      <c r="E587" s="51">
        <v>1898188889</v>
      </c>
      <c r="F587" s="52">
        <f t="shared" si="22"/>
        <v>-9.8372200000610959E-3</v>
      </c>
      <c r="G587" s="52">
        <f t="shared" si="23"/>
        <v>-1.4332617611718807E-4</v>
      </c>
    </row>
    <row r="588" spans="1:7" ht="15" customHeight="1" x14ac:dyDescent="0.2">
      <c r="A588" s="19" t="s">
        <v>735</v>
      </c>
      <c r="B588" s="50">
        <v>33.421999999999997</v>
      </c>
      <c r="C588" s="50">
        <v>1881.14</v>
      </c>
      <c r="D588" s="51">
        <v>51559866.482927002</v>
      </c>
      <c r="E588" s="51">
        <v>1755311111</v>
      </c>
      <c r="F588" s="52">
        <f t="shared" si="22"/>
        <v>-7.8323312529631883E-3</v>
      </c>
      <c r="G588" s="52">
        <f t="shared" si="23"/>
        <v>-1.3493343030381874E-3</v>
      </c>
    </row>
    <row r="589" spans="1:7" ht="15" customHeight="1" x14ac:dyDescent="0.2">
      <c r="A589" s="19" t="s">
        <v>736</v>
      </c>
      <c r="B589" s="50">
        <v>33.202199999999998</v>
      </c>
      <c r="C589" s="50">
        <v>1884.66</v>
      </c>
      <c r="D589" s="51">
        <v>26657951.417991001</v>
      </c>
      <c r="E589" s="51">
        <v>1518738889</v>
      </c>
      <c r="F589" s="52">
        <f t="shared" si="22"/>
        <v>-6.5982269939391849E-3</v>
      </c>
      <c r="G589" s="52">
        <f t="shared" si="23"/>
        <v>1.8694572336087256E-3</v>
      </c>
    </row>
    <row r="590" spans="1:7" ht="15" customHeight="1" x14ac:dyDescent="0.2">
      <c r="A590" s="19" t="s">
        <v>737</v>
      </c>
      <c r="B590" s="50">
        <v>32.889699999999998</v>
      </c>
      <c r="C590" s="50">
        <v>1867.72</v>
      </c>
      <c r="D590" s="51">
        <v>32195288.792939998</v>
      </c>
      <c r="E590" s="51">
        <v>1848477778</v>
      </c>
      <c r="F590" s="52">
        <f t="shared" si="22"/>
        <v>-9.4565999413546847E-3</v>
      </c>
      <c r="G590" s="52">
        <f t="shared" si="23"/>
        <v>-9.0289976403566084E-3</v>
      </c>
    </row>
    <row r="591" spans="1:7" ht="15" customHeight="1" x14ac:dyDescent="0.2">
      <c r="A591" s="19" t="s">
        <v>738</v>
      </c>
      <c r="B591" s="50">
        <v>33.194499999999998</v>
      </c>
      <c r="C591" s="50">
        <v>1878.21</v>
      </c>
      <c r="D591" s="51">
        <v>49578601.418973997</v>
      </c>
      <c r="E591" s="51">
        <v>2018305556</v>
      </c>
      <c r="F591" s="52">
        <f t="shared" si="22"/>
        <v>9.2246607023708967E-3</v>
      </c>
      <c r="G591" s="52">
        <f t="shared" si="23"/>
        <v>5.6007599828579776E-3</v>
      </c>
    </row>
    <row r="592" spans="1:7" ht="15" customHeight="1" x14ac:dyDescent="0.2">
      <c r="A592" s="19" t="s">
        <v>739</v>
      </c>
      <c r="B592" s="50">
        <v>33.378</v>
      </c>
      <c r="C592" s="50">
        <v>1875.63</v>
      </c>
      <c r="D592" s="51">
        <v>38147014.479479</v>
      </c>
      <c r="E592" s="51">
        <v>1885233333</v>
      </c>
      <c r="F592" s="52">
        <f t="shared" si="22"/>
        <v>5.5128007729432727E-3</v>
      </c>
      <c r="G592" s="52">
        <f t="shared" si="23"/>
        <v>-1.3745926338061829E-3</v>
      </c>
    </row>
    <row r="593" spans="1:7" ht="15" customHeight="1" x14ac:dyDescent="0.2">
      <c r="A593" s="19" t="s">
        <v>740</v>
      </c>
      <c r="B593" s="50">
        <v>33.297899999999998</v>
      </c>
      <c r="C593" s="50">
        <v>1878.48</v>
      </c>
      <c r="D593" s="51">
        <v>35207263.234865002</v>
      </c>
      <c r="E593" s="51">
        <v>1680566667</v>
      </c>
      <c r="F593" s="52">
        <f t="shared" si="22"/>
        <v>-2.4026683864347195E-3</v>
      </c>
      <c r="G593" s="52">
        <f t="shared" si="23"/>
        <v>1.5183361955399689E-3</v>
      </c>
    </row>
    <row r="594" spans="1:7" ht="15" customHeight="1" x14ac:dyDescent="0.2">
      <c r="A594" s="19" t="s">
        <v>741</v>
      </c>
      <c r="B594" s="50">
        <v>33.660400000000003</v>
      </c>
      <c r="C594" s="50">
        <v>1896.65</v>
      </c>
      <c r="D594" s="51">
        <v>27056744.932912</v>
      </c>
      <c r="E594" s="51">
        <v>1669855556</v>
      </c>
      <c r="F594" s="52">
        <f t="shared" si="22"/>
        <v>1.0827740298570155E-2</v>
      </c>
      <c r="G594" s="52">
        <f t="shared" si="23"/>
        <v>9.6262329027441348E-3</v>
      </c>
    </row>
    <row r="595" spans="1:7" ht="15" customHeight="1" x14ac:dyDescent="0.2">
      <c r="A595" s="19" t="s">
        <v>742</v>
      </c>
      <c r="B595" s="50">
        <v>34.2746</v>
      </c>
      <c r="C595" s="50">
        <v>1897.45</v>
      </c>
      <c r="D595" s="51">
        <v>31844336.248261001</v>
      </c>
      <c r="E595" s="51">
        <v>1619822222</v>
      </c>
      <c r="F595" s="52">
        <f t="shared" si="22"/>
        <v>1.8082482833293161E-2</v>
      </c>
      <c r="G595" s="52">
        <f t="shared" si="23"/>
        <v>4.2170739403580638E-4</v>
      </c>
    </row>
    <row r="596" spans="1:7" ht="15" customHeight="1" x14ac:dyDescent="0.2">
      <c r="A596" s="19" t="s">
        <v>743</v>
      </c>
      <c r="B596" s="50">
        <v>34.1252</v>
      </c>
      <c r="C596" s="50">
        <v>1888.53</v>
      </c>
      <c r="D596" s="51">
        <v>22190004.291085999</v>
      </c>
      <c r="E596" s="51">
        <v>1567811111</v>
      </c>
      <c r="F596" s="52">
        <f t="shared" si="22"/>
        <v>-4.3684407728296123E-3</v>
      </c>
      <c r="G596" s="52">
        <f t="shared" si="23"/>
        <v>-4.7121308116253539E-3</v>
      </c>
    </row>
    <row r="597" spans="1:7" ht="15" customHeight="1" x14ac:dyDescent="0.2">
      <c r="A597" s="19" t="s">
        <v>744</v>
      </c>
      <c r="B597" s="50">
        <v>33.580100000000002</v>
      </c>
      <c r="C597" s="50">
        <v>1870.85</v>
      </c>
      <c r="D597" s="51">
        <v>44566703.852797002</v>
      </c>
      <c r="E597" s="51">
        <v>1973688889</v>
      </c>
      <c r="F597" s="52">
        <f t="shared" si="22"/>
        <v>-1.6102484685776172E-2</v>
      </c>
      <c r="G597" s="52">
        <f t="shared" si="23"/>
        <v>-9.4058756211604158E-3</v>
      </c>
    </row>
    <row r="598" spans="1:7" ht="15" customHeight="1" x14ac:dyDescent="0.2">
      <c r="A598" s="19" t="s">
        <v>745</v>
      </c>
      <c r="B598" s="50">
        <v>33.777299999999997</v>
      </c>
      <c r="C598" s="50">
        <v>1877.86</v>
      </c>
      <c r="D598" s="51">
        <v>35220110.103863999</v>
      </c>
      <c r="E598" s="51">
        <v>1763138889</v>
      </c>
      <c r="F598" s="52">
        <f t="shared" si="22"/>
        <v>5.8553496250884672E-3</v>
      </c>
      <c r="G598" s="52">
        <f t="shared" si="23"/>
        <v>3.7399575698852106E-3</v>
      </c>
    </row>
    <row r="599" spans="1:7" ht="15" customHeight="1" x14ac:dyDescent="0.2">
      <c r="A599" s="19" t="s">
        <v>746</v>
      </c>
      <c r="B599" s="50">
        <v>33.709200000000003</v>
      </c>
      <c r="C599" s="50">
        <v>1885.08</v>
      </c>
      <c r="D599" s="51">
        <v>28935204.330325998</v>
      </c>
      <c r="E599" s="51">
        <v>1480138889</v>
      </c>
      <c r="F599" s="52">
        <f t="shared" si="22"/>
        <v>-2.0181820990747361E-3</v>
      </c>
      <c r="G599" s="52">
        <f t="shared" si="23"/>
        <v>3.8374297012765974E-3</v>
      </c>
    </row>
    <row r="600" spans="1:7" ht="15" customHeight="1" x14ac:dyDescent="0.2">
      <c r="A600" s="19" t="s">
        <v>747</v>
      </c>
      <c r="B600" s="50">
        <v>33.651400000000002</v>
      </c>
      <c r="C600" s="50">
        <v>1872.83</v>
      </c>
      <c r="D600" s="51">
        <v>25142212.330019001</v>
      </c>
      <c r="E600" s="51">
        <v>1670944444</v>
      </c>
      <c r="F600" s="52">
        <f t="shared" si="22"/>
        <v>-1.7161371539355262E-3</v>
      </c>
      <c r="G600" s="52">
        <f t="shared" si="23"/>
        <v>-6.5196044560605956E-3</v>
      </c>
    </row>
    <row r="601" spans="1:7" ht="15" customHeight="1" x14ac:dyDescent="0.2">
      <c r="A601" s="19" t="s">
        <v>748</v>
      </c>
      <c r="B601" s="50">
        <v>34.216999999999999</v>
      </c>
      <c r="C601" s="50">
        <v>1888.03</v>
      </c>
      <c r="D601" s="51">
        <v>26413183.139444001</v>
      </c>
      <c r="E601" s="51">
        <v>1542855556</v>
      </c>
      <c r="F601" s="52">
        <f t="shared" si="22"/>
        <v>1.6667936610477253E-2</v>
      </c>
      <c r="G601" s="52">
        <f t="shared" si="23"/>
        <v>8.0833015659244594E-3</v>
      </c>
    </row>
    <row r="602" spans="1:7" ht="15" customHeight="1" x14ac:dyDescent="0.2">
      <c r="A602" s="19" t="s">
        <v>749</v>
      </c>
      <c r="B602" s="50">
        <v>34.005000000000003</v>
      </c>
      <c r="C602" s="50">
        <v>1892.49</v>
      </c>
      <c r="D602" s="51">
        <v>23822806.735877998</v>
      </c>
      <c r="E602" s="51">
        <v>1533222222</v>
      </c>
      <c r="F602" s="52">
        <f t="shared" si="22"/>
        <v>-6.2150239629873288E-3</v>
      </c>
      <c r="G602" s="52">
        <f t="shared" si="23"/>
        <v>2.3594648720788379E-3</v>
      </c>
    </row>
    <row r="603" spans="1:7" ht="15" customHeight="1" x14ac:dyDescent="0.2">
      <c r="A603" s="19" t="s">
        <v>750</v>
      </c>
      <c r="B603" s="50">
        <v>34.019799999999996</v>
      </c>
      <c r="C603" s="50">
        <v>1900.53</v>
      </c>
      <c r="D603" s="51">
        <v>21250214.051991999</v>
      </c>
      <c r="E603" s="51">
        <v>1331266667</v>
      </c>
      <c r="F603" s="52">
        <f t="shared" si="22"/>
        <v>4.3513542806494109E-4</v>
      </c>
      <c r="G603" s="52">
        <f t="shared" si="23"/>
        <v>4.2393723425778601E-3</v>
      </c>
    </row>
    <row r="604" spans="1:7" ht="15" customHeight="1" x14ac:dyDescent="0.2">
      <c r="A604" s="19" t="s">
        <v>751</v>
      </c>
      <c r="B604" s="50">
        <v>34.084200000000003</v>
      </c>
      <c r="C604" s="50">
        <v>1911.91</v>
      </c>
      <c r="D604" s="51">
        <v>30849944.768282998</v>
      </c>
      <c r="E604" s="51">
        <v>1617233333</v>
      </c>
      <c r="F604" s="52">
        <f t="shared" si="22"/>
        <v>1.8912257487122242E-3</v>
      </c>
      <c r="G604" s="52">
        <f t="shared" si="23"/>
        <v>5.9699477493898685E-3</v>
      </c>
    </row>
    <row r="605" spans="1:7" ht="15" customHeight="1" x14ac:dyDescent="0.2">
      <c r="A605" s="19" t="s">
        <v>752</v>
      </c>
      <c r="B605" s="50">
        <v>33.928899999999999</v>
      </c>
      <c r="C605" s="50">
        <v>1909.78</v>
      </c>
      <c r="D605" s="51">
        <v>30319758.538991001</v>
      </c>
      <c r="E605" s="51">
        <v>1653583333</v>
      </c>
      <c r="F605" s="52">
        <f t="shared" si="22"/>
        <v>-4.5667752213620341E-3</v>
      </c>
      <c r="G605" s="52">
        <f t="shared" si="23"/>
        <v>-1.1146902132564401E-3</v>
      </c>
    </row>
    <row r="606" spans="1:7" ht="15" customHeight="1" x14ac:dyDescent="0.2">
      <c r="A606" s="19" t="s">
        <v>753</v>
      </c>
      <c r="B606" s="50">
        <v>34.2121</v>
      </c>
      <c r="C606" s="50">
        <v>1920.03</v>
      </c>
      <c r="D606" s="51">
        <v>23459301.157984</v>
      </c>
      <c r="E606" s="51">
        <v>1505027778</v>
      </c>
      <c r="F606" s="52">
        <f t="shared" si="22"/>
        <v>8.3122240822575896E-3</v>
      </c>
      <c r="G606" s="52">
        <f t="shared" si="23"/>
        <v>5.3527587392555058E-3</v>
      </c>
    </row>
    <row r="607" spans="1:7" ht="15" customHeight="1" x14ac:dyDescent="0.2">
      <c r="A607" s="19" t="s">
        <v>754</v>
      </c>
      <c r="B607" s="50">
        <v>34.718000000000004</v>
      </c>
      <c r="C607" s="50">
        <v>1923.57</v>
      </c>
      <c r="D607" s="51">
        <v>40770554.397598997</v>
      </c>
      <c r="E607" s="51">
        <v>1813050000</v>
      </c>
      <c r="F607" s="52">
        <f t="shared" si="22"/>
        <v>1.4678901781082823E-2</v>
      </c>
      <c r="G607" s="52">
        <f t="shared" si="23"/>
        <v>1.8420236241803512E-3</v>
      </c>
    </row>
    <row r="608" spans="1:7" ht="15" customHeight="1" x14ac:dyDescent="0.2">
      <c r="A608" s="19" t="s">
        <v>755</v>
      </c>
      <c r="B608" s="50">
        <v>34.590299999999999</v>
      </c>
      <c r="C608" s="50">
        <v>1924.97</v>
      </c>
      <c r="D608" s="51">
        <v>21820099.850324001</v>
      </c>
      <c r="E608" s="51">
        <v>1393900000</v>
      </c>
      <c r="F608" s="52">
        <f t="shared" si="22"/>
        <v>-3.6849885080042374E-3</v>
      </c>
      <c r="G608" s="52">
        <f t="shared" si="23"/>
        <v>7.2754866092336699E-4</v>
      </c>
    </row>
    <row r="609" spans="1:7" ht="15" customHeight="1" x14ac:dyDescent="0.2">
      <c r="A609" s="19" t="s">
        <v>756</v>
      </c>
      <c r="B609" s="50">
        <v>34.168100000000003</v>
      </c>
      <c r="C609" s="50">
        <v>1924.24</v>
      </c>
      <c r="D609" s="51">
        <v>21308975.065646999</v>
      </c>
      <c r="E609" s="51">
        <v>1592877778</v>
      </c>
      <c r="F609" s="52">
        <f t="shared" si="22"/>
        <v>-1.2280835688415533E-2</v>
      </c>
      <c r="G609" s="52">
        <f t="shared" si="23"/>
        <v>-3.7929861387248808E-4</v>
      </c>
    </row>
    <row r="610" spans="1:7" ht="15" customHeight="1" x14ac:dyDescent="0.2">
      <c r="A610" s="19" t="s">
        <v>757</v>
      </c>
      <c r="B610" s="50">
        <v>34.194699999999997</v>
      </c>
      <c r="C610" s="50">
        <v>1927.88</v>
      </c>
      <c r="D610" s="51">
        <v>27369751.708882999</v>
      </c>
      <c r="E610" s="51">
        <v>1552177778</v>
      </c>
      <c r="F610" s="52">
        <f t="shared" si="22"/>
        <v>7.7820104917873504E-4</v>
      </c>
      <c r="G610" s="52">
        <f t="shared" si="23"/>
        <v>1.8898689985705139E-3</v>
      </c>
    </row>
    <row r="611" spans="1:7" ht="15" customHeight="1" x14ac:dyDescent="0.2">
      <c r="A611" s="19" t="s">
        <v>758</v>
      </c>
      <c r="B611" s="50">
        <v>34.947600000000001</v>
      </c>
      <c r="C611" s="50">
        <v>1940.46</v>
      </c>
      <c r="D611" s="51">
        <v>37574125.822779</v>
      </c>
      <c r="E611" s="51">
        <v>1729594444</v>
      </c>
      <c r="F611" s="52">
        <f t="shared" si="22"/>
        <v>2.1779135494945877E-2</v>
      </c>
      <c r="G611" s="52">
        <f t="shared" si="23"/>
        <v>6.5041047829359376E-3</v>
      </c>
    </row>
    <row r="612" spans="1:7" ht="15" customHeight="1" x14ac:dyDescent="0.2">
      <c r="A612" s="19" t="s">
        <v>759</v>
      </c>
      <c r="B612" s="50">
        <v>35.176200000000001</v>
      </c>
      <c r="C612" s="50">
        <v>1949.44</v>
      </c>
      <c r="D612" s="51">
        <v>28372803.665819999</v>
      </c>
      <c r="E612" s="51">
        <v>1591277778</v>
      </c>
      <c r="F612" s="52">
        <f t="shared" si="22"/>
        <v>6.5199207630750027E-3</v>
      </c>
      <c r="G612" s="52">
        <f t="shared" si="23"/>
        <v>4.6170934741916929E-3</v>
      </c>
    </row>
    <row r="613" spans="1:7" ht="15" customHeight="1" x14ac:dyDescent="0.2">
      <c r="A613" s="19" t="s">
        <v>760</v>
      </c>
      <c r="B613" s="50">
        <v>34.997300000000003</v>
      </c>
      <c r="C613" s="50">
        <v>1951.27</v>
      </c>
      <c r="D613" s="51">
        <v>17702125.474215999</v>
      </c>
      <c r="E613" s="51">
        <v>1562322222</v>
      </c>
      <c r="F613" s="52">
        <f t="shared" si="22"/>
        <v>-5.0988019005297229E-3</v>
      </c>
      <c r="G613" s="52">
        <f t="shared" si="23"/>
        <v>9.3829079027121039E-4</v>
      </c>
    </row>
    <row r="614" spans="1:7" ht="15" customHeight="1" x14ac:dyDescent="0.2">
      <c r="A614" s="19" t="s">
        <v>761</v>
      </c>
      <c r="B614" s="50">
        <v>34.862699999999997</v>
      </c>
      <c r="C614" s="50">
        <v>1950.79</v>
      </c>
      <c r="D614" s="51">
        <v>17825997.221128002</v>
      </c>
      <c r="E614" s="51">
        <v>1501311111</v>
      </c>
      <c r="F614" s="52">
        <f t="shared" si="22"/>
        <v>-3.8534258962217524E-3</v>
      </c>
      <c r="G614" s="52">
        <f t="shared" si="23"/>
        <v>-2.4602389631178353E-4</v>
      </c>
    </row>
    <row r="615" spans="1:7" ht="15" customHeight="1" x14ac:dyDescent="0.2">
      <c r="A615" s="19" t="s">
        <v>762</v>
      </c>
      <c r="B615" s="50">
        <v>34.6496</v>
      </c>
      <c r="C615" s="50">
        <v>1943.89</v>
      </c>
      <c r="D615" s="51">
        <v>21266787.618724</v>
      </c>
      <c r="E615" s="51">
        <v>1505900000</v>
      </c>
      <c r="F615" s="52">
        <f t="shared" si="22"/>
        <v>-6.1313082026502553E-3</v>
      </c>
      <c r="G615" s="52">
        <f t="shared" si="23"/>
        <v>-3.5432986633579717E-3</v>
      </c>
    </row>
    <row r="616" spans="1:7" ht="15" customHeight="1" x14ac:dyDescent="0.2">
      <c r="A616" s="19" t="s">
        <v>763</v>
      </c>
      <c r="B616" s="50">
        <v>34.410400000000003</v>
      </c>
      <c r="C616" s="50">
        <v>1930.11</v>
      </c>
      <c r="D616" s="51">
        <v>35164516.783280998</v>
      </c>
      <c r="E616" s="51">
        <v>1689155556</v>
      </c>
      <c r="F616" s="52">
        <f t="shared" si="22"/>
        <v>-6.9273372881572485E-3</v>
      </c>
      <c r="G616" s="52">
        <f t="shared" si="23"/>
        <v>-7.1141239638480343E-3</v>
      </c>
    </row>
    <row r="617" spans="1:7" ht="15" customHeight="1" x14ac:dyDescent="0.2">
      <c r="A617" s="19" t="s">
        <v>764</v>
      </c>
      <c r="B617" s="50">
        <v>34.963299999999997</v>
      </c>
      <c r="C617" s="50">
        <v>1936.16</v>
      </c>
      <c r="D617" s="51">
        <v>31025841.829845</v>
      </c>
      <c r="E617" s="51">
        <v>1443461111</v>
      </c>
      <c r="F617" s="52">
        <f t="shared" si="22"/>
        <v>1.5940095655638732E-2</v>
      </c>
      <c r="G617" s="52">
        <f t="shared" si="23"/>
        <v>3.1296339563013217E-3</v>
      </c>
    </row>
    <row r="618" spans="1:7" ht="15" customHeight="1" x14ac:dyDescent="0.2">
      <c r="A618" s="19" t="s">
        <v>765</v>
      </c>
      <c r="B618" s="50">
        <v>35.192900000000002</v>
      </c>
      <c r="C618" s="50">
        <v>1937.78</v>
      </c>
      <c r="D618" s="51">
        <v>28543175.181318</v>
      </c>
      <c r="E618" s="51">
        <v>1625627778</v>
      </c>
      <c r="F618" s="52">
        <f t="shared" si="22"/>
        <v>6.545417788282026E-3</v>
      </c>
      <c r="G618" s="52">
        <f t="shared" si="23"/>
        <v>8.3635786534210811E-4</v>
      </c>
    </row>
    <row r="619" spans="1:7" ht="15" customHeight="1" x14ac:dyDescent="0.2">
      <c r="A619" s="19" t="s">
        <v>766</v>
      </c>
      <c r="B619" s="50">
        <v>35.344200000000001</v>
      </c>
      <c r="C619" s="50">
        <v>1941.99</v>
      </c>
      <c r="D619" s="51">
        <v>26554508.936620001</v>
      </c>
      <c r="E619" s="51">
        <v>1650700000</v>
      </c>
      <c r="F619" s="52">
        <f t="shared" si="22"/>
        <v>4.2899476173328911E-3</v>
      </c>
      <c r="G619" s="52">
        <f t="shared" si="23"/>
        <v>2.1702325923407999E-3</v>
      </c>
    </row>
    <row r="620" spans="1:7" ht="15" customHeight="1" x14ac:dyDescent="0.2">
      <c r="A620" s="19" t="s">
        <v>767</v>
      </c>
      <c r="B620" s="50">
        <v>35.318800000000003</v>
      </c>
      <c r="C620" s="50">
        <v>1956.98</v>
      </c>
      <c r="D620" s="51">
        <v>31953537.706211999</v>
      </c>
      <c r="E620" s="51">
        <v>1702900000</v>
      </c>
      <c r="F620" s="52">
        <f t="shared" si="22"/>
        <v>-7.1890525717682979E-4</v>
      </c>
      <c r="G620" s="52">
        <f t="shared" si="23"/>
        <v>7.6892481123617502E-3</v>
      </c>
    </row>
    <row r="621" spans="1:7" ht="15" customHeight="1" x14ac:dyDescent="0.2">
      <c r="A621" s="19" t="s">
        <v>768</v>
      </c>
      <c r="B621" s="50">
        <v>35.201500000000003</v>
      </c>
      <c r="C621" s="50">
        <v>1959.48</v>
      </c>
      <c r="D621" s="51">
        <v>23391713.808844998</v>
      </c>
      <c r="E621" s="51">
        <v>1640083333</v>
      </c>
      <c r="F621" s="52">
        <f t="shared" si="22"/>
        <v>-3.3267047411754546E-3</v>
      </c>
      <c r="G621" s="52">
        <f t="shared" si="23"/>
        <v>1.2766632824317233E-3</v>
      </c>
    </row>
    <row r="622" spans="1:7" ht="15" customHeight="1" x14ac:dyDescent="0.2">
      <c r="A622" s="19" t="s">
        <v>769</v>
      </c>
      <c r="B622" s="50">
        <v>35.344200000000001</v>
      </c>
      <c r="C622" s="50">
        <v>1962.87</v>
      </c>
      <c r="D622" s="51">
        <v>56325668.902351998</v>
      </c>
      <c r="E622" s="51">
        <v>2409022222</v>
      </c>
      <c r="F622" s="52">
        <f t="shared" si="22"/>
        <v>4.0456099983523031E-3</v>
      </c>
      <c r="G622" s="52">
        <f t="shared" si="23"/>
        <v>1.7285560156963271E-3</v>
      </c>
    </row>
    <row r="623" spans="1:7" ht="15" customHeight="1" x14ac:dyDescent="0.2">
      <c r="A623" s="19" t="s">
        <v>770</v>
      </c>
      <c r="B623" s="50">
        <v>35.606999999999999</v>
      </c>
      <c r="C623" s="50">
        <v>1962.61</v>
      </c>
      <c r="D623" s="51">
        <v>22099300.153999999</v>
      </c>
      <c r="E623" s="51">
        <v>1509794444</v>
      </c>
      <c r="F623" s="52">
        <f t="shared" si="22"/>
        <v>7.4079424116455352E-3</v>
      </c>
      <c r="G623" s="52">
        <f t="shared" si="23"/>
        <v>-1.324678767336581E-4</v>
      </c>
    </row>
    <row r="624" spans="1:7" ht="15" customHeight="1" x14ac:dyDescent="0.2">
      <c r="A624" s="19" t="s">
        <v>771</v>
      </c>
      <c r="B624" s="50">
        <v>35.395899999999997</v>
      </c>
      <c r="C624" s="50">
        <v>1949.98</v>
      </c>
      <c r="D624" s="51">
        <v>31269943.602834001</v>
      </c>
      <c r="E624" s="51">
        <v>1716500000</v>
      </c>
      <c r="F624" s="52">
        <f t="shared" si="22"/>
        <v>-5.9462535193511535E-3</v>
      </c>
      <c r="G624" s="52">
        <f t="shared" si="23"/>
        <v>-6.4561039462425959E-3</v>
      </c>
    </row>
    <row r="625" spans="1:7" ht="15" customHeight="1" x14ac:dyDescent="0.2">
      <c r="A625" s="19" t="s">
        <v>772</v>
      </c>
      <c r="B625" s="50">
        <v>35.641100000000002</v>
      </c>
      <c r="C625" s="50">
        <v>1959.53</v>
      </c>
      <c r="D625" s="51">
        <v>23643229.048397001</v>
      </c>
      <c r="E625" s="51">
        <v>1725950000</v>
      </c>
      <c r="F625" s="52">
        <f t="shared" si="22"/>
        <v>6.9034721007232855E-3</v>
      </c>
      <c r="G625" s="52">
        <f t="shared" si="23"/>
        <v>4.8855324556185036E-3</v>
      </c>
    </row>
    <row r="626" spans="1:7" ht="15" customHeight="1" x14ac:dyDescent="0.2">
      <c r="A626" s="19" t="s">
        <v>773</v>
      </c>
      <c r="B626" s="50">
        <v>35.378500000000003</v>
      </c>
      <c r="C626" s="50">
        <v>1957.22</v>
      </c>
      <c r="D626" s="51">
        <v>27834945.967813998</v>
      </c>
      <c r="E626" s="51">
        <v>1543800000</v>
      </c>
      <c r="F626" s="52">
        <f t="shared" si="22"/>
        <v>-7.3951753253514796E-3</v>
      </c>
      <c r="G626" s="52">
        <f t="shared" si="23"/>
        <v>-1.179549508052484E-3</v>
      </c>
    </row>
    <row r="627" spans="1:7" ht="15" customHeight="1" x14ac:dyDescent="0.2">
      <c r="A627" s="19" t="s">
        <v>774</v>
      </c>
      <c r="B627" s="50">
        <v>35.828699999999998</v>
      </c>
      <c r="C627" s="50">
        <v>1960.96</v>
      </c>
      <c r="D627" s="51">
        <v>88017794.119840994</v>
      </c>
      <c r="E627" s="51">
        <v>2383661111</v>
      </c>
      <c r="F627" s="52">
        <f t="shared" si="22"/>
        <v>1.2644957215261649E-2</v>
      </c>
      <c r="G627" s="52">
        <f t="shared" si="23"/>
        <v>1.9090501895577705E-3</v>
      </c>
    </row>
    <row r="628" spans="1:7" ht="15" customHeight="1" x14ac:dyDescent="0.2">
      <c r="A628" s="19" t="s">
        <v>775</v>
      </c>
      <c r="B628" s="50">
        <v>35.360700000000001</v>
      </c>
      <c r="C628" s="50">
        <v>1960.23</v>
      </c>
      <c r="D628" s="51">
        <v>36318874.715827003</v>
      </c>
      <c r="E628" s="51">
        <v>1687416667</v>
      </c>
      <c r="F628" s="52">
        <f t="shared" si="22"/>
        <v>-1.3148214260172472E-2</v>
      </c>
      <c r="G628" s="52">
        <f t="shared" si="23"/>
        <v>-3.7233595333743678E-4</v>
      </c>
    </row>
    <row r="629" spans="1:7" ht="15" customHeight="1" x14ac:dyDescent="0.2">
      <c r="A629" s="19" t="s">
        <v>776</v>
      </c>
      <c r="B629" s="50">
        <v>35.507300000000001</v>
      </c>
      <c r="C629" s="50">
        <v>1973.32</v>
      </c>
      <c r="D629" s="51">
        <v>31745514.257789001</v>
      </c>
      <c r="E629" s="51">
        <v>1771244444</v>
      </c>
      <c r="F629" s="52">
        <f t="shared" si="22"/>
        <v>4.1372751908672128E-3</v>
      </c>
      <c r="G629" s="52">
        <f t="shared" si="23"/>
        <v>6.6555901516330051E-3</v>
      </c>
    </row>
    <row r="630" spans="1:7" ht="15" customHeight="1" x14ac:dyDescent="0.2">
      <c r="A630" s="19" t="s">
        <v>777</v>
      </c>
      <c r="B630" s="50">
        <v>35.534599999999998</v>
      </c>
      <c r="C630" s="50">
        <v>1974.62</v>
      </c>
      <c r="D630" s="51">
        <v>23830400.394419</v>
      </c>
      <c r="E630" s="51">
        <v>1584155556</v>
      </c>
      <c r="F630" s="52">
        <f t="shared" si="22"/>
        <v>7.6856056338035935E-4</v>
      </c>
      <c r="G630" s="52">
        <f t="shared" si="23"/>
        <v>6.5857132934445356E-4</v>
      </c>
    </row>
    <row r="631" spans="1:7" ht="15" customHeight="1" x14ac:dyDescent="0.2">
      <c r="A631" s="19" t="s">
        <v>778</v>
      </c>
      <c r="B631" s="50">
        <v>35.447699999999998</v>
      </c>
      <c r="C631" s="50">
        <v>1985.44</v>
      </c>
      <c r="D631" s="51">
        <v>18831433.650323998</v>
      </c>
      <c r="E631" s="51">
        <v>1110050000</v>
      </c>
      <c r="F631" s="52">
        <f t="shared" si="22"/>
        <v>-2.4484989473390981E-3</v>
      </c>
      <c r="G631" s="52">
        <f t="shared" si="23"/>
        <v>5.464577266607205E-3</v>
      </c>
    </row>
    <row r="632" spans="1:7" ht="15" customHeight="1" x14ac:dyDescent="0.2">
      <c r="A632" s="19" t="s">
        <v>779</v>
      </c>
      <c r="B632" s="50">
        <v>35.606999999999999</v>
      </c>
      <c r="C632" s="50">
        <v>1977.65</v>
      </c>
      <c r="D632" s="51">
        <v>25888266.501699999</v>
      </c>
      <c r="E632" s="51">
        <v>1489588889</v>
      </c>
      <c r="F632" s="52">
        <f t="shared" si="22"/>
        <v>4.4838769819820013E-3</v>
      </c>
      <c r="G632" s="52">
        <f t="shared" si="23"/>
        <v>-3.9312809110307861E-3</v>
      </c>
    </row>
    <row r="633" spans="1:7" ht="15" customHeight="1" x14ac:dyDescent="0.2">
      <c r="A633" s="19" t="s">
        <v>780</v>
      </c>
      <c r="B633" s="50">
        <v>35.430100000000003</v>
      </c>
      <c r="C633" s="50">
        <v>1963.71</v>
      </c>
      <c r="D633" s="51">
        <v>36813340.956872001</v>
      </c>
      <c r="E633" s="51">
        <v>1834683333</v>
      </c>
      <c r="F633" s="52">
        <f t="shared" si="22"/>
        <v>-4.980506402244303E-3</v>
      </c>
      <c r="G633" s="52">
        <f t="shared" si="23"/>
        <v>-7.0737299445003425E-3</v>
      </c>
    </row>
    <row r="634" spans="1:7" ht="15" customHeight="1" x14ac:dyDescent="0.2">
      <c r="A634" s="19" t="s">
        <v>781</v>
      </c>
      <c r="B634" s="50">
        <v>35.334499999999998</v>
      </c>
      <c r="C634" s="50">
        <v>1972.83</v>
      </c>
      <c r="D634" s="51">
        <v>21751908.448531002</v>
      </c>
      <c r="E634" s="51">
        <v>1588222222</v>
      </c>
      <c r="F634" s="52">
        <f t="shared" si="22"/>
        <v>-2.7019175734624167E-3</v>
      </c>
      <c r="G634" s="52">
        <f t="shared" si="23"/>
        <v>4.6335189363311338E-3</v>
      </c>
    </row>
    <row r="635" spans="1:7" ht="15" customHeight="1" x14ac:dyDescent="0.2">
      <c r="A635" s="19" t="s">
        <v>782</v>
      </c>
      <c r="B635" s="50">
        <v>35.351900000000001</v>
      </c>
      <c r="C635" s="50">
        <v>1964.68</v>
      </c>
      <c r="D635" s="51">
        <v>25771661.815366998</v>
      </c>
      <c r="E635" s="51">
        <v>1758716667</v>
      </c>
      <c r="F635" s="52">
        <f t="shared" si="22"/>
        <v>4.9231536339217877E-4</v>
      </c>
      <c r="G635" s="52">
        <f t="shared" si="23"/>
        <v>-4.1396779380016777E-3</v>
      </c>
    </row>
    <row r="636" spans="1:7" ht="15" customHeight="1" x14ac:dyDescent="0.2">
      <c r="A636" s="19" t="s">
        <v>783</v>
      </c>
      <c r="B636" s="50">
        <v>35.695</v>
      </c>
      <c r="C636" s="50">
        <v>1967.57</v>
      </c>
      <c r="D636" s="51">
        <v>28401530.976725999</v>
      </c>
      <c r="E636" s="51">
        <v>1491461111</v>
      </c>
      <c r="F636" s="52">
        <f t="shared" si="22"/>
        <v>9.6584838242604384E-3</v>
      </c>
      <c r="G636" s="52">
        <f t="shared" si="23"/>
        <v>1.4698966344172243E-3</v>
      </c>
    </row>
    <row r="637" spans="1:7" ht="15" customHeight="1" x14ac:dyDescent="0.2">
      <c r="A637" s="19" t="s">
        <v>784</v>
      </c>
      <c r="B637" s="50">
        <v>35.734900000000003</v>
      </c>
      <c r="C637" s="50">
        <v>1977.1</v>
      </c>
      <c r="D637" s="51">
        <v>25803771.821139999</v>
      </c>
      <c r="E637" s="51">
        <v>1524955556</v>
      </c>
      <c r="F637" s="52">
        <f t="shared" si="22"/>
        <v>1.1171793366615901E-3</v>
      </c>
      <c r="G637" s="52">
        <f t="shared" si="23"/>
        <v>4.8318457773097378E-3</v>
      </c>
    </row>
    <row r="638" spans="1:7" ht="15" customHeight="1" x14ac:dyDescent="0.2">
      <c r="A638" s="19" t="s">
        <v>785</v>
      </c>
      <c r="B638" s="50">
        <v>35.998699999999999</v>
      </c>
      <c r="C638" s="50">
        <v>1973.28</v>
      </c>
      <c r="D638" s="51">
        <v>33905055.736469999</v>
      </c>
      <c r="E638" s="51">
        <v>1849300000</v>
      </c>
      <c r="F638" s="52">
        <f t="shared" si="22"/>
        <v>7.3550244018916701E-3</v>
      </c>
      <c r="G638" s="52">
        <f t="shared" si="23"/>
        <v>-1.9339917631568573E-3</v>
      </c>
    </row>
    <row r="639" spans="1:7" ht="15" customHeight="1" x14ac:dyDescent="0.2">
      <c r="A639" s="19" t="s">
        <v>786</v>
      </c>
      <c r="B639" s="50">
        <v>37.377699999999997</v>
      </c>
      <c r="C639" s="50">
        <v>1981.57</v>
      </c>
      <c r="D639" s="51">
        <v>74668116.809698999</v>
      </c>
      <c r="E639" s="51">
        <v>1883861111</v>
      </c>
      <c r="F639" s="52">
        <f t="shared" si="22"/>
        <v>3.7591443211307841E-2</v>
      </c>
      <c r="G639" s="52">
        <f t="shared" si="23"/>
        <v>4.1923269614829216E-3</v>
      </c>
    </row>
    <row r="640" spans="1:7" ht="15" customHeight="1" x14ac:dyDescent="0.2">
      <c r="A640" s="19" t="s">
        <v>787</v>
      </c>
      <c r="B640" s="50">
        <v>37.763599999999997</v>
      </c>
      <c r="C640" s="50">
        <v>1958.12</v>
      </c>
      <c r="D640" s="51">
        <v>96901021.125076994</v>
      </c>
      <c r="E640" s="51">
        <v>1878711111</v>
      </c>
      <c r="F640" s="52">
        <f t="shared" si="22"/>
        <v>1.0271405811593755E-2</v>
      </c>
      <c r="G640" s="52">
        <f t="shared" si="23"/>
        <v>-1.1904630539099268E-2</v>
      </c>
    </row>
    <row r="641" spans="1:7" ht="15" customHeight="1" x14ac:dyDescent="0.2">
      <c r="A641" s="19" t="s">
        <v>788</v>
      </c>
      <c r="B641" s="50">
        <v>37.898299999999999</v>
      </c>
      <c r="C641" s="50">
        <v>1978.22</v>
      </c>
      <c r="D641" s="51">
        <v>51180904.323801003</v>
      </c>
      <c r="E641" s="51">
        <v>1725588889</v>
      </c>
      <c r="F641" s="52">
        <f t="shared" si="22"/>
        <v>3.5605804852252539E-3</v>
      </c>
      <c r="G641" s="52">
        <f t="shared" si="23"/>
        <v>1.0212621215764002E-2</v>
      </c>
    </row>
    <row r="642" spans="1:7" ht="15" customHeight="1" x14ac:dyDescent="0.2">
      <c r="A642" s="19" t="s">
        <v>789</v>
      </c>
      <c r="B642" s="50">
        <v>38.018500000000003</v>
      </c>
      <c r="C642" s="50">
        <v>1973.63</v>
      </c>
      <c r="D642" s="51">
        <v>44338090.399398997</v>
      </c>
      <c r="E642" s="51">
        <v>1450644444</v>
      </c>
      <c r="F642" s="52">
        <f t="shared" si="22"/>
        <v>3.1666271613764148E-3</v>
      </c>
      <c r="G642" s="52">
        <f t="shared" si="23"/>
        <v>-2.322963707646372E-3</v>
      </c>
    </row>
    <row r="643" spans="1:7" ht="15" customHeight="1" x14ac:dyDescent="0.2">
      <c r="A643" s="19" t="s">
        <v>790</v>
      </c>
      <c r="B643" s="50">
        <v>38.018500000000003</v>
      </c>
      <c r="C643" s="50">
        <v>1983.53</v>
      </c>
      <c r="D643" s="51">
        <v>50780936.489565998</v>
      </c>
      <c r="E643" s="51">
        <v>1605822222</v>
      </c>
      <c r="F643" s="52">
        <f t="shared" si="22"/>
        <v>0</v>
      </c>
      <c r="G643" s="52">
        <f t="shared" si="23"/>
        <v>5.0035988712575554E-3</v>
      </c>
    </row>
    <row r="644" spans="1:7" ht="15" customHeight="1" x14ac:dyDescent="0.2">
      <c r="A644" s="19" t="s">
        <v>791</v>
      </c>
      <c r="B644" s="50">
        <v>38.053699999999999</v>
      </c>
      <c r="C644" s="50">
        <v>1987.01</v>
      </c>
      <c r="D644" s="51">
        <v>61748959.088481002</v>
      </c>
      <c r="E644" s="51">
        <v>1594288889</v>
      </c>
      <c r="F644" s="52">
        <f t="shared" si="22"/>
        <v>9.2543669072802498E-4</v>
      </c>
      <c r="G644" s="52">
        <f t="shared" si="23"/>
        <v>1.7529106323480887E-3</v>
      </c>
    </row>
    <row r="645" spans="1:7" ht="15" customHeight="1" x14ac:dyDescent="0.2">
      <c r="A645" s="19" t="s">
        <v>792</v>
      </c>
      <c r="B645" s="50">
        <v>37.649099999999997</v>
      </c>
      <c r="C645" s="50">
        <v>1987.98</v>
      </c>
      <c r="D645" s="51">
        <v>36231955.634104997</v>
      </c>
      <c r="E645" s="51">
        <v>1779738889</v>
      </c>
      <c r="F645" s="52">
        <f t="shared" si="22"/>
        <v>-1.0689270475490143E-2</v>
      </c>
      <c r="G645" s="52">
        <f t="shared" si="23"/>
        <v>4.8805155195559568E-4</v>
      </c>
    </row>
    <row r="646" spans="1:7" ht="15" customHeight="1" x14ac:dyDescent="0.2">
      <c r="A646" s="19" t="s">
        <v>793</v>
      </c>
      <c r="B646" s="50">
        <v>37.737099999999998</v>
      </c>
      <c r="C646" s="50">
        <v>1978.34</v>
      </c>
      <c r="D646" s="51">
        <v>31529600.243590001</v>
      </c>
      <c r="E646" s="51">
        <v>1466088889</v>
      </c>
      <c r="F646" s="52">
        <f t="shared" ref="F646:F709" si="24">LN(B646/B645)</f>
        <v>2.3346458627932247E-3</v>
      </c>
      <c r="G646" s="52">
        <f t="shared" ref="G646:G709" si="25">LN(C646/C645)</f>
        <v>-4.8609385938271771E-3</v>
      </c>
    </row>
    <row r="647" spans="1:7" ht="15" customHeight="1" x14ac:dyDescent="0.2">
      <c r="A647" s="19" t="s">
        <v>794</v>
      </c>
      <c r="B647" s="50">
        <v>37.287999999999997</v>
      </c>
      <c r="C647" s="50">
        <v>1978.91</v>
      </c>
      <c r="D647" s="51">
        <v>35005900.746730998</v>
      </c>
      <c r="E647" s="51">
        <v>1557400000</v>
      </c>
      <c r="F647" s="52">
        <f t="shared" si="24"/>
        <v>-1.1972136370071596E-2</v>
      </c>
      <c r="G647" s="52">
        <f t="shared" si="25"/>
        <v>2.8807884462303611E-4</v>
      </c>
    </row>
    <row r="648" spans="1:7" ht="15" customHeight="1" x14ac:dyDescent="0.2">
      <c r="A648" s="19" t="s">
        <v>795</v>
      </c>
      <c r="B648" s="50">
        <v>37.210700000000003</v>
      </c>
      <c r="C648" s="50">
        <v>1969.95</v>
      </c>
      <c r="D648" s="51">
        <v>32739165.517310999</v>
      </c>
      <c r="E648" s="51">
        <v>1768500000</v>
      </c>
      <c r="F648" s="52">
        <f t="shared" si="24"/>
        <v>-2.075204741582523E-3</v>
      </c>
      <c r="G648" s="52">
        <f t="shared" si="25"/>
        <v>-4.538026355257783E-3</v>
      </c>
    </row>
    <row r="649" spans="1:7" ht="15" customHeight="1" x14ac:dyDescent="0.2">
      <c r="A649" s="19" t="s">
        <v>796</v>
      </c>
      <c r="B649" s="50">
        <v>36.957700000000003</v>
      </c>
      <c r="C649" s="50">
        <v>1970.07</v>
      </c>
      <c r="D649" s="51">
        <v>37643748.522220999</v>
      </c>
      <c r="E649" s="51">
        <v>1915694444</v>
      </c>
      <c r="F649" s="52">
        <f t="shared" si="24"/>
        <v>-6.8223389289348802E-3</v>
      </c>
      <c r="G649" s="52">
        <f t="shared" si="25"/>
        <v>6.0913396397368385E-5</v>
      </c>
    </row>
    <row r="650" spans="1:7" ht="15" customHeight="1" x14ac:dyDescent="0.2">
      <c r="A650" s="19" t="s">
        <v>797</v>
      </c>
      <c r="B650" s="50">
        <v>36.600299999999997</v>
      </c>
      <c r="C650" s="50">
        <v>1930.67</v>
      </c>
      <c r="D650" s="51">
        <v>37191856.731325001</v>
      </c>
      <c r="E650" s="51">
        <v>2329444444</v>
      </c>
      <c r="F650" s="52">
        <f t="shared" si="24"/>
        <v>-9.7175783048833037E-3</v>
      </c>
      <c r="G650" s="52">
        <f t="shared" si="25"/>
        <v>-2.0201982180386897E-2</v>
      </c>
    </row>
    <row r="651" spans="1:7" ht="15" customHeight="1" x14ac:dyDescent="0.2">
      <c r="A651" s="19" t="s">
        <v>798</v>
      </c>
      <c r="B651" s="50">
        <v>36.345300000000002</v>
      </c>
      <c r="C651" s="50">
        <v>1925.15</v>
      </c>
      <c r="D651" s="51">
        <v>36756942.915296003</v>
      </c>
      <c r="E651" s="51">
        <v>2105366667</v>
      </c>
      <c r="F651" s="52">
        <f t="shared" si="24"/>
        <v>-6.9915399622132134E-3</v>
      </c>
      <c r="G651" s="52">
        <f t="shared" si="25"/>
        <v>-2.8632061512498972E-3</v>
      </c>
    </row>
    <row r="652" spans="1:7" ht="15" customHeight="1" x14ac:dyDescent="0.2">
      <c r="A652" s="19" t="s">
        <v>799</v>
      </c>
      <c r="B652" s="50">
        <v>36.777099999999997</v>
      </c>
      <c r="C652" s="50">
        <v>1938.99</v>
      </c>
      <c r="D652" s="51">
        <v>40417613.598251</v>
      </c>
      <c r="E652" s="51">
        <v>1707177778</v>
      </c>
      <c r="F652" s="52">
        <f t="shared" si="24"/>
        <v>1.1810471735180388E-2</v>
      </c>
      <c r="G652" s="52">
        <f t="shared" si="25"/>
        <v>7.1633321677376247E-3</v>
      </c>
    </row>
    <row r="653" spans="1:7" ht="15" customHeight="1" x14ac:dyDescent="0.2">
      <c r="A653" s="19" t="s">
        <v>800</v>
      </c>
      <c r="B653" s="50">
        <v>36.533000000000001</v>
      </c>
      <c r="C653" s="50">
        <v>1920.21</v>
      </c>
      <c r="D653" s="51">
        <v>30974684.71291</v>
      </c>
      <c r="E653" s="51">
        <v>1923622222</v>
      </c>
      <c r="F653" s="52">
        <f t="shared" si="24"/>
        <v>-6.6594071514165876E-3</v>
      </c>
      <c r="G653" s="52">
        <f t="shared" si="25"/>
        <v>-9.7326638909587745E-3</v>
      </c>
    </row>
    <row r="654" spans="1:7" ht="15" customHeight="1" x14ac:dyDescent="0.2">
      <c r="A654" s="19" t="s">
        <v>801</v>
      </c>
      <c r="B654" s="50">
        <v>36.244799999999998</v>
      </c>
      <c r="C654" s="50">
        <v>1920.24</v>
      </c>
      <c r="D654" s="51">
        <v>29049026.279174998</v>
      </c>
      <c r="E654" s="51">
        <v>1966194444</v>
      </c>
      <c r="F654" s="52">
        <f t="shared" si="24"/>
        <v>-7.920038981455841E-3</v>
      </c>
      <c r="G654" s="52">
        <f t="shared" si="25"/>
        <v>1.5623169160183835E-5</v>
      </c>
    </row>
    <row r="655" spans="1:7" ht="15" customHeight="1" x14ac:dyDescent="0.2">
      <c r="A655" s="19" t="s">
        <v>802</v>
      </c>
      <c r="B655" s="50">
        <v>36.660699999999999</v>
      </c>
      <c r="C655" s="50">
        <v>1909.57</v>
      </c>
      <c r="D655" s="51">
        <v>35748240.506494001</v>
      </c>
      <c r="E655" s="51">
        <v>1794733333</v>
      </c>
      <c r="F655" s="52">
        <f t="shared" si="24"/>
        <v>1.1409413874926439E-2</v>
      </c>
      <c r="G655" s="52">
        <f t="shared" si="25"/>
        <v>-5.5720924051179815E-3</v>
      </c>
    </row>
    <row r="656" spans="1:7" ht="15" customHeight="1" x14ac:dyDescent="0.2">
      <c r="A656" s="19" t="s">
        <v>803</v>
      </c>
      <c r="B656" s="50">
        <v>36.633499999999998</v>
      </c>
      <c r="C656" s="50">
        <v>1931.59</v>
      </c>
      <c r="D656" s="51">
        <v>34130078.659938999</v>
      </c>
      <c r="E656" s="51">
        <v>1612377778</v>
      </c>
      <c r="F656" s="52">
        <f t="shared" si="24"/>
        <v>-7.422142884066184E-4</v>
      </c>
      <c r="G656" s="52">
        <f t="shared" si="25"/>
        <v>1.146541212583467E-2</v>
      </c>
    </row>
    <row r="657" spans="1:7" ht="15" customHeight="1" x14ac:dyDescent="0.2">
      <c r="A657" s="19" t="s">
        <v>804</v>
      </c>
      <c r="B657" s="50">
        <v>36.633499999999998</v>
      </c>
      <c r="C657" s="50">
        <v>1936.92</v>
      </c>
      <c r="D657" s="51">
        <v>23997995.315343998</v>
      </c>
      <c r="E657" s="51">
        <v>1547161111</v>
      </c>
      <c r="F657" s="52">
        <f t="shared" si="24"/>
        <v>0</v>
      </c>
      <c r="G657" s="52">
        <f t="shared" si="25"/>
        <v>2.7555846424938877E-3</v>
      </c>
    </row>
    <row r="658" spans="1:7" ht="15" customHeight="1" x14ac:dyDescent="0.2">
      <c r="A658" s="19" t="s">
        <v>805</v>
      </c>
      <c r="B658" s="50">
        <v>36.9041</v>
      </c>
      <c r="C658" s="50">
        <v>1933.75</v>
      </c>
      <c r="D658" s="51">
        <v>25272920.110109001</v>
      </c>
      <c r="E658" s="51">
        <v>1450944444</v>
      </c>
      <c r="F658" s="52">
        <f t="shared" si="24"/>
        <v>7.359533663556914E-3</v>
      </c>
      <c r="G658" s="52">
        <f t="shared" si="25"/>
        <v>-1.6379596859127999E-3</v>
      </c>
    </row>
    <row r="659" spans="1:7" ht="15" customHeight="1" x14ac:dyDescent="0.2">
      <c r="A659" s="19" t="s">
        <v>806</v>
      </c>
      <c r="B659" s="50">
        <v>37.377699999999997</v>
      </c>
      <c r="C659" s="50">
        <v>1946.72</v>
      </c>
      <c r="D659" s="51">
        <v>26990298.117089</v>
      </c>
      <c r="E659" s="51">
        <v>1510011111</v>
      </c>
      <c r="F659" s="52">
        <f t="shared" si="24"/>
        <v>1.2751613919074471E-2</v>
      </c>
      <c r="G659" s="52">
        <f t="shared" si="25"/>
        <v>6.6847821518630762E-3</v>
      </c>
    </row>
    <row r="660" spans="1:7" ht="15" customHeight="1" x14ac:dyDescent="0.2">
      <c r="A660" s="19" t="s">
        <v>807</v>
      </c>
      <c r="B660" s="50">
        <v>37.542000000000002</v>
      </c>
      <c r="C660" s="50">
        <v>1955.18</v>
      </c>
      <c r="D660" s="51">
        <v>22773961.444816999</v>
      </c>
      <c r="E660" s="51">
        <v>1449700000</v>
      </c>
      <c r="F660" s="52">
        <f t="shared" si="24"/>
        <v>4.3860363399966474E-3</v>
      </c>
      <c r="G660" s="52">
        <f t="shared" si="25"/>
        <v>4.3363557532498454E-3</v>
      </c>
    </row>
    <row r="661" spans="1:7" ht="15" customHeight="1" x14ac:dyDescent="0.2">
      <c r="A661" s="19" t="s">
        <v>808</v>
      </c>
      <c r="B661" s="50">
        <v>37.982199999999999</v>
      </c>
      <c r="C661" s="50">
        <v>1955.06</v>
      </c>
      <c r="D661" s="51">
        <v>49068882.336493</v>
      </c>
      <c r="E661" s="51">
        <v>1679655556</v>
      </c>
      <c r="F661" s="52">
        <f t="shared" si="24"/>
        <v>1.1657322686059303E-2</v>
      </c>
      <c r="G661" s="52">
        <f t="shared" si="25"/>
        <v>-6.1377306783057757E-5</v>
      </c>
    </row>
    <row r="662" spans="1:7" ht="15" customHeight="1" x14ac:dyDescent="0.2">
      <c r="A662" s="19" t="s">
        <v>809</v>
      </c>
      <c r="B662" s="50">
        <v>38.253799999999998</v>
      </c>
      <c r="C662" s="50">
        <v>1971.74</v>
      </c>
      <c r="D662" s="51">
        <v>31714458.784618001</v>
      </c>
      <c r="E662" s="51">
        <v>1465644444</v>
      </c>
      <c r="F662" s="52">
        <f t="shared" si="24"/>
        <v>7.1252728129054931E-3</v>
      </c>
      <c r="G662" s="52">
        <f t="shared" si="25"/>
        <v>8.4955181427630883E-3</v>
      </c>
    </row>
    <row r="663" spans="1:7" ht="15" customHeight="1" x14ac:dyDescent="0.2">
      <c r="A663" s="19" t="s">
        <v>810</v>
      </c>
      <c r="B663" s="50">
        <v>38.678800000000003</v>
      </c>
      <c r="C663" s="50">
        <v>1981.6</v>
      </c>
      <c r="D663" s="51">
        <v>32970016.01317</v>
      </c>
      <c r="E663" s="51">
        <v>1475794444</v>
      </c>
      <c r="F663" s="52">
        <f t="shared" si="24"/>
        <v>1.1048744575697957E-2</v>
      </c>
      <c r="G663" s="52">
        <f t="shared" si="25"/>
        <v>4.9881975467810091E-3</v>
      </c>
    </row>
    <row r="664" spans="1:7" ht="15" customHeight="1" x14ac:dyDescent="0.2">
      <c r="A664" s="19" t="s">
        <v>811</v>
      </c>
      <c r="B664" s="50">
        <v>38.356400000000001</v>
      </c>
      <c r="C664" s="50">
        <v>1986.51</v>
      </c>
      <c r="D664" s="51">
        <v>29005905.110181</v>
      </c>
      <c r="E664" s="51">
        <v>1433088889</v>
      </c>
      <c r="F664" s="52">
        <f t="shared" si="24"/>
        <v>-8.370248465764521E-3</v>
      </c>
      <c r="G664" s="52">
        <f t="shared" si="25"/>
        <v>2.4747310461941839E-3</v>
      </c>
    </row>
    <row r="665" spans="1:7" ht="15" customHeight="1" x14ac:dyDescent="0.2">
      <c r="A665" s="19" t="s">
        <v>812</v>
      </c>
      <c r="B665" s="50">
        <v>38.584899999999998</v>
      </c>
      <c r="C665" s="50">
        <v>1992.37</v>
      </c>
      <c r="D665" s="51">
        <v>26115996.400114</v>
      </c>
      <c r="E665" s="51">
        <v>1466066667</v>
      </c>
      <c r="F665" s="52">
        <f t="shared" si="24"/>
        <v>5.9396103723231676E-3</v>
      </c>
      <c r="G665" s="52">
        <f t="shared" si="25"/>
        <v>2.9455546469971902E-3</v>
      </c>
    </row>
    <row r="666" spans="1:7" ht="15" customHeight="1" x14ac:dyDescent="0.2">
      <c r="A666" s="19" t="s">
        <v>813</v>
      </c>
      <c r="B666" s="50">
        <v>38.524500000000003</v>
      </c>
      <c r="C666" s="50">
        <v>1988.4</v>
      </c>
      <c r="D666" s="51">
        <v>21439434.057950001</v>
      </c>
      <c r="E666" s="51">
        <v>1278811111</v>
      </c>
      <c r="F666" s="52">
        <f t="shared" si="24"/>
        <v>-1.5666056888802458E-3</v>
      </c>
      <c r="G666" s="52">
        <f t="shared" si="25"/>
        <v>-1.9945896478233741E-3</v>
      </c>
    </row>
    <row r="667" spans="1:7" ht="15" customHeight="1" x14ac:dyDescent="0.2">
      <c r="A667" s="19" t="s">
        <v>814</v>
      </c>
      <c r="B667" s="50">
        <v>38.540999999999997</v>
      </c>
      <c r="C667" s="50">
        <v>1997.92</v>
      </c>
      <c r="D667" s="51">
        <v>19813982.626816999</v>
      </c>
      <c r="E667" s="51">
        <v>1241044444</v>
      </c>
      <c r="F667" s="52">
        <f t="shared" si="24"/>
        <v>4.282071809595149E-4</v>
      </c>
      <c r="G667" s="52">
        <f t="shared" si="25"/>
        <v>4.7763441463173689E-3</v>
      </c>
    </row>
    <row r="668" spans="1:7" ht="15" customHeight="1" x14ac:dyDescent="0.2">
      <c r="A668" s="19" t="s">
        <v>815</v>
      </c>
      <c r="B668" s="50">
        <v>38.410299999999999</v>
      </c>
      <c r="C668" s="50">
        <v>2000.02</v>
      </c>
      <c r="D668" s="51">
        <v>17430179.945305001</v>
      </c>
      <c r="E668" s="51">
        <v>1362194444</v>
      </c>
      <c r="F668" s="52">
        <f t="shared" si="24"/>
        <v>-3.39695692424585E-3</v>
      </c>
      <c r="G668" s="52">
        <f t="shared" si="25"/>
        <v>1.050541125247729E-3</v>
      </c>
    </row>
    <row r="669" spans="1:7" ht="15" customHeight="1" x14ac:dyDescent="0.2">
      <c r="A669" s="19" t="s">
        <v>816</v>
      </c>
      <c r="B669" s="50">
        <v>38.289099999999998</v>
      </c>
      <c r="C669" s="50">
        <v>2000.12</v>
      </c>
      <c r="D669" s="51">
        <v>24947341.872198001</v>
      </c>
      <c r="E669" s="51">
        <v>1302416667</v>
      </c>
      <c r="F669" s="52">
        <f t="shared" si="24"/>
        <v>-3.1603924119248936E-3</v>
      </c>
      <c r="G669" s="52">
        <f t="shared" si="25"/>
        <v>4.9998250071612606E-5</v>
      </c>
    </row>
    <row r="670" spans="1:7" ht="15" customHeight="1" x14ac:dyDescent="0.2">
      <c r="A670" s="19" t="s">
        <v>817</v>
      </c>
      <c r="B670" s="50">
        <v>38.296700000000001</v>
      </c>
      <c r="C670" s="50">
        <v>1996.74</v>
      </c>
      <c r="D670" s="51">
        <v>20693114.717393</v>
      </c>
      <c r="E670" s="51">
        <v>1268000000</v>
      </c>
      <c r="F670" s="52">
        <f t="shared" si="24"/>
        <v>1.9847021314519294E-4</v>
      </c>
      <c r="G670" s="52">
        <f t="shared" si="25"/>
        <v>-1.6913280954213741E-3</v>
      </c>
    </row>
    <row r="671" spans="1:7" ht="15" customHeight="1" x14ac:dyDescent="0.2">
      <c r="A671" s="19" t="s">
        <v>818</v>
      </c>
      <c r="B671" s="50">
        <v>38.767699999999998</v>
      </c>
      <c r="C671" s="50">
        <v>2003.37</v>
      </c>
      <c r="D671" s="51">
        <v>25322654.119943999</v>
      </c>
      <c r="E671" s="51">
        <v>1255072222</v>
      </c>
      <c r="F671" s="52">
        <f t="shared" si="24"/>
        <v>1.2223695108772335E-2</v>
      </c>
      <c r="G671" s="52">
        <f t="shared" si="25"/>
        <v>3.3149118755349209E-3</v>
      </c>
    </row>
    <row r="672" spans="1:7" ht="15" customHeight="1" x14ac:dyDescent="0.2">
      <c r="A672" s="19" t="s">
        <v>819</v>
      </c>
      <c r="B672" s="50">
        <v>38.477600000000002</v>
      </c>
      <c r="C672" s="50">
        <v>2002.28</v>
      </c>
      <c r="D672" s="51">
        <v>26921025.563425001</v>
      </c>
      <c r="E672" s="51">
        <v>1566655556</v>
      </c>
      <c r="F672" s="52">
        <f t="shared" si="24"/>
        <v>-7.5111719132864739E-3</v>
      </c>
      <c r="G672" s="52">
        <f t="shared" si="25"/>
        <v>-5.4423128675924639E-4</v>
      </c>
    </row>
    <row r="673" spans="1:7" ht="15" customHeight="1" x14ac:dyDescent="0.2">
      <c r="A673" s="19" t="s">
        <v>820</v>
      </c>
      <c r="B673" s="50">
        <v>38.366199999999999</v>
      </c>
      <c r="C673" s="50">
        <v>2000.72</v>
      </c>
      <c r="D673" s="51">
        <v>39475902.676477998</v>
      </c>
      <c r="E673" s="51">
        <v>1561100000</v>
      </c>
      <c r="F673" s="52">
        <f t="shared" si="24"/>
        <v>-2.8993901405186227E-3</v>
      </c>
      <c r="G673" s="52">
        <f t="shared" si="25"/>
        <v>-7.7941547787828132E-4</v>
      </c>
    </row>
    <row r="674" spans="1:7" ht="15" customHeight="1" x14ac:dyDescent="0.2">
      <c r="A674" s="19" t="s">
        <v>821</v>
      </c>
      <c r="B674" s="50">
        <v>38.622100000000003</v>
      </c>
      <c r="C674" s="50">
        <v>1997.65</v>
      </c>
      <c r="D674" s="51">
        <v>31027450.248013999</v>
      </c>
      <c r="E674" s="51">
        <v>1706894444</v>
      </c>
      <c r="F674" s="52">
        <f t="shared" si="24"/>
        <v>6.6477878435244418E-3</v>
      </c>
      <c r="G674" s="52">
        <f t="shared" si="25"/>
        <v>-1.5356260692695059E-3</v>
      </c>
    </row>
    <row r="675" spans="1:7" ht="15" customHeight="1" x14ac:dyDescent="0.2">
      <c r="A675" s="19" t="s">
        <v>822</v>
      </c>
      <c r="B675" s="50">
        <v>39.174900000000001</v>
      </c>
      <c r="C675" s="50">
        <v>2007.71</v>
      </c>
      <c r="D675" s="51">
        <v>43278016.895687997</v>
      </c>
      <c r="E675" s="51">
        <v>1565722222</v>
      </c>
      <c r="F675" s="52">
        <f t="shared" si="24"/>
        <v>1.4211584097405493E-2</v>
      </c>
      <c r="G675" s="52">
        <f t="shared" si="25"/>
        <v>5.0232793825961582E-3</v>
      </c>
    </row>
    <row r="676" spans="1:7" ht="15" customHeight="1" x14ac:dyDescent="0.2">
      <c r="A676" s="19" t="s">
        <v>823</v>
      </c>
      <c r="B676" s="50">
        <v>39.654499999999999</v>
      </c>
      <c r="C676" s="50">
        <v>2001.54</v>
      </c>
      <c r="D676" s="51">
        <v>53598512.453791</v>
      </c>
      <c r="E676" s="51">
        <v>1549494444</v>
      </c>
      <c r="F676" s="52">
        <f t="shared" si="24"/>
        <v>1.2168199114865282E-2</v>
      </c>
      <c r="G676" s="52">
        <f t="shared" si="25"/>
        <v>-3.0778848267845093E-3</v>
      </c>
    </row>
    <row r="677" spans="1:7" ht="15" customHeight="1" x14ac:dyDescent="0.2">
      <c r="A677" s="19" t="s">
        <v>824</v>
      </c>
      <c r="B677" s="50">
        <v>39.902700000000003</v>
      </c>
      <c r="C677" s="50">
        <v>1988.44</v>
      </c>
      <c r="D677" s="51">
        <v>47227240.460284002</v>
      </c>
      <c r="E677" s="51">
        <v>1601572222</v>
      </c>
      <c r="F677" s="52">
        <f t="shared" si="24"/>
        <v>6.2395560739758223E-3</v>
      </c>
      <c r="G677" s="52">
        <f t="shared" si="25"/>
        <v>-6.5664725492672778E-3</v>
      </c>
    </row>
    <row r="678" spans="1:7" ht="15" customHeight="1" x14ac:dyDescent="0.2">
      <c r="A678" s="19" t="s">
        <v>825</v>
      </c>
      <c r="B678" s="50">
        <v>39.968000000000004</v>
      </c>
      <c r="C678" s="50">
        <v>1995.69</v>
      </c>
      <c r="D678" s="51">
        <v>31997399.095662002</v>
      </c>
      <c r="E678" s="51">
        <v>1618016667</v>
      </c>
      <c r="F678" s="52">
        <f t="shared" si="24"/>
        <v>1.6351431638723843E-3</v>
      </c>
      <c r="G678" s="52">
        <f t="shared" si="25"/>
        <v>3.6394434933185002E-3</v>
      </c>
    </row>
    <row r="679" spans="1:7" ht="15" customHeight="1" x14ac:dyDescent="0.2">
      <c r="A679" s="19" t="s">
        <v>826</v>
      </c>
      <c r="B679" s="50">
        <v>40.104799999999997</v>
      </c>
      <c r="C679" s="50">
        <v>1997.45</v>
      </c>
      <c r="D679" s="51">
        <v>34238858.304851003</v>
      </c>
      <c r="E679" s="51">
        <v>1634272222</v>
      </c>
      <c r="F679" s="52">
        <f t="shared" si="24"/>
        <v>3.4168939539229413E-3</v>
      </c>
      <c r="G679" s="52">
        <f t="shared" si="25"/>
        <v>8.8151184980712178E-4</v>
      </c>
    </row>
    <row r="680" spans="1:7" ht="15" customHeight="1" x14ac:dyDescent="0.2">
      <c r="A680" s="19" t="s">
        <v>827</v>
      </c>
      <c r="B680" s="50">
        <v>39.841999999999999</v>
      </c>
      <c r="C680" s="50">
        <v>1985.54</v>
      </c>
      <c r="D680" s="51">
        <v>44819758.914710999</v>
      </c>
      <c r="E680" s="51">
        <v>1781427778</v>
      </c>
      <c r="F680" s="52">
        <f t="shared" si="24"/>
        <v>-6.5743956374980659E-3</v>
      </c>
      <c r="G680" s="52">
        <f t="shared" si="25"/>
        <v>-5.9804496107261707E-3</v>
      </c>
    </row>
    <row r="681" spans="1:7" ht="15" customHeight="1" x14ac:dyDescent="0.2">
      <c r="A681" s="19" t="s">
        <v>828</v>
      </c>
      <c r="B681" s="50">
        <v>39.455100000000002</v>
      </c>
      <c r="C681" s="50">
        <v>1984.13</v>
      </c>
      <c r="D681" s="51">
        <v>44141214.281997003</v>
      </c>
      <c r="E681" s="51">
        <v>1542516667</v>
      </c>
      <c r="F681" s="52">
        <f t="shared" si="24"/>
        <v>-9.7583157567933919E-3</v>
      </c>
      <c r="G681" s="52">
        <f t="shared" si="25"/>
        <v>-7.103865355538411E-4</v>
      </c>
    </row>
    <row r="682" spans="1:7" ht="15" customHeight="1" x14ac:dyDescent="0.2">
      <c r="A682" s="19" t="s">
        <v>829</v>
      </c>
      <c r="B682" s="50">
        <v>39.902700000000003</v>
      </c>
      <c r="C682" s="50">
        <v>1998.98</v>
      </c>
      <c r="D682" s="51">
        <v>32698853.705072999</v>
      </c>
      <c r="E682" s="51">
        <v>1755727778</v>
      </c>
      <c r="F682" s="52">
        <f t="shared" si="24"/>
        <v>1.1280674276496309E-2</v>
      </c>
      <c r="G682" s="52">
        <f t="shared" si="25"/>
        <v>7.4565195560981042E-3</v>
      </c>
    </row>
    <row r="683" spans="1:7" ht="15" customHeight="1" x14ac:dyDescent="0.2">
      <c r="A683" s="19" t="s">
        <v>830</v>
      </c>
      <c r="B683" s="50">
        <v>39.695500000000003</v>
      </c>
      <c r="C683" s="50">
        <v>2001.57</v>
      </c>
      <c r="D683" s="51">
        <v>44897131.916854002</v>
      </c>
      <c r="E683" s="51">
        <v>1783011111</v>
      </c>
      <c r="F683" s="52">
        <f t="shared" si="24"/>
        <v>-5.2061596367057794E-3</v>
      </c>
      <c r="G683" s="52">
        <f t="shared" si="25"/>
        <v>1.2948221428846019E-3</v>
      </c>
    </row>
    <row r="684" spans="1:7" ht="15" customHeight="1" x14ac:dyDescent="0.2">
      <c r="A684" s="19" t="s">
        <v>831</v>
      </c>
      <c r="B684" s="50">
        <v>39.8322</v>
      </c>
      <c r="C684" s="50">
        <v>2011.36</v>
      </c>
      <c r="D684" s="51">
        <v>41652195.866236001</v>
      </c>
      <c r="E684" s="51">
        <v>1797411111</v>
      </c>
      <c r="F684" s="52">
        <f t="shared" si="24"/>
        <v>3.4377992732587256E-3</v>
      </c>
      <c r="G684" s="52">
        <f t="shared" si="25"/>
        <v>4.8792375757879137E-3</v>
      </c>
    </row>
    <row r="685" spans="1:7" ht="15" customHeight="1" x14ac:dyDescent="0.2">
      <c r="A685" s="19" t="s">
        <v>832</v>
      </c>
      <c r="B685" s="50">
        <v>40.549100000000003</v>
      </c>
      <c r="C685" s="50">
        <v>2010.4</v>
      </c>
      <c r="D685" s="51">
        <v>237339395.33155</v>
      </c>
      <c r="E685" s="51">
        <v>2711233333</v>
      </c>
      <c r="F685" s="52">
        <f t="shared" si="24"/>
        <v>1.7837955078056914E-2</v>
      </c>
      <c r="G685" s="52">
        <f t="shared" si="25"/>
        <v>-4.7740293713845845E-4</v>
      </c>
    </row>
    <row r="686" spans="1:7" ht="15" customHeight="1" x14ac:dyDescent="0.2">
      <c r="A686" s="19" t="s">
        <v>833</v>
      </c>
      <c r="B686" s="50">
        <v>40.1586</v>
      </c>
      <c r="C686" s="50">
        <v>1994.29</v>
      </c>
      <c r="D686" s="51">
        <v>45336503.43671</v>
      </c>
      <c r="E686" s="51">
        <v>1860927778</v>
      </c>
      <c r="F686" s="52">
        <f t="shared" si="24"/>
        <v>-9.6769712758434084E-3</v>
      </c>
      <c r="G686" s="52">
        <f t="shared" si="25"/>
        <v>-8.0456099735066993E-3</v>
      </c>
    </row>
    <row r="687" spans="1:7" ht="15" customHeight="1" x14ac:dyDescent="0.2">
      <c r="A687" s="19" t="s">
        <v>834</v>
      </c>
      <c r="B687" s="50">
        <v>39.730699999999999</v>
      </c>
      <c r="C687" s="50">
        <v>1982.77</v>
      </c>
      <c r="D687" s="51">
        <v>39177298.972956002</v>
      </c>
      <c r="E687" s="51">
        <v>1821861111</v>
      </c>
      <c r="F687" s="52">
        <f t="shared" si="24"/>
        <v>-1.0712425619002958E-2</v>
      </c>
      <c r="G687" s="52">
        <f t="shared" si="25"/>
        <v>-5.7932403429418761E-3</v>
      </c>
    </row>
    <row r="688" spans="1:7" ht="15" customHeight="1" x14ac:dyDescent="0.2">
      <c r="A688" s="19" t="s">
        <v>835</v>
      </c>
      <c r="B688" s="50">
        <v>40.174199999999999</v>
      </c>
      <c r="C688" s="50">
        <v>1998.3</v>
      </c>
      <c r="D688" s="51">
        <v>31152470.718789</v>
      </c>
      <c r="E688" s="51">
        <v>1841027778</v>
      </c>
      <c r="F688" s="52">
        <f t="shared" si="24"/>
        <v>1.1100809945108701E-2</v>
      </c>
      <c r="G688" s="52">
        <f t="shared" si="25"/>
        <v>7.8019621743095095E-3</v>
      </c>
    </row>
    <row r="689" spans="1:7" ht="15" customHeight="1" x14ac:dyDescent="0.2">
      <c r="A689" s="19" t="s">
        <v>836</v>
      </c>
      <c r="B689" s="50">
        <v>39.287199999999999</v>
      </c>
      <c r="C689" s="50">
        <v>1965.99</v>
      </c>
      <c r="D689" s="51">
        <v>38756716.562112004</v>
      </c>
      <c r="E689" s="51">
        <v>1818361111</v>
      </c>
      <c r="F689" s="52">
        <f t="shared" si="24"/>
        <v>-2.2326232466180464E-2</v>
      </c>
      <c r="G689" s="52">
        <f t="shared" si="25"/>
        <v>-1.6300883863057503E-2</v>
      </c>
    </row>
    <row r="690" spans="1:7" ht="15" customHeight="1" x14ac:dyDescent="0.2">
      <c r="A690" s="19" t="s">
        <v>837</v>
      </c>
      <c r="B690" s="50">
        <v>39.6008</v>
      </c>
      <c r="C690" s="50">
        <v>1982.85</v>
      </c>
      <c r="D690" s="51">
        <v>31733161.892912999</v>
      </c>
      <c r="E690" s="51">
        <v>1627466667</v>
      </c>
      <c r="F690" s="52">
        <f t="shared" si="24"/>
        <v>7.9505539985921594E-3</v>
      </c>
      <c r="G690" s="52">
        <f t="shared" si="25"/>
        <v>8.53926846933231E-3</v>
      </c>
    </row>
    <row r="691" spans="1:7" ht="15" customHeight="1" x14ac:dyDescent="0.2">
      <c r="A691" s="19" t="s">
        <v>838</v>
      </c>
      <c r="B691" s="50">
        <v>39.630200000000002</v>
      </c>
      <c r="C691" s="50">
        <v>1977.8</v>
      </c>
      <c r="D691" s="51">
        <v>30576207.557767998</v>
      </c>
      <c r="E691" s="51">
        <v>1719133333</v>
      </c>
      <c r="F691" s="52">
        <f t="shared" si="24"/>
        <v>7.4213379483722226E-4</v>
      </c>
      <c r="G691" s="52">
        <f t="shared" si="25"/>
        <v>-2.5500878576278762E-3</v>
      </c>
    </row>
    <row r="692" spans="1:7" ht="15" customHeight="1" x14ac:dyDescent="0.2">
      <c r="A692" s="19" t="s">
        <v>839</v>
      </c>
      <c r="B692" s="50">
        <v>39.559699999999999</v>
      </c>
      <c r="C692" s="50">
        <v>1972.29</v>
      </c>
      <c r="D692" s="51">
        <v>38711613.281355999</v>
      </c>
      <c r="E692" s="51">
        <v>2195055556</v>
      </c>
      <c r="F692" s="52">
        <f t="shared" si="24"/>
        <v>-1.7805305632523508E-3</v>
      </c>
      <c r="G692" s="52">
        <f t="shared" si="25"/>
        <v>-2.7898116618691174E-3</v>
      </c>
    </row>
    <row r="693" spans="1:7" ht="15" customHeight="1" x14ac:dyDescent="0.2">
      <c r="A693" s="19" t="s">
        <v>840</v>
      </c>
      <c r="B693" s="50">
        <v>39.166200000000003</v>
      </c>
      <c r="C693" s="50">
        <v>1946.16</v>
      </c>
      <c r="D693" s="51">
        <v>44634073.128691003</v>
      </c>
      <c r="E693" s="51">
        <v>2326994444</v>
      </c>
      <c r="F693" s="52">
        <f t="shared" si="24"/>
        <v>-9.9967933566595009E-3</v>
      </c>
      <c r="G693" s="52">
        <f t="shared" si="25"/>
        <v>-1.3337103869609681E-2</v>
      </c>
    </row>
    <row r="694" spans="1:7" ht="15" customHeight="1" x14ac:dyDescent="0.2">
      <c r="A694" s="19" t="s">
        <v>841</v>
      </c>
      <c r="B694" s="50">
        <v>39.046900000000001</v>
      </c>
      <c r="C694" s="50">
        <v>1946.17</v>
      </c>
      <c r="D694" s="51">
        <v>29437608.232779998</v>
      </c>
      <c r="E694" s="51">
        <v>2229172222</v>
      </c>
      <c r="F694" s="52">
        <f t="shared" si="24"/>
        <v>-3.0506422203261394E-3</v>
      </c>
      <c r="G694" s="52">
        <f t="shared" si="25"/>
        <v>5.1383104720751194E-6</v>
      </c>
    </row>
    <row r="695" spans="1:7" ht="15" customHeight="1" x14ac:dyDescent="0.2">
      <c r="A695" s="19" t="s">
        <v>842</v>
      </c>
      <c r="B695" s="50">
        <v>39.330199999999998</v>
      </c>
      <c r="C695" s="50">
        <v>1967.9</v>
      </c>
      <c r="D695" s="51">
        <v>38032209.665293999</v>
      </c>
      <c r="E695" s="51">
        <v>1978316667</v>
      </c>
      <c r="F695" s="52">
        <f t="shared" si="24"/>
        <v>7.2291838763206108E-3</v>
      </c>
      <c r="G695" s="52">
        <f t="shared" si="25"/>
        <v>1.1103645698160249E-2</v>
      </c>
    </row>
    <row r="696" spans="1:7" ht="15" customHeight="1" x14ac:dyDescent="0.2">
      <c r="A696" s="19" t="s">
        <v>843</v>
      </c>
      <c r="B696" s="50">
        <v>39.330199999999998</v>
      </c>
      <c r="C696" s="50">
        <v>1964.82</v>
      </c>
      <c r="D696" s="51">
        <v>24145808.023738001</v>
      </c>
      <c r="E696" s="51">
        <v>1865677778</v>
      </c>
      <c r="F696" s="52">
        <f t="shared" si="24"/>
        <v>0</v>
      </c>
      <c r="G696" s="52">
        <f t="shared" si="25"/>
        <v>-1.5663462589335857E-3</v>
      </c>
    </row>
    <row r="697" spans="1:7" ht="15" customHeight="1" x14ac:dyDescent="0.2">
      <c r="A697" s="19" t="s">
        <v>844</v>
      </c>
      <c r="B697" s="50">
        <v>38.852600000000002</v>
      </c>
      <c r="C697" s="50">
        <v>1935.1</v>
      </c>
      <c r="D697" s="51">
        <v>30145999.209536999</v>
      </c>
      <c r="E697" s="51">
        <v>2048816667</v>
      </c>
      <c r="F697" s="52">
        <f t="shared" si="24"/>
        <v>-1.2217672966233425E-2</v>
      </c>
      <c r="G697" s="52">
        <f t="shared" si="25"/>
        <v>-1.5241633339008961E-2</v>
      </c>
    </row>
    <row r="698" spans="1:7" ht="15" customHeight="1" x14ac:dyDescent="0.2">
      <c r="A698" s="19" t="s">
        <v>845</v>
      </c>
      <c r="B698" s="50">
        <v>39.917200000000001</v>
      </c>
      <c r="C698" s="50">
        <v>1968.89</v>
      </c>
      <c r="D698" s="51">
        <v>38708315.563391</v>
      </c>
      <c r="E698" s="51">
        <v>2467716667</v>
      </c>
      <c r="F698" s="52">
        <f t="shared" si="24"/>
        <v>2.7032310061492589E-2</v>
      </c>
      <c r="G698" s="52">
        <f t="shared" si="25"/>
        <v>1.7310927441677434E-2</v>
      </c>
    </row>
    <row r="699" spans="1:7" ht="15" customHeight="1" x14ac:dyDescent="0.2">
      <c r="A699" s="19" t="s">
        <v>846</v>
      </c>
      <c r="B699" s="50">
        <v>39.127000000000002</v>
      </c>
      <c r="C699" s="50">
        <v>1928.21</v>
      </c>
      <c r="D699" s="51">
        <v>40341726.156111002</v>
      </c>
      <c r="E699" s="51">
        <v>2413344444</v>
      </c>
      <c r="F699" s="52">
        <f t="shared" si="24"/>
        <v>-1.9994542938068887E-2</v>
      </c>
      <c r="G699" s="52">
        <f t="shared" si="25"/>
        <v>-2.0877820755941481E-2</v>
      </c>
    </row>
    <row r="700" spans="1:7" ht="15" customHeight="1" x14ac:dyDescent="0.2">
      <c r="A700" s="19" t="s">
        <v>847</v>
      </c>
      <c r="B700" s="50">
        <v>37.569099999999999</v>
      </c>
      <c r="C700" s="50">
        <v>1906.13</v>
      </c>
      <c r="D700" s="51">
        <v>60909519.400219001</v>
      </c>
      <c r="E700" s="51">
        <v>2528077778</v>
      </c>
      <c r="F700" s="52">
        <f t="shared" si="24"/>
        <v>-4.0630861749214521E-2</v>
      </c>
      <c r="G700" s="52">
        <f t="shared" si="25"/>
        <v>-1.1517102846274005E-2</v>
      </c>
    </row>
    <row r="701" spans="1:7" ht="15" customHeight="1" x14ac:dyDescent="0.2">
      <c r="A701" s="19" t="s">
        <v>848</v>
      </c>
      <c r="B701" s="50">
        <v>37.2438</v>
      </c>
      <c r="C701" s="50">
        <v>1874.74</v>
      </c>
      <c r="D701" s="51">
        <v>43474452.771323003</v>
      </c>
      <c r="E701" s="51">
        <v>2418100000</v>
      </c>
      <c r="F701" s="52">
        <f t="shared" si="24"/>
        <v>-8.6964159960913699E-3</v>
      </c>
      <c r="G701" s="52">
        <f t="shared" si="25"/>
        <v>-1.6605025431830202E-2</v>
      </c>
    </row>
    <row r="702" spans="1:7" ht="15" customHeight="1" x14ac:dyDescent="0.2">
      <c r="A702" s="19" t="s">
        <v>849</v>
      </c>
      <c r="B702" s="50">
        <v>37.316099999999999</v>
      </c>
      <c r="C702" s="50">
        <v>1877.7</v>
      </c>
      <c r="D702" s="51">
        <v>44672648.545502998</v>
      </c>
      <c r="E702" s="51">
        <v>2673338889</v>
      </c>
      <c r="F702" s="52">
        <f t="shared" si="24"/>
        <v>1.9393808913696984E-3</v>
      </c>
      <c r="G702" s="52">
        <f t="shared" si="25"/>
        <v>1.5776404760320126E-3</v>
      </c>
    </row>
    <row r="703" spans="1:7" ht="15" customHeight="1" x14ac:dyDescent="0.2">
      <c r="A703" s="19" t="s">
        <v>850</v>
      </c>
      <c r="B703" s="50">
        <v>36.880600000000001</v>
      </c>
      <c r="C703" s="50">
        <v>1862.49</v>
      </c>
      <c r="D703" s="51">
        <v>70571667.184455007</v>
      </c>
      <c r="E703" s="51">
        <v>3383777778</v>
      </c>
      <c r="F703" s="52">
        <f t="shared" si="24"/>
        <v>-1.1739201374220682E-2</v>
      </c>
      <c r="G703" s="52">
        <f t="shared" si="25"/>
        <v>-8.1333214869814974E-3</v>
      </c>
    </row>
    <row r="704" spans="1:7" ht="15" customHeight="1" x14ac:dyDescent="0.2">
      <c r="A704" s="19" t="s">
        <v>851</v>
      </c>
      <c r="B704" s="50">
        <v>36.469299999999997</v>
      </c>
      <c r="C704" s="50">
        <v>1862.76</v>
      </c>
      <c r="D704" s="51">
        <v>57470747.971835002</v>
      </c>
      <c r="E704" s="51">
        <v>2818416667</v>
      </c>
      <c r="F704" s="52">
        <f t="shared" si="24"/>
        <v>-1.1214856758113026E-2</v>
      </c>
      <c r="G704" s="52">
        <f t="shared" si="25"/>
        <v>1.4495671456831241E-4</v>
      </c>
    </row>
    <row r="705" spans="1:7" ht="15" customHeight="1" x14ac:dyDescent="0.2">
      <c r="A705" s="19" t="s">
        <v>852</v>
      </c>
      <c r="B705" s="50">
        <v>37.227499999999999</v>
      </c>
      <c r="C705" s="50">
        <v>1886.76</v>
      </c>
      <c r="D705" s="51">
        <v>47675368.695995003</v>
      </c>
      <c r="E705" s="51">
        <v>2490066667</v>
      </c>
      <c r="F705" s="52">
        <f t="shared" si="24"/>
        <v>2.0576924703804296E-2</v>
      </c>
      <c r="G705" s="52">
        <f t="shared" si="25"/>
        <v>1.2801813443832692E-2</v>
      </c>
    </row>
    <row r="706" spans="1:7" ht="15" customHeight="1" x14ac:dyDescent="0.2">
      <c r="A706" s="19" t="s">
        <v>853</v>
      </c>
      <c r="B706" s="50">
        <v>37.616100000000003</v>
      </c>
      <c r="C706" s="50">
        <v>1904.01</v>
      </c>
      <c r="D706" s="51">
        <v>40464172.748286001</v>
      </c>
      <c r="E706" s="51">
        <v>1850672222</v>
      </c>
      <c r="F706" s="52">
        <f t="shared" si="24"/>
        <v>1.0384414755172653E-2</v>
      </c>
      <c r="G706" s="52">
        <f t="shared" si="25"/>
        <v>9.101116168173851E-3</v>
      </c>
    </row>
    <row r="707" spans="1:7" ht="15" customHeight="1" x14ac:dyDescent="0.2">
      <c r="A707" s="19" t="s">
        <v>854</v>
      </c>
      <c r="B707" s="50">
        <v>38.296700000000001</v>
      </c>
      <c r="C707" s="50">
        <v>1941.28</v>
      </c>
      <c r="D707" s="51">
        <v>42696941.789789997</v>
      </c>
      <c r="E707" s="51">
        <v>2215050000</v>
      </c>
      <c r="F707" s="52">
        <f t="shared" si="24"/>
        <v>1.7931580357160967E-2</v>
      </c>
      <c r="G707" s="52">
        <f t="shared" si="25"/>
        <v>1.9385360865204253E-2</v>
      </c>
    </row>
    <row r="708" spans="1:7" ht="15" customHeight="1" x14ac:dyDescent="0.2">
      <c r="A708" s="19" t="s">
        <v>855</v>
      </c>
      <c r="B708" s="50">
        <v>37.868099999999998</v>
      </c>
      <c r="C708" s="50">
        <v>1927.11</v>
      </c>
      <c r="D708" s="51">
        <v>39352428.170973003</v>
      </c>
      <c r="E708" s="51">
        <v>2089961111</v>
      </c>
      <c r="F708" s="52">
        <f t="shared" si="24"/>
        <v>-1.1254661579312637E-2</v>
      </c>
      <c r="G708" s="52">
        <f t="shared" si="25"/>
        <v>-7.3260779688414726E-3</v>
      </c>
    </row>
    <row r="709" spans="1:7" ht="15" customHeight="1" x14ac:dyDescent="0.2">
      <c r="A709" s="19" t="s">
        <v>856</v>
      </c>
      <c r="B709" s="50">
        <v>38.418900000000001</v>
      </c>
      <c r="C709" s="50">
        <v>1950.82</v>
      </c>
      <c r="D709" s="51">
        <v>53203999.522174001</v>
      </c>
      <c r="E709" s="51">
        <v>2105138889</v>
      </c>
      <c r="F709" s="52">
        <f t="shared" si="24"/>
        <v>1.4440456993898784E-2</v>
      </c>
      <c r="G709" s="52">
        <f t="shared" si="25"/>
        <v>1.2228325652846546E-2</v>
      </c>
    </row>
    <row r="710" spans="1:7" ht="15" customHeight="1" x14ac:dyDescent="0.2">
      <c r="A710" s="19" t="s">
        <v>857</v>
      </c>
      <c r="B710" s="50">
        <v>39.363300000000002</v>
      </c>
      <c r="C710" s="50">
        <v>1964.58</v>
      </c>
      <c r="D710" s="51">
        <v>71578699.746003002</v>
      </c>
      <c r="E710" s="51">
        <v>1710211111</v>
      </c>
      <c r="F710" s="52">
        <f t="shared" ref="F710:F773" si="26">LN(B710/B709)</f>
        <v>2.4284384123825383E-2</v>
      </c>
      <c r="G710" s="52">
        <f t="shared" ref="G710:G773" si="27">LN(C710/C709)</f>
        <v>7.0286850120311814E-3</v>
      </c>
    </row>
    <row r="711" spans="1:7" ht="15" customHeight="1" x14ac:dyDescent="0.2">
      <c r="A711" s="19" t="s">
        <v>858</v>
      </c>
      <c r="B711" s="50">
        <v>39.174900000000001</v>
      </c>
      <c r="C711" s="50">
        <v>1961.63</v>
      </c>
      <c r="D711" s="51">
        <v>35592348.849799</v>
      </c>
      <c r="E711" s="51">
        <v>1966033333</v>
      </c>
      <c r="F711" s="52">
        <f t="shared" si="26"/>
        <v>-4.7976745425144796E-3</v>
      </c>
      <c r="G711" s="52">
        <f t="shared" si="27"/>
        <v>-1.502721736806668E-3</v>
      </c>
    </row>
    <row r="712" spans="1:7" ht="15" customHeight="1" x14ac:dyDescent="0.2">
      <c r="A712" s="19" t="s">
        <v>859</v>
      </c>
      <c r="B712" s="50">
        <v>39.671300000000002</v>
      </c>
      <c r="C712" s="50">
        <v>1985.05</v>
      </c>
      <c r="D712" s="51">
        <v>34043608.010527</v>
      </c>
      <c r="E712" s="51">
        <v>2029588889</v>
      </c>
      <c r="F712" s="52">
        <f t="shared" si="26"/>
        <v>1.2591768754280834E-2</v>
      </c>
      <c r="G712" s="52">
        <f t="shared" si="27"/>
        <v>1.1868342458139376E-2</v>
      </c>
    </row>
    <row r="713" spans="1:7" ht="15" customHeight="1" x14ac:dyDescent="0.2">
      <c r="A713" s="19" t="s">
        <v>860</v>
      </c>
      <c r="B713" s="50">
        <v>39.780700000000003</v>
      </c>
      <c r="C713" s="50">
        <v>1982.3</v>
      </c>
      <c r="D713" s="51">
        <v>35489589.255071998</v>
      </c>
      <c r="E713" s="51">
        <v>2077972222</v>
      </c>
      <c r="F713" s="52">
        <f t="shared" si="26"/>
        <v>2.7538657085725061E-3</v>
      </c>
      <c r="G713" s="52">
        <f t="shared" si="27"/>
        <v>-1.3863160247666469E-3</v>
      </c>
    </row>
    <row r="714" spans="1:7" ht="15" customHeight="1" x14ac:dyDescent="0.2">
      <c r="A714" s="19" t="s">
        <v>861</v>
      </c>
      <c r="B714" s="50">
        <v>39.296799999999998</v>
      </c>
      <c r="C714" s="50">
        <v>1994.65</v>
      </c>
      <c r="D714" s="51">
        <v>35243780.777378999</v>
      </c>
      <c r="E714" s="51">
        <v>1992305556</v>
      </c>
      <c r="F714" s="52">
        <f t="shared" si="26"/>
        <v>-1.2238779429668655E-2</v>
      </c>
      <c r="G714" s="52">
        <f t="shared" si="27"/>
        <v>6.2108096401566381E-3</v>
      </c>
    </row>
    <row r="715" spans="1:7" ht="15" customHeight="1" x14ac:dyDescent="0.2">
      <c r="A715" s="19" t="s">
        <v>862</v>
      </c>
      <c r="B715" s="50">
        <v>40.062800000000003</v>
      </c>
      <c r="C715" s="50">
        <v>2018.05</v>
      </c>
      <c r="D715" s="51">
        <v>42012473.345790997</v>
      </c>
      <c r="E715" s="51">
        <v>2384605556</v>
      </c>
      <c r="F715" s="52">
        <f t="shared" si="26"/>
        <v>1.9305132328745086E-2</v>
      </c>
      <c r="G715" s="52">
        <f t="shared" si="27"/>
        <v>1.1663102277224974E-2</v>
      </c>
    </row>
    <row r="716" spans="1:7" ht="15" customHeight="1" x14ac:dyDescent="0.2">
      <c r="A716" s="19" t="s">
        <v>863</v>
      </c>
      <c r="B716" s="50">
        <v>40.4818</v>
      </c>
      <c r="C716" s="50">
        <v>2017.81</v>
      </c>
      <c r="D716" s="51">
        <v>27094662.034713</v>
      </c>
      <c r="E716" s="51">
        <v>1975244444</v>
      </c>
      <c r="F716" s="52">
        <f t="shared" si="26"/>
        <v>1.0404267441387177E-2</v>
      </c>
      <c r="G716" s="52">
        <f t="shared" si="27"/>
        <v>-1.1893375899205164E-4</v>
      </c>
    </row>
    <row r="717" spans="1:7" ht="15" customHeight="1" x14ac:dyDescent="0.2">
      <c r="A717" s="19" t="s">
        <v>864</v>
      </c>
      <c r="B717" s="50">
        <v>40.591099999999997</v>
      </c>
      <c r="C717" s="50">
        <v>2012.1</v>
      </c>
      <c r="D717" s="51">
        <v>25231190.309859</v>
      </c>
      <c r="E717" s="51">
        <v>2197922222</v>
      </c>
      <c r="F717" s="52">
        <f t="shared" si="26"/>
        <v>2.6963403608322761E-3</v>
      </c>
      <c r="G717" s="52">
        <f t="shared" si="27"/>
        <v>-2.8338120807535872E-3</v>
      </c>
    </row>
    <row r="718" spans="1:7" ht="15" customHeight="1" x14ac:dyDescent="0.2">
      <c r="A718" s="19" t="s">
        <v>865</v>
      </c>
      <c r="B718" s="50">
        <v>40.8431</v>
      </c>
      <c r="C718" s="50">
        <v>2023.57</v>
      </c>
      <c r="D718" s="51">
        <v>26306320.081939999</v>
      </c>
      <c r="E718" s="51">
        <v>2092550000</v>
      </c>
      <c r="F718" s="52">
        <f t="shared" si="26"/>
        <v>6.1890656356836521E-3</v>
      </c>
      <c r="G718" s="52">
        <f t="shared" si="27"/>
        <v>5.6843254698454955E-3</v>
      </c>
    </row>
    <row r="719" spans="1:7" ht="15" customHeight="1" x14ac:dyDescent="0.2">
      <c r="A719" s="19" t="s">
        <v>866</v>
      </c>
      <c r="B719" s="50">
        <v>41.556199999999997</v>
      </c>
      <c r="C719" s="50">
        <v>2031.21</v>
      </c>
      <c r="D719" s="51">
        <v>38714871.070419997</v>
      </c>
      <c r="E719" s="51">
        <v>2038761111</v>
      </c>
      <c r="F719" s="52">
        <f t="shared" si="26"/>
        <v>1.7308831589167961E-2</v>
      </c>
      <c r="G719" s="52">
        <f t="shared" si="27"/>
        <v>3.7683963328125326E-3</v>
      </c>
    </row>
    <row r="720" spans="1:7" ht="15" customHeight="1" x14ac:dyDescent="0.2">
      <c r="A720" s="19" t="s">
        <v>867</v>
      </c>
      <c r="B720" s="50">
        <v>41.537700000000001</v>
      </c>
      <c r="C720" s="50">
        <v>2031.92</v>
      </c>
      <c r="D720" s="51">
        <v>32813812.091965999</v>
      </c>
      <c r="E720" s="51">
        <v>2057933333</v>
      </c>
      <c r="F720" s="52">
        <f t="shared" si="26"/>
        <v>-4.4527938406235552E-4</v>
      </c>
      <c r="G720" s="52">
        <f t="shared" si="27"/>
        <v>3.4948426815119868E-4</v>
      </c>
    </row>
    <row r="721" spans="1:7" ht="15" customHeight="1" x14ac:dyDescent="0.2">
      <c r="A721" s="19" t="s">
        <v>868</v>
      </c>
      <c r="B721" s="50">
        <v>41.720300000000002</v>
      </c>
      <c r="C721" s="50">
        <v>2038.26</v>
      </c>
      <c r="D721" s="51">
        <v>42620711.368601002</v>
      </c>
      <c r="E721" s="51">
        <v>1824966667</v>
      </c>
      <c r="F721" s="52">
        <f t="shared" si="26"/>
        <v>4.3863723071071595E-3</v>
      </c>
      <c r="G721" s="52">
        <f t="shared" si="27"/>
        <v>3.1153438558825866E-3</v>
      </c>
    </row>
    <row r="722" spans="1:7" ht="15" customHeight="1" x14ac:dyDescent="0.2">
      <c r="A722" s="19" t="s">
        <v>869</v>
      </c>
      <c r="B722" s="50">
        <v>41.7027</v>
      </c>
      <c r="C722" s="50">
        <v>2039.68</v>
      </c>
      <c r="D722" s="51">
        <v>27475467.066344</v>
      </c>
      <c r="E722" s="51">
        <v>1643511111</v>
      </c>
      <c r="F722" s="52">
        <f t="shared" si="26"/>
        <v>-4.21945992379215E-4</v>
      </c>
      <c r="G722" s="52">
        <f t="shared" si="27"/>
        <v>6.9643008842389554E-4</v>
      </c>
    </row>
    <row r="723" spans="1:7" ht="15" customHeight="1" x14ac:dyDescent="0.2">
      <c r="A723" s="19" t="s">
        <v>870</v>
      </c>
      <c r="B723" s="50">
        <v>41.6235</v>
      </c>
      <c r="C723" s="50">
        <v>2038.25</v>
      </c>
      <c r="D723" s="51">
        <v>26628147.050485998</v>
      </c>
      <c r="E723" s="51">
        <v>1803694444</v>
      </c>
      <c r="F723" s="52">
        <f t="shared" si="26"/>
        <v>-1.9009632948619338E-3</v>
      </c>
      <c r="G723" s="52">
        <f t="shared" si="27"/>
        <v>-7.0133624589671954E-4</v>
      </c>
    </row>
    <row r="724" spans="1:7" ht="15" customHeight="1" x14ac:dyDescent="0.2">
      <c r="A724" s="19" t="s">
        <v>871</v>
      </c>
      <c r="B724" s="50">
        <v>42.329799999999999</v>
      </c>
      <c r="C724" s="50">
        <v>2039.33</v>
      </c>
      <c r="D724" s="51">
        <v>30714513.091672</v>
      </c>
      <c r="E724" s="51">
        <v>1919594444</v>
      </c>
      <c r="F724" s="52">
        <f t="shared" si="26"/>
        <v>1.6826418124933417E-2</v>
      </c>
      <c r="G724" s="52">
        <f t="shared" si="27"/>
        <v>5.2972597729773947E-4</v>
      </c>
    </row>
    <row r="725" spans="1:7" ht="15" customHeight="1" x14ac:dyDescent="0.2">
      <c r="A725" s="19" t="s">
        <v>872</v>
      </c>
      <c r="B725" s="50">
        <v>42.306399999999996</v>
      </c>
      <c r="C725" s="50">
        <v>2039.82</v>
      </c>
      <c r="D725" s="51">
        <v>34080996.822209001</v>
      </c>
      <c r="E725" s="51">
        <v>1792850000</v>
      </c>
      <c r="F725" s="52">
        <f t="shared" si="26"/>
        <v>-5.5295489627921635E-4</v>
      </c>
      <c r="G725" s="52">
        <f t="shared" si="27"/>
        <v>2.4024613086403535E-4</v>
      </c>
    </row>
    <row r="726" spans="1:7" ht="15" customHeight="1" x14ac:dyDescent="0.2">
      <c r="A726" s="19" t="s">
        <v>873</v>
      </c>
      <c r="B726" s="50">
        <v>42.206800000000001</v>
      </c>
      <c r="C726" s="50">
        <v>2041.32</v>
      </c>
      <c r="D726" s="51">
        <v>35528644.842555001</v>
      </c>
      <c r="E726" s="51">
        <v>1751605556</v>
      </c>
      <c r="F726" s="52">
        <f t="shared" si="26"/>
        <v>-2.3570293424309344E-3</v>
      </c>
      <c r="G726" s="52">
        <f t="shared" si="27"/>
        <v>7.3508875830995222E-4</v>
      </c>
    </row>
    <row r="727" spans="1:7" ht="15" customHeight="1" x14ac:dyDescent="0.2">
      <c r="A727" s="19" t="s">
        <v>874</v>
      </c>
      <c r="B727" s="50">
        <v>41.852899999999998</v>
      </c>
      <c r="C727" s="50">
        <v>2051.8000000000002</v>
      </c>
      <c r="D727" s="51">
        <v>27991338.271540001</v>
      </c>
      <c r="E727" s="51">
        <v>1897883333</v>
      </c>
      <c r="F727" s="52">
        <f t="shared" si="26"/>
        <v>-8.4202558652387207E-3</v>
      </c>
      <c r="G727" s="52">
        <f t="shared" si="27"/>
        <v>5.1207992441207693E-3</v>
      </c>
    </row>
    <row r="728" spans="1:7" ht="15" customHeight="1" x14ac:dyDescent="0.2">
      <c r="A728" s="19" t="s">
        <v>875</v>
      </c>
      <c r="B728" s="50">
        <v>41.405700000000003</v>
      </c>
      <c r="C728" s="50">
        <v>2048.7199999999998</v>
      </c>
      <c r="D728" s="51">
        <v>30485023.250014</v>
      </c>
      <c r="E728" s="51">
        <v>1883805556</v>
      </c>
      <c r="F728" s="52">
        <f t="shared" si="26"/>
        <v>-1.0742537122734749E-2</v>
      </c>
      <c r="G728" s="52">
        <f t="shared" si="27"/>
        <v>-1.5022487778296994E-3</v>
      </c>
    </row>
    <row r="729" spans="1:7" ht="15" customHeight="1" x14ac:dyDescent="0.2">
      <c r="A729" s="19" t="s">
        <v>876</v>
      </c>
      <c r="B729" s="50">
        <v>41.817900000000002</v>
      </c>
      <c r="C729" s="50">
        <v>2052.75</v>
      </c>
      <c r="D729" s="51">
        <v>25046447.460271001</v>
      </c>
      <c r="E729" s="51">
        <v>1737938889</v>
      </c>
      <c r="F729" s="52">
        <f t="shared" si="26"/>
        <v>9.9059250181191463E-3</v>
      </c>
      <c r="G729" s="52">
        <f t="shared" si="27"/>
        <v>1.9651497131154641E-3</v>
      </c>
    </row>
    <row r="730" spans="1:7" ht="15" customHeight="1" x14ac:dyDescent="0.2">
      <c r="A730" s="19" t="s">
        <v>877</v>
      </c>
      <c r="B730" s="50">
        <v>41.199800000000003</v>
      </c>
      <c r="C730" s="50">
        <v>2063.5</v>
      </c>
      <c r="D730" s="51">
        <v>49940788.319210999</v>
      </c>
      <c r="E730" s="51">
        <v>2175788889</v>
      </c>
      <c r="F730" s="52">
        <f t="shared" si="26"/>
        <v>-1.4891075556861061E-2</v>
      </c>
      <c r="G730" s="52">
        <f t="shared" si="27"/>
        <v>5.2232126037382535E-3</v>
      </c>
    </row>
    <row r="731" spans="1:7" ht="15" customHeight="1" x14ac:dyDescent="0.2">
      <c r="A731" s="19" t="s">
        <v>878</v>
      </c>
      <c r="B731" s="50">
        <v>40.867600000000003</v>
      </c>
      <c r="C731" s="50">
        <v>2069.41</v>
      </c>
      <c r="D731" s="51">
        <v>41264281.442005001</v>
      </c>
      <c r="E731" s="51">
        <v>1737811111</v>
      </c>
      <c r="F731" s="52">
        <f t="shared" si="26"/>
        <v>-8.0958289023750213E-3</v>
      </c>
      <c r="G731" s="52">
        <f t="shared" si="27"/>
        <v>2.8599722850845412E-3</v>
      </c>
    </row>
    <row r="732" spans="1:7" ht="15" customHeight="1" x14ac:dyDescent="0.2">
      <c r="A732" s="19" t="s">
        <v>879</v>
      </c>
      <c r="B732" s="50">
        <v>40.762099999999997</v>
      </c>
      <c r="C732" s="50">
        <v>2067.0300000000002</v>
      </c>
      <c r="D732" s="51">
        <v>32616928.807838999</v>
      </c>
      <c r="E732" s="51">
        <v>1884966667</v>
      </c>
      <c r="F732" s="52">
        <f t="shared" si="26"/>
        <v>-2.5848449459167206E-3</v>
      </c>
      <c r="G732" s="52">
        <f t="shared" si="27"/>
        <v>-1.1507481131779239E-3</v>
      </c>
    </row>
    <row r="733" spans="1:7" ht="15" customHeight="1" x14ac:dyDescent="0.2">
      <c r="A733" s="19" t="s">
        <v>880</v>
      </c>
      <c r="B733" s="50">
        <v>41.002600000000001</v>
      </c>
      <c r="C733" s="50">
        <v>2072.83</v>
      </c>
      <c r="D733" s="51">
        <v>31634949.074186001</v>
      </c>
      <c r="E733" s="51">
        <v>1525144444</v>
      </c>
      <c r="F733" s="52">
        <f t="shared" si="26"/>
        <v>5.8827512013568195E-3</v>
      </c>
      <c r="G733" s="52">
        <f t="shared" si="27"/>
        <v>2.8020289550014527E-3</v>
      </c>
    </row>
    <row r="734" spans="1:7" ht="15" customHeight="1" x14ac:dyDescent="0.2">
      <c r="A734" s="19" t="s">
        <v>881</v>
      </c>
      <c r="B734" s="50">
        <v>41.0533</v>
      </c>
      <c r="C734" s="50">
        <v>2067.56</v>
      </c>
      <c r="D734" s="51">
        <v>25078172.510453001</v>
      </c>
      <c r="E734" s="51">
        <v>1391466667</v>
      </c>
      <c r="F734" s="52">
        <f t="shared" si="26"/>
        <v>1.2357431080966602E-3</v>
      </c>
      <c r="G734" s="52">
        <f t="shared" si="27"/>
        <v>-2.5456552865591015E-3</v>
      </c>
    </row>
    <row r="735" spans="1:7" ht="15" customHeight="1" x14ac:dyDescent="0.2">
      <c r="A735" s="19" t="s">
        <v>882</v>
      </c>
      <c r="B735" s="50">
        <v>41.750700000000002</v>
      </c>
      <c r="C735" s="50">
        <v>2053.44</v>
      </c>
      <c r="D735" s="51">
        <v>36322069.028171003</v>
      </c>
      <c r="E735" s="51">
        <v>2310561111</v>
      </c>
      <c r="F735" s="52">
        <f t="shared" si="26"/>
        <v>1.6844995187446865E-2</v>
      </c>
      <c r="G735" s="52">
        <f t="shared" si="27"/>
        <v>-6.8527324708350058E-3</v>
      </c>
    </row>
    <row r="736" spans="1:7" ht="15" customHeight="1" x14ac:dyDescent="0.2">
      <c r="A736" s="19" t="s">
        <v>883</v>
      </c>
      <c r="B736" s="50">
        <v>41.612900000000003</v>
      </c>
      <c r="C736" s="50">
        <v>2066.5500000000002</v>
      </c>
      <c r="D736" s="51">
        <v>30009294.927076999</v>
      </c>
      <c r="E736" s="51">
        <v>2048138889</v>
      </c>
      <c r="F736" s="52">
        <f t="shared" si="26"/>
        <v>-3.306002272186023E-3</v>
      </c>
      <c r="G736" s="52">
        <f t="shared" si="27"/>
        <v>6.3641145965672059E-3</v>
      </c>
    </row>
    <row r="737" spans="1:7" ht="15" customHeight="1" x14ac:dyDescent="0.2">
      <c r="A737" s="19" t="s">
        <v>884</v>
      </c>
      <c r="B737" s="50">
        <v>41.284799999999997</v>
      </c>
      <c r="C737" s="50">
        <v>2074.33</v>
      </c>
      <c r="D737" s="51">
        <v>27406604.039903</v>
      </c>
      <c r="E737" s="51">
        <v>2007044444</v>
      </c>
      <c r="F737" s="52">
        <f t="shared" si="26"/>
        <v>-7.9158218680011293E-3</v>
      </c>
      <c r="G737" s="52">
        <f t="shared" si="27"/>
        <v>3.7576597991097705E-3</v>
      </c>
    </row>
    <row r="738" spans="1:7" ht="15" customHeight="1" x14ac:dyDescent="0.2">
      <c r="A738" s="19" t="s">
        <v>885</v>
      </c>
      <c r="B738" s="50">
        <v>41.938299999999998</v>
      </c>
      <c r="C738" s="50">
        <v>2071.92</v>
      </c>
      <c r="D738" s="51">
        <v>35338783.926491998</v>
      </c>
      <c r="E738" s="51">
        <v>1893522222</v>
      </c>
      <c r="F738" s="52">
        <f t="shared" si="26"/>
        <v>1.570509707272932E-2</v>
      </c>
      <c r="G738" s="52">
        <f t="shared" si="27"/>
        <v>-1.1624963624507377E-3</v>
      </c>
    </row>
    <row r="739" spans="1:7" ht="15" customHeight="1" x14ac:dyDescent="0.2">
      <c r="A739" s="19" t="s">
        <v>886</v>
      </c>
      <c r="B739" s="50">
        <v>41.578600000000002</v>
      </c>
      <c r="C739" s="50">
        <v>2075.37</v>
      </c>
      <c r="D739" s="51">
        <v>31807034.461114001</v>
      </c>
      <c r="E739" s="51">
        <v>1899788889</v>
      </c>
      <c r="F739" s="52">
        <f t="shared" si="26"/>
        <v>-8.6138787265685485E-3</v>
      </c>
      <c r="G739" s="52">
        <f t="shared" si="27"/>
        <v>1.6637374265151782E-3</v>
      </c>
    </row>
    <row r="740" spans="1:7" ht="15" customHeight="1" x14ac:dyDescent="0.2">
      <c r="A740" s="19" t="s">
        <v>887</v>
      </c>
      <c r="B740" s="50">
        <v>40.947699999999998</v>
      </c>
      <c r="C740" s="50">
        <v>2060.31</v>
      </c>
      <c r="D740" s="51">
        <v>31050044.888750002</v>
      </c>
      <c r="E740" s="51">
        <v>2111661111</v>
      </c>
      <c r="F740" s="52">
        <f t="shared" si="26"/>
        <v>-1.5289969163808285E-2</v>
      </c>
      <c r="G740" s="52">
        <f t="shared" si="27"/>
        <v>-7.2829941231697731E-3</v>
      </c>
    </row>
    <row r="741" spans="1:7" ht="15" customHeight="1" x14ac:dyDescent="0.2">
      <c r="A741" s="19" t="s">
        <v>888</v>
      </c>
      <c r="B741" s="50">
        <v>40.867600000000003</v>
      </c>
      <c r="C741" s="50">
        <v>2059.8200000000002</v>
      </c>
      <c r="D741" s="51">
        <v>28329257.612332001</v>
      </c>
      <c r="E741" s="51">
        <v>2205638889</v>
      </c>
      <c r="F741" s="52">
        <f t="shared" si="26"/>
        <v>-1.9580695931490839E-3</v>
      </c>
      <c r="G741" s="52">
        <f t="shared" si="27"/>
        <v>-2.3785657360814608E-4</v>
      </c>
    </row>
    <row r="742" spans="1:7" ht="15" customHeight="1" x14ac:dyDescent="0.2">
      <c r="A742" s="19" t="s">
        <v>889</v>
      </c>
      <c r="B742" s="50">
        <v>40.270800000000001</v>
      </c>
      <c r="C742" s="50">
        <v>2026.14</v>
      </c>
      <c r="D742" s="51">
        <v>35439706.791621</v>
      </c>
      <c r="E742" s="51">
        <v>2285800000</v>
      </c>
      <c r="F742" s="52">
        <f t="shared" si="26"/>
        <v>-1.4710932501212529E-2</v>
      </c>
      <c r="G742" s="52">
        <f t="shared" si="27"/>
        <v>-1.6486095225712944E-2</v>
      </c>
    </row>
    <row r="743" spans="1:7" ht="15" customHeight="1" x14ac:dyDescent="0.2">
      <c r="A743" s="19" t="s">
        <v>890</v>
      </c>
      <c r="B743" s="50">
        <v>40.505200000000002</v>
      </c>
      <c r="C743" s="50">
        <v>2035.33</v>
      </c>
      <c r="D743" s="51">
        <v>33843529.390238002</v>
      </c>
      <c r="E743" s="51">
        <v>2176638889</v>
      </c>
      <c r="F743" s="52">
        <f t="shared" si="26"/>
        <v>5.8037203611028482E-3</v>
      </c>
      <c r="G743" s="52">
        <f t="shared" si="27"/>
        <v>4.5254627925939775E-3</v>
      </c>
    </row>
    <row r="744" spans="1:7" ht="15" customHeight="1" x14ac:dyDescent="0.2">
      <c r="A744" s="19" t="s">
        <v>891</v>
      </c>
      <c r="B744" s="50">
        <v>40.3157</v>
      </c>
      <c r="C744" s="50">
        <v>2002.33</v>
      </c>
      <c r="D744" s="51">
        <v>39884349.771874003</v>
      </c>
      <c r="E744" s="51">
        <v>2309805556</v>
      </c>
      <c r="F744" s="52">
        <f t="shared" si="26"/>
        <v>-4.6893896817421631E-3</v>
      </c>
      <c r="G744" s="52">
        <f t="shared" si="27"/>
        <v>-1.6346465435817352E-2</v>
      </c>
    </row>
    <row r="745" spans="1:7" ht="15" customHeight="1" x14ac:dyDescent="0.2">
      <c r="A745" s="19" t="s">
        <v>892</v>
      </c>
      <c r="B745" s="50">
        <v>40.075499999999998</v>
      </c>
      <c r="C745" s="50">
        <v>1989.63</v>
      </c>
      <c r="D745" s="51">
        <v>34060825.558817998</v>
      </c>
      <c r="E745" s="51">
        <v>2423327778</v>
      </c>
      <c r="F745" s="52">
        <f t="shared" si="26"/>
        <v>-5.975796226391869E-3</v>
      </c>
      <c r="G745" s="52">
        <f t="shared" si="27"/>
        <v>-6.3628106729409261E-3</v>
      </c>
    </row>
    <row r="746" spans="1:7" ht="15" customHeight="1" x14ac:dyDescent="0.2">
      <c r="A746" s="19" t="s">
        <v>893</v>
      </c>
      <c r="B746" s="50">
        <v>38.781300000000002</v>
      </c>
      <c r="C746" s="50">
        <v>1972.74</v>
      </c>
      <c r="D746" s="51">
        <v>55626195.380884998</v>
      </c>
      <c r="E746" s="51">
        <v>2754822222</v>
      </c>
      <c r="F746" s="52">
        <f t="shared" si="26"/>
        <v>-3.2827003337261483E-2</v>
      </c>
      <c r="G746" s="52">
        <f t="shared" si="27"/>
        <v>-8.5252524609650115E-3</v>
      </c>
    </row>
    <row r="747" spans="1:7" ht="15" customHeight="1" x14ac:dyDescent="0.2">
      <c r="A747" s="19" t="s">
        <v>894</v>
      </c>
      <c r="B747" s="50">
        <v>39.278599999999997</v>
      </c>
      <c r="C747" s="50">
        <v>2012.89</v>
      </c>
      <c r="D747" s="51">
        <v>40724299.321528003</v>
      </c>
      <c r="E747" s="51">
        <v>2745761111</v>
      </c>
      <c r="F747" s="52">
        <f t="shared" si="26"/>
        <v>1.2741669616342537E-2</v>
      </c>
      <c r="G747" s="52">
        <f t="shared" si="27"/>
        <v>2.0148061015694455E-2</v>
      </c>
    </row>
    <row r="748" spans="1:7" ht="15" customHeight="1" x14ac:dyDescent="0.2">
      <c r="A748" s="19" t="s">
        <v>895</v>
      </c>
      <c r="B748" s="50">
        <v>40.805100000000003</v>
      </c>
      <c r="C748" s="50">
        <v>2061.23</v>
      </c>
      <c r="D748" s="51">
        <v>46699119.272016004</v>
      </c>
      <c r="E748" s="51">
        <v>2612988889</v>
      </c>
      <c r="F748" s="52">
        <f t="shared" si="26"/>
        <v>3.8127232295038463E-2</v>
      </c>
      <c r="G748" s="52">
        <f t="shared" si="27"/>
        <v>2.3731391638557114E-2</v>
      </c>
    </row>
    <row r="749" spans="1:7" ht="15" customHeight="1" x14ac:dyDescent="0.2">
      <c r="A749" s="19" t="s">
        <v>896</v>
      </c>
      <c r="B749" s="50">
        <v>40.920400000000001</v>
      </c>
      <c r="C749" s="50">
        <v>2070.65</v>
      </c>
      <c r="D749" s="51">
        <v>75172565.276815996</v>
      </c>
      <c r="E749" s="51">
        <v>3591961111</v>
      </c>
      <c r="F749" s="52">
        <f t="shared" si="26"/>
        <v>2.8216426084474058E-3</v>
      </c>
      <c r="G749" s="52">
        <f t="shared" si="27"/>
        <v>4.5596756540114657E-3</v>
      </c>
    </row>
    <row r="750" spans="1:7" ht="15" customHeight="1" x14ac:dyDescent="0.2">
      <c r="A750" s="19" t="s">
        <v>897</v>
      </c>
      <c r="B750" s="50">
        <v>41.199800000000003</v>
      </c>
      <c r="C750" s="50">
        <v>2078.54</v>
      </c>
      <c r="D750" s="51">
        <v>30937036.875257999</v>
      </c>
      <c r="E750" s="51">
        <v>1871955556</v>
      </c>
      <c r="F750" s="52">
        <f t="shared" si="26"/>
        <v>6.8046857680516427E-3</v>
      </c>
      <c r="G750" s="52">
        <f t="shared" si="27"/>
        <v>3.8031565245638006E-3</v>
      </c>
    </row>
    <row r="751" spans="1:7" ht="15" customHeight="1" x14ac:dyDescent="0.2">
      <c r="A751" s="19" t="s">
        <v>898</v>
      </c>
      <c r="B751" s="50">
        <v>41.603999999999999</v>
      </c>
      <c r="C751" s="50">
        <v>2082.17</v>
      </c>
      <c r="D751" s="51">
        <v>27548573.818636999</v>
      </c>
      <c r="E751" s="51">
        <v>1691083333</v>
      </c>
      <c r="F751" s="52">
        <f t="shared" si="26"/>
        <v>9.7629145161205015E-3</v>
      </c>
      <c r="G751" s="52">
        <f t="shared" si="27"/>
        <v>1.7448949438961451E-3</v>
      </c>
    </row>
    <row r="752" spans="1:7" ht="15" customHeight="1" x14ac:dyDescent="0.2">
      <c r="A752" s="19" t="s">
        <v>899</v>
      </c>
      <c r="B752" s="50">
        <v>41.336500000000001</v>
      </c>
      <c r="C752" s="50">
        <v>2081.88</v>
      </c>
      <c r="D752" s="51">
        <v>13325837.706645001</v>
      </c>
      <c r="E752" s="51">
        <v>787211111</v>
      </c>
      <c r="F752" s="52">
        <f t="shared" si="26"/>
        <v>-6.4504295853522334E-3</v>
      </c>
      <c r="G752" s="52">
        <f t="shared" si="27"/>
        <v>-1.3928747275794275E-4</v>
      </c>
    </row>
    <row r="753" spans="1:7" ht="15" customHeight="1" x14ac:dyDescent="0.2">
      <c r="A753" s="19" t="s">
        <v>900</v>
      </c>
      <c r="B753" s="50">
        <v>41.115600000000001</v>
      </c>
      <c r="C753" s="50">
        <v>2088.77</v>
      </c>
      <c r="D753" s="51">
        <v>15369629.387073999</v>
      </c>
      <c r="E753" s="51">
        <v>964016667</v>
      </c>
      <c r="F753" s="52">
        <f t="shared" si="26"/>
        <v>-5.358275375000097E-3</v>
      </c>
      <c r="G753" s="52">
        <f t="shared" si="27"/>
        <v>3.3040443422532773E-3</v>
      </c>
    </row>
    <row r="754" spans="1:7" ht="15" customHeight="1" x14ac:dyDescent="0.2">
      <c r="A754" s="19" t="s">
        <v>901</v>
      </c>
      <c r="B754" s="50">
        <v>40.745399999999997</v>
      </c>
      <c r="C754" s="50">
        <v>2090.5700000000002</v>
      </c>
      <c r="D754" s="51">
        <v>16815710.96579</v>
      </c>
      <c r="E754" s="51">
        <v>1362422222</v>
      </c>
      <c r="F754" s="52">
        <f t="shared" si="26"/>
        <v>-9.0446616510601024E-3</v>
      </c>
      <c r="G754" s="52">
        <f t="shared" si="27"/>
        <v>8.6138007977164255E-4</v>
      </c>
    </row>
    <row r="755" spans="1:7" ht="15" customHeight="1" x14ac:dyDescent="0.2">
      <c r="A755" s="19" t="s">
        <v>902</v>
      </c>
      <c r="B755" s="50">
        <v>40.377200000000002</v>
      </c>
      <c r="C755" s="50">
        <v>2080.35</v>
      </c>
      <c r="D755" s="51">
        <v>19080519.369622</v>
      </c>
      <c r="E755" s="51">
        <v>1355711111</v>
      </c>
      <c r="F755" s="52">
        <f t="shared" si="26"/>
        <v>-9.0776806570474766E-3</v>
      </c>
      <c r="G755" s="52">
        <f t="shared" si="27"/>
        <v>-4.9006072778080582E-3</v>
      </c>
    </row>
    <row r="756" spans="1:7" ht="15" customHeight="1" x14ac:dyDescent="0.2">
      <c r="A756" s="19" t="s">
        <v>903</v>
      </c>
      <c r="B756" s="50">
        <v>39.886899999999997</v>
      </c>
      <c r="C756" s="50">
        <v>2058.9</v>
      </c>
      <c r="D756" s="51">
        <v>25098807.563425001</v>
      </c>
      <c r="E756" s="51">
        <v>1447816667</v>
      </c>
      <c r="F756" s="52">
        <f t="shared" si="26"/>
        <v>-1.2217320037688537E-2</v>
      </c>
      <c r="G756" s="52">
        <f t="shared" si="27"/>
        <v>-1.036428918775506E-2</v>
      </c>
    </row>
    <row r="757" spans="1:7" ht="15" customHeight="1" x14ac:dyDescent="0.2">
      <c r="A757" s="19" t="s">
        <v>904</v>
      </c>
      <c r="B757" s="50">
        <v>40.153599999999997</v>
      </c>
      <c r="C757" s="50">
        <v>2058.1999999999998</v>
      </c>
      <c r="D757" s="51">
        <v>32501460.559551999</v>
      </c>
      <c r="E757" s="51">
        <v>1504833333</v>
      </c>
      <c r="F757" s="52">
        <f t="shared" si="26"/>
        <v>6.664150949374381E-3</v>
      </c>
      <c r="G757" s="52">
        <f t="shared" si="27"/>
        <v>-3.400451807075162E-4</v>
      </c>
    </row>
    <row r="758" spans="1:7" ht="15" customHeight="1" x14ac:dyDescent="0.2">
      <c r="A758" s="19" t="s">
        <v>905</v>
      </c>
      <c r="B758" s="50">
        <v>39.782600000000002</v>
      </c>
      <c r="C758" s="50">
        <v>2020.58</v>
      </c>
      <c r="D758" s="51">
        <v>46200404.186026998</v>
      </c>
      <c r="E758" s="51">
        <v>2110622222</v>
      </c>
      <c r="F758" s="52">
        <f t="shared" si="26"/>
        <v>-9.2824693669997255E-3</v>
      </c>
      <c r="G758" s="52">
        <f t="shared" si="27"/>
        <v>-1.8447215507429587E-2</v>
      </c>
    </row>
    <row r="759" spans="1:7" ht="15" customHeight="1" x14ac:dyDescent="0.2">
      <c r="A759" s="19" t="s">
        <v>906</v>
      </c>
      <c r="B759" s="50">
        <v>39.197200000000002</v>
      </c>
      <c r="C759" s="50">
        <v>2002.61</v>
      </c>
      <c r="D759" s="51">
        <v>42442433.930054002</v>
      </c>
      <c r="E759" s="51">
        <v>2477838889</v>
      </c>
      <c r="F759" s="52">
        <f t="shared" si="26"/>
        <v>-1.482431509326642E-2</v>
      </c>
      <c r="G759" s="52">
        <f t="shared" si="27"/>
        <v>-8.9332691248878455E-3</v>
      </c>
    </row>
    <row r="760" spans="1:7" ht="15" customHeight="1" x14ac:dyDescent="0.2">
      <c r="A760" s="19" t="s">
        <v>907</v>
      </c>
      <c r="B760" s="50">
        <v>39.697499999999998</v>
      </c>
      <c r="C760" s="50">
        <v>2025.9</v>
      </c>
      <c r="D760" s="51">
        <v>33904918.544850998</v>
      </c>
      <c r="E760" s="51">
        <v>2114155556</v>
      </c>
      <c r="F760" s="52">
        <f t="shared" si="26"/>
        <v>1.2682897744268812E-2</v>
      </c>
      <c r="G760" s="52">
        <f t="shared" si="27"/>
        <v>1.1562716479232132E-2</v>
      </c>
    </row>
    <row r="761" spans="1:7" ht="15" customHeight="1" x14ac:dyDescent="0.2">
      <c r="A761" s="19" t="s">
        <v>908</v>
      </c>
      <c r="B761" s="50">
        <v>40.867600000000003</v>
      </c>
      <c r="C761" s="50">
        <v>2062.14</v>
      </c>
      <c r="D761" s="51">
        <v>34521596.923735999</v>
      </c>
      <c r="E761" s="51">
        <v>2185561111</v>
      </c>
      <c r="F761" s="52">
        <f t="shared" si="26"/>
        <v>2.9049359654276071E-2</v>
      </c>
      <c r="G761" s="52">
        <f t="shared" si="27"/>
        <v>1.7730232270553911E-2</v>
      </c>
    </row>
    <row r="762" spans="1:7" ht="15" customHeight="1" x14ac:dyDescent="0.2">
      <c r="A762" s="19" t="s">
        <v>909</v>
      </c>
      <c r="B762" s="50">
        <v>40.521700000000003</v>
      </c>
      <c r="C762" s="50">
        <v>2044.81</v>
      </c>
      <c r="D762" s="51">
        <v>27884480.333124999</v>
      </c>
      <c r="E762" s="51">
        <v>1868966667</v>
      </c>
      <c r="F762" s="52">
        <f t="shared" si="26"/>
        <v>-8.4999399816519869E-3</v>
      </c>
      <c r="G762" s="52">
        <f t="shared" si="27"/>
        <v>-8.4394028943683176E-3</v>
      </c>
    </row>
    <row r="763" spans="1:7" ht="15" customHeight="1" x14ac:dyDescent="0.2">
      <c r="A763" s="19" t="s">
        <v>910</v>
      </c>
      <c r="B763" s="50">
        <v>40.015900000000002</v>
      </c>
      <c r="C763" s="50">
        <v>2028.26</v>
      </c>
      <c r="D763" s="51">
        <v>27543155.773472</v>
      </c>
      <c r="E763" s="51">
        <v>1920255556</v>
      </c>
      <c r="F763" s="52">
        <f t="shared" si="26"/>
        <v>-1.2560757958998315E-2</v>
      </c>
      <c r="G763" s="52">
        <f t="shared" si="27"/>
        <v>-8.1265930033877221E-3</v>
      </c>
    </row>
    <row r="764" spans="1:7" ht="15" customHeight="1" x14ac:dyDescent="0.2">
      <c r="A764" s="19" t="s">
        <v>911</v>
      </c>
      <c r="B764" s="50">
        <v>39.796900000000001</v>
      </c>
      <c r="C764" s="50">
        <v>2023.03</v>
      </c>
      <c r="D764" s="51">
        <v>41068072.853978999</v>
      </c>
      <c r="E764" s="51">
        <v>2281833333</v>
      </c>
      <c r="F764" s="52">
        <f t="shared" si="26"/>
        <v>-5.4878553221256029E-3</v>
      </c>
      <c r="G764" s="52">
        <f t="shared" si="27"/>
        <v>-2.5818951027174481E-3</v>
      </c>
    </row>
    <row r="765" spans="1:7" ht="15" customHeight="1" x14ac:dyDescent="0.2">
      <c r="A765" s="19" t="s">
        <v>912</v>
      </c>
      <c r="B765" s="50">
        <v>39.463999999999999</v>
      </c>
      <c r="C765" s="50">
        <v>2011.27</v>
      </c>
      <c r="D765" s="51">
        <v>34606652.656590998</v>
      </c>
      <c r="E765" s="51">
        <v>2432600000</v>
      </c>
      <c r="F765" s="52">
        <f t="shared" si="26"/>
        <v>-8.400155878178231E-3</v>
      </c>
      <c r="G765" s="52">
        <f t="shared" si="27"/>
        <v>-5.8300241971988576E-3</v>
      </c>
    </row>
    <row r="766" spans="1:7" ht="15" customHeight="1" x14ac:dyDescent="0.2">
      <c r="A766" s="19" t="s">
        <v>913</v>
      </c>
      <c r="B766" s="50">
        <v>39.053699999999999</v>
      </c>
      <c r="C766" s="50">
        <v>1992.67</v>
      </c>
      <c r="D766" s="51">
        <v>38135292.786526002</v>
      </c>
      <c r="E766" s="51">
        <v>2375955556</v>
      </c>
      <c r="F766" s="52">
        <f t="shared" si="26"/>
        <v>-1.0451241814167804E-2</v>
      </c>
      <c r="G766" s="52">
        <f t="shared" si="27"/>
        <v>-9.2909153471455157E-3</v>
      </c>
    </row>
    <row r="767" spans="1:7" ht="15" customHeight="1" x14ac:dyDescent="0.2">
      <c r="A767" s="19" t="s">
        <v>914</v>
      </c>
      <c r="B767" s="50">
        <v>39.707299999999996</v>
      </c>
      <c r="C767" s="50">
        <v>2019.42</v>
      </c>
      <c r="D767" s="51">
        <v>41568442.429949999</v>
      </c>
      <c r="E767" s="51">
        <v>2253561111</v>
      </c>
      <c r="F767" s="52">
        <f t="shared" si="26"/>
        <v>1.6597427765386075E-2</v>
      </c>
      <c r="G767" s="52">
        <f t="shared" si="27"/>
        <v>1.3334893478396E-2</v>
      </c>
    </row>
    <row r="768" spans="1:7" ht="15" customHeight="1" x14ac:dyDescent="0.2">
      <c r="A768" s="19" t="s">
        <v>915</v>
      </c>
      <c r="B768" s="50">
        <v>39.8352</v>
      </c>
      <c r="C768" s="50">
        <v>2022.55</v>
      </c>
      <c r="D768" s="51">
        <v>32802237.828813002</v>
      </c>
      <c r="E768" s="51">
        <v>2191300000</v>
      </c>
      <c r="F768" s="52">
        <f t="shared" si="26"/>
        <v>3.2158936475009479E-3</v>
      </c>
      <c r="G768" s="52">
        <f t="shared" si="27"/>
        <v>1.5487500528907781E-3</v>
      </c>
    </row>
    <row r="769" spans="1:7" ht="15" customHeight="1" x14ac:dyDescent="0.2">
      <c r="A769" s="19" t="s">
        <v>916</v>
      </c>
      <c r="B769" s="50">
        <v>39.430999999999997</v>
      </c>
      <c r="C769" s="50">
        <v>2032.12</v>
      </c>
      <c r="D769" s="51">
        <v>44484193.331635997</v>
      </c>
      <c r="E769" s="51">
        <v>2072261111</v>
      </c>
      <c r="F769" s="52">
        <f t="shared" si="26"/>
        <v>-1.0198634562266058E-2</v>
      </c>
      <c r="G769" s="52">
        <f t="shared" si="27"/>
        <v>4.7204915668688828E-3</v>
      </c>
    </row>
    <row r="770" spans="1:7" ht="15" customHeight="1" x14ac:dyDescent="0.2">
      <c r="A770" s="19" t="s">
        <v>917</v>
      </c>
      <c r="B770" s="50">
        <v>40.4709</v>
      </c>
      <c r="C770" s="50">
        <v>2063.15</v>
      </c>
      <c r="D770" s="51">
        <v>36168297.698674001</v>
      </c>
      <c r="E770" s="51">
        <v>2320027778</v>
      </c>
      <c r="F770" s="52">
        <f t="shared" si="26"/>
        <v>2.6030888367937804E-2</v>
      </c>
      <c r="G770" s="52">
        <f t="shared" si="27"/>
        <v>1.5154358001382194E-2</v>
      </c>
    </row>
    <row r="771" spans="1:7" ht="15" customHeight="1" x14ac:dyDescent="0.2">
      <c r="A771" s="19" t="s">
        <v>918</v>
      </c>
      <c r="B771" s="50">
        <v>40.512999999999998</v>
      </c>
      <c r="C771" s="50">
        <v>2051.8200000000002</v>
      </c>
      <c r="D771" s="51">
        <v>26996608.931603</v>
      </c>
      <c r="E771" s="51">
        <v>1985311111</v>
      </c>
      <c r="F771" s="52">
        <f t="shared" si="26"/>
        <v>1.0397129254707262E-3</v>
      </c>
      <c r="G771" s="52">
        <f t="shared" si="27"/>
        <v>-5.5067369293280901E-3</v>
      </c>
    </row>
    <row r="772" spans="1:7" ht="15" customHeight="1" x14ac:dyDescent="0.2">
      <c r="A772" s="19" t="s">
        <v>919</v>
      </c>
      <c r="B772" s="50">
        <v>40.368600000000001</v>
      </c>
      <c r="C772" s="50">
        <v>2057.09</v>
      </c>
      <c r="D772" s="51">
        <v>49281821.135415003</v>
      </c>
      <c r="E772" s="51">
        <v>1925422222</v>
      </c>
      <c r="F772" s="52">
        <f t="shared" si="26"/>
        <v>-3.5706552150277836E-3</v>
      </c>
      <c r="G772" s="52">
        <f t="shared" si="27"/>
        <v>2.565158589374469E-3</v>
      </c>
    </row>
    <row r="773" spans="1:7" ht="15" customHeight="1" x14ac:dyDescent="0.2">
      <c r="A773" s="19" t="s">
        <v>920</v>
      </c>
      <c r="B773" s="50">
        <v>36.630600000000001</v>
      </c>
      <c r="C773" s="50">
        <v>2029.55</v>
      </c>
      <c r="D773" s="51">
        <v>196988551.05181</v>
      </c>
      <c r="E773" s="51">
        <v>1849894444</v>
      </c>
      <c r="F773" s="52">
        <f t="shared" si="26"/>
        <v>-9.7168298373318931E-2</v>
      </c>
      <c r="G773" s="52">
        <f t="shared" si="27"/>
        <v>-1.347826914874784E-2</v>
      </c>
    </row>
    <row r="774" spans="1:7" ht="15" customHeight="1" x14ac:dyDescent="0.2">
      <c r="A774" s="19" t="s">
        <v>921</v>
      </c>
      <c r="B774" s="50">
        <v>35.368699999999997</v>
      </c>
      <c r="C774" s="50">
        <v>2002.16</v>
      </c>
      <c r="D774" s="51">
        <v>102573840.34373</v>
      </c>
      <c r="E774" s="51">
        <v>2259738889</v>
      </c>
      <c r="F774" s="52">
        <f t="shared" ref="F774:F837" si="28">LN(B774/B773)</f>
        <v>-3.5056708442582664E-2</v>
      </c>
      <c r="G774" s="52">
        <f t="shared" ref="G774:G837" si="29">LN(C774/C773)</f>
        <v>-1.3587495823831957E-2</v>
      </c>
    </row>
    <row r="775" spans="1:7" ht="15" customHeight="1" x14ac:dyDescent="0.2">
      <c r="A775" s="19" t="s">
        <v>922</v>
      </c>
      <c r="B775" s="50">
        <v>36.072899999999997</v>
      </c>
      <c r="C775" s="50">
        <v>2021.25</v>
      </c>
      <c r="D775" s="51">
        <v>74042617.214422002</v>
      </c>
      <c r="E775" s="51">
        <v>2292855556</v>
      </c>
      <c r="F775" s="52">
        <f t="shared" si="28"/>
        <v>1.9714642676965429E-2</v>
      </c>
      <c r="G775" s="52">
        <f t="shared" si="29"/>
        <v>9.4895341296701297E-3</v>
      </c>
    </row>
    <row r="776" spans="1:7" ht="15" customHeight="1" x14ac:dyDescent="0.2">
      <c r="A776" s="19" t="s">
        <v>923</v>
      </c>
      <c r="B776" s="50">
        <v>34.694699999999997</v>
      </c>
      <c r="C776" s="50">
        <v>1994.99</v>
      </c>
      <c r="D776" s="51">
        <v>90833533.354468003</v>
      </c>
      <c r="E776" s="51">
        <v>2538138889</v>
      </c>
      <c r="F776" s="52">
        <f t="shared" si="28"/>
        <v>-3.895495337228113E-2</v>
      </c>
      <c r="G776" s="52">
        <f t="shared" si="29"/>
        <v>-1.3077094111243876E-2</v>
      </c>
    </row>
    <row r="777" spans="1:7" ht="15" customHeight="1" x14ac:dyDescent="0.2">
      <c r="A777" s="19" t="s">
        <v>924</v>
      </c>
      <c r="B777" s="50">
        <v>35.4467</v>
      </c>
      <c r="C777" s="50">
        <v>2020.85</v>
      </c>
      <c r="D777" s="51">
        <v>58632139.534446001</v>
      </c>
      <c r="E777" s="51">
        <v>2226850000</v>
      </c>
      <c r="F777" s="52">
        <f t="shared" si="28"/>
        <v>2.1443222252500387E-2</v>
      </c>
      <c r="G777" s="52">
        <f t="shared" si="29"/>
        <v>1.2879177186226798E-2</v>
      </c>
    </row>
    <row r="778" spans="1:7" ht="15" customHeight="1" x14ac:dyDescent="0.2">
      <c r="A778" s="19" t="s">
        <v>925</v>
      </c>
      <c r="B778" s="50">
        <v>35.721299999999999</v>
      </c>
      <c r="C778" s="50">
        <v>2050.0300000000002</v>
      </c>
      <c r="D778" s="51">
        <v>60649948.760182001</v>
      </c>
      <c r="E778" s="51">
        <v>2564388889</v>
      </c>
      <c r="F778" s="52">
        <f t="shared" si="28"/>
        <v>7.716989735423967E-3</v>
      </c>
      <c r="G778" s="52">
        <f t="shared" si="29"/>
        <v>1.4336212205417897E-2</v>
      </c>
    </row>
    <row r="779" spans="1:7" ht="15" customHeight="1" x14ac:dyDescent="0.2">
      <c r="A779" s="19" t="s">
        <v>926</v>
      </c>
      <c r="B779" s="50">
        <v>35.927300000000002</v>
      </c>
      <c r="C779" s="50">
        <v>2041.51</v>
      </c>
      <c r="D779" s="51">
        <v>48460824.505662002</v>
      </c>
      <c r="E779" s="51">
        <v>2301066667</v>
      </c>
      <c r="F779" s="52">
        <f t="shared" si="28"/>
        <v>5.7503026613879779E-3</v>
      </c>
      <c r="G779" s="52">
        <f t="shared" si="29"/>
        <v>-4.164697065034053E-3</v>
      </c>
    </row>
    <row r="780" spans="1:7" ht="15" customHeight="1" x14ac:dyDescent="0.2">
      <c r="A780" s="19" t="s">
        <v>927</v>
      </c>
      <c r="B780" s="50">
        <v>36.450800000000001</v>
      </c>
      <c r="C780" s="50">
        <v>2062.52</v>
      </c>
      <c r="D780" s="51">
        <v>42560489.366576001</v>
      </c>
      <c r="E780" s="51">
        <v>2123327778</v>
      </c>
      <c r="F780" s="52">
        <f t="shared" si="28"/>
        <v>1.4465953903249961E-2</v>
      </c>
      <c r="G780" s="52">
        <f t="shared" si="29"/>
        <v>1.0238806024834353E-2</v>
      </c>
    </row>
    <row r="781" spans="1:7" ht="15" customHeight="1" x14ac:dyDescent="0.2">
      <c r="A781" s="19" t="s">
        <v>928</v>
      </c>
      <c r="B781" s="50">
        <v>36.417700000000004</v>
      </c>
      <c r="C781" s="50">
        <v>2055.4699999999998</v>
      </c>
      <c r="D781" s="51">
        <v>40312630.270701997</v>
      </c>
      <c r="E781" s="51">
        <v>2351650000</v>
      </c>
      <c r="F781" s="52">
        <f t="shared" si="28"/>
        <v>-9.0848589655552752E-4</v>
      </c>
      <c r="G781" s="52">
        <f t="shared" si="29"/>
        <v>-3.424003889146327E-3</v>
      </c>
    </row>
    <row r="782" spans="1:7" ht="15" customHeight="1" x14ac:dyDescent="0.2">
      <c r="A782" s="19" t="s">
        <v>929</v>
      </c>
      <c r="B782" s="50">
        <v>36.374699999999997</v>
      </c>
      <c r="C782" s="50">
        <v>2046.74</v>
      </c>
      <c r="D782" s="51">
        <v>36541479.381042004</v>
      </c>
      <c r="E782" s="51">
        <v>1971966667</v>
      </c>
      <c r="F782" s="52">
        <f t="shared" si="28"/>
        <v>-1.1814421560943751E-3</v>
      </c>
      <c r="G782" s="52">
        <f t="shared" si="29"/>
        <v>-4.2562487923016503E-3</v>
      </c>
    </row>
    <row r="783" spans="1:7" ht="15" customHeight="1" x14ac:dyDescent="0.2">
      <c r="A783" s="19" t="s">
        <v>930</v>
      </c>
      <c r="B783" s="50">
        <v>36.578800000000001</v>
      </c>
      <c r="C783" s="50">
        <v>2068.59</v>
      </c>
      <c r="D783" s="51">
        <v>34550879.144029997</v>
      </c>
      <c r="E783" s="51">
        <v>2038805556</v>
      </c>
      <c r="F783" s="52">
        <f t="shared" si="28"/>
        <v>5.5953595782919233E-3</v>
      </c>
      <c r="G783" s="52">
        <f t="shared" si="29"/>
        <v>1.0618932294575799E-2</v>
      </c>
    </row>
    <row r="784" spans="1:7" ht="15" customHeight="1" x14ac:dyDescent="0.2">
      <c r="A784" s="19" t="s">
        <v>931</v>
      </c>
      <c r="B784" s="50">
        <v>36.391300000000001</v>
      </c>
      <c r="C784" s="50">
        <v>2068.5300000000002</v>
      </c>
      <c r="D784" s="51">
        <v>44556454.410213001</v>
      </c>
      <c r="E784" s="51">
        <v>1998255556</v>
      </c>
      <c r="F784" s="52">
        <f t="shared" si="28"/>
        <v>-5.1391025272521876E-3</v>
      </c>
      <c r="G784" s="52">
        <f t="shared" si="29"/>
        <v>-2.900568511630124E-5</v>
      </c>
    </row>
    <row r="785" spans="1:7" ht="15" customHeight="1" x14ac:dyDescent="0.2">
      <c r="A785" s="19" t="s">
        <v>932</v>
      </c>
      <c r="B785" s="50">
        <v>37.001600000000003</v>
      </c>
      <c r="C785" s="50">
        <v>2088.48</v>
      </c>
      <c r="D785" s="51">
        <v>38740678.452224001</v>
      </c>
      <c r="E785" s="51">
        <v>2104638889</v>
      </c>
      <c r="F785" s="52">
        <f t="shared" si="28"/>
        <v>1.6631419866500206E-2</v>
      </c>
      <c r="G785" s="52">
        <f t="shared" si="29"/>
        <v>9.5983185809504629E-3</v>
      </c>
    </row>
    <row r="786" spans="1:7" ht="15" customHeight="1" x14ac:dyDescent="0.2">
      <c r="A786" s="19" t="s">
        <v>933</v>
      </c>
      <c r="B786" s="50">
        <v>37.669800000000002</v>
      </c>
      <c r="C786" s="50">
        <v>2096.9899999999998</v>
      </c>
      <c r="D786" s="51">
        <v>46729053.664414003</v>
      </c>
      <c r="E786" s="51">
        <v>1959694444</v>
      </c>
      <c r="F786" s="52">
        <f t="shared" si="28"/>
        <v>1.7897557472683043E-2</v>
      </c>
      <c r="G786" s="52">
        <f t="shared" si="29"/>
        <v>4.0664545328546334E-3</v>
      </c>
    </row>
    <row r="787" spans="1:7" ht="15" customHeight="1" x14ac:dyDescent="0.2">
      <c r="A787" s="19" t="s">
        <v>934</v>
      </c>
      <c r="B787" s="50">
        <v>37.685499999999998</v>
      </c>
      <c r="C787" s="50">
        <v>2100.34</v>
      </c>
      <c r="D787" s="51">
        <v>38961550.817281</v>
      </c>
      <c r="E787" s="51">
        <v>1867638889</v>
      </c>
      <c r="F787" s="52">
        <f t="shared" si="28"/>
        <v>4.1669266069307368E-4</v>
      </c>
      <c r="G787" s="52">
        <f t="shared" si="29"/>
        <v>1.5962531949234387E-3</v>
      </c>
    </row>
    <row r="788" spans="1:7" ht="15" customHeight="1" x14ac:dyDescent="0.2">
      <c r="A788" s="19" t="s">
        <v>935</v>
      </c>
      <c r="B788" s="50">
        <v>37.643300000000004</v>
      </c>
      <c r="C788" s="50">
        <v>2099.6799999999998</v>
      </c>
      <c r="D788" s="51">
        <v>31349028.428771999</v>
      </c>
      <c r="E788" s="51">
        <v>1872233333</v>
      </c>
      <c r="F788" s="52">
        <f t="shared" si="28"/>
        <v>-1.1204215230992997E-3</v>
      </c>
      <c r="G788" s="52">
        <f t="shared" si="29"/>
        <v>-3.1428422028125343E-4</v>
      </c>
    </row>
    <row r="789" spans="1:7" ht="15" customHeight="1" x14ac:dyDescent="0.2">
      <c r="A789" s="19" t="s">
        <v>936</v>
      </c>
      <c r="B789" s="50">
        <v>37.621000000000002</v>
      </c>
      <c r="C789" s="50">
        <v>2097.4499999999998</v>
      </c>
      <c r="D789" s="51">
        <v>31914598.833988</v>
      </c>
      <c r="E789" s="51">
        <v>1803944444</v>
      </c>
      <c r="F789" s="52">
        <f t="shared" si="28"/>
        <v>-5.9257843765383349E-4</v>
      </c>
      <c r="G789" s="52">
        <f t="shared" si="29"/>
        <v>-1.0626309930072469E-3</v>
      </c>
    </row>
    <row r="790" spans="1:7" ht="15" customHeight="1" x14ac:dyDescent="0.2">
      <c r="A790" s="19" t="s">
        <v>937</v>
      </c>
      <c r="B790" s="50">
        <v>37.922800000000002</v>
      </c>
      <c r="C790" s="50">
        <v>2110.3000000000002</v>
      </c>
      <c r="D790" s="51">
        <v>34365074.595117003</v>
      </c>
      <c r="E790" s="51">
        <v>1823111111</v>
      </c>
      <c r="F790" s="52">
        <f t="shared" si="28"/>
        <v>7.9901091981258426E-3</v>
      </c>
      <c r="G790" s="52">
        <f t="shared" si="29"/>
        <v>6.1077963032981041E-3</v>
      </c>
    </row>
    <row r="791" spans="1:7" ht="15" customHeight="1" x14ac:dyDescent="0.2">
      <c r="A791" s="19" t="s">
        <v>938</v>
      </c>
      <c r="B791" s="50">
        <v>38.177799999999998</v>
      </c>
      <c r="C791" s="50">
        <v>2109.66</v>
      </c>
      <c r="D791" s="51">
        <v>37602217.342673004</v>
      </c>
      <c r="E791" s="51">
        <v>1718711111</v>
      </c>
      <c r="F791" s="52">
        <f t="shared" si="28"/>
        <v>6.7016805226336766E-3</v>
      </c>
      <c r="G791" s="52">
        <f t="shared" si="29"/>
        <v>-3.0332041294573771E-4</v>
      </c>
    </row>
    <row r="792" spans="1:7" ht="15" customHeight="1" x14ac:dyDescent="0.2">
      <c r="A792" s="19" t="s">
        <v>939</v>
      </c>
      <c r="B792" s="50">
        <v>38.127899999999997</v>
      </c>
      <c r="C792" s="50">
        <v>2115.48</v>
      </c>
      <c r="D792" s="51">
        <v>29221130.094829001</v>
      </c>
      <c r="E792" s="51">
        <v>1777688889</v>
      </c>
      <c r="F792" s="52">
        <f t="shared" si="28"/>
        <v>-1.3078972373814029E-3</v>
      </c>
      <c r="G792" s="52">
        <f t="shared" si="29"/>
        <v>2.7549400403308333E-3</v>
      </c>
    </row>
    <row r="793" spans="1:7" ht="15" customHeight="1" x14ac:dyDescent="0.2">
      <c r="A793" s="19" t="s">
        <v>940</v>
      </c>
      <c r="B793" s="50">
        <v>38.0458</v>
      </c>
      <c r="C793" s="50">
        <v>2113.86</v>
      </c>
      <c r="D793" s="51">
        <v>34410291.519675002</v>
      </c>
      <c r="E793" s="51">
        <v>1840188889</v>
      </c>
      <c r="F793" s="52">
        <f t="shared" si="28"/>
        <v>-2.1556004707812756E-3</v>
      </c>
      <c r="G793" s="52">
        <f t="shared" si="29"/>
        <v>-7.6607701401540612E-4</v>
      </c>
    </row>
    <row r="794" spans="1:7" ht="15" customHeight="1" x14ac:dyDescent="0.2">
      <c r="A794" s="19" t="s">
        <v>941</v>
      </c>
      <c r="B794" s="50">
        <v>38.101500000000001</v>
      </c>
      <c r="C794" s="50">
        <v>2110.7399999999998</v>
      </c>
      <c r="D794" s="51">
        <v>33483582.603916001</v>
      </c>
      <c r="E794" s="51">
        <v>1893716667</v>
      </c>
      <c r="F794" s="52">
        <f t="shared" si="28"/>
        <v>1.4629542986883879E-3</v>
      </c>
      <c r="G794" s="52">
        <f t="shared" si="29"/>
        <v>-1.477063185743682E-3</v>
      </c>
    </row>
    <row r="795" spans="1:7" ht="15" customHeight="1" x14ac:dyDescent="0.2">
      <c r="A795" s="19" t="s">
        <v>942</v>
      </c>
      <c r="B795" s="50">
        <v>37.922800000000002</v>
      </c>
      <c r="C795" s="50">
        <v>2104.5</v>
      </c>
      <c r="D795" s="51">
        <v>39088204.277859002</v>
      </c>
      <c r="E795" s="51">
        <v>1970766667</v>
      </c>
      <c r="F795" s="52">
        <f t="shared" si="28"/>
        <v>-4.701137113159528E-3</v>
      </c>
      <c r="G795" s="52">
        <f t="shared" si="29"/>
        <v>-2.9606876752680299E-3</v>
      </c>
    </row>
    <row r="796" spans="1:7" ht="15" customHeight="1" x14ac:dyDescent="0.2">
      <c r="A796" s="19" t="s">
        <v>943</v>
      </c>
      <c r="B796" s="50">
        <v>37.947099999999999</v>
      </c>
      <c r="C796" s="50">
        <v>2117.39</v>
      </c>
      <c r="D796" s="51">
        <v>36914768.564304002</v>
      </c>
      <c r="E796" s="51">
        <v>1894161111</v>
      </c>
      <c r="F796" s="52">
        <f t="shared" si="28"/>
        <v>6.4057026122125386E-4</v>
      </c>
      <c r="G796" s="52">
        <f t="shared" si="29"/>
        <v>6.1062889142892368E-3</v>
      </c>
    </row>
    <row r="797" spans="1:7" ht="15" customHeight="1" x14ac:dyDescent="0.2">
      <c r="A797" s="19" t="s">
        <v>944</v>
      </c>
      <c r="B797" s="50">
        <v>37.428600000000003</v>
      </c>
      <c r="C797" s="50">
        <v>2107.7800000000002</v>
      </c>
      <c r="D797" s="51">
        <v>36711945.087801002</v>
      </c>
      <c r="E797" s="51">
        <v>1812388889</v>
      </c>
      <c r="F797" s="52">
        <f t="shared" si="28"/>
        <v>-1.3757966520205098E-2</v>
      </c>
      <c r="G797" s="52">
        <f t="shared" si="29"/>
        <v>-4.5489372363725104E-3</v>
      </c>
    </row>
    <row r="798" spans="1:7" ht="15" customHeight="1" x14ac:dyDescent="0.2">
      <c r="A798" s="19" t="s">
        <v>945</v>
      </c>
      <c r="B798" s="50">
        <v>37.236199999999997</v>
      </c>
      <c r="C798" s="50">
        <v>2098.5300000000002</v>
      </c>
      <c r="D798" s="51">
        <v>29773948.846126001</v>
      </c>
      <c r="E798" s="51">
        <v>1900616667</v>
      </c>
      <c r="F798" s="52">
        <f t="shared" si="28"/>
        <v>-5.1537116782495243E-3</v>
      </c>
      <c r="G798" s="52">
        <f t="shared" si="29"/>
        <v>-4.3981612914209805E-3</v>
      </c>
    </row>
    <row r="799" spans="1:7" ht="15" customHeight="1" x14ac:dyDescent="0.2">
      <c r="A799" s="19" t="s">
        <v>946</v>
      </c>
      <c r="B799" s="50">
        <v>37.283000000000001</v>
      </c>
      <c r="C799" s="50">
        <v>2101.04</v>
      </c>
      <c r="D799" s="51">
        <v>26819402.406745002</v>
      </c>
      <c r="E799" s="51">
        <v>1723905556</v>
      </c>
      <c r="F799" s="52">
        <f t="shared" si="28"/>
        <v>1.2560522966674026E-3</v>
      </c>
      <c r="G799" s="52">
        <f t="shared" si="29"/>
        <v>1.1953606197183842E-3</v>
      </c>
    </row>
    <row r="800" spans="1:7" ht="15" customHeight="1" x14ac:dyDescent="0.2">
      <c r="A800" s="19" t="s">
        <v>947</v>
      </c>
      <c r="B800" s="50">
        <v>36.631599999999999</v>
      </c>
      <c r="C800" s="50">
        <v>2071.2600000000002</v>
      </c>
      <c r="D800" s="51">
        <v>41915559.752180003</v>
      </c>
      <c r="E800" s="51">
        <v>2140872222</v>
      </c>
      <c r="F800" s="52">
        <f t="shared" si="28"/>
        <v>-1.7626202802231122E-2</v>
      </c>
      <c r="G800" s="52">
        <f t="shared" si="29"/>
        <v>-1.4275342485307393E-2</v>
      </c>
    </row>
    <row r="801" spans="1:7" ht="15" customHeight="1" x14ac:dyDescent="0.2">
      <c r="A801" s="19" t="s">
        <v>948</v>
      </c>
      <c r="B801" s="50">
        <v>37.057299999999998</v>
      </c>
      <c r="C801" s="50">
        <v>2079.4299999999998</v>
      </c>
      <c r="D801" s="51">
        <v>37127417.622714996</v>
      </c>
      <c r="E801" s="51">
        <v>1860605556</v>
      </c>
      <c r="F801" s="52">
        <f t="shared" si="28"/>
        <v>1.1554107492708529E-2</v>
      </c>
      <c r="G801" s="52">
        <f t="shared" si="29"/>
        <v>3.9366999468925627E-3</v>
      </c>
    </row>
    <row r="802" spans="1:7" ht="15" customHeight="1" x14ac:dyDescent="0.2">
      <c r="A802" s="19" t="s">
        <v>949</v>
      </c>
      <c r="B802" s="50">
        <v>36.347299999999997</v>
      </c>
      <c r="C802" s="50">
        <v>2044.16</v>
      </c>
      <c r="D802" s="51">
        <v>45281642.14604</v>
      </c>
      <c r="E802" s="51">
        <v>2038277778</v>
      </c>
      <c r="F802" s="52">
        <f t="shared" si="28"/>
        <v>-1.9345440006569709E-2</v>
      </c>
      <c r="G802" s="52">
        <f t="shared" si="29"/>
        <v>-1.7106870531886451E-2</v>
      </c>
    </row>
    <row r="803" spans="1:7" ht="15" customHeight="1" x14ac:dyDescent="0.2">
      <c r="A803" s="19" t="s">
        <v>950</v>
      </c>
      <c r="B803" s="50">
        <v>36.308199999999999</v>
      </c>
      <c r="C803" s="50">
        <v>2040.24</v>
      </c>
      <c r="D803" s="51">
        <v>37251604.705590002</v>
      </c>
      <c r="E803" s="51">
        <v>1892538889</v>
      </c>
      <c r="F803" s="52">
        <f t="shared" si="28"/>
        <v>-1.0763122894923947E-3</v>
      </c>
      <c r="G803" s="52">
        <f t="shared" si="29"/>
        <v>-1.9194991693251124E-3</v>
      </c>
    </row>
    <row r="804" spans="1:7" ht="15" customHeight="1" x14ac:dyDescent="0.2">
      <c r="A804" s="19" t="s">
        <v>951</v>
      </c>
      <c r="B804" s="50">
        <v>35.629199999999997</v>
      </c>
      <c r="C804" s="50">
        <v>2065.9499999999998</v>
      </c>
      <c r="D804" s="51">
        <v>69407379.240557</v>
      </c>
      <c r="E804" s="51">
        <v>1892144444</v>
      </c>
      <c r="F804" s="52">
        <f t="shared" si="28"/>
        <v>-1.8878084700485836E-2</v>
      </c>
      <c r="G804" s="52">
        <f t="shared" si="29"/>
        <v>1.2522721054237218E-2</v>
      </c>
    </row>
    <row r="805" spans="1:7" ht="15" customHeight="1" x14ac:dyDescent="0.2">
      <c r="A805" s="19" t="s">
        <v>952</v>
      </c>
      <c r="B805" s="50">
        <v>35.784799999999997</v>
      </c>
      <c r="C805" s="50">
        <v>2053.4</v>
      </c>
      <c r="D805" s="51">
        <v>67076199.783437997</v>
      </c>
      <c r="E805" s="51">
        <v>1943644444</v>
      </c>
      <c r="F805" s="52">
        <f t="shared" si="28"/>
        <v>4.3576958644134713E-3</v>
      </c>
      <c r="G805" s="52">
        <f t="shared" si="29"/>
        <v>-6.0932131665859804E-3</v>
      </c>
    </row>
    <row r="806" spans="1:7" ht="15" customHeight="1" x14ac:dyDescent="0.2">
      <c r="A806" s="19" t="s">
        <v>953</v>
      </c>
      <c r="B806" s="50">
        <v>35.941899999999997</v>
      </c>
      <c r="C806" s="50">
        <v>2081.19</v>
      </c>
      <c r="D806" s="51">
        <v>40787786.279344998</v>
      </c>
      <c r="E806" s="51">
        <v>1830888889</v>
      </c>
      <c r="F806" s="52">
        <f t="shared" si="28"/>
        <v>4.3805236046198315E-3</v>
      </c>
      <c r="G806" s="52">
        <f t="shared" si="29"/>
        <v>1.3442889619502027E-2</v>
      </c>
    </row>
    <row r="807" spans="1:7" ht="15" customHeight="1" x14ac:dyDescent="0.2">
      <c r="A807" s="19" t="s">
        <v>954</v>
      </c>
      <c r="B807" s="50">
        <v>36.054200000000002</v>
      </c>
      <c r="C807" s="50">
        <v>2074.2800000000002</v>
      </c>
      <c r="D807" s="51">
        <v>36624989.148630001</v>
      </c>
      <c r="E807" s="51">
        <v>1789911111</v>
      </c>
      <c r="F807" s="52">
        <f t="shared" si="28"/>
        <v>3.1196159535120528E-3</v>
      </c>
      <c r="G807" s="52">
        <f t="shared" si="29"/>
        <v>-3.3257399856237396E-3</v>
      </c>
    </row>
    <row r="808" spans="1:7" ht="15" customHeight="1" x14ac:dyDescent="0.2">
      <c r="A808" s="19" t="s">
        <v>955</v>
      </c>
      <c r="B808" s="50">
        <v>36.757399999999997</v>
      </c>
      <c r="C808" s="50">
        <v>2099.5</v>
      </c>
      <c r="D808" s="51">
        <v>51103779.085626997</v>
      </c>
      <c r="E808" s="51">
        <v>2293450000</v>
      </c>
      <c r="F808" s="52">
        <f t="shared" si="28"/>
        <v>1.9316204133586451E-2</v>
      </c>
      <c r="G808" s="52">
        <f t="shared" si="29"/>
        <v>1.2085115625505266E-2</v>
      </c>
    </row>
    <row r="809" spans="1:7" ht="15" customHeight="1" x14ac:dyDescent="0.2">
      <c r="A809" s="19" t="s">
        <v>956</v>
      </c>
      <c r="B809" s="50">
        <v>36.562199999999997</v>
      </c>
      <c r="C809" s="50">
        <v>2089.27</v>
      </c>
      <c r="D809" s="51">
        <v>39175397.742821999</v>
      </c>
      <c r="E809" s="51">
        <v>1836233333</v>
      </c>
      <c r="F809" s="52">
        <f t="shared" si="28"/>
        <v>-5.3246461025421221E-3</v>
      </c>
      <c r="G809" s="52">
        <f t="shared" si="29"/>
        <v>-4.8844984753110381E-3</v>
      </c>
    </row>
    <row r="810" spans="1:7" ht="15" customHeight="1" x14ac:dyDescent="0.2">
      <c r="A810" s="19" t="s">
        <v>957</v>
      </c>
      <c r="B810" s="50">
        <v>37.082799999999999</v>
      </c>
      <c r="C810" s="50">
        <v>2108.1</v>
      </c>
      <c r="D810" s="51">
        <v>83145521.789042994</v>
      </c>
      <c r="E810" s="51">
        <v>3085622222</v>
      </c>
      <c r="F810" s="52">
        <f t="shared" si="28"/>
        <v>1.4138330422137853E-2</v>
      </c>
      <c r="G810" s="52">
        <f t="shared" si="29"/>
        <v>8.9723452173247273E-3</v>
      </c>
    </row>
    <row r="811" spans="1:7" ht="15" customHeight="1" x14ac:dyDescent="0.2">
      <c r="A811" s="19" t="s">
        <v>958</v>
      </c>
      <c r="B811" s="50">
        <v>37.057299999999998</v>
      </c>
      <c r="C811" s="50">
        <v>2104.42</v>
      </c>
      <c r="D811" s="51">
        <v>30349107.307459</v>
      </c>
      <c r="E811" s="51">
        <v>1815533333</v>
      </c>
      <c r="F811" s="52">
        <f t="shared" si="28"/>
        <v>-6.8788687917948851E-4</v>
      </c>
      <c r="G811" s="52">
        <f t="shared" si="29"/>
        <v>-1.7471731581735757E-3</v>
      </c>
    </row>
    <row r="812" spans="1:7" ht="15" customHeight="1" x14ac:dyDescent="0.2">
      <c r="A812" s="19" t="s">
        <v>959</v>
      </c>
      <c r="B812" s="50">
        <v>37.099200000000003</v>
      </c>
      <c r="C812" s="50">
        <v>2091.5</v>
      </c>
      <c r="D812" s="51">
        <v>29501750.434151001</v>
      </c>
      <c r="E812" s="51">
        <v>1772122222</v>
      </c>
      <c r="F812" s="52">
        <f t="shared" si="28"/>
        <v>1.1300426654129408E-3</v>
      </c>
      <c r="G812" s="52">
        <f t="shared" si="29"/>
        <v>-6.1583828258348948E-3</v>
      </c>
    </row>
    <row r="813" spans="1:7" ht="15" customHeight="1" x14ac:dyDescent="0.2">
      <c r="A813" s="19" t="s">
        <v>960</v>
      </c>
      <c r="B813" s="50">
        <v>35.855899999999998</v>
      </c>
      <c r="C813" s="50">
        <v>2061.0500000000002</v>
      </c>
      <c r="D813" s="51">
        <v>50265671.384660996</v>
      </c>
      <c r="E813" s="51">
        <v>1956188889</v>
      </c>
      <c r="F813" s="52">
        <f t="shared" si="28"/>
        <v>-3.4087277917409085E-2</v>
      </c>
      <c r="G813" s="52">
        <f t="shared" si="29"/>
        <v>-1.4665950218136469E-2</v>
      </c>
    </row>
    <row r="814" spans="1:7" ht="15" customHeight="1" x14ac:dyDescent="0.2">
      <c r="A814" s="19" t="s">
        <v>961</v>
      </c>
      <c r="B814" s="50">
        <v>35.639099999999999</v>
      </c>
      <c r="C814" s="50">
        <v>2056.15</v>
      </c>
      <c r="D814" s="51">
        <v>43357393.509772003</v>
      </c>
      <c r="E814" s="51">
        <v>1950372222</v>
      </c>
      <c r="F814" s="52">
        <f t="shared" si="28"/>
        <v>-6.0647783626645744E-3</v>
      </c>
      <c r="G814" s="52">
        <f t="shared" si="29"/>
        <v>-2.380259551864185E-3</v>
      </c>
    </row>
    <row r="815" spans="1:7" ht="15" customHeight="1" x14ac:dyDescent="0.2">
      <c r="A815" s="19" t="s">
        <v>962</v>
      </c>
      <c r="B815" s="50">
        <v>35.430100000000003</v>
      </c>
      <c r="C815" s="50">
        <v>2061.02</v>
      </c>
      <c r="D815" s="51">
        <v>39779465.754676998</v>
      </c>
      <c r="E815" s="51">
        <v>1671416667</v>
      </c>
      <c r="F815" s="52">
        <f t="shared" si="28"/>
        <v>-5.8816084182720402E-3</v>
      </c>
      <c r="G815" s="52">
        <f t="shared" si="29"/>
        <v>2.3657037582941712E-3</v>
      </c>
    </row>
    <row r="816" spans="1:7" ht="15" customHeight="1" x14ac:dyDescent="0.2">
      <c r="A816" s="19" t="s">
        <v>963</v>
      </c>
      <c r="B816" s="50">
        <v>35.4223</v>
      </c>
      <c r="C816" s="50">
        <v>2086.2399999999998</v>
      </c>
      <c r="D816" s="51">
        <v>40528998.860120997</v>
      </c>
      <c r="E816" s="51">
        <v>1620938889</v>
      </c>
      <c r="F816" s="52">
        <f t="shared" si="28"/>
        <v>-2.2017602880109412E-4</v>
      </c>
      <c r="G816" s="52">
        <f t="shared" si="29"/>
        <v>1.2162396804615399E-2</v>
      </c>
    </row>
    <row r="817" spans="1:7" ht="15" customHeight="1" x14ac:dyDescent="0.2">
      <c r="A817" s="19" t="s">
        <v>964</v>
      </c>
      <c r="B817" s="50">
        <v>35.157499999999999</v>
      </c>
      <c r="C817" s="50">
        <v>2067.89</v>
      </c>
      <c r="D817" s="51">
        <v>40341231.651988998</v>
      </c>
      <c r="E817" s="51">
        <v>1875861111</v>
      </c>
      <c r="F817" s="52">
        <f t="shared" si="28"/>
        <v>-7.5035985491668259E-3</v>
      </c>
      <c r="G817" s="52">
        <f t="shared" si="29"/>
        <v>-8.8346389509214723E-3</v>
      </c>
    </row>
    <row r="818" spans="1:7" ht="15" customHeight="1" x14ac:dyDescent="0.2">
      <c r="A818" s="19" t="s">
        <v>965</v>
      </c>
      <c r="B818" s="50">
        <v>35.216099999999997</v>
      </c>
      <c r="C818" s="50">
        <v>2059.69</v>
      </c>
      <c r="D818" s="51">
        <v>42628551.767293997</v>
      </c>
      <c r="E818" s="51">
        <v>1968483333</v>
      </c>
      <c r="F818" s="52">
        <f t="shared" si="28"/>
        <v>1.6653976361636594E-3</v>
      </c>
      <c r="G818" s="52">
        <f t="shared" si="29"/>
        <v>-3.9732777015764314E-3</v>
      </c>
    </row>
    <row r="819" spans="1:7" ht="15" customHeight="1" x14ac:dyDescent="0.2">
      <c r="A819" s="19" t="s">
        <v>966</v>
      </c>
      <c r="B819" s="50">
        <v>34.842100000000002</v>
      </c>
      <c r="C819" s="50">
        <v>2066.96</v>
      </c>
      <c r="D819" s="51">
        <v>43347909.883092999</v>
      </c>
      <c r="E819" s="51">
        <v>1719977778</v>
      </c>
      <c r="F819" s="52">
        <f t="shared" si="28"/>
        <v>-1.0676938685274797E-2</v>
      </c>
      <c r="G819" s="52">
        <f t="shared" si="29"/>
        <v>3.5234427543923289E-3</v>
      </c>
    </row>
    <row r="820" spans="1:7" ht="15" customHeight="1" x14ac:dyDescent="0.2">
      <c r="A820" s="19" t="s">
        <v>967</v>
      </c>
      <c r="B820" s="50">
        <v>35.924399999999999</v>
      </c>
      <c r="C820" s="50">
        <v>2080.62</v>
      </c>
      <c r="D820" s="51">
        <v>45355531.09533</v>
      </c>
      <c r="E820" s="51">
        <v>1834983333</v>
      </c>
      <c r="F820" s="52">
        <f t="shared" si="28"/>
        <v>3.059030465108525E-2</v>
      </c>
      <c r="G820" s="52">
        <f t="shared" si="29"/>
        <v>6.586997425284128E-3</v>
      </c>
    </row>
    <row r="821" spans="1:7" ht="15" customHeight="1" x14ac:dyDescent="0.2">
      <c r="A821" s="19" t="s">
        <v>968</v>
      </c>
      <c r="B821" s="50">
        <v>35.916600000000003</v>
      </c>
      <c r="C821" s="50">
        <v>2076.33</v>
      </c>
      <c r="D821" s="51">
        <v>33312956.157721002</v>
      </c>
      <c r="E821" s="51">
        <v>1703061111</v>
      </c>
      <c r="F821" s="52">
        <f t="shared" si="28"/>
        <v>-2.1714619870668182E-4</v>
      </c>
      <c r="G821" s="52">
        <f t="shared" si="29"/>
        <v>-2.0640140117176337E-3</v>
      </c>
    </row>
    <row r="822" spans="1:7" ht="15" customHeight="1" x14ac:dyDescent="0.2">
      <c r="A822" s="19" t="s">
        <v>969</v>
      </c>
      <c r="B822" s="50">
        <v>35.820799999999998</v>
      </c>
      <c r="C822" s="50">
        <v>2081.9</v>
      </c>
      <c r="D822" s="51">
        <v>28623166.086238001</v>
      </c>
      <c r="E822" s="51">
        <v>1814072222</v>
      </c>
      <c r="F822" s="52">
        <f t="shared" si="28"/>
        <v>-2.6708538906844055E-3</v>
      </c>
      <c r="G822" s="52">
        <f t="shared" si="29"/>
        <v>2.6790260911049436E-3</v>
      </c>
    </row>
    <row r="823" spans="1:7" ht="15" customHeight="1" x14ac:dyDescent="0.2">
      <c r="A823" s="19" t="s">
        <v>970</v>
      </c>
      <c r="B823" s="50">
        <v>35.874499999999998</v>
      </c>
      <c r="C823" s="50">
        <v>2091.1799999999998</v>
      </c>
      <c r="D823" s="51">
        <v>29744442.409674998</v>
      </c>
      <c r="E823" s="51">
        <v>1762422222</v>
      </c>
      <c r="F823" s="52">
        <f t="shared" si="28"/>
        <v>1.4980064255817145E-3</v>
      </c>
      <c r="G823" s="52">
        <f t="shared" si="29"/>
        <v>4.4475616557317519E-3</v>
      </c>
    </row>
    <row r="824" spans="1:7" ht="15" customHeight="1" x14ac:dyDescent="0.2">
      <c r="A824" s="19" t="s">
        <v>971</v>
      </c>
      <c r="B824" s="50">
        <v>36.0777</v>
      </c>
      <c r="C824" s="50">
        <v>2102.06</v>
      </c>
      <c r="D824" s="51">
        <v>32402756.308157001</v>
      </c>
      <c r="E824" s="51">
        <v>1753444444</v>
      </c>
      <c r="F824" s="52">
        <f t="shared" si="28"/>
        <v>5.6482092336703534E-3</v>
      </c>
      <c r="G824" s="52">
        <f t="shared" si="29"/>
        <v>5.1893163356351961E-3</v>
      </c>
    </row>
    <row r="825" spans="1:7" ht="15" customHeight="1" x14ac:dyDescent="0.2">
      <c r="A825" s="19" t="s">
        <v>972</v>
      </c>
      <c r="B825" s="50">
        <v>36.112900000000003</v>
      </c>
      <c r="C825" s="50">
        <v>2092.4299999999998</v>
      </c>
      <c r="D825" s="51">
        <v>35009819.922259003</v>
      </c>
      <c r="E825" s="51">
        <v>1615788889</v>
      </c>
      <c r="F825" s="52">
        <f t="shared" si="28"/>
        <v>9.7519629396703757E-4</v>
      </c>
      <c r="G825" s="52">
        <f t="shared" si="29"/>
        <v>-4.5917462766684588E-3</v>
      </c>
    </row>
    <row r="826" spans="1:7" ht="15" customHeight="1" x14ac:dyDescent="0.2">
      <c r="A826" s="19" t="s">
        <v>973</v>
      </c>
      <c r="B826" s="50">
        <v>36.018000000000001</v>
      </c>
      <c r="C826" s="50">
        <v>2095.84</v>
      </c>
      <c r="D826" s="51">
        <v>28034478.893077001</v>
      </c>
      <c r="E826" s="51">
        <v>1834038889</v>
      </c>
      <c r="F826" s="52">
        <f t="shared" si="28"/>
        <v>-2.6313287303065566E-3</v>
      </c>
      <c r="G826" s="52">
        <f t="shared" si="29"/>
        <v>1.6283576529126241E-3</v>
      </c>
    </row>
    <row r="827" spans="1:7" ht="15" customHeight="1" x14ac:dyDescent="0.2">
      <c r="A827" s="19" t="s">
        <v>974</v>
      </c>
      <c r="B827" s="50">
        <v>36.547499999999999</v>
      </c>
      <c r="C827" s="50">
        <v>2106.63</v>
      </c>
      <c r="D827" s="51">
        <v>31588467.734324001</v>
      </c>
      <c r="E827" s="51">
        <v>2229866667</v>
      </c>
      <c r="F827" s="52">
        <f t="shared" si="28"/>
        <v>1.4593970905872698E-2</v>
      </c>
      <c r="G827" s="52">
        <f t="shared" si="29"/>
        <v>5.1350866086935787E-3</v>
      </c>
    </row>
    <row r="828" spans="1:7" ht="15" customHeight="1" x14ac:dyDescent="0.2">
      <c r="A828" s="19" t="s">
        <v>975</v>
      </c>
      <c r="B828" s="50">
        <v>36.459699999999998</v>
      </c>
      <c r="C828" s="50">
        <v>2104.9899999999998</v>
      </c>
      <c r="D828" s="51">
        <v>26028644.243353002</v>
      </c>
      <c r="E828" s="51">
        <v>1907844444</v>
      </c>
      <c r="F828" s="52">
        <f t="shared" si="28"/>
        <v>-2.4052433822512663E-3</v>
      </c>
      <c r="G828" s="52">
        <f t="shared" si="29"/>
        <v>-7.7879774665911791E-4</v>
      </c>
    </row>
    <row r="829" spans="1:7" ht="15" customHeight="1" x14ac:dyDescent="0.2">
      <c r="A829" s="19" t="s">
        <v>976</v>
      </c>
      <c r="B829" s="50">
        <v>35.992800000000003</v>
      </c>
      <c r="C829" s="50">
        <v>2081.1799999999998</v>
      </c>
      <c r="D829" s="51">
        <v>49014168.475620002</v>
      </c>
      <c r="E829" s="51">
        <v>2015333333</v>
      </c>
      <c r="F829" s="52">
        <f t="shared" si="28"/>
        <v>-1.2888622567939625E-2</v>
      </c>
      <c r="G829" s="52">
        <f t="shared" si="29"/>
        <v>-1.1375675981876396E-2</v>
      </c>
    </row>
    <row r="830" spans="1:7" ht="15" customHeight="1" x14ac:dyDescent="0.2">
      <c r="A830" s="19" t="s">
        <v>977</v>
      </c>
      <c r="B830" s="50">
        <v>37.099200000000003</v>
      </c>
      <c r="C830" s="50">
        <v>2100.4</v>
      </c>
      <c r="D830" s="51">
        <v>53257919.924048997</v>
      </c>
      <c r="E830" s="51">
        <v>1666755556</v>
      </c>
      <c r="F830" s="52">
        <f t="shared" si="28"/>
        <v>3.0276487585136368E-2</v>
      </c>
      <c r="G830" s="52">
        <f t="shared" si="29"/>
        <v>9.1927622342074314E-3</v>
      </c>
    </row>
    <row r="831" spans="1:7" ht="15" customHeight="1" x14ac:dyDescent="0.2">
      <c r="A831" s="19" t="s">
        <v>978</v>
      </c>
      <c r="B831" s="50">
        <v>36.870800000000003</v>
      </c>
      <c r="C831" s="50">
        <v>2097.29</v>
      </c>
      <c r="D831" s="51">
        <v>30079989.564025</v>
      </c>
      <c r="E831" s="51">
        <v>1801894444</v>
      </c>
      <c r="F831" s="52">
        <f t="shared" si="28"/>
        <v>-6.1754961705846132E-3</v>
      </c>
      <c r="G831" s="52">
        <f t="shared" si="29"/>
        <v>-1.4817676241149391E-3</v>
      </c>
    </row>
    <row r="832" spans="1:7" ht="15" customHeight="1" x14ac:dyDescent="0.2">
      <c r="A832" s="19" t="s">
        <v>979</v>
      </c>
      <c r="B832" s="50">
        <v>37.178699999999999</v>
      </c>
      <c r="C832" s="50">
        <v>2107.96</v>
      </c>
      <c r="D832" s="51">
        <v>28980308.634897999</v>
      </c>
      <c r="E832" s="51">
        <v>1860266667</v>
      </c>
      <c r="F832" s="52">
        <f t="shared" si="28"/>
        <v>8.3161067790470996E-3</v>
      </c>
      <c r="G832" s="52">
        <f t="shared" si="29"/>
        <v>5.0746200095614369E-3</v>
      </c>
    </row>
    <row r="833" spans="1:7" ht="15" customHeight="1" x14ac:dyDescent="0.2">
      <c r="A833" s="19" t="s">
        <v>980</v>
      </c>
      <c r="B833" s="50">
        <v>37.480200000000004</v>
      </c>
      <c r="C833" s="50">
        <v>2112.9299999999998</v>
      </c>
      <c r="D833" s="51">
        <v>53549188.994999997</v>
      </c>
      <c r="E833" s="51">
        <v>2020372222</v>
      </c>
      <c r="F833" s="52">
        <f t="shared" si="28"/>
        <v>8.0767768882380776E-3</v>
      </c>
      <c r="G833" s="52">
        <f t="shared" si="29"/>
        <v>2.3549546644853884E-3</v>
      </c>
    </row>
    <row r="834" spans="1:7" ht="15" customHeight="1" x14ac:dyDescent="0.2">
      <c r="A834" s="19" t="s">
        <v>981</v>
      </c>
      <c r="B834" s="50">
        <v>41.396799999999999</v>
      </c>
      <c r="C834" s="50">
        <v>2117.69</v>
      </c>
      <c r="D834" s="51">
        <v>151402882.03799</v>
      </c>
      <c r="E834" s="51">
        <v>1875433333</v>
      </c>
      <c r="F834" s="52">
        <f t="shared" si="28"/>
        <v>9.9390789622610373E-2</v>
      </c>
      <c r="G834" s="52">
        <f t="shared" si="29"/>
        <v>2.2502621405813723E-3</v>
      </c>
    </row>
    <row r="835" spans="1:7" ht="15" customHeight="1" x14ac:dyDescent="0.2">
      <c r="A835" s="19" t="s">
        <v>982</v>
      </c>
      <c r="B835" s="50">
        <v>41.535699999999999</v>
      </c>
      <c r="C835" s="50">
        <v>2108.92</v>
      </c>
      <c r="D835" s="51">
        <v>68510519.740297005</v>
      </c>
      <c r="E835" s="51">
        <v>1910416667</v>
      </c>
      <c r="F835" s="52">
        <f t="shared" si="28"/>
        <v>3.3497152474200329E-3</v>
      </c>
      <c r="G835" s="52">
        <f t="shared" si="29"/>
        <v>-4.1499038644162989E-3</v>
      </c>
    </row>
    <row r="836" spans="1:7" ht="15" customHeight="1" x14ac:dyDescent="0.2">
      <c r="A836" s="19" t="s">
        <v>983</v>
      </c>
      <c r="B836" s="50">
        <v>42.508400000000002</v>
      </c>
      <c r="C836" s="50">
        <v>2114.7600000000002</v>
      </c>
      <c r="D836" s="51">
        <v>70224986.008717999</v>
      </c>
      <c r="E836" s="51">
        <v>1970150000</v>
      </c>
      <c r="F836" s="52">
        <f t="shared" si="28"/>
        <v>2.3148405054277829E-2</v>
      </c>
      <c r="G836" s="52">
        <f t="shared" si="29"/>
        <v>2.7653627744773542E-3</v>
      </c>
    </row>
    <row r="837" spans="1:7" ht="15" customHeight="1" x14ac:dyDescent="0.2">
      <c r="A837" s="19" t="s">
        <v>984</v>
      </c>
      <c r="B837" s="50">
        <v>42.428600000000003</v>
      </c>
      <c r="C837" s="50">
        <v>2106.85</v>
      </c>
      <c r="D837" s="51">
        <v>55277907.834615</v>
      </c>
      <c r="E837" s="51">
        <v>2263872222</v>
      </c>
      <c r="F837" s="52">
        <f t="shared" si="28"/>
        <v>-1.8790403117549979E-3</v>
      </c>
      <c r="G837" s="52">
        <f t="shared" si="29"/>
        <v>-3.7473898615125326E-3</v>
      </c>
    </row>
    <row r="838" spans="1:7" ht="15" customHeight="1" x14ac:dyDescent="0.2">
      <c r="A838" s="19" t="s">
        <v>985</v>
      </c>
      <c r="B838" s="50">
        <v>42.063099999999999</v>
      </c>
      <c r="C838" s="50">
        <v>2085.5100000000002</v>
      </c>
      <c r="D838" s="51">
        <v>74844096.800522998</v>
      </c>
      <c r="E838" s="51">
        <v>2505377778</v>
      </c>
      <c r="F838" s="52">
        <f t="shared" ref="F838:F901" si="30">LN(B838/B837)</f>
        <v>-8.6517913572533803E-3</v>
      </c>
      <c r="G838" s="52">
        <f t="shared" ref="G838:G901" si="31">LN(C838/C837)</f>
        <v>-1.0180511364075624E-2</v>
      </c>
    </row>
    <row r="839" spans="1:7" ht="15" customHeight="1" x14ac:dyDescent="0.2">
      <c r="A839" s="19" t="s">
        <v>986</v>
      </c>
      <c r="B839" s="50">
        <v>42.071100000000001</v>
      </c>
      <c r="C839" s="50">
        <v>2108.29</v>
      </c>
      <c r="D839" s="51">
        <v>45024475.430802003</v>
      </c>
      <c r="E839" s="51">
        <v>1877438889</v>
      </c>
      <c r="F839" s="52">
        <f t="shared" si="30"/>
        <v>1.901723680527691E-4</v>
      </c>
      <c r="G839" s="52">
        <f t="shared" si="31"/>
        <v>1.0863762718014008E-2</v>
      </c>
    </row>
    <row r="840" spans="1:7" ht="15" customHeight="1" x14ac:dyDescent="0.2">
      <c r="A840" s="19" t="s">
        <v>987</v>
      </c>
      <c r="B840" s="50">
        <v>41.719299999999997</v>
      </c>
      <c r="C840" s="50">
        <v>2114.4899999999998</v>
      </c>
      <c r="D840" s="51">
        <v>39360873.646137998</v>
      </c>
      <c r="E840" s="51">
        <v>1717544444</v>
      </c>
      <c r="F840" s="52">
        <f t="shared" si="30"/>
        <v>-8.3971926903117864E-3</v>
      </c>
      <c r="G840" s="52">
        <f t="shared" si="31"/>
        <v>2.9364562942421689E-3</v>
      </c>
    </row>
    <row r="841" spans="1:7" ht="15" customHeight="1" x14ac:dyDescent="0.2">
      <c r="A841" s="19" t="s">
        <v>988</v>
      </c>
      <c r="B841" s="50">
        <v>41.1646</v>
      </c>
      <c r="C841" s="50">
        <v>2089.46</v>
      </c>
      <c r="D841" s="51">
        <v>58243440.865580998</v>
      </c>
      <c r="E841" s="51">
        <v>2107750000</v>
      </c>
      <c r="F841" s="52">
        <f t="shared" si="30"/>
        <v>-1.3385187757732385E-2</v>
      </c>
      <c r="G841" s="52">
        <f t="shared" si="31"/>
        <v>-1.1907989281938557E-2</v>
      </c>
    </row>
    <row r="842" spans="1:7" ht="15" customHeight="1" x14ac:dyDescent="0.2">
      <c r="A842" s="19" t="s">
        <v>989</v>
      </c>
      <c r="B842" s="50">
        <v>40.024900000000002</v>
      </c>
      <c r="C842" s="50">
        <v>2080.15</v>
      </c>
      <c r="D842" s="51">
        <v>60627680.717407003</v>
      </c>
      <c r="E842" s="51">
        <v>2106783333</v>
      </c>
      <c r="F842" s="52">
        <f t="shared" si="30"/>
        <v>-2.8076903269406903E-2</v>
      </c>
      <c r="G842" s="52">
        <f t="shared" si="31"/>
        <v>-4.4656528892180703E-3</v>
      </c>
    </row>
    <row r="843" spans="1:7" ht="15" customHeight="1" x14ac:dyDescent="0.2">
      <c r="A843" s="19" t="s">
        <v>990</v>
      </c>
      <c r="B843" s="50">
        <v>40.387099999999997</v>
      </c>
      <c r="C843" s="50">
        <v>2088</v>
      </c>
      <c r="D843" s="51">
        <v>38125741.587857001</v>
      </c>
      <c r="E843" s="51">
        <v>2042577778</v>
      </c>
      <c r="F843" s="52">
        <f t="shared" si="30"/>
        <v>9.0086666059173599E-3</v>
      </c>
      <c r="G843" s="52">
        <f t="shared" si="31"/>
        <v>3.7666635227395196E-3</v>
      </c>
    </row>
    <row r="844" spans="1:7" ht="15" customHeight="1" x14ac:dyDescent="0.2">
      <c r="A844" s="19" t="s">
        <v>991</v>
      </c>
      <c r="B844" s="50">
        <v>41.293399999999998</v>
      </c>
      <c r="C844" s="50">
        <v>2116.1</v>
      </c>
      <c r="D844" s="51">
        <v>40893590.708976001</v>
      </c>
      <c r="E844" s="51">
        <v>1888577778</v>
      </c>
      <c r="F844" s="52">
        <f t="shared" si="30"/>
        <v>2.2192253854102065E-2</v>
      </c>
      <c r="G844" s="52">
        <f t="shared" si="31"/>
        <v>1.336810183819619E-2</v>
      </c>
    </row>
    <row r="845" spans="1:7" ht="15" customHeight="1" x14ac:dyDescent="0.2">
      <c r="A845" s="19" t="s">
        <v>992</v>
      </c>
      <c r="B845" s="50">
        <v>40.964199999999998</v>
      </c>
      <c r="C845" s="50">
        <v>2105.33</v>
      </c>
      <c r="D845" s="51">
        <v>28456652.317184001</v>
      </c>
      <c r="E845" s="51">
        <v>1662594444</v>
      </c>
      <c r="F845" s="52">
        <f t="shared" si="30"/>
        <v>-8.0041663642189138E-3</v>
      </c>
      <c r="G845" s="52">
        <f t="shared" si="31"/>
        <v>-5.102547415113407E-3</v>
      </c>
    </row>
    <row r="846" spans="1:7" ht="15" customHeight="1" x14ac:dyDescent="0.2">
      <c r="A846" s="19" t="s">
        <v>993</v>
      </c>
      <c r="B846" s="50">
        <v>40.944800000000001</v>
      </c>
      <c r="C846" s="50">
        <v>2099.12</v>
      </c>
      <c r="D846" s="51">
        <v>34606914.754014</v>
      </c>
      <c r="E846" s="51">
        <v>1744177778</v>
      </c>
      <c r="F846" s="52">
        <f t="shared" si="30"/>
        <v>-4.7369642805456181E-4</v>
      </c>
      <c r="G846" s="52">
        <f t="shared" si="31"/>
        <v>-2.9540151581351707E-3</v>
      </c>
    </row>
    <row r="847" spans="1:7" ht="15" customHeight="1" x14ac:dyDescent="0.2">
      <c r="A847" s="19" t="s">
        <v>994</v>
      </c>
      <c r="B847" s="50">
        <v>41.186</v>
      </c>
      <c r="C847" s="50">
        <v>2098.48</v>
      </c>
      <c r="D847" s="51">
        <v>39528787.998297997</v>
      </c>
      <c r="E847" s="51">
        <v>1874588889</v>
      </c>
      <c r="F847" s="52">
        <f t="shared" si="30"/>
        <v>5.8735746742289456E-3</v>
      </c>
      <c r="G847" s="52">
        <f t="shared" si="31"/>
        <v>-3.0493615635559612E-4</v>
      </c>
    </row>
    <row r="848" spans="1:7" ht="15" customHeight="1" x14ac:dyDescent="0.2">
      <c r="A848" s="19" t="s">
        <v>995</v>
      </c>
      <c r="B848" s="50">
        <v>42.133299999999998</v>
      </c>
      <c r="C848" s="50">
        <v>2121.1</v>
      </c>
      <c r="D848" s="51">
        <v>38136779.370347001</v>
      </c>
      <c r="E848" s="51">
        <v>1792077778</v>
      </c>
      <c r="F848" s="52">
        <f t="shared" si="30"/>
        <v>2.2740009121937466E-2</v>
      </c>
      <c r="G848" s="52">
        <f t="shared" si="31"/>
        <v>1.0721548914049037E-2</v>
      </c>
    </row>
    <row r="849" spans="1:7" ht="15" customHeight="1" x14ac:dyDescent="0.2">
      <c r="A849" s="19" t="s">
        <v>996</v>
      </c>
      <c r="B849" s="50">
        <v>41.762099999999997</v>
      </c>
      <c r="C849" s="50">
        <v>2122.73</v>
      </c>
      <c r="D849" s="51">
        <v>33120423.076524999</v>
      </c>
      <c r="E849" s="51">
        <v>1717822222</v>
      </c>
      <c r="F849" s="52">
        <f t="shared" si="30"/>
        <v>-8.8491722387555004E-3</v>
      </c>
      <c r="G849" s="52">
        <f t="shared" si="31"/>
        <v>7.6817406925065615E-4</v>
      </c>
    </row>
    <row r="850" spans="1:7" ht="15" customHeight="1" x14ac:dyDescent="0.2">
      <c r="A850" s="19" t="s">
        <v>997</v>
      </c>
      <c r="B850" s="50">
        <v>41.520200000000003</v>
      </c>
      <c r="C850" s="50">
        <v>2129.1999999999998</v>
      </c>
      <c r="D850" s="51">
        <v>27900535.847922001</v>
      </c>
      <c r="E850" s="51">
        <v>1604550000</v>
      </c>
      <c r="F850" s="52">
        <f t="shared" si="30"/>
        <v>-5.8091738646225662E-3</v>
      </c>
      <c r="G850" s="52">
        <f t="shared" si="31"/>
        <v>3.0433262041808752E-3</v>
      </c>
    </row>
    <row r="851" spans="1:7" ht="15" customHeight="1" x14ac:dyDescent="0.2">
      <c r="A851" s="19" t="s">
        <v>998</v>
      </c>
      <c r="B851" s="50">
        <v>41.4146</v>
      </c>
      <c r="C851" s="50">
        <v>2127.83</v>
      </c>
      <c r="D851" s="51">
        <v>32828642.096544001</v>
      </c>
      <c r="E851" s="51">
        <v>1831127778</v>
      </c>
      <c r="F851" s="52">
        <f t="shared" si="30"/>
        <v>-2.5465801344819175E-3</v>
      </c>
      <c r="G851" s="52">
        <f t="shared" si="31"/>
        <v>-6.4364124626619236E-4</v>
      </c>
    </row>
    <row r="852" spans="1:7" ht="15" customHeight="1" x14ac:dyDescent="0.2">
      <c r="A852" s="19" t="s">
        <v>999</v>
      </c>
      <c r="B852" s="50">
        <v>41.4146</v>
      </c>
      <c r="C852" s="50">
        <v>2125.85</v>
      </c>
      <c r="D852" s="51">
        <v>28776708.080488998</v>
      </c>
      <c r="E852" s="51">
        <v>1681044444</v>
      </c>
      <c r="F852" s="52">
        <f t="shared" si="30"/>
        <v>0</v>
      </c>
      <c r="G852" s="52">
        <f t="shared" si="31"/>
        <v>-9.3095867249196713E-4</v>
      </c>
    </row>
    <row r="853" spans="1:7" ht="15" customHeight="1" x14ac:dyDescent="0.2">
      <c r="A853" s="19" t="s">
        <v>1000</v>
      </c>
      <c r="B853" s="50">
        <v>41.276000000000003</v>
      </c>
      <c r="C853" s="50">
        <v>2130.8200000000002</v>
      </c>
      <c r="D853" s="51">
        <v>25746782.012726001</v>
      </c>
      <c r="E853" s="51">
        <v>1705811111</v>
      </c>
      <c r="F853" s="52">
        <f t="shared" si="30"/>
        <v>-3.3522584137658982E-3</v>
      </c>
      <c r="G853" s="52">
        <f t="shared" si="31"/>
        <v>2.3351597649989828E-3</v>
      </c>
    </row>
    <row r="854" spans="1:7" ht="15" customHeight="1" x14ac:dyDescent="0.2">
      <c r="A854" s="19" t="s">
        <v>1001</v>
      </c>
      <c r="B854" s="50">
        <v>40.825699999999998</v>
      </c>
      <c r="C854" s="50">
        <v>2126.06</v>
      </c>
      <c r="D854" s="51">
        <v>29549416.331507001</v>
      </c>
      <c r="E854" s="51">
        <v>1428811111</v>
      </c>
      <c r="F854" s="52">
        <f t="shared" si="30"/>
        <v>-1.0969432187537102E-2</v>
      </c>
      <c r="G854" s="52">
        <f t="shared" si="31"/>
        <v>-2.2363806280129898E-3</v>
      </c>
    </row>
    <row r="855" spans="1:7" ht="15" customHeight="1" x14ac:dyDescent="0.2">
      <c r="A855" s="19" t="s">
        <v>1002</v>
      </c>
      <c r="B855" s="50">
        <v>40.554099999999998</v>
      </c>
      <c r="C855" s="50">
        <v>2104.1999999999998</v>
      </c>
      <c r="D855" s="51">
        <v>33964656.280936003</v>
      </c>
      <c r="E855" s="51">
        <v>1856738889</v>
      </c>
      <c r="F855" s="52">
        <f t="shared" si="30"/>
        <v>-6.674899874693923E-3</v>
      </c>
      <c r="G855" s="52">
        <f t="shared" si="31"/>
        <v>-1.0335154142642595E-2</v>
      </c>
    </row>
    <row r="856" spans="1:7" ht="15" customHeight="1" x14ac:dyDescent="0.2">
      <c r="A856" s="19" t="s">
        <v>1003</v>
      </c>
      <c r="B856" s="50">
        <v>41.439100000000003</v>
      </c>
      <c r="C856" s="50">
        <v>2123.48</v>
      </c>
      <c r="D856" s="51">
        <v>31404949.371134002</v>
      </c>
      <c r="E856" s="51">
        <v>1737755556</v>
      </c>
      <c r="F856" s="52">
        <f t="shared" si="30"/>
        <v>2.1587994377430166E-2</v>
      </c>
      <c r="G856" s="52">
        <f t="shared" si="31"/>
        <v>9.1209049217876367E-3</v>
      </c>
    </row>
    <row r="857" spans="1:7" ht="15" customHeight="1" x14ac:dyDescent="0.2">
      <c r="A857" s="19" t="s">
        <v>1004</v>
      </c>
      <c r="B857" s="50">
        <v>41.301099999999998</v>
      </c>
      <c r="C857" s="50">
        <v>2120.79</v>
      </c>
      <c r="D857" s="51">
        <v>22154294.541019</v>
      </c>
      <c r="E857" s="51">
        <v>1655750000</v>
      </c>
      <c r="F857" s="52">
        <f t="shared" si="30"/>
        <v>-3.3357455738024372E-3</v>
      </c>
      <c r="G857" s="52">
        <f t="shared" si="31"/>
        <v>-1.2675915340863882E-3</v>
      </c>
    </row>
    <row r="858" spans="1:7" ht="15" customHeight="1" x14ac:dyDescent="0.2">
      <c r="A858" s="19" t="s">
        <v>1005</v>
      </c>
      <c r="B858" s="50">
        <v>40.789400000000001</v>
      </c>
      <c r="C858" s="50">
        <v>2107.39</v>
      </c>
      <c r="D858" s="51">
        <v>41956023.089493997</v>
      </c>
      <c r="E858" s="51">
        <v>2181883333</v>
      </c>
      <c r="F858" s="52">
        <f t="shared" si="30"/>
        <v>-1.2466890261202707E-2</v>
      </c>
      <c r="G858" s="52">
        <f t="shared" si="31"/>
        <v>-6.3384457913584413E-3</v>
      </c>
    </row>
    <row r="859" spans="1:7" ht="15" customHeight="1" x14ac:dyDescent="0.2">
      <c r="A859" s="19" t="s">
        <v>1006</v>
      </c>
      <c r="B859" s="50">
        <v>41.111800000000002</v>
      </c>
      <c r="C859" s="50">
        <v>2111.73</v>
      </c>
      <c r="D859" s="51">
        <v>33130239.44407</v>
      </c>
      <c r="E859" s="51">
        <v>1673172222</v>
      </c>
      <c r="F859" s="52">
        <f t="shared" si="30"/>
        <v>7.8729411847526902E-3</v>
      </c>
      <c r="G859" s="52">
        <f t="shared" si="31"/>
        <v>2.0573017741854285E-3</v>
      </c>
    </row>
    <row r="860" spans="1:7" ht="15" customHeight="1" x14ac:dyDescent="0.2">
      <c r="A860" s="19" t="s">
        <v>1007</v>
      </c>
      <c r="B860" s="50">
        <v>40.844000000000001</v>
      </c>
      <c r="C860" s="50">
        <v>2109.6</v>
      </c>
      <c r="D860" s="51">
        <v>24697668.481332</v>
      </c>
      <c r="E860" s="51">
        <v>1694083333</v>
      </c>
      <c r="F860" s="52">
        <f t="shared" si="30"/>
        <v>-6.5352532251231141E-3</v>
      </c>
      <c r="G860" s="52">
        <f t="shared" si="31"/>
        <v>-1.0091607056388198E-3</v>
      </c>
    </row>
    <row r="861" spans="1:7" ht="15" customHeight="1" x14ac:dyDescent="0.2">
      <c r="A861" s="19" t="s">
        <v>1008</v>
      </c>
      <c r="B861" s="50">
        <v>40.779800000000002</v>
      </c>
      <c r="C861" s="50">
        <v>2114.0700000000002</v>
      </c>
      <c r="D861" s="51">
        <v>32170670.063903</v>
      </c>
      <c r="E861" s="51">
        <v>1722211111</v>
      </c>
      <c r="F861" s="52">
        <f t="shared" si="30"/>
        <v>-1.5730709238936345E-3</v>
      </c>
      <c r="G861" s="52">
        <f t="shared" si="31"/>
        <v>2.1166434256780875E-3</v>
      </c>
    </row>
    <row r="862" spans="1:7" ht="15" customHeight="1" x14ac:dyDescent="0.2">
      <c r="A862" s="19" t="s">
        <v>1009</v>
      </c>
      <c r="B862" s="50">
        <v>40.354799999999997</v>
      </c>
      <c r="C862" s="50">
        <v>2095.84</v>
      </c>
      <c r="D862" s="51">
        <v>31875869.844466999</v>
      </c>
      <c r="E862" s="51">
        <v>1777805556</v>
      </c>
      <c r="F862" s="52">
        <f t="shared" si="30"/>
        <v>-1.0476514020707168E-2</v>
      </c>
      <c r="G862" s="52">
        <f t="shared" si="31"/>
        <v>-8.6605718154161154E-3</v>
      </c>
    </row>
    <row r="863" spans="1:7" ht="15" customHeight="1" x14ac:dyDescent="0.2">
      <c r="A863" s="19" t="s">
        <v>1010</v>
      </c>
      <c r="B863" s="50">
        <v>40.162599999999998</v>
      </c>
      <c r="C863" s="50">
        <v>2092.83</v>
      </c>
      <c r="D863" s="51">
        <v>29224861.911653001</v>
      </c>
      <c r="E863" s="51">
        <v>1802050000</v>
      </c>
      <c r="F863" s="52">
        <f t="shared" si="30"/>
        <v>-4.7741324249709893E-3</v>
      </c>
      <c r="G863" s="52">
        <f t="shared" si="31"/>
        <v>-1.4372106268171129E-3</v>
      </c>
    </row>
    <row r="864" spans="1:7" ht="15" customHeight="1" x14ac:dyDescent="0.2">
      <c r="A864" s="19" t="s">
        <v>1011</v>
      </c>
      <c r="B864" s="50">
        <v>39.801900000000003</v>
      </c>
      <c r="C864" s="50">
        <v>2079.2800000000002</v>
      </c>
      <c r="D864" s="51">
        <v>25414761.911587</v>
      </c>
      <c r="E864" s="51">
        <v>1620638889</v>
      </c>
      <c r="F864" s="52">
        <f t="shared" si="30"/>
        <v>-9.0215644793155674E-3</v>
      </c>
      <c r="G864" s="52">
        <f t="shared" si="31"/>
        <v>-6.4955370983836944E-3</v>
      </c>
    </row>
    <row r="865" spans="1:7" ht="15" customHeight="1" x14ac:dyDescent="0.2">
      <c r="A865" s="19" t="s">
        <v>1012</v>
      </c>
      <c r="B865" s="50">
        <v>39.735599999999998</v>
      </c>
      <c r="C865" s="50">
        <v>2080.15</v>
      </c>
      <c r="D865" s="51">
        <v>28039146.479605999</v>
      </c>
      <c r="E865" s="51">
        <v>1685877778</v>
      </c>
      <c r="F865" s="52">
        <f t="shared" si="30"/>
        <v>-1.6671385285159897E-3</v>
      </c>
      <c r="G865" s="52">
        <f t="shared" si="31"/>
        <v>4.1832655565178788E-4</v>
      </c>
    </row>
    <row r="866" spans="1:7" ht="15" customHeight="1" x14ac:dyDescent="0.2">
      <c r="A866" s="19" t="s">
        <v>1013</v>
      </c>
      <c r="B866" s="50">
        <v>40.5717</v>
      </c>
      <c r="C866" s="50">
        <v>2105.1999999999998</v>
      </c>
      <c r="D866" s="51">
        <v>32647417.085806001</v>
      </c>
      <c r="E866" s="51">
        <v>1896844444</v>
      </c>
      <c r="F866" s="52">
        <f t="shared" si="30"/>
        <v>2.0823267908470545E-2</v>
      </c>
      <c r="G866" s="52">
        <f t="shared" si="31"/>
        <v>1.1970467999834084E-2</v>
      </c>
    </row>
    <row r="867" spans="1:7" ht="15" customHeight="1" x14ac:dyDescent="0.2">
      <c r="A867" s="19" t="s">
        <v>1014</v>
      </c>
      <c r="B867" s="50">
        <v>40.423000000000002</v>
      </c>
      <c r="C867" s="50">
        <v>2108.86</v>
      </c>
      <c r="D867" s="51">
        <v>31418915.273270998</v>
      </c>
      <c r="E867" s="51">
        <v>1738111111</v>
      </c>
      <c r="F867" s="52">
        <f t="shared" si="30"/>
        <v>-3.671849320272228E-3</v>
      </c>
      <c r="G867" s="52">
        <f t="shared" si="31"/>
        <v>1.7370426241117387E-3</v>
      </c>
    </row>
    <row r="868" spans="1:7" ht="15" customHeight="1" x14ac:dyDescent="0.2">
      <c r="A868" s="19" t="s">
        <v>1015</v>
      </c>
      <c r="B868" s="50">
        <v>40.014000000000003</v>
      </c>
      <c r="C868" s="50">
        <v>2094.11</v>
      </c>
      <c r="D868" s="51">
        <v>27476286.120790001</v>
      </c>
      <c r="E868" s="51">
        <v>1510777778</v>
      </c>
      <c r="F868" s="52">
        <f t="shared" si="30"/>
        <v>-1.0169537025862435E-2</v>
      </c>
      <c r="G868" s="52">
        <f t="shared" si="31"/>
        <v>-7.018875011890289E-3</v>
      </c>
    </row>
    <row r="869" spans="1:7" ht="15" customHeight="1" x14ac:dyDescent="0.2">
      <c r="A869" s="19" t="s">
        <v>1016</v>
      </c>
      <c r="B869" s="50">
        <v>39.579300000000003</v>
      </c>
      <c r="C869" s="50">
        <v>2084.4299999999998</v>
      </c>
      <c r="D869" s="51">
        <v>38204972.819776997</v>
      </c>
      <c r="E869" s="51">
        <v>1700872222</v>
      </c>
      <c r="F869" s="52">
        <f t="shared" si="30"/>
        <v>-1.0923138560046801E-2</v>
      </c>
      <c r="G869" s="52">
        <f t="shared" si="31"/>
        <v>-4.6332055293856079E-3</v>
      </c>
    </row>
    <row r="870" spans="1:7" ht="15" customHeight="1" x14ac:dyDescent="0.2">
      <c r="A870" s="19" t="s">
        <v>1017</v>
      </c>
      <c r="B870" s="50">
        <v>39.892800000000001</v>
      </c>
      <c r="C870" s="50">
        <v>2096.29</v>
      </c>
      <c r="D870" s="51">
        <v>31100154.639812</v>
      </c>
      <c r="E870" s="51">
        <v>1622166667</v>
      </c>
      <c r="F870" s="52">
        <f t="shared" si="30"/>
        <v>7.8896021665571629E-3</v>
      </c>
      <c r="G870" s="52">
        <f t="shared" si="31"/>
        <v>5.6736790864062693E-3</v>
      </c>
    </row>
    <row r="871" spans="1:7" ht="15" customHeight="1" x14ac:dyDescent="0.2">
      <c r="A871" s="19" t="s">
        <v>1018</v>
      </c>
      <c r="B871" s="50">
        <v>40.014000000000003</v>
      </c>
      <c r="C871" s="50">
        <v>2100.44</v>
      </c>
      <c r="D871" s="51">
        <v>32977057.833776001</v>
      </c>
      <c r="E871" s="51">
        <v>1790133333</v>
      </c>
      <c r="F871" s="52">
        <f t="shared" si="30"/>
        <v>3.0335363934897185E-3</v>
      </c>
      <c r="G871" s="52">
        <f t="shared" si="31"/>
        <v>1.9777309251246271E-3</v>
      </c>
    </row>
    <row r="872" spans="1:7" ht="15" customHeight="1" x14ac:dyDescent="0.2">
      <c r="A872" s="19" t="s">
        <v>1019</v>
      </c>
      <c r="B872" s="50">
        <v>40.666499999999999</v>
      </c>
      <c r="C872" s="50">
        <v>2121.2399999999998</v>
      </c>
      <c r="D872" s="51">
        <v>37520020.109834999</v>
      </c>
      <c r="E872" s="51">
        <v>1955755556</v>
      </c>
      <c r="F872" s="52">
        <f t="shared" si="30"/>
        <v>1.6175264817868459E-2</v>
      </c>
      <c r="G872" s="52">
        <f t="shared" si="31"/>
        <v>9.853976761801558E-3</v>
      </c>
    </row>
    <row r="873" spans="1:7" ht="15" customHeight="1" x14ac:dyDescent="0.2">
      <c r="A873" s="19" t="s">
        <v>1020</v>
      </c>
      <c r="B873" s="50">
        <v>40.126199999999997</v>
      </c>
      <c r="C873" s="50">
        <v>2109.9899999999998</v>
      </c>
      <c r="D873" s="51">
        <v>73340175.644402996</v>
      </c>
      <c r="E873" s="51">
        <v>2472116667</v>
      </c>
      <c r="F873" s="52">
        <f t="shared" si="30"/>
        <v>-1.3375170151048573E-2</v>
      </c>
      <c r="G873" s="52">
        <f t="shared" si="31"/>
        <v>-5.3176152134035261E-3</v>
      </c>
    </row>
    <row r="874" spans="1:7" ht="15" customHeight="1" x14ac:dyDescent="0.2">
      <c r="A874" s="19" t="s">
        <v>1021</v>
      </c>
      <c r="B874" s="50">
        <v>40.2348</v>
      </c>
      <c r="C874" s="50">
        <v>2122.85</v>
      </c>
      <c r="D874" s="51">
        <v>23342668.828565001</v>
      </c>
      <c r="E874" s="51">
        <v>1683344444</v>
      </c>
      <c r="F874" s="52">
        <f t="shared" si="30"/>
        <v>2.7028052441273507E-3</v>
      </c>
      <c r="G874" s="52">
        <f t="shared" si="31"/>
        <v>6.0763173508369944E-3</v>
      </c>
    </row>
    <row r="875" spans="1:7" ht="15" customHeight="1" x14ac:dyDescent="0.2">
      <c r="A875" s="19" t="s">
        <v>1022</v>
      </c>
      <c r="B875" s="50">
        <v>39.959099999999999</v>
      </c>
      <c r="C875" s="50">
        <v>2124.1999999999998</v>
      </c>
      <c r="D875" s="51">
        <v>29751583.540633999</v>
      </c>
      <c r="E875" s="51">
        <v>1717327778</v>
      </c>
      <c r="F875" s="52">
        <f t="shared" si="30"/>
        <v>-6.8758617849771827E-3</v>
      </c>
      <c r="G875" s="52">
        <f t="shared" si="31"/>
        <v>6.3573541421357567E-4</v>
      </c>
    </row>
    <row r="876" spans="1:7" ht="15" customHeight="1" x14ac:dyDescent="0.2">
      <c r="A876" s="19" t="s">
        <v>1023</v>
      </c>
      <c r="B876" s="50">
        <v>39.716999999999999</v>
      </c>
      <c r="C876" s="50">
        <v>2108.58</v>
      </c>
      <c r="D876" s="51">
        <v>40084981.253913999</v>
      </c>
      <c r="E876" s="51">
        <v>1723600000</v>
      </c>
      <c r="F876" s="52">
        <f t="shared" si="30"/>
        <v>-6.0771233805648637E-3</v>
      </c>
      <c r="G876" s="52">
        <f t="shared" si="31"/>
        <v>-7.3805257559009111E-3</v>
      </c>
    </row>
    <row r="877" spans="1:7" ht="15" customHeight="1" x14ac:dyDescent="0.2">
      <c r="A877" s="19" t="s">
        <v>1024</v>
      </c>
      <c r="B877" s="50">
        <v>39.735599999999998</v>
      </c>
      <c r="C877" s="50">
        <v>2102.31</v>
      </c>
      <c r="D877" s="51">
        <v>23684913.800655</v>
      </c>
      <c r="E877" s="51">
        <v>1785894444</v>
      </c>
      <c r="F877" s="52">
        <f t="shared" si="30"/>
        <v>4.6820369225890487E-4</v>
      </c>
      <c r="G877" s="52">
        <f t="shared" si="31"/>
        <v>-2.977994976722945E-3</v>
      </c>
    </row>
    <row r="878" spans="1:7" ht="15" customHeight="1" x14ac:dyDescent="0.2">
      <c r="A878" s="19" t="s">
        <v>1025</v>
      </c>
      <c r="B878" s="50">
        <v>39.3919</v>
      </c>
      <c r="C878" s="50">
        <v>2101.4899999999998</v>
      </c>
      <c r="D878" s="51">
        <v>57253980.093373999</v>
      </c>
      <c r="E878" s="51">
        <v>2791927778</v>
      </c>
      <c r="F878" s="52">
        <f t="shared" si="30"/>
        <v>-8.6872999035825377E-3</v>
      </c>
      <c r="G878" s="52">
        <f t="shared" si="31"/>
        <v>-3.9012322679491675E-4</v>
      </c>
    </row>
    <row r="879" spans="1:7" ht="15" customHeight="1" x14ac:dyDescent="0.2">
      <c r="A879" s="19" t="s">
        <v>1026</v>
      </c>
      <c r="B879" s="50">
        <v>38.622100000000003</v>
      </c>
      <c r="C879" s="50">
        <v>2057.64</v>
      </c>
      <c r="D879" s="51">
        <v>39155315.551601999</v>
      </c>
      <c r="E879" s="51">
        <v>2043866667</v>
      </c>
      <c r="F879" s="52">
        <f t="shared" si="30"/>
        <v>-1.9735559919257319E-2</v>
      </c>
      <c r="G879" s="52">
        <f t="shared" si="31"/>
        <v>-2.1086921949260151E-2</v>
      </c>
    </row>
    <row r="880" spans="1:7" ht="15" customHeight="1" x14ac:dyDescent="0.2">
      <c r="A880" s="19" t="s">
        <v>1027</v>
      </c>
      <c r="B880" s="50">
        <v>38.431699999999999</v>
      </c>
      <c r="C880" s="50">
        <v>2063.11</v>
      </c>
      <c r="D880" s="51">
        <v>41296438.543408997</v>
      </c>
      <c r="E880" s="51">
        <v>2265855556</v>
      </c>
      <c r="F880" s="52">
        <f t="shared" si="30"/>
        <v>-4.9420116209465282E-3</v>
      </c>
      <c r="G880" s="52">
        <f t="shared" si="31"/>
        <v>2.654858078183291E-3</v>
      </c>
    </row>
    <row r="881" spans="1:7" ht="15" customHeight="1" x14ac:dyDescent="0.2">
      <c r="A881" s="19" t="s">
        <v>1028</v>
      </c>
      <c r="B881" s="50">
        <v>38.6798</v>
      </c>
      <c r="C881" s="50">
        <v>2077.42</v>
      </c>
      <c r="D881" s="51">
        <v>32563349.337377999</v>
      </c>
      <c r="E881" s="51">
        <v>2070700000</v>
      </c>
      <c r="F881" s="52">
        <f t="shared" si="30"/>
        <v>6.4348600688069937E-3</v>
      </c>
      <c r="G881" s="52">
        <f t="shared" si="31"/>
        <v>6.9121861093133178E-3</v>
      </c>
    </row>
    <row r="882" spans="1:7" ht="15" customHeight="1" x14ac:dyDescent="0.2">
      <c r="A882" s="19" t="s">
        <v>1029</v>
      </c>
      <c r="B882" s="50">
        <v>38.647500000000001</v>
      </c>
      <c r="C882" s="50">
        <v>2076.7800000000002</v>
      </c>
      <c r="D882" s="51">
        <v>24990140.538500998</v>
      </c>
      <c r="E882" s="51">
        <v>1664744444</v>
      </c>
      <c r="F882" s="52">
        <f t="shared" si="30"/>
        <v>-8.3541005255683884E-4</v>
      </c>
      <c r="G882" s="52">
        <f t="shared" si="31"/>
        <v>-3.0812190316463852E-4</v>
      </c>
    </row>
    <row r="883" spans="1:7" ht="15" customHeight="1" x14ac:dyDescent="0.2">
      <c r="A883" s="19" t="s">
        <v>1030</v>
      </c>
      <c r="B883" s="50">
        <v>38.637700000000002</v>
      </c>
      <c r="C883" s="50">
        <v>2068.7600000000002</v>
      </c>
      <c r="D883" s="51">
        <v>26462869.029828999</v>
      </c>
      <c r="E883" s="51">
        <v>1936866667</v>
      </c>
      <c r="F883" s="52">
        <f t="shared" si="30"/>
        <v>-2.536061251707457E-4</v>
      </c>
      <c r="G883" s="52">
        <f t="shared" si="31"/>
        <v>-3.8692233125439636E-3</v>
      </c>
    </row>
    <row r="884" spans="1:7" ht="15" customHeight="1" x14ac:dyDescent="0.2">
      <c r="A884" s="19" t="s">
        <v>1031</v>
      </c>
      <c r="B884" s="50">
        <v>38.558799999999998</v>
      </c>
      <c r="C884" s="50">
        <v>2081.34</v>
      </c>
      <c r="D884" s="51">
        <v>41859863.025973998</v>
      </c>
      <c r="E884" s="51">
        <v>2477033333</v>
      </c>
      <c r="F884" s="52">
        <f t="shared" si="30"/>
        <v>-2.0441348370341711E-3</v>
      </c>
      <c r="G884" s="52">
        <f t="shared" si="31"/>
        <v>6.0625230864869576E-3</v>
      </c>
    </row>
    <row r="885" spans="1:7" ht="15" customHeight="1" x14ac:dyDescent="0.2">
      <c r="A885" s="19" t="s">
        <v>1032</v>
      </c>
      <c r="B885" s="50">
        <v>38.503900000000002</v>
      </c>
      <c r="C885" s="50">
        <v>2046.68</v>
      </c>
      <c r="D885" s="51">
        <v>45708679.729742996</v>
      </c>
      <c r="E885" s="51">
        <v>2004877778</v>
      </c>
      <c r="F885" s="52">
        <f t="shared" si="30"/>
        <v>-1.4248140614767067E-3</v>
      </c>
      <c r="G885" s="52">
        <f t="shared" si="31"/>
        <v>-1.6792948927196509E-2</v>
      </c>
    </row>
    <row r="886" spans="1:7" ht="15" customHeight="1" x14ac:dyDescent="0.2">
      <c r="A886" s="19" t="s">
        <v>1033</v>
      </c>
      <c r="B886" s="50">
        <v>38.750999999999998</v>
      </c>
      <c r="C886" s="50">
        <v>2051.31</v>
      </c>
      <c r="D886" s="51">
        <v>37251529.966871001</v>
      </c>
      <c r="E886" s="51">
        <v>1914894444</v>
      </c>
      <c r="F886" s="52">
        <f t="shared" si="30"/>
        <v>6.3970270533178575E-3</v>
      </c>
      <c r="G886" s="52">
        <f t="shared" si="31"/>
        <v>2.2596453237141356E-3</v>
      </c>
    </row>
    <row r="887" spans="1:7" ht="15" customHeight="1" x14ac:dyDescent="0.2">
      <c r="A887" s="19" t="s">
        <v>1034</v>
      </c>
      <c r="B887" s="50">
        <v>38.8322</v>
      </c>
      <c r="C887" s="50">
        <v>2076.62</v>
      </c>
      <c r="D887" s="51">
        <v>29256685.248369001</v>
      </c>
      <c r="E887" s="51">
        <v>1702816667</v>
      </c>
      <c r="F887" s="52">
        <f t="shared" si="30"/>
        <v>2.0932374444239624E-3</v>
      </c>
      <c r="G887" s="52">
        <f t="shared" si="31"/>
        <v>1.2262958517226932E-2</v>
      </c>
    </row>
    <row r="888" spans="1:7" ht="15" customHeight="1" x14ac:dyDescent="0.2">
      <c r="A888" s="19" t="s">
        <v>1035</v>
      </c>
      <c r="B888" s="50">
        <v>39.640799999999999</v>
      </c>
      <c r="C888" s="50">
        <v>2099.6</v>
      </c>
      <c r="D888" s="51">
        <v>32373099.370453</v>
      </c>
      <c r="E888" s="51">
        <v>1720405556</v>
      </c>
      <c r="F888" s="52">
        <f t="shared" si="30"/>
        <v>2.0609091530441079E-2</v>
      </c>
      <c r="G888" s="52">
        <f t="shared" si="31"/>
        <v>1.1005278427365045E-2</v>
      </c>
    </row>
    <row r="889" spans="1:7" ht="15" customHeight="1" x14ac:dyDescent="0.2">
      <c r="A889" s="19" t="s">
        <v>1036</v>
      </c>
      <c r="B889" s="50">
        <v>39.710299999999997</v>
      </c>
      <c r="C889" s="50">
        <v>2108.9499999999998</v>
      </c>
      <c r="D889" s="51">
        <v>26286349.486889001</v>
      </c>
      <c r="E889" s="51">
        <v>1667844444</v>
      </c>
      <c r="F889" s="52">
        <f t="shared" si="30"/>
        <v>1.7517089938673687E-3</v>
      </c>
      <c r="G889" s="52">
        <f t="shared" si="31"/>
        <v>4.4433429011478572E-3</v>
      </c>
    </row>
    <row r="890" spans="1:7" ht="15" customHeight="1" x14ac:dyDescent="0.2">
      <c r="A890" s="19" t="s">
        <v>1037</v>
      </c>
      <c r="B890" s="50">
        <v>39.830399999999997</v>
      </c>
      <c r="C890" s="50">
        <v>2107.4</v>
      </c>
      <c r="D890" s="51">
        <v>30589294.000193998</v>
      </c>
      <c r="E890" s="51">
        <v>1812116667</v>
      </c>
      <c r="F890" s="52">
        <f t="shared" si="30"/>
        <v>3.0198399378008238E-3</v>
      </c>
      <c r="G890" s="52">
        <f t="shared" si="31"/>
        <v>-7.3523311386536176E-4</v>
      </c>
    </row>
    <row r="891" spans="1:7" ht="15" customHeight="1" x14ac:dyDescent="0.2">
      <c r="A891" s="19" t="s">
        <v>1038</v>
      </c>
      <c r="B891" s="50">
        <v>40.612900000000003</v>
      </c>
      <c r="C891" s="50">
        <v>2124.29</v>
      </c>
      <c r="D891" s="51">
        <v>30182557.704774</v>
      </c>
      <c r="E891" s="51">
        <v>1792822222</v>
      </c>
      <c r="F891" s="52">
        <f t="shared" si="30"/>
        <v>1.9455310306559042E-2</v>
      </c>
      <c r="G891" s="52">
        <f t="shared" si="31"/>
        <v>7.9826687162939235E-3</v>
      </c>
    </row>
    <row r="892" spans="1:7" ht="15" customHeight="1" x14ac:dyDescent="0.2">
      <c r="A892" s="19" t="s">
        <v>1039</v>
      </c>
      <c r="B892" s="50">
        <v>40.579599999999999</v>
      </c>
      <c r="C892" s="50">
        <v>2126.64</v>
      </c>
      <c r="D892" s="51">
        <v>33853760.404099002</v>
      </c>
      <c r="E892" s="51">
        <v>1868194444</v>
      </c>
      <c r="F892" s="52">
        <f t="shared" si="30"/>
        <v>-8.2027285444242245E-4</v>
      </c>
      <c r="G892" s="52">
        <f t="shared" si="31"/>
        <v>1.1056405254354067E-3</v>
      </c>
    </row>
    <row r="893" spans="1:7" ht="15" customHeight="1" x14ac:dyDescent="0.2">
      <c r="A893" s="19" t="s">
        <v>1040</v>
      </c>
      <c r="B893" s="50">
        <v>40.844000000000001</v>
      </c>
      <c r="C893" s="50">
        <v>2128.2800000000002</v>
      </c>
      <c r="D893" s="51">
        <v>35191959.202523001</v>
      </c>
      <c r="E893" s="51">
        <v>1803261111</v>
      </c>
      <c r="F893" s="52">
        <f t="shared" si="30"/>
        <v>6.4944544166535504E-3</v>
      </c>
      <c r="G893" s="52">
        <f t="shared" si="31"/>
        <v>7.7087234599653289E-4</v>
      </c>
    </row>
    <row r="894" spans="1:7" ht="15" customHeight="1" x14ac:dyDescent="0.2">
      <c r="A894" s="19" t="s">
        <v>1041</v>
      </c>
      <c r="B894" s="50">
        <v>41.151899999999998</v>
      </c>
      <c r="C894" s="50">
        <v>2119.21</v>
      </c>
      <c r="D894" s="51">
        <v>49150685.399374999</v>
      </c>
      <c r="E894" s="51">
        <v>1857605556</v>
      </c>
      <c r="F894" s="52">
        <f t="shared" si="30"/>
        <v>7.5101669033579704E-3</v>
      </c>
      <c r="G894" s="52">
        <f t="shared" si="31"/>
        <v>-4.2707640446294944E-3</v>
      </c>
    </row>
    <row r="895" spans="1:7" ht="15" customHeight="1" x14ac:dyDescent="0.2">
      <c r="A895" s="19" t="s">
        <v>1042</v>
      </c>
      <c r="B895" s="50">
        <v>39.640799999999999</v>
      </c>
      <c r="C895" s="50">
        <v>2114.15</v>
      </c>
      <c r="D895" s="51">
        <v>67958197.540759996</v>
      </c>
      <c r="E895" s="51">
        <v>2052261111</v>
      </c>
      <c r="F895" s="52">
        <f t="shared" si="30"/>
        <v>-3.7411207703796363E-2</v>
      </c>
      <c r="G895" s="52">
        <f t="shared" si="31"/>
        <v>-2.3905372610337479E-3</v>
      </c>
    </row>
    <row r="896" spans="1:7" ht="15" customHeight="1" x14ac:dyDescent="0.2">
      <c r="A896" s="19" t="s">
        <v>1043</v>
      </c>
      <c r="B896" s="50">
        <v>40.134999999999998</v>
      </c>
      <c r="C896" s="50">
        <v>2102.15</v>
      </c>
      <c r="D896" s="51">
        <v>38985628.970384002</v>
      </c>
      <c r="E896" s="51">
        <v>2096005556</v>
      </c>
      <c r="F896" s="52">
        <f t="shared" si="30"/>
        <v>1.2389880690686968E-2</v>
      </c>
      <c r="G896" s="52">
        <f t="shared" si="31"/>
        <v>-5.6922099476966175E-3</v>
      </c>
    </row>
    <row r="897" spans="1:7" ht="15" customHeight="1" x14ac:dyDescent="0.2">
      <c r="A897" s="19" t="s">
        <v>1044</v>
      </c>
      <c r="B897" s="50">
        <v>39.986699999999999</v>
      </c>
      <c r="C897" s="50">
        <v>2079.65</v>
      </c>
      <c r="D897" s="51">
        <v>37146523.091508001</v>
      </c>
      <c r="E897" s="51">
        <v>2150022222</v>
      </c>
      <c r="F897" s="52">
        <f t="shared" si="30"/>
        <v>-3.701872759985206E-3</v>
      </c>
      <c r="G897" s="52">
        <f t="shared" si="31"/>
        <v>-1.0761020194054139E-2</v>
      </c>
    </row>
    <row r="898" spans="1:7" ht="15" customHeight="1" x14ac:dyDescent="0.2">
      <c r="A898" s="19" t="s">
        <v>1045</v>
      </c>
      <c r="B898" s="50">
        <v>39.473799999999997</v>
      </c>
      <c r="C898" s="50">
        <v>2067.64</v>
      </c>
      <c r="D898" s="51">
        <v>45611602.325244002</v>
      </c>
      <c r="E898" s="51">
        <v>2131527778</v>
      </c>
      <c r="F898" s="52">
        <f t="shared" si="30"/>
        <v>-1.2909738130608221E-2</v>
      </c>
      <c r="G898" s="52">
        <f t="shared" si="31"/>
        <v>-5.7917500692277806E-3</v>
      </c>
    </row>
    <row r="899" spans="1:7" ht="15" customHeight="1" x14ac:dyDescent="0.2">
      <c r="A899" s="19" t="s">
        <v>1046</v>
      </c>
      <c r="B899" s="50">
        <v>39.463999999999999</v>
      </c>
      <c r="C899" s="50">
        <v>2093.25</v>
      </c>
      <c r="D899" s="51">
        <v>39439318.585790001</v>
      </c>
      <c r="E899" s="51">
        <v>2287633333</v>
      </c>
      <c r="F899" s="52">
        <f t="shared" si="30"/>
        <v>-2.4829676150961129E-4</v>
      </c>
      <c r="G899" s="52">
        <f t="shared" si="31"/>
        <v>1.231002184803006E-2</v>
      </c>
    </row>
    <row r="900" spans="1:7" ht="15" customHeight="1" x14ac:dyDescent="0.2">
      <c r="A900" s="19" t="s">
        <v>1047</v>
      </c>
      <c r="B900" s="50">
        <v>40.2913</v>
      </c>
      <c r="C900" s="50">
        <v>2108.5700000000002</v>
      </c>
      <c r="D900" s="51">
        <v>47041322.267564997</v>
      </c>
      <c r="E900" s="51">
        <v>2243833333</v>
      </c>
      <c r="F900" s="52">
        <f t="shared" si="30"/>
        <v>2.0746700822265641E-2</v>
      </c>
      <c r="G900" s="52">
        <f t="shared" si="31"/>
        <v>7.2921105076044846E-3</v>
      </c>
    </row>
    <row r="901" spans="1:7" ht="15" customHeight="1" x14ac:dyDescent="0.2">
      <c r="A901" s="19" t="s">
        <v>1048</v>
      </c>
      <c r="B901" s="50">
        <v>40.806100000000001</v>
      </c>
      <c r="C901" s="50">
        <v>2108.63</v>
      </c>
      <c r="D901" s="51">
        <v>45699372.199772</v>
      </c>
      <c r="E901" s="51">
        <v>1988561111</v>
      </c>
      <c r="F901" s="52">
        <f t="shared" si="30"/>
        <v>1.2696015284857956E-2</v>
      </c>
      <c r="G901" s="52">
        <f t="shared" si="31"/>
        <v>2.8454898986964683E-5</v>
      </c>
    </row>
    <row r="902" spans="1:7" ht="15" customHeight="1" x14ac:dyDescent="0.2">
      <c r="A902" s="19" t="s">
        <v>1049</v>
      </c>
      <c r="B902" s="50">
        <v>40.648899999999998</v>
      </c>
      <c r="C902" s="50">
        <v>2103.84</v>
      </c>
      <c r="D902" s="51">
        <v>35846235.251973003</v>
      </c>
      <c r="E902" s="51">
        <v>2045188889</v>
      </c>
      <c r="F902" s="52">
        <f t="shared" ref="F902:F965" si="32">LN(B902/B901)</f>
        <v>-3.8598046814796354E-3</v>
      </c>
      <c r="G902" s="52">
        <f t="shared" ref="G902:G965" si="33">LN(C902/C901)</f>
        <v>-2.274201152523918E-3</v>
      </c>
    </row>
    <row r="903" spans="1:7" ht="15" customHeight="1" x14ac:dyDescent="0.2">
      <c r="A903" s="19" t="s">
        <v>1050</v>
      </c>
      <c r="B903" s="50">
        <v>40.744399999999999</v>
      </c>
      <c r="C903" s="50">
        <v>2098.04</v>
      </c>
      <c r="D903" s="51">
        <v>27717350.225600999</v>
      </c>
      <c r="E903" s="51">
        <v>1931538889</v>
      </c>
      <c r="F903" s="52">
        <f t="shared" si="32"/>
        <v>2.346631573458418E-3</v>
      </c>
      <c r="G903" s="52">
        <f t="shared" si="33"/>
        <v>-2.7606707871855756E-3</v>
      </c>
    </row>
    <row r="904" spans="1:7" ht="15" customHeight="1" x14ac:dyDescent="0.2">
      <c r="A904" s="19" t="s">
        <v>1051</v>
      </c>
      <c r="B904" s="50">
        <v>41.379600000000003</v>
      </c>
      <c r="C904" s="50">
        <v>2093.3200000000002</v>
      </c>
      <c r="D904" s="51">
        <v>38376613.869668998</v>
      </c>
      <c r="E904" s="51">
        <v>1970394444</v>
      </c>
      <c r="F904" s="52">
        <f t="shared" si="32"/>
        <v>1.5469598834578314E-2</v>
      </c>
      <c r="G904" s="52">
        <f t="shared" si="33"/>
        <v>-2.2522532043250201E-3</v>
      </c>
    </row>
    <row r="905" spans="1:7" ht="15" customHeight="1" x14ac:dyDescent="0.2">
      <c r="A905" s="19" t="s">
        <v>1052</v>
      </c>
      <c r="B905" s="50">
        <v>41.4146</v>
      </c>
      <c r="C905" s="50">
        <v>2099.84</v>
      </c>
      <c r="D905" s="51">
        <v>30972975.960569002</v>
      </c>
      <c r="E905" s="51">
        <v>2204822222</v>
      </c>
      <c r="F905" s="52">
        <f t="shared" si="32"/>
        <v>8.454699021159947E-4</v>
      </c>
      <c r="G905" s="52">
        <f t="shared" si="33"/>
        <v>3.1098289855839203E-3</v>
      </c>
    </row>
    <row r="906" spans="1:7" ht="15" customHeight="1" x14ac:dyDescent="0.2">
      <c r="A906" s="19" t="s">
        <v>1053</v>
      </c>
      <c r="B906" s="50">
        <v>40.579599999999999</v>
      </c>
      <c r="C906" s="50">
        <v>2083.56</v>
      </c>
      <c r="D906" s="51">
        <v>31441109.601146001</v>
      </c>
      <c r="E906" s="51">
        <v>2359205556</v>
      </c>
      <c r="F906" s="52">
        <f t="shared" si="32"/>
        <v>-2.0367998390595901E-2</v>
      </c>
      <c r="G906" s="52">
        <f t="shared" si="33"/>
        <v>-7.7831821886354671E-3</v>
      </c>
    </row>
    <row r="907" spans="1:7" ht="15" customHeight="1" x14ac:dyDescent="0.2">
      <c r="A907" s="19" t="s">
        <v>1054</v>
      </c>
      <c r="B907" s="50">
        <v>40.681899999999999</v>
      </c>
      <c r="C907" s="50">
        <v>2077.5700000000002</v>
      </c>
      <c r="D907" s="51">
        <v>22015726.909694001</v>
      </c>
      <c r="E907" s="51">
        <v>2001288889</v>
      </c>
      <c r="F907" s="52">
        <f t="shared" si="32"/>
        <v>2.5177988110635769E-3</v>
      </c>
      <c r="G907" s="52">
        <f t="shared" si="33"/>
        <v>-2.8790276379214528E-3</v>
      </c>
    </row>
    <row r="908" spans="1:7" ht="15" customHeight="1" x14ac:dyDescent="0.2">
      <c r="A908" s="19" t="s">
        <v>1055</v>
      </c>
      <c r="B908" s="50">
        <v>41.196800000000003</v>
      </c>
      <c r="C908" s="50">
        <v>2104.1799999999998</v>
      </c>
      <c r="D908" s="51">
        <v>26515600.778939001</v>
      </c>
      <c r="E908" s="51">
        <v>1952477778</v>
      </c>
      <c r="F908" s="52">
        <f t="shared" si="32"/>
        <v>1.2577307348403576E-2</v>
      </c>
      <c r="G908" s="52">
        <f t="shared" si="33"/>
        <v>1.2726901022967103E-2</v>
      </c>
    </row>
    <row r="909" spans="1:7" ht="15" customHeight="1" x14ac:dyDescent="0.2">
      <c r="A909" s="19" t="s">
        <v>1056</v>
      </c>
      <c r="B909" s="50">
        <v>40.396900000000002</v>
      </c>
      <c r="C909" s="50">
        <v>2084.0700000000002</v>
      </c>
      <c r="D909" s="51">
        <v>33586545.938435003</v>
      </c>
      <c r="E909" s="51">
        <v>2060488889</v>
      </c>
      <c r="F909" s="52">
        <f t="shared" si="32"/>
        <v>-1.9607534086370126E-2</v>
      </c>
      <c r="G909" s="52">
        <f t="shared" si="33"/>
        <v>-9.6031299685016367E-3</v>
      </c>
    </row>
    <row r="910" spans="1:7" ht="15" customHeight="1" x14ac:dyDescent="0.2">
      <c r="A910" s="19" t="s">
        <v>1057</v>
      </c>
      <c r="B910" s="50">
        <v>40.681899999999999</v>
      </c>
      <c r="C910" s="50">
        <v>2086.0500000000002</v>
      </c>
      <c r="D910" s="51">
        <v>34694036.551712997</v>
      </c>
      <c r="E910" s="51">
        <v>2371738889</v>
      </c>
      <c r="F910" s="52">
        <f t="shared" si="32"/>
        <v>7.0302267379664385E-3</v>
      </c>
      <c r="G910" s="52">
        <f t="shared" si="33"/>
        <v>9.4961303213885308E-4</v>
      </c>
    </row>
    <row r="911" spans="1:7" ht="15" customHeight="1" x14ac:dyDescent="0.2">
      <c r="A911" s="19" t="s">
        <v>1058</v>
      </c>
      <c r="B911" s="50">
        <v>40.675199999999997</v>
      </c>
      <c r="C911" s="50">
        <v>2083.39</v>
      </c>
      <c r="D911" s="51">
        <v>25995625.087145001</v>
      </c>
      <c r="E911" s="51">
        <v>1789611111</v>
      </c>
      <c r="F911" s="52">
        <f t="shared" si="32"/>
        <v>-1.6470596948884461E-4</v>
      </c>
      <c r="G911" s="52">
        <f t="shared" si="33"/>
        <v>-1.275950900305485E-3</v>
      </c>
    </row>
    <row r="912" spans="1:7" ht="15" customHeight="1" x14ac:dyDescent="0.2">
      <c r="A912" s="19" t="s">
        <v>1059</v>
      </c>
      <c r="B912" s="50">
        <v>40.908499999999997</v>
      </c>
      <c r="C912" s="50">
        <v>2091.54</v>
      </c>
      <c r="D912" s="51">
        <v>24670064.298834998</v>
      </c>
      <c r="E912" s="51">
        <v>1553105556</v>
      </c>
      <c r="F912" s="52">
        <f t="shared" si="32"/>
        <v>5.7192952990158018E-3</v>
      </c>
      <c r="G912" s="52">
        <f t="shared" si="33"/>
        <v>3.9042620368306804E-3</v>
      </c>
    </row>
    <row r="913" spans="1:7" ht="15" customHeight="1" x14ac:dyDescent="0.2">
      <c r="A913" s="19" t="s">
        <v>1060</v>
      </c>
      <c r="B913" s="50">
        <v>41.189</v>
      </c>
      <c r="C913" s="50">
        <v>2102.44</v>
      </c>
      <c r="D913" s="51">
        <v>24240737.457952</v>
      </c>
      <c r="E913" s="51">
        <v>1593161111</v>
      </c>
      <c r="F913" s="52">
        <f t="shared" si="32"/>
        <v>6.8333649987370642E-3</v>
      </c>
      <c r="G913" s="52">
        <f t="shared" si="33"/>
        <v>5.1979382552371483E-3</v>
      </c>
    </row>
    <row r="914" spans="1:7" ht="15" customHeight="1" x14ac:dyDescent="0.2">
      <c r="A914" s="19" t="s">
        <v>1061</v>
      </c>
      <c r="B914" s="50">
        <v>41.416600000000003</v>
      </c>
      <c r="C914" s="50">
        <v>2096.92</v>
      </c>
      <c r="D914" s="51">
        <v>26906062.462498002</v>
      </c>
      <c r="E914" s="51">
        <v>1638883333</v>
      </c>
      <c r="F914" s="52">
        <f t="shared" si="32"/>
        <v>5.5105362334198875E-3</v>
      </c>
      <c r="G914" s="52">
        <f t="shared" si="33"/>
        <v>-2.6289735480122659E-3</v>
      </c>
    </row>
    <row r="915" spans="1:7" ht="15" customHeight="1" x14ac:dyDescent="0.2">
      <c r="A915" s="19" t="s">
        <v>1062</v>
      </c>
      <c r="B915" s="50">
        <v>40.841299999999997</v>
      </c>
      <c r="C915" s="50">
        <v>2079.61</v>
      </c>
      <c r="D915" s="51">
        <v>35935656.545033</v>
      </c>
      <c r="E915" s="51">
        <v>1951622222</v>
      </c>
      <c r="F915" s="52">
        <f t="shared" si="32"/>
        <v>-1.398794232182504E-2</v>
      </c>
      <c r="G915" s="52">
        <f t="shared" si="33"/>
        <v>-8.2892253214384998E-3</v>
      </c>
    </row>
    <row r="916" spans="1:7" ht="15" customHeight="1" x14ac:dyDescent="0.2">
      <c r="A916" s="19" t="s">
        <v>1063</v>
      </c>
      <c r="B916" s="50">
        <v>40.006</v>
      </c>
      <c r="C916" s="50">
        <v>2035.73</v>
      </c>
      <c r="D916" s="51">
        <v>41360104.669384003</v>
      </c>
      <c r="E916" s="51">
        <v>2179150000</v>
      </c>
      <c r="F916" s="52">
        <f t="shared" si="32"/>
        <v>-2.066438146249901E-2</v>
      </c>
      <c r="G916" s="52">
        <f t="shared" si="33"/>
        <v>-2.1325899205105869E-2</v>
      </c>
    </row>
    <row r="917" spans="1:7" ht="15" customHeight="1" x14ac:dyDescent="0.2">
      <c r="A917" s="19" t="s">
        <v>1064</v>
      </c>
      <c r="B917" s="50">
        <v>37.737099999999998</v>
      </c>
      <c r="C917" s="50">
        <v>1970.89</v>
      </c>
      <c r="D917" s="51">
        <v>79954281.924145997</v>
      </c>
      <c r="E917" s="51">
        <v>2787911111</v>
      </c>
      <c r="F917" s="52">
        <f t="shared" si="32"/>
        <v>-5.8385747424549855E-2</v>
      </c>
      <c r="G917" s="52">
        <f t="shared" si="33"/>
        <v>-3.2369259548499681E-2</v>
      </c>
    </row>
    <row r="918" spans="1:7" ht="15" customHeight="1" x14ac:dyDescent="0.2">
      <c r="A918" s="19" t="s">
        <v>1065</v>
      </c>
      <c r="B918" s="50">
        <v>36.517099999999999</v>
      </c>
      <c r="C918" s="50">
        <v>1893.21</v>
      </c>
      <c r="D918" s="51">
        <v>101296083.66821</v>
      </c>
      <c r="E918" s="51">
        <v>3673716667</v>
      </c>
      <c r="F918" s="52">
        <f t="shared" si="32"/>
        <v>-3.2863051410032929E-2</v>
      </c>
      <c r="G918" s="52">
        <f t="shared" si="33"/>
        <v>-4.0211416281175603E-2</v>
      </c>
    </row>
    <row r="919" spans="1:7" ht="15" customHeight="1" x14ac:dyDescent="0.2">
      <c r="A919" s="19" t="s">
        <v>1066</v>
      </c>
      <c r="B919" s="50">
        <v>35.457500000000003</v>
      </c>
      <c r="C919" s="50">
        <v>1867.61</v>
      </c>
      <c r="D919" s="51">
        <v>80597428.047480002</v>
      </c>
      <c r="E919" s="51">
        <v>2879755556</v>
      </c>
      <c r="F919" s="52">
        <f t="shared" si="32"/>
        <v>-2.9445847843852787E-2</v>
      </c>
      <c r="G919" s="52">
        <f t="shared" si="33"/>
        <v>-1.3614262532188859E-2</v>
      </c>
    </row>
    <row r="920" spans="1:7" ht="15" customHeight="1" x14ac:dyDescent="0.2">
      <c r="A920" s="19" t="s">
        <v>1067</v>
      </c>
      <c r="B920" s="50">
        <v>37.4206</v>
      </c>
      <c r="C920" s="50">
        <v>1940.51</v>
      </c>
      <c r="D920" s="51">
        <v>72370080.390773997</v>
      </c>
      <c r="E920" s="51">
        <v>2965694444</v>
      </c>
      <c r="F920" s="52">
        <f t="shared" si="32"/>
        <v>5.3886558737078247E-2</v>
      </c>
      <c r="G920" s="52">
        <f t="shared" si="33"/>
        <v>3.8291286558614003E-2</v>
      </c>
    </row>
    <row r="921" spans="1:7" ht="15" customHeight="1" x14ac:dyDescent="0.2">
      <c r="A921" s="19" t="s">
        <v>1068</v>
      </c>
      <c r="B921" s="50">
        <v>38.465800000000002</v>
      </c>
      <c r="C921" s="50">
        <v>1987.66</v>
      </c>
      <c r="D921" s="51">
        <v>58143505.98488</v>
      </c>
      <c r="E921" s="51">
        <v>2781327778</v>
      </c>
      <c r="F921" s="52">
        <f t="shared" si="32"/>
        <v>2.7548179899084653E-2</v>
      </c>
      <c r="G921" s="52">
        <f t="shared" si="33"/>
        <v>2.400724232625184E-2</v>
      </c>
    </row>
    <row r="922" spans="1:7" ht="15" customHeight="1" x14ac:dyDescent="0.2">
      <c r="A922" s="19" t="s">
        <v>1069</v>
      </c>
      <c r="B922" s="50">
        <v>38.490200000000002</v>
      </c>
      <c r="C922" s="50">
        <v>1988.87</v>
      </c>
      <c r="D922" s="51">
        <v>32239086.705669001</v>
      </c>
      <c r="E922" s="51">
        <v>2193933333</v>
      </c>
      <c r="F922" s="52">
        <f t="shared" si="32"/>
        <v>6.3412861421179934E-4</v>
      </c>
      <c r="G922" s="52">
        <f t="shared" si="33"/>
        <v>6.0857080788743101E-4</v>
      </c>
    </row>
    <row r="923" spans="1:7" ht="15" customHeight="1" x14ac:dyDescent="0.2">
      <c r="A923" s="19" t="s">
        <v>1070</v>
      </c>
      <c r="B923" s="50">
        <v>38.129899999999999</v>
      </c>
      <c r="C923" s="50">
        <v>1972.18</v>
      </c>
      <c r="D923" s="51">
        <v>39309572.170856997</v>
      </c>
      <c r="E923" s="51">
        <v>2175055556</v>
      </c>
      <c r="F923" s="52">
        <f t="shared" si="32"/>
        <v>-9.4049121778381085E-3</v>
      </c>
      <c r="G923" s="52">
        <f t="shared" si="33"/>
        <v>-8.4271083533501261E-3</v>
      </c>
    </row>
    <row r="924" spans="1:7" ht="15" customHeight="1" x14ac:dyDescent="0.2">
      <c r="A924" s="19" t="s">
        <v>1071</v>
      </c>
      <c r="B924" s="50">
        <v>36.641399999999997</v>
      </c>
      <c r="C924" s="50">
        <v>1913.85</v>
      </c>
      <c r="D924" s="51">
        <v>56711811.097524002</v>
      </c>
      <c r="E924" s="51">
        <v>2428805556</v>
      </c>
      <c r="F924" s="52">
        <f t="shared" si="32"/>
        <v>-3.9820002576214222E-2</v>
      </c>
      <c r="G924" s="52">
        <f t="shared" si="33"/>
        <v>-3.00226098516122E-2</v>
      </c>
    </row>
    <row r="925" spans="1:7" ht="15" customHeight="1" x14ac:dyDescent="0.2">
      <c r="A925" s="19" t="s">
        <v>1072</v>
      </c>
      <c r="B925" s="50">
        <v>37.992100000000001</v>
      </c>
      <c r="C925" s="50">
        <v>1948.86</v>
      </c>
      <c r="D925" s="51">
        <v>42995987.782715</v>
      </c>
      <c r="E925" s="51">
        <v>2079233333</v>
      </c>
      <c r="F925" s="52">
        <f t="shared" si="32"/>
        <v>3.6199494693489334E-2</v>
      </c>
      <c r="G925" s="52">
        <f t="shared" si="33"/>
        <v>1.8127666183109615E-2</v>
      </c>
    </row>
    <row r="926" spans="1:7" ht="15" customHeight="1" x14ac:dyDescent="0.2">
      <c r="A926" s="19" t="s">
        <v>1073</v>
      </c>
      <c r="B926" s="50">
        <v>38.112099999999998</v>
      </c>
      <c r="C926" s="50">
        <v>1951.13</v>
      </c>
      <c r="D926" s="51">
        <v>32283030.000562999</v>
      </c>
      <c r="E926" s="51">
        <v>1955944444</v>
      </c>
      <c r="F926" s="52">
        <f t="shared" si="32"/>
        <v>3.1535736385178499E-3</v>
      </c>
      <c r="G926" s="52">
        <f t="shared" si="33"/>
        <v>1.164105680449443E-3</v>
      </c>
    </row>
    <row r="927" spans="1:7" ht="15" customHeight="1" x14ac:dyDescent="0.2">
      <c r="A927" s="19" t="s">
        <v>1074</v>
      </c>
      <c r="B927" s="50">
        <v>37.3369</v>
      </c>
      <c r="C927" s="50">
        <v>1921.22</v>
      </c>
      <c r="D927" s="51">
        <v>42387879.784799002</v>
      </c>
      <c r="E927" s="51">
        <v>1759494444</v>
      </c>
      <c r="F927" s="52">
        <f t="shared" si="32"/>
        <v>-2.0549703236930422E-2</v>
      </c>
      <c r="G927" s="52">
        <f t="shared" si="33"/>
        <v>-1.5448291002620419E-2</v>
      </c>
    </row>
    <row r="928" spans="1:7" ht="15" customHeight="1" x14ac:dyDescent="0.2">
      <c r="A928" s="19" t="s">
        <v>1075</v>
      </c>
      <c r="B928" s="50">
        <v>38.456000000000003</v>
      </c>
      <c r="C928" s="50">
        <v>1969.41</v>
      </c>
      <c r="D928" s="51">
        <v>37058964.123498</v>
      </c>
      <c r="E928" s="51">
        <v>1971472222</v>
      </c>
      <c r="F928" s="52">
        <f t="shared" si="32"/>
        <v>2.9532616813634758E-2</v>
      </c>
      <c r="G928" s="52">
        <f t="shared" si="33"/>
        <v>2.4773604592646017E-2</v>
      </c>
    </row>
    <row r="929" spans="1:7" ht="15" customHeight="1" x14ac:dyDescent="0.2">
      <c r="A929" s="19" t="s">
        <v>1076</v>
      </c>
      <c r="B929" s="50">
        <v>37.737099999999998</v>
      </c>
      <c r="C929" s="50">
        <v>1942.04</v>
      </c>
      <c r="D929" s="51">
        <v>38199962.254198998</v>
      </c>
      <c r="E929" s="51">
        <v>2028955556</v>
      </c>
      <c r="F929" s="52">
        <f t="shared" si="32"/>
        <v>-1.8871035151148227E-2</v>
      </c>
      <c r="G929" s="52">
        <f t="shared" si="33"/>
        <v>-1.3995038527950136E-2</v>
      </c>
    </row>
    <row r="930" spans="1:7" ht="15" customHeight="1" x14ac:dyDescent="0.2">
      <c r="A930" s="19" t="s">
        <v>1077</v>
      </c>
      <c r="B930" s="50">
        <v>37.927599999999998</v>
      </c>
      <c r="C930" s="50">
        <v>1952.29</v>
      </c>
      <c r="D930" s="51">
        <v>35799985.294993997</v>
      </c>
      <c r="E930" s="51">
        <v>2014622222</v>
      </c>
      <c r="F930" s="52">
        <f t="shared" si="32"/>
        <v>5.0353838054438653E-3</v>
      </c>
      <c r="G930" s="52">
        <f t="shared" si="33"/>
        <v>5.2640755505400285E-3</v>
      </c>
    </row>
    <row r="931" spans="1:7" ht="15" customHeight="1" x14ac:dyDescent="0.2">
      <c r="A931" s="19" t="s">
        <v>1078</v>
      </c>
      <c r="B931" s="50">
        <v>38.094799999999999</v>
      </c>
      <c r="C931" s="50">
        <v>1961.05</v>
      </c>
      <c r="D931" s="51">
        <v>30967405.366512001</v>
      </c>
      <c r="E931" s="51">
        <v>1788105556</v>
      </c>
      <c r="F931" s="52">
        <f t="shared" si="32"/>
        <v>4.398710632423415E-3</v>
      </c>
      <c r="G931" s="52">
        <f t="shared" si="33"/>
        <v>4.4770015545705895E-3</v>
      </c>
    </row>
    <row r="932" spans="1:7" ht="15" customHeight="1" x14ac:dyDescent="0.2">
      <c r="A932" s="19" t="s">
        <v>1079</v>
      </c>
      <c r="B932" s="50">
        <v>37.708799999999997</v>
      </c>
      <c r="C932" s="50">
        <v>1953.03</v>
      </c>
      <c r="D932" s="51">
        <v>26999539.098887</v>
      </c>
      <c r="E932" s="51">
        <v>1666777778</v>
      </c>
      <c r="F932" s="52">
        <f t="shared" si="32"/>
        <v>-1.0184300912368867E-2</v>
      </c>
      <c r="G932" s="52">
        <f t="shared" si="33"/>
        <v>-4.0980313248036339E-3</v>
      </c>
    </row>
    <row r="933" spans="1:7" ht="15" customHeight="1" x14ac:dyDescent="0.2">
      <c r="A933" s="19" t="s">
        <v>1080</v>
      </c>
      <c r="B933" s="50">
        <v>38.531100000000002</v>
      </c>
      <c r="C933" s="50">
        <v>1978.09</v>
      </c>
      <c r="D933" s="51">
        <v>32964406.514024999</v>
      </c>
      <c r="E933" s="51">
        <v>1799922222</v>
      </c>
      <c r="F933" s="52">
        <f t="shared" si="32"/>
        <v>2.1572218446991455E-2</v>
      </c>
      <c r="G933" s="52">
        <f t="shared" si="33"/>
        <v>1.2749719911298718E-2</v>
      </c>
    </row>
    <row r="934" spans="1:7" ht="15" customHeight="1" x14ac:dyDescent="0.2">
      <c r="A934" s="19" t="s">
        <v>1081</v>
      </c>
      <c r="B934" s="50">
        <v>38.815399999999997</v>
      </c>
      <c r="C934" s="50">
        <v>1995.31</v>
      </c>
      <c r="D934" s="51">
        <v>26675511.945331</v>
      </c>
      <c r="E934" s="51">
        <v>2017044444</v>
      </c>
      <c r="F934" s="52">
        <f t="shared" si="32"/>
        <v>7.3513676858879126E-3</v>
      </c>
      <c r="G934" s="52">
        <f t="shared" si="33"/>
        <v>8.6676940705017226E-3</v>
      </c>
    </row>
    <row r="935" spans="1:7" ht="15" customHeight="1" x14ac:dyDescent="0.2">
      <c r="A935" s="19" t="s">
        <v>1082</v>
      </c>
      <c r="B935" s="50">
        <v>38.772500000000001</v>
      </c>
      <c r="C935" s="50">
        <v>1990.2</v>
      </c>
      <c r="D935" s="51">
        <v>37399606.820326</v>
      </c>
      <c r="E935" s="51">
        <v>2324327778</v>
      </c>
      <c r="F935" s="52">
        <f t="shared" si="32"/>
        <v>-1.1058426474185102E-3</v>
      </c>
      <c r="G935" s="52">
        <f t="shared" si="33"/>
        <v>-2.5642905425419791E-3</v>
      </c>
    </row>
    <row r="936" spans="1:7" ht="15" customHeight="1" x14ac:dyDescent="0.2">
      <c r="A936" s="19" t="s">
        <v>1083</v>
      </c>
      <c r="B936" s="50">
        <v>38.094799999999999</v>
      </c>
      <c r="C936" s="50">
        <v>1958.03</v>
      </c>
      <c r="D936" s="51">
        <v>72068310.017995998</v>
      </c>
      <c r="E936" s="51">
        <v>3345133333</v>
      </c>
      <c r="F936" s="52">
        <f t="shared" si="32"/>
        <v>-1.7633442573092142E-2</v>
      </c>
      <c r="G936" s="52">
        <f t="shared" si="33"/>
        <v>-1.6296270451088189E-2</v>
      </c>
    </row>
    <row r="937" spans="1:7" ht="15" customHeight="1" x14ac:dyDescent="0.2">
      <c r="A937" s="19" t="s">
        <v>1084</v>
      </c>
      <c r="B937" s="50">
        <v>38.648499999999999</v>
      </c>
      <c r="C937" s="50">
        <v>1966.97</v>
      </c>
      <c r="D937" s="51">
        <v>29877084.182078999</v>
      </c>
      <c r="E937" s="51">
        <v>1816305556</v>
      </c>
      <c r="F937" s="52">
        <f t="shared" si="32"/>
        <v>1.4430174570107155E-2</v>
      </c>
      <c r="G937" s="52">
        <f t="shared" si="33"/>
        <v>4.5554218905156504E-3</v>
      </c>
    </row>
    <row r="938" spans="1:7" ht="15" customHeight="1" x14ac:dyDescent="0.2">
      <c r="A938" s="19" t="s">
        <v>1085</v>
      </c>
      <c r="B938" s="50">
        <v>38.465800000000002</v>
      </c>
      <c r="C938" s="50">
        <v>1942.74</v>
      </c>
      <c r="D938" s="51">
        <v>32055557.080481</v>
      </c>
      <c r="E938" s="51">
        <v>2115700000</v>
      </c>
      <c r="F938" s="52">
        <f t="shared" si="32"/>
        <v>-4.7384296256973973E-3</v>
      </c>
      <c r="G938" s="52">
        <f t="shared" si="33"/>
        <v>-1.2394939887069493E-2</v>
      </c>
    </row>
    <row r="939" spans="1:7" ht="15" customHeight="1" x14ac:dyDescent="0.2">
      <c r="A939" s="19" t="s">
        <v>1086</v>
      </c>
      <c r="B939" s="50">
        <v>38.438499999999998</v>
      </c>
      <c r="C939" s="50">
        <v>1938.76</v>
      </c>
      <c r="D939" s="51">
        <v>19568544.771260999</v>
      </c>
      <c r="E939" s="51">
        <v>1772516667</v>
      </c>
      <c r="F939" s="52">
        <f t="shared" si="32"/>
        <v>-7.0997333430624699E-4</v>
      </c>
      <c r="G939" s="52">
        <f t="shared" si="33"/>
        <v>-2.0507542933684945E-3</v>
      </c>
    </row>
    <row r="940" spans="1:7" ht="15" customHeight="1" x14ac:dyDescent="0.2">
      <c r="A940" s="19" t="s">
        <v>1087</v>
      </c>
      <c r="B940" s="50">
        <v>38.474699999999999</v>
      </c>
      <c r="C940" s="50">
        <v>1932.24</v>
      </c>
      <c r="D940" s="51">
        <v>31849768.626881</v>
      </c>
      <c r="E940" s="51">
        <v>2273072222</v>
      </c>
      <c r="F940" s="52">
        <f t="shared" si="32"/>
        <v>9.4132093510675781E-4</v>
      </c>
      <c r="G940" s="52">
        <f t="shared" si="33"/>
        <v>-3.3686417802160917E-3</v>
      </c>
    </row>
    <row r="941" spans="1:7" ht="15" customHeight="1" x14ac:dyDescent="0.2">
      <c r="A941" s="19" t="s">
        <v>1088</v>
      </c>
      <c r="B941" s="50">
        <v>38.499000000000002</v>
      </c>
      <c r="C941" s="50">
        <v>1931.34</v>
      </c>
      <c r="D941" s="51">
        <v>33537816.294116002</v>
      </c>
      <c r="E941" s="51">
        <v>2067705556</v>
      </c>
      <c r="F941" s="52">
        <f t="shared" si="32"/>
        <v>6.3138450684479576E-4</v>
      </c>
      <c r="G941" s="52">
        <f t="shared" si="33"/>
        <v>-4.6588915786858695E-4</v>
      </c>
    </row>
    <row r="942" spans="1:7" ht="15" customHeight="1" x14ac:dyDescent="0.2">
      <c r="A942" s="19" t="s">
        <v>1089</v>
      </c>
      <c r="B942" s="50">
        <v>37.927599999999998</v>
      </c>
      <c r="C942" s="50">
        <v>1881.77</v>
      </c>
      <c r="D942" s="51">
        <v>31516258.870467</v>
      </c>
      <c r="E942" s="51">
        <v>2403700000</v>
      </c>
      <c r="F942" s="52">
        <f t="shared" si="32"/>
        <v>-1.4953187684478449E-2</v>
      </c>
      <c r="G942" s="52">
        <f t="shared" si="33"/>
        <v>-2.6001239239395291E-2</v>
      </c>
    </row>
    <row r="943" spans="1:7" ht="15" customHeight="1" x14ac:dyDescent="0.2">
      <c r="A943" s="19" t="s">
        <v>1090</v>
      </c>
      <c r="B943" s="50">
        <v>38.061500000000002</v>
      </c>
      <c r="C943" s="50">
        <v>1884.09</v>
      </c>
      <c r="D943" s="51">
        <v>37394293.204600997</v>
      </c>
      <c r="E943" s="51">
        <v>2295772222</v>
      </c>
      <c r="F943" s="52">
        <f t="shared" si="32"/>
        <v>3.5241933010335675E-3</v>
      </c>
      <c r="G943" s="52">
        <f t="shared" si="33"/>
        <v>1.2321224333906237E-3</v>
      </c>
    </row>
    <row r="944" spans="1:7" ht="15" customHeight="1" x14ac:dyDescent="0.2">
      <c r="A944" s="19" t="s">
        <v>1091</v>
      </c>
      <c r="B944" s="50">
        <v>38.781300000000002</v>
      </c>
      <c r="C944" s="50">
        <v>1920.03</v>
      </c>
      <c r="D944" s="51">
        <v>39899871.877462</v>
      </c>
      <c r="E944" s="51">
        <v>2513927778</v>
      </c>
      <c r="F944" s="52">
        <f t="shared" si="32"/>
        <v>1.8734899139897104E-2</v>
      </c>
      <c r="G944" s="52">
        <f t="shared" si="33"/>
        <v>1.8895865203796398E-2</v>
      </c>
    </row>
    <row r="945" spans="1:7" ht="15" customHeight="1" x14ac:dyDescent="0.2">
      <c r="A945" s="19" t="s">
        <v>1092</v>
      </c>
      <c r="B945" s="50">
        <v>39.085999999999999</v>
      </c>
      <c r="C945" s="50">
        <v>1923.82</v>
      </c>
      <c r="D945" s="51">
        <v>32708291.259934999</v>
      </c>
      <c r="E945" s="51">
        <v>2213111111</v>
      </c>
      <c r="F945" s="52">
        <f t="shared" si="32"/>
        <v>7.8261749209990756E-3</v>
      </c>
      <c r="G945" s="52">
        <f t="shared" si="33"/>
        <v>1.9719818557877231E-3</v>
      </c>
    </row>
    <row r="946" spans="1:7" ht="15" customHeight="1" x14ac:dyDescent="0.2">
      <c r="A946" s="19" t="s">
        <v>1093</v>
      </c>
      <c r="B946" s="50">
        <v>39.926099999999998</v>
      </c>
      <c r="C946" s="50">
        <v>1951.36</v>
      </c>
      <c r="D946" s="51">
        <v>47752523.624893002</v>
      </c>
      <c r="E946" s="51">
        <v>2432538889</v>
      </c>
      <c r="F946" s="52">
        <f t="shared" si="32"/>
        <v>2.1265898773012396E-2</v>
      </c>
      <c r="G946" s="52">
        <f t="shared" si="33"/>
        <v>1.421377260428928E-2</v>
      </c>
    </row>
    <row r="947" spans="1:7" ht="15" customHeight="1" x14ac:dyDescent="0.2">
      <c r="A947" s="19" t="s">
        <v>1094</v>
      </c>
      <c r="B947" s="50">
        <v>40.858800000000002</v>
      </c>
      <c r="C947" s="50">
        <v>1987.05</v>
      </c>
      <c r="D947" s="51">
        <v>39226026.569637999</v>
      </c>
      <c r="E947" s="51">
        <v>2408050000</v>
      </c>
      <c r="F947" s="52">
        <f t="shared" si="32"/>
        <v>2.3091975001689573E-2</v>
      </c>
      <c r="G947" s="52">
        <f t="shared" si="33"/>
        <v>1.8124561438544923E-2</v>
      </c>
    </row>
    <row r="948" spans="1:7" ht="15" customHeight="1" x14ac:dyDescent="0.2">
      <c r="A948" s="19" t="s">
        <v>1095</v>
      </c>
      <c r="B948" s="50">
        <v>40.958399999999997</v>
      </c>
      <c r="C948" s="50">
        <v>1979.92</v>
      </c>
      <c r="D948" s="51">
        <v>31399175.037285</v>
      </c>
      <c r="E948" s="51">
        <v>2334666667</v>
      </c>
      <c r="F948" s="52">
        <f t="shared" si="32"/>
        <v>2.4346970857060083E-3</v>
      </c>
      <c r="G948" s="52">
        <f t="shared" si="33"/>
        <v>-3.5946869664685399E-3</v>
      </c>
    </row>
    <row r="949" spans="1:7" ht="15" customHeight="1" x14ac:dyDescent="0.2">
      <c r="A949" s="19" t="s">
        <v>1096</v>
      </c>
      <c r="B949" s="50">
        <v>41.003399999999999</v>
      </c>
      <c r="C949" s="50">
        <v>1995.83</v>
      </c>
      <c r="D949" s="51">
        <v>31628231.803902999</v>
      </c>
      <c r="E949" s="51">
        <v>2592483333</v>
      </c>
      <c r="F949" s="52">
        <f t="shared" si="32"/>
        <v>1.0980726270437889E-3</v>
      </c>
      <c r="G949" s="52">
        <f t="shared" si="33"/>
        <v>8.0035640716168491E-3</v>
      </c>
    </row>
    <row r="950" spans="1:7" ht="15" customHeight="1" x14ac:dyDescent="0.2">
      <c r="A950" s="19" t="s">
        <v>1097</v>
      </c>
      <c r="B950" s="50">
        <v>41.573799999999999</v>
      </c>
      <c r="C950" s="50">
        <v>2013.43</v>
      </c>
      <c r="D950" s="51">
        <v>38546130.497088</v>
      </c>
      <c r="E950" s="51">
        <v>2188411111</v>
      </c>
      <c r="F950" s="52">
        <f t="shared" si="32"/>
        <v>1.3815171067396523E-2</v>
      </c>
      <c r="G950" s="52">
        <f t="shared" si="33"/>
        <v>8.7797314496566338E-3</v>
      </c>
    </row>
    <row r="951" spans="1:7" ht="15" customHeight="1" x14ac:dyDescent="0.2">
      <c r="A951" s="19" t="s">
        <v>1098</v>
      </c>
      <c r="B951" s="50">
        <v>41.277000000000001</v>
      </c>
      <c r="C951" s="50">
        <v>2014.89</v>
      </c>
      <c r="D951" s="51">
        <v>32639353.494778</v>
      </c>
      <c r="E951" s="51">
        <v>2059388889</v>
      </c>
      <c r="F951" s="52">
        <f t="shared" si="32"/>
        <v>-7.1647170489440469E-3</v>
      </c>
      <c r="G951" s="52">
        <f t="shared" si="33"/>
        <v>7.2486796675928192E-4</v>
      </c>
    </row>
    <row r="952" spans="1:7" ht="15" customHeight="1" x14ac:dyDescent="0.2">
      <c r="A952" s="19" t="s">
        <v>1099</v>
      </c>
      <c r="B952" s="50">
        <v>41.18</v>
      </c>
      <c r="C952" s="50">
        <v>2017.46</v>
      </c>
      <c r="D952" s="51">
        <v>22562310.609012999</v>
      </c>
      <c r="E952" s="51">
        <v>1607361111</v>
      </c>
      <c r="F952" s="52">
        <f t="shared" si="32"/>
        <v>-2.3527425141457222E-3</v>
      </c>
      <c r="G952" s="52">
        <f t="shared" si="33"/>
        <v>1.2746911096436508E-3</v>
      </c>
    </row>
    <row r="953" spans="1:7" ht="15" customHeight="1" x14ac:dyDescent="0.2">
      <c r="A953" s="19" t="s">
        <v>1100</v>
      </c>
      <c r="B953" s="50">
        <v>41.085500000000003</v>
      </c>
      <c r="C953" s="50">
        <v>2003.69</v>
      </c>
      <c r="D953" s="51">
        <v>22812873.697771002</v>
      </c>
      <c r="E953" s="51">
        <v>1889955556</v>
      </c>
      <c r="F953" s="52">
        <f t="shared" si="32"/>
        <v>-2.2974403988567523E-3</v>
      </c>
      <c r="G953" s="52">
        <f t="shared" si="33"/>
        <v>-6.8488138094229302E-3</v>
      </c>
    </row>
    <row r="954" spans="1:7" ht="15" customHeight="1" x14ac:dyDescent="0.2">
      <c r="A954" s="19" t="s">
        <v>1101</v>
      </c>
      <c r="B954" s="50">
        <v>40.898600000000002</v>
      </c>
      <c r="C954" s="50">
        <v>1994.24</v>
      </c>
      <c r="D954" s="51">
        <v>28188549.177444998</v>
      </c>
      <c r="E954" s="51">
        <v>2024772222</v>
      </c>
      <c r="F954" s="52">
        <f t="shared" si="32"/>
        <v>-4.5594285667353539E-3</v>
      </c>
      <c r="G954" s="52">
        <f t="shared" si="33"/>
        <v>-4.7274552579458298E-3</v>
      </c>
    </row>
    <row r="955" spans="1:7" ht="15" customHeight="1" x14ac:dyDescent="0.2">
      <c r="A955" s="19" t="s">
        <v>1102</v>
      </c>
      <c r="B955" s="50">
        <v>41.189</v>
      </c>
      <c r="C955" s="50">
        <v>2023.86</v>
      </c>
      <c r="D955" s="51">
        <v>31032235.573621001</v>
      </c>
      <c r="E955" s="51">
        <v>2081272222</v>
      </c>
      <c r="F955" s="52">
        <f t="shared" si="32"/>
        <v>7.0753977819141053E-3</v>
      </c>
      <c r="G955" s="52">
        <f t="shared" si="33"/>
        <v>1.4743553692310356E-2</v>
      </c>
    </row>
    <row r="956" spans="1:7" ht="15" customHeight="1" x14ac:dyDescent="0.2">
      <c r="A956" s="19" t="s">
        <v>1103</v>
      </c>
      <c r="B956" s="50">
        <v>41.6265</v>
      </c>
      <c r="C956" s="50">
        <v>2033.11</v>
      </c>
      <c r="D956" s="51">
        <v>30188785.590023998</v>
      </c>
      <c r="E956" s="51">
        <v>1997461111</v>
      </c>
      <c r="F956" s="52">
        <f t="shared" si="32"/>
        <v>1.0565753271396026E-2</v>
      </c>
      <c r="G956" s="52">
        <f t="shared" si="33"/>
        <v>4.5600613407668789E-3</v>
      </c>
    </row>
    <row r="957" spans="1:7" ht="15" customHeight="1" x14ac:dyDescent="0.2">
      <c r="A957" s="19" t="s">
        <v>1104</v>
      </c>
      <c r="B957" s="50">
        <v>41.7241</v>
      </c>
      <c r="C957" s="50">
        <v>2033.66</v>
      </c>
      <c r="D957" s="51">
        <v>33541219.465344001</v>
      </c>
      <c r="E957" s="51">
        <v>1826288889</v>
      </c>
      <c r="F957" s="52">
        <f t="shared" si="32"/>
        <v>2.3419158256289267E-3</v>
      </c>
      <c r="G957" s="52">
        <f t="shared" si="33"/>
        <v>2.7048493195005823E-4</v>
      </c>
    </row>
    <row r="958" spans="1:7" ht="15" customHeight="1" x14ac:dyDescent="0.2">
      <c r="A958" s="19" t="s">
        <v>1105</v>
      </c>
      <c r="B958" s="50">
        <v>41.853900000000003</v>
      </c>
      <c r="C958" s="50">
        <v>2030.77</v>
      </c>
      <c r="D958" s="51">
        <v>35155819.448872998</v>
      </c>
      <c r="E958" s="51">
        <v>1850833333</v>
      </c>
      <c r="F958" s="52">
        <f t="shared" si="32"/>
        <v>3.1060830447367199E-3</v>
      </c>
      <c r="G958" s="52">
        <f t="shared" si="33"/>
        <v>-1.4220938665690213E-3</v>
      </c>
    </row>
    <row r="959" spans="1:7" ht="15" customHeight="1" x14ac:dyDescent="0.2">
      <c r="A959" s="19" t="s">
        <v>1106</v>
      </c>
      <c r="B959" s="50">
        <v>41.3538</v>
      </c>
      <c r="C959" s="50">
        <v>2018.94</v>
      </c>
      <c r="D959" s="51">
        <v>28835611.404856</v>
      </c>
      <c r="E959" s="51">
        <v>2015438889</v>
      </c>
      <c r="F959" s="52">
        <f t="shared" si="32"/>
        <v>-1.2020666882375526E-2</v>
      </c>
      <c r="G959" s="52">
        <f t="shared" si="33"/>
        <v>-5.8424102714401318E-3</v>
      </c>
    </row>
    <row r="960" spans="1:7" ht="15" customHeight="1" x14ac:dyDescent="0.2">
      <c r="A960" s="19" t="s">
        <v>1107</v>
      </c>
      <c r="B960" s="50">
        <v>42.080800000000004</v>
      </c>
      <c r="C960" s="50">
        <v>2052.5100000000002</v>
      </c>
      <c r="D960" s="51">
        <v>64642068.253798001</v>
      </c>
      <c r="E960" s="51">
        <v>2461583333</v>
      </c>
      <c r="F960" s="52">
        <f t="shared" si="32"/>
        <v>1.7427263980232376E-2</v>
      </c>
      <c r="G960" s="52">
        <f t="shared" si="33"/>
        <v>1.6490813232663316E-2</v>
      </c>
    </row>
    <row r="961" spans="1:7" ht="15" customHeight="1" x14ac:dyDescent="0.2">
      <c r="A961" s="19" t="s">
        <v>1108</v>
      </c>
      <c r="B961" s="50">
        <v>46.323799999999999</v>
      </c>
      <c r="C961" s="50">
        <v>2075.15</v>
      </c>
      <c r="D961" s="51">
        <v>154339979.54618999</v>
      </c>
      <c r="E961" s="51">
        <v>2282477778</v>
      </c>
      <c r="F961" s="52">
        <f t="shared" si="32"/>
        <v>9.6064288240768958E-2</v>
      </c>
      <c r="G961" s="52">
        <f t="shared" si="33"/>
        <v>1.0970005786788946E-2</v>
      </c>
    </row>
    <row r="962" spans="1:7" ht="15" customHeight="1" x14ac:dyDescent="0.2">
      <c r="A962" s="19" t="s">
        <v>1109</v>
      </c>
      <c r="B962" s="50">
        <v>47.5319</v>
      </c>
      <c r="C962" s="50">
        <v>2071.1799999999998</v>
      </c>
      <c r="D962" s="51">
        <v>73768566.715581998</v>
      </c>
      <c r="E962" s="51">
        <v>1881000000</v>
      </c>
      <c r="F962" s="52">
        <f t="shared" si="32"/>
        <v>2.5745196683383518E-2</v>
      </c>
      <c r="G962" s="52">
        <f t="shared" si="33"/>
        <v>-1.9149470559137484E-3</v>
      </c>
    </row>
    <row r="963" spans="1:7" ht="15" customHeight="1" x14ac:dyDescent="0.2">
      <c r="A963" s="19" t="s">
        <v>1110</v>
      </c>
      <c r="B963" s="50">
        <v>47.040500000000002</v>
      </c>
      <c r="C963" s="50">
        <v>2065.89</v>
      </c>
      <c r="D963" s="51">
        <v>58208221.524365999</v>
      </c>
      <c r="E963" s="51">
        <v>2342711111</v>
      </c>
      <c r="F963" s="52">
        <f t="shared" si="32"/>
        <v>-1.0392131794154508E-2</v>
      </c>
      <c r="G963" s="52">
        <f t="shared" si="33"/>
        <v>-2.5573668722574231E-3</v>
      </c>
    </row>
    <row r="964" spans="1:7" ht="15" customHeight="1" x14ac:dyDescent="0.2">
      <c r="A964" s="19" t="s">
        <v>1111</v>
      </c>
      <c r="B964" s="50">
        <v>47.297499999999999</v>
      </c>
      <c r="C964" s="50">
        <v>2090.35</v>
      </c>
      <c r="D964" s="51">
        <v>53643775.450163998</v>
      </c>
      <c r="E964" s="51">
        <v>2610061111</v>
      </c>
      <c r="F964" s="52">
        <f t="shared" si="32"/>
        <v>5.4485071928553289E-3</v>
      </c>
      <c r="G964" s="52">
        <f t="shared" si="33"/>
        <v>1.177038977262058E-2</v>
      </c>
    </row>
    <row r="965" spans="1:7" ht="15" customHeight="1" x14ac:dyDescent="0.2">
      <c r="A965" s="19" t="s">
        <v>1112</v>
      </c>
      <c r="B965" s="50">
        <v>46.753500000000003</v>
      </c>
      <c r="C965" s="50">
        <v>2089.41</v>
      </c>
      <c r="D965" s="51">
        <v>34470747.976037003</v>
      </c>
      <c r="E965" s="51">
        <v>2227188889</v>
      </c>
      <c r="F965" s="52">
        <f t="shared" si="32"/>
        <v>-1.1568320735923144E-2</v>
      </c>
      <c r="G965" s="52">
        <f t="shared" si="33"/>
        <v>-4.4978659820061288E-4</v>
      </c>
    </row>
    <row r="966" spans="1:7" ht="15" customHeight="1" x14ac:dyDescent="0.2">
      <c r="A966" s="19" t="s">
        <v>1113</v>
      </c>
      <c r="B966" s="50">
        <v>46.118499999999997</v>
      </c>
      <c r="C966" s="50">
        <v>2079.36</v>
      </c>
      <c r="D966" s="51">
        <v>53208925.110854998</v>
      </c>
      <c r="E966" s="51">
        <v>2364555556</v>
      </c>
      <c r="F966" s="52">
        <f t="shared" ref="F966:F1029" si="34">LN(B966/B965)</f>
        <v>-1.3674948221391755E-2</v>
      </c>
      <c r="G966" s="52">
        <f t="shared" ref="G966:G1029" si="35">LN(C966/C965)</f>
        <v>-4.8215754142581276E-3</v>
      </c>
    </row>
    <row r="967" spans="1:7" ht="15" customHeight="1" x14ac:dyDescent="0.2">
      <c r="A967" s="19" t="s">
        <v>1114</v>
      </c>
      <c r="B967" s="50">
        <v>46.6449</v>
      </c>
      <c r="C967" s="50">
        <v>2104.0500000000002</v>
      </c>
      <c r="D967" s="51">
        <v>34564773.378903002</v>
      </c>
      <c r="E967" s="51">
        <v>2088900000</v>
      </c>
      <c r="F967" s="52">
        <f t="shared" si="34"/>
        <v>1.1349425537000961E-2</v>
      </c>
      <c r="G967" s="52">
        <f t="shared" si="35"/>
        <v>1.1803904793109323E-2</v>
      </c>
    </row>
    <row r="968" spans="1:7" ht="15" customHeight="1" x14ac:dyDescent="0.2">
      <c r="A968" s="19" t="s">
        <v>1115</v>
      </c>
      <c r="B968" s="50">
        <v>47.445</v>
      </c>
      <c r="C968" s="50">
        <v>2109.79</v>
      </c>
      <c r="D968" s="51">
        <v>41769534.630116001</v>
      </c>
      <c r="E968" s="51">
        <v>2373366667</v>
      </c>
      <c r="F968" s="52">
        <f t="shared" si="34"/>
        <v>1.7007548867598594E-2</v>
      </c>
      <c r="G968" s="52">
        <f t="shared" si="35"/>
        <v>2.7243576169235862E-3</v>
      </c>
    </row>
    <row r="969" spans="1:7" ht="15" customHeight="1" x14ac:dyDescent="0.2">
      <c r="A969" s="19" t="s">
        <v>1116</v>
      </c>
      <c r="B969" s="50">
        <v>47.663800000000002</v>
      </c>
      <c r="C969" s="50">
        <v>2102.31</v>
      </c>
      <c r="D969" s="51">
        <v>42327289.208273001</v>
      </c>
      <c r="E969" s="51">
        <v>2266038889</v>
      </c>
      <c r="F969" s="52">
        <f t="shared" si="34"/>
        <v>4.6010544974620727E-3</v>
      </c>
      <c r="G969" s="52">
        <f t="shared" si="35"/>
        <v>-3.5516762958985523E-3</v>
      </c>
    </row>
    <row r="970" spans="1:7" ht="15" customHeight="1" x14ac:dyDescent="0.2">
      <c r="A970" s="19" t="s">
        <v>1117</v>
      </c>
      <c r="B970" s="50">
        <v>47.646999999999998</v>
      </c>
      <c r="C970" s="50">
        <v>2099.9299999999998</v>
      </c>
      <c r="D970" s="51">
        <v>35916142.572834998</v>
      </c>
      <c r="E970" s="51">
        <v>2251050000</v>
      </c>
      <c r="F970" s="52">
        <f t="shared" si="34"/>
        <v>-3.5253088157884279E-4</v>
      </c>
      <c r="G970" s="52">
        <f t="shared" si="35"/>
        <v>-1.1327293322022361E-3</v>
      </c>
    </row>
    <row r="971" spans="1:7" ht="15" customHeight="1" x14ac:dyDescent="0.2">
      <c r="A971" s="19" t="s">
        <v>1118</v>
      </c>
      <c r="B971" s="50">
        <v>48.12</v>
      </c>
      <c r="C971" s="50">
        <v>2099.1999999999998</v>
      </c>
      <c r="D971" s="51">
        <v>37494384.729466997</v>
      </c>
      <c r="E971" s="51">
        <v>2427233333</v>
      </c>
      <c r="F971" s="52">
        <f t="shared" si="34"/>
        <v>9.878222064873066E-3</v>
      </c>
      <c r="G971" s="52">
        <f t="shared" si="35"/>
        <v>-3.4769107284318419E-4</v>
      </c>
    </row>
    <row r="972" spans="1:7" ht="15" customHeight="1" x14ac:dyDescent="0.2">
      <c r="A972" s="19" t="s">
        <v>1119</v>
      </c>
      <c r="B972" s="50">
        <v>47.451900000000002</v>
      </c>
      <c r="C972" s="50">
        <v>2078.58</v>
      </c>
      <c r="D972" s="51">
        <v>37108463.678997003</v>
      </c>
      <c r="E972" s="51">
        <v>2156861111</v>
      </c>
      <c r="F972" s="52">
        <f t="shared" si="34"/>
        <v>-1.3981324702575496E-2</v>
      </c>
      <c r="G972" s="52">
        <f t="shared" si="35"/>
        <v>-9.8713515026068524E-3</v>
      </c>
    </row>
    <row r="973" spans="1:7" ht="15" customHeight="1" x14ac:dyDescent="0.2">
      <c r="A973" s="19" t="s">
        <v>1120</v>
      </c>
      <c r="B973" s="50">
        <v>46.882300000000001</v>
      </c>
      <c r="C973" s="50">
        <v>2081.7199999999998</v>
      </c>
      <c r="D973" s="51">
        <v>63097377.638766997</v>
      </c>
      <c r="E973" s="51">
        <v>2123022222</v>
      </c>
      <c r="F973" s="52">
        <f t="shared" si="34"/>
        <v>-1.207636090517107E-2</v>
      </c>
      <c r="G973" s="52">
        <f t="shared" si="35"/>
        <v>1.5095068126030056E-3</v>
      </c>
    </row>
    <row r="974" spans="1:7" ht="15" customHeight="1" x14ac:dyDescent="0.2">
      <c r="A974" s="19" t="s">
        <v>1121</v>
      </c>
      <c r="B974" s="50">
        <v>47.006399999999999</v>
      </c>
      <c r="C974" s="50">
        <v>2075</v>
      </c>
      <c r="D974" s="51">
        <v>41677400.219203003</v>
      </c>
      <c r="E974" s="51">
        <v>2051338889</v>
      </c>
      <c r="F974" s="52">
        <f t="shared" si="34"/>
        <v>2.6435571537711984E-3</v>
      </c>
      <c r="G974" s="52">
        <f t="shared" si="35"/>
        <v>-3.2333213949674142E-3</v>
      </c>
    </row>
    <row r="975" spans="1:7" ht="15" customHeight="1" x14ac:dyDescent="0.2">
      <c r="A975" s="19" t="s">
        <v>1122</v>
      </c>
      <c r="B975" s="50">
        <v>46.7164</v>
      </c>
      <c r="C975" s="50">
        <v>2045.97</v>
      </c>
      <c r="D975" s="51">
        <v>40358923.228040002</v>
      </c>
      <c r="E975" s="51">
        <v>2231316667</v>
      </c>
      <c r="F975" s="52">
        <f t="shared" si="34"/>
        <v>-6.188481895924771E-3</v>
      </c>
      <c r="G975" s="52">
        <f t="shared" si="35"/>
        <v>-1.4089149017324396E-2</v>
      </c>
    </row>
    <row r="976" spans="1:7" ht="15" customHeight="1" x14ac:dyDescent="0.2">
      <c r="A976" s="19" t="s">
        <v>1123</v>
      </c>
      <c r="B976" s="50">
        <v>46.295299999999997</v>
      </c>
      <c r="C976" s="50">
        <v>2023.04</v>
      </c>
      <c r="D976" s="51">
        <v>42056207.781801</v>
      </c>
      <c r="E976" s="51">
        <v>2377083333</v>
      </c>
      <c r="F976" s="52">
        <f t="shared" si="34"/>
        <v>-9.0548366961187704E-3</v>
      </c>
      <c r="G976" s="52">
        <f t="shared" si="35"/>
        <v>-1.1270674060276152E-2</v>
      </c>
    </row>
    <row r="977" spans="1:7" ht="15" customHeight="1" x14ac:dyDescent="0.2">
      <c r="A977" s="19" t="s">
        <v>1124</v>
      </c>
      <c r="B977" s="50">
        <v>47.101999999999997</v>
      </c>
      <c r="C977" s="50">
        <v>2053.19</v>
      </c>
      <c r="D977" s="51">
        <v>36711313.392058998</v>
      </c>
      <c r="E977" s="51">
        <v>2078466667</v>
      </c>
      <c r="F977" s="52">
        <f t="shared" si="34"/>
        <v>1.7275018905402364E-2</v>
      </c>
      <c r="G977" s="52">
        <f t="shared" si="35"/>
        <v>1.4793350640956328E-2</v>
      </c>
    </row>
    <row r="978" spans="1:7" ht="15" customHeight="1" x14ac:dyDescent="0.2">
      <c r="A978" s="19" t="s">
        <v>1125</v>
      </c>
      <c r="B978" s="50">
        <v>46.723100000000002</v>
      </c>
      <c r="C978" s="50">
        <v>2050.44</v>
      </c>
      <c r="D978" s="51">
        <v>35769502.136116996</v>
      </c>
      <c r="E978" s="51">
        <v>2459638889</v>
      </c>
      <c r="F978" s="52">
        <f t="shared" si="34"/>
        <v>-8.0767739074094694E-3</v>
      </c>
      <c r="G978" s="52">
        <f t="shared" si="35"/>
        <v>-1.3402769799722193E-3</v>
      </c>
    </row>
    <row r="979" spans="1:7" ht="15" customHeight="1" x14ac:dyDescent="0.2">
      <c r="A979" s="19" t="s">
        <v>1126</v>
      </c>
      <c r="B979" s="50">
        <v>47.498699999999999</v>
      </c>
      <c r="C979" s="50">
        <v>2083.58</v>
      </c>
      <c r="D979" s="51">
        <v>33682136.759112999</v>
      </c>
      <c r="E979" s="51">
        <v>2181327778</v>
      </c>
      <c r="F979" s="52">
        <f t="shared" si="34"/>
        <v>1.6463653186568842E-2</v>
      </c>
      <c r="G979" s="52">
        <f t="shared" si="35"/>
        <v>1.6033163805428428E-2</v>
      </c>
    </row>
    <row r="980" spans="1:7" ht="15" customHeight="1" x14ac:dyDescent="0.2">
      <c r="A980" s="19" t="s">
        <v>1127</v>
      </c>
      <c r="B980" s="50">
        <v>47.579900000000002</v>
      </c>
      <c r="C980" s="50">
        <v>2081.2399999999998</v>
      </c>
      <c r="D980" s="51">
        <v>31912660.746404</v>
      </c>
      <c r="E980" s="51">
        <v>2015616667</v>
      </c>
      <c r="F980" s="52">
        <f t="shared" si="34"/>
        <v>1.7080609041690272E-3</v>
      </c>
      <c r="G980" s="52">
        <f t="shared" si="35"/>
        <v>-1.1236981412047731E-3</v>
      </c>
    </row>
    <row r="981" spans="1:7" ht="15" customHeight="1" x14ac:dyDescent="0.2">
      <c r="A981" s="19" t="s">
        <v>1128</v>
      </c>
      <c r="B981" s="50">
        <v>47.799599999999998</v>
      </c>
      <c r="C981" s="50">
        <v>2089.17</v>
      </c>
      <c r="D981" s="51">
        <v>42114124.145561002</v>
      </c>
      <c r="E981" s="51">
        <v>2183111111</v>
      </c>
      <c r="F981" s="52">
        <f t="shared" si="34"/>
        <v>4.606868112369991E-3</v>
      </c>
      <c r="G981" s="52">
        <f t="shared" si="35"/>
        <v>3.8029879831690382E-3</v>
      </c>
    </row>
    <row r="982" spans="1:7" ht="15" customHeight="1" x14ac:dyDescent="0.2">
      <c r="A982" s="19" t="s">
        <v>1129</v>
      </c>
      <c r="B982" s="50">
        <v>47.799599999999998</v>
      </c>
      <c r="C982" s="50">
        <v>2086.59</v>
      </c>
      <c r="D982" s="51">
        <v>32010956.494394001</v>
      </c>
      <c r="E982" s="51">
        <v>1993322222</v>
      </c>
      <c r="F982" s="52">
        <f t="shared" si="34"/>
        <v>0</v>
      </c>
      <c r="G982" s="52">
        <f t="shared" si="35"/>
        <v>-1.2357033585728208E-3</v>
      </c>
    </row>
    <row r="983" spans="1:7" ht="15" customHeight="1" x14ac:dyDescent="0.2">
      <c r="A983" s="19" t="s">
        <v>1130</v>
      </c>
      <c r="B983" s="50">
        <v>47.853299999999997</v>
      </c>
      <c r="C983" s="50">
        <v>2089.14</v>
      </c>
      <c r="D983" s="51">
        <v>25434938.294068001</v>
      </c>
      <c r="E983" s="51">
        <v>2158294444</v>
      </c>
      <c r="F983" s="52">
        <f t="shared" si="34"/>
        <v>1.1228097766327629E-3</v>
      </c>
      <c r="G983" s="52">
        <f t="shared" si="35"/>
        <v>1.2213434858008502E-3</v>
      </c>
    </row>
    <row r="984" spans="1:7" ht="15" customHeight="1" x14ac:dyDescent="0.2">
      <c r="A984" s="19" t="s">
        <v>1131</v>
      </c>
      <c r="B984" s="50">
        <v>47.356999999999999</v>
      </c>
      <c r="C984" s="50">
        <v>2088.87</v>
      </c>
      <c r="D984" s="51">
        <v>23813417.300464001</v>
      </c>
      <c r="E984" s="51">
        <v>1584966667</v>
      </c>
      <c r="F984" s="52">
        <f t="shared" si="34"/>
        <v>-1.0425437063390566E-2</v>
      </c>
      <c r="G984" s="52">
        <f t="shared" si="35"/>
        <v>-1.2924813505752467E-4</v>
      </c>
    </row>
    <row r="985" spans="1:7" ht="15" customHeight="1" x14ac:dyDescent="0.2">
      <c r="A985" s="19" t="s">
        <v>1132</v>
      </c>
      <c r="B985" s="50">
        <v>47.570900000000002</v>
      </c>
      <c r="C985" s="50">
        <v>2090.11</v>
      </c>
      <c r="D985" s="51">
        <v>10213588.476423999</v>
      </c>
      <c r="E985" s="51">
        <v>814911111</v>
      </c>
      <c r="F985" s="52">
        <f t="shared" si="34"/>
        <v>4.5065857774884196E-3</v>
      </c>
      <c r="G985" s="52">
        <f t="shared" si="35"/>
        <v>5.9344626506564215E-4</v>
      </c>
    </row>
    <row r="986" spans="1:7" ht="15" customHeight="1" x14ac:dyDescent="0.2">
      <c r="A986" s="19" t="s">
        <v>1133</v>
      </c>
      <c r="B986" s="50">
        <v>47.940100000000001</v>
      </c>
      <c r="C986" s="50">
        <v>2080.41</v>
      </c>
      <c r="D986" s="51">
        <v>63760704.239855997</v>
      </c>
      <c r="E986" s="51">
        <v>2375016667</v>
      </c>
      <c r="F986" s="52">
        <f t="shared" si="34"/>
        <v>7.7310851925313983E-3</v>
      </c>
      <c r="G986" s="52">
        <f t="shared" si="35"/>
        <v>-4.651706497517027E-3</v>
      </c>
    </row>
    <row r="987" spans="1:7" ht="15" customHeight="1" x14ac:dyDescent="0.2">
      <c r="A987" s="19" t="s">
        <v>1134</v>
      </c>
      <c r="B987" s="50">
        <v>48.706800000000001</v>
      </c>
      <c r="C987" s="50">
        <v>2102.63</v>
      </c>
      <c r="D987" s="51">
        <v>45294232.036706999</v>
      </c>
      <c r="E987" s="51">
        <v>2062288889</v>
      </c>
      <c r="F987" s="52">
        <f t="shared" si="34"/>
        <v>1.5866335786450345E-2</v>
      </c>
      <c r="G987" s="52">
        <f t="shared" si="35"/>
        <v>1.0623952433730842E-2</v>
      </c>
    </row>
    <row r="988" spans="1:7" ht="15" customHeight="1" x14ac:dyDescent="0.2">
      <c r="A988" s="19" t="s">
        <v>1135</v>
      </c>
      <c r="B988" s="50">
        <v>48.697899999999997</v>
      </c>
      <c r="C988" s="50">
        <v>2079.5100000000002</v>
      </c>
      <c r="D988" s="51">
        <v>53592742.215213999</v>
      </c>
      <c r="E988" s="51">
        <v>2194800000</v>
      </c>
      <c r="F988" s="52">
        <f t="shared" si="34"/>
        <v>-1.827427223690551E-4</v>
      </c>
      <c r="G988" s="52">
        <f t="shared" si="35"/>
        <v>-1.1056653069340215E-2</v>
      </c>
    </row>
    <row r="989" spans="1:7" ht="15" customHeight="1" x14ac:dyDescent="0.2">
      <c r="A989" s="19" t="s">
        <v>1136</v>
      </c>
      <c r="B989" s="50">
        <v>47.809399999999997</v>
      </c>
      <c r="C989" s="50">
        <v>2049.62</v>
      </c>
      <c r="D989" s="51">
        <v>43791615.224793002</v>
      </c>
      <c r="E989" s="51">
        <v>2392494444</v>
      </c>
      <c r="F989" s="52">
        <f t="shared" si="34"/>
        <v>-1.841363512543915E-2</v>
      </c>
      <c r="G989" s="52">
        <f t="shared" si="35"/>
        <v>-1.4477878923262813E-2</v>
      </c>
    </row>
    <row r="990" spans="1:7" ht="15" customHeight="1" x14ac:dyDescent="0.2">
      <c r="A990" s="19" t="s">
        <v>1137</v>
      </c>
      <c r="B990" s="50">
        <v>49.316400000000002</v>
      </c>
      <c r="C990" s="50">
        <v>2091.69</v>
      </c>
      <c r="D990" s="51">
        <v>49841402.204988003</v>
      </c>
      <c r="E990" s="51">
        <v>2341616667</v>
      </c>
      <c r="F990" s="52">
        <f t="shared" si="34"/>
        <v>3.1034410047852724E-2</v>
      </c>
      <c r="G990" s="52">
        <f t="shared" si="35"/>
        <v>2.0317941551718299E-2</v>
      </c>
    </row>
    <row r="991" spans="1:7" ht="15" customHeight="1" x14ac:dyDescent="0.2">
      <c r="A991" s="19" t="s">
        <v>1138</v>
      </c>
      <c r="B991" s="50">
        <v>49.2286</v>
      </c>
      <c r="C991" s="50">
        <v>2077.0700000000002</v>
      </c>
      <c r="D991" s="51">
        <v>34815494.135642</v>
      </c>
      <c r="E991" s="51">
        <v>2246566667</v>
      </c>
      <c r="F991" s="52">
        <f t="shared" si="34"/>
        <v>-1.7819275099165194E-3</v>
      </c>
      <c r="G991" s="52">
        <f t="shared" si="35"/>
        <v>-7.014104884478266E-3</v>
      </c>
    </row>
    <row r="992" spans="1:7" ht="15" customHeight="1" x14ac:dyDescent="0.2">
      <c r="A992" s="19" t="s">
        <v>1139</v>
      </c>
      <c r="B992" s="50">
        <v>49.210799999999999</v>
      </c>
      <c r="C992" s="50">
        <v>2063.59</v>
      </c>
      <c r="D992" s="51">
        <v>37273719.175655</v>
      </c>
      <c r="E992" s="51">
        <v>2318650000</v>
      </c>
      <c r="F992" s="52">
        <f t="shared" si="34"/>
        <v>-3.6164381729264652E-4</v>
      </c>
      <c r="G992" s="52">
        <f t="shared" si="35"/>
        <v>-6.5110623052767533E-3</v>
      </c>
    </row>
    <row r="993" spans="1:7" ht="15" customHeight="1" x14ac:dyDescent="0.2">
      <c r="A993" s="19" t="s">
        <v>1140</v>
      </c>
      <c r="B993" s="50">
        <v>48.496699999999997</v>
      </c>
      <c r="C993" s="50">
        <v>2047.62</v>
      </c>
      <c r="D993" s="51">
        <v>41236190.945931002</v>
      </c>
      <c r="E993" s="51">
        <v>2436250000</v>
      </c>
      <c r="F993" s="52">
        <f t="shared" si="34"/>
        <v>-1.4617357212693595E-2</v>
      </c>
      <c r="G993" s="52">
        <f t="shared" si="35"/>
        <v>-7.7690413899379369E-3</v>
      </c>
    </row>
    <row r="994" spans="1:7" ht="15" customHeight="1" x14ac:dyDescent="0.2">
      <c r="A994" s="19" t="s">
        <v>1141</v>
      </c>
      <c r="B994" s="50">
        <v>48.752800000000001</v>
      </c>
      <c r="C994" s="50">
        <v>2052.23</v>
      </c>
      <c r="D994" s="51">
        <v>36024127.734931998</v>
      </c>
      <c r="E994" s="51">
        <v>2063972222</v>
      </c>
      <c r="F994" s="52">
        <f t="shared" si="34"/>
        <v>5.2668773005001227E-3</v>
      </c>
      <c r="G994" s="52">
        <f t="shared" si="35"/>
        <v>2.2488637110527291E-3</v>
      </c>
    </row>
    <row r="995" spans="1:7" ht="15" customHeight="1" x14ac:dyDescent="0.2">
      <c r="A995" s="19" t="s">
        <v>1142</v>
      </c>
      <c r="B995" s="50">
        <v>47.683300000000003</v>
      </c>
      <c r="C995" s="50">
        <v>2012.37</v>
      </c>
      <c r="D995" s="51">
        <v>44837038.915903002</v>
      </c>
      <c r="E995" s="51">
        <v>2389477778</v>
      </c>
      <c r="F995" s="52">
        <f t="shared" si="34"/>
        <v>-2.2181399920422885E-2</v>
      </c>
      <c r="G995" s="52">
        <f t="shared" si="35"/>
        <v>-1.9613874846502764E-2</v>
      </c>
    </row>
    <row r="996" spans="1:7" ht="15" customHeight="1" x14ac:dyDescent="0.2">
      <c r="A996" s="19" t="s">
        <v>1143</v>
      </c>
      <c r="B996" s="50">
        <v>48.636499999999998</v>
      </c>
      <c r="C996" s="50">
        <v>2021.94</v>
      </c>
      <c r="D996" s="51">
        <v>53286905.237108</v>
      </c>
      <c r="E996" s="51">
        <v>2562466667</v>
      </c>
      <c r="F996" s="52">
        <f t="shared" si="34"/>
        <v>1.9793046060531935E-2</v>
      </c>
      <c r="G996" s="52">
        <f t="shared" si="35"/>
        <v>4.7443146166453133E-3</v>
      </c>
    </row>
    <row r="997" spans="1:7" ht="15" customHeight="1" x14ac:dyDescent="0.2">
      <c r="A997" s="19" t="s">
        <v>1144</v>
      </c>
      <c r="B997" s="50">
        <v>48.688299999999998</v>
      </c>
      <c r="C997" s="50">
        <v>2043.41</v>
      </c>
      <c r="D997" s="51">
        <v>45169774.665863998</v>
      </c>
      <c r="E997" s="51">
        <v>2418633333</v>
      </c>
      <c r="F997" s="52">
        <f t="shared" si="34"/>
        <v>1.0644769861590726E-3</v>
      </c>
      <c r="G997" s="52">
        <f t="shared" si="35"/>
        <v>1.0562534400149612E-2</v>
      </c>
    </row>
    <row r="998" spans="1:7" ht="15" customHeight="1" x14ac:dyDescent="0.2">
      <c r="A998" s="19" t="s">
        <v>1145</v>
      </c>
      <c r="B998" s="50">
        <v>49.511899999999997</v>
      </c>
      <c r="C998" s="50">
        <v>2073.0700000000002</v>
      </c>
      <c r="D998" s="51">
        <v>42517379.459581003</v>
      </c>
      <c r="E998" s="51">
        <v>2575250000</v>
      </c>
      <c r="F998" s="52">
        <f t="shared" si="34"/>
        <v>1.6774289904445582E-2</v>
      </c>
      <c r="G998" s="52">
        <f t="shared" si="35"/>
        <v>1.4410619402612932E-2</v>
      </c>
    </row>
    <row r="999" spans="1:7" ht="15" customHeight="1" x14ac:dyDescent="0.2">
      <c r="A999" s="19" t="s">
        <v>1146</v>
      </c>
      <c r="B999" s="50">
        <v>49.131700000000002</v>
      </c>
      <c r="C999" s="50">
        <v>2041.89</v>
      </c>
      <c r="D999" s="51">
        <v>46800032.922780998</v>
      </c>
      <c r="E999" s="51">
        <v>2404105556</v>
      </c>
      <c r="F999" s="52">
        <f t="shared" si="34"/>
        <v>-7.7085970645843476E-3</v>
      </c>
      <c r="G999" s="52">
        <f t="shared" si="35"/>
        <v>-1.515475083488926E-2</v>
      </c>
    </row>
    <row r="1000" spans="1:7" ht="15" customHeight="1" x14ac:dyDescent="0.2">
      <c r="A1000" s="19" t="s">
        <v>1147</v>
      </c>
      <c r="B1000" s="50">
        <v>47.745899999999999</v>
      </c>
      <c r="C1000" s="50">
        <v>2005.55</v>
      </c>
      <c r="D1000" s="51">
        <v>96006106.879128993</v>
      </c>
      <c r="E1000" s="51">
        <v>3712816667</v>
      </c>
      <c r="F1000" s="52">
        <f t="shared" si="34"/>
        <v>-2.8611248292163292E-2</v>
      </c>
      <c r="G1000" s="52">
        <f t="shared" si="35"/>
        <v>-1.7957512179647538E-2</v>
      </c>
    </row>
    <row r="1001" spans="1:7" ht="15" customHeight="1" x14ac:dyDescent="0.2">
      <c r="A1001" s="19" t="s">
        <v>1148</v>
      </c>
      <c r="B1001" s="50">
        <v>48.364100000000001</v>
      </c>
      <c r="C1001" s="50">
        <v>2021.15</v>
      </c>
      <c r="D1001" s="51">
        <v>42226019.268821999</v>
      </c>
      <c r="E1001" s="51">
        <v>2089044444</v>
      </c>
      <c r="F1001" s="52">
        <f t="shared" si="34"/>
        <v>1.2864603597609228E-2</v>
      </c>
      <c r="G1001" s="52">
        <f t="shared" si="35"/>
        <v>7.748318994364429E-3</v>
      </c>
    </row>
    <row r="1002" spans="1:7" ht="15" customHeight="1" x14ac:dyDescent="0.2">
      <c r="A1002" s="19" t="s">
        <v>1149</v>
      </c>
      <c r="B1002" s="50">
        <v>48.823</v>
      </c>
      <c r="C1002" s="50">
        <v>2038.97</v>
      </c>
      <c r="D1002" s="51">
        <v>32107511.751683999</v>
      </c>
      <c r="E1002" s="51">
        <v>1956033333</v>
      </c>
      <c r="F1002" s="52">
        <f t="shared" si="34"/>
        <v>9.4437103386543781E-3</v>
      </c>
      <c r="G1002" s="52">
        <f t="shared" si="35"/>
        <v>8.7781220393295094E-3</v>
      </c>
    </row>
    <row r="1003" spans="1:7" ht="15" customHeight="1" x14ac:dyDescent="0.2">
      <c r="A1003" s="19" t="s">
        <v>1150</v>
      </c>
      <c r="B1003" s="50">
        <v>49.238399999999999</v>
      </c>
      <c r="C1003" s="50">
        <v>2064.29</v>
      </c>
      <c r="D1003" s="51">
        <v>30927025.982280001</v>
      </c>
      <c r="E1003" s="51">
        <v>1935605556</v>
      </c>
      <c r="F1003" s="52">
        <f t="shared" si="34"/>
        <v>8.4722935787782672E-3</v>
      </c>
      <c r="G1003" s="52">
        <f t="shared" si="35"/>
        <v>1.2341563236114893E-2</v>
      </c>
    </row>
    <row r="1004" spans="1:7" ht="15" customHeight="1" x14ac:dyDescent="0.2">
      <c r="A1004" s="19" t="s">
        <v>1151</v>
      </c>
      <c r="B1004" s="50">
        <v>49.102499999999999</v>
      </c>
      <c r="C1004" s="50">
        <v>2060.9899999999998</v>
      </c>
      <c r="D1004" s="51">
        <v>10849484.944088001</v>
      </c>
      <c r="E1004" s="51">
        <v>784366667</v>
      </c>
      <c r="F1004" s="52">
        <f t="shared" si="34"/>
        <v>-2.7638568797028196E-3</v>
      </c>
      <c r="G1004" s="52">
        <f t="shared" si="35"/>
        <v>-1.599891742574954E-3</v>
      </c>
    </row>
    <row r="1005" spans="1:7" ht="15" customHeight="1" x14ac:dyDescent="0.2">
      <c r="A1005" s="19" t="s">
        <v>1152</v>
      </c>
      <c r="B1005" s="50">
        <v>49.351500000000001</v>
      </c>
      <c r="C1005" s="50">
        <v>2056.5</v>
      </c>
      <c r="D1005" s="51">
        <v>25460898.224762999</v>
      </c>
      <c r="E1005" s="51">
        <v>1384727778</v>
      </c>
      <c r="F1005" s="52">
        <f t="shared" si="34"/>
        <v>5.0582105531269579E-3</v>
      </c>
      <c r="G1005" s="52">
        <f t="shared" si="35"/>
        <v>-2.1809411946235105E-3</v>
      </c>
    </row>
    <row r="1006" spans="1:7" ht="15" customHeight="1" x14ac:dyDescent="0.2">
      <c r="A1006" s="19" t="s">
        <v>1153</v>
      </c>
      <c r="B1006" s="50">
        <v>49.880899999999997</v>
      </c>
      <c r="C1006" s="50">
        <v>2078.36</v>
      </c>
      <c r="D1006" s="51">
        <v>31439008.726491001</v>
      </c>
      <c r="E1006" s="51">
        <v>1412222222</v>
      </c>
      <c r="F1006" s="52">
        <f t="shared" si="34"/>
        <v>1.0670003398640691E-2</v>
      </c>
      <c r="G1006" s="52">
        <f t="shared" si="35"/>
        <v>1.0573612487139963E-2</v>
      </c>
    </row>
    <row r="1007" spans="1:7" ht="15" customHeight="1" x14ac:dyDescent="0.2">
      <c r="A1007" s="19" t="s">
        <v>1154</v>
      </c>
      <c r="B1007" s="50">
        <v>49.668900000000001</v>
      </c>
      <c r="C1007" s="50">
        <v>2063.36</v>
      </c>
      <c r="D1007" s="51">
        <v>17966497.820948999</v>
      </c>
      <c r="E1007" s="51">
        <v>1315238889</v>
      </c>
      <c r="F1007" s="52">
        <f t="shared" si="34"/>
        <v>-4.2591812436443225E-3</v>
      </c>
      <c r="G1007" s="52">
        <f t="shared" si="35"/>
        <v>-7.2433991595191854E-3</v>
      </c>
    </row>
    <row r="1008" spans="1:7" ht="15" customHeight="1" x14ac:dyDescent="0.2">
      <c r="A1008" s="19" t="s">
        <v>1155</v>
      </c>
      <c r="B1008" s="50">
        <v>48.935299999999998</v>
      </c>
      <c r="C1008" s="50">
        <v>2043.94</v>
      </c>
      <c r="D1008" s="51">
        <v>27669721.185695998</v>
      </c>
      <c r="E1008" s="51">
        <v>1475183333</v>
      </c>
      <c r="F1008" s="52">
        <f t="shared" si="34"/>
        <v>-1.4879965268967956E-2</v>
      </c>
      <c r="G1008" s="52">
        <f t="shared" si="35"/>
        <v>-9.4564043127839722E-3</v>
      </c>
    </row>
    <row r="1009" spans="1:7" ht="15" customHeight="1" x14ac:dyDescent="0.2">
      <c r="A1009" s="19" t="s">
        <v>1156</v>
      </c>
      <c r="B1009" s="50">
        <v>48.337600000000002</v>
      </c>
      <c r="C1009" s="50">
        <v>2012.66</v>
      </c>
      <c r="D1009" s="51">
        <v>55952581.411247998</v>
      </c>
      <c r="E1009" s="51">
        <v>2391600000</v>
      </c>
      <c r="F1009" s="52">
        <f t="shared" si="34"/>
        <v>-1.2289291721925281E-2</v>
      </c>
      <c r="G1009" s="52">
        <f t="shared" si="35"/>
        <v>-1.5422087447211375E-2</v>
      </c>
    </row>
    <row r="1010" spans="1:7" ht="15" customHeight="1" x14ac:dyDescent="0.2">
      <c r="A1010" s="19" t="s">
        <v>1157</v>
      </c>
      <c r="B1010" s="50">
        <v>48.556399999999996</v>
      </c>
      <c r="C1010" s="50">
        <v>2016.71</v>
      </c>
      <c r="D1010" s="51">
        <v>36803727.305303</v>
      </c>
      <c r="E1010" s="51">
        <v>2059233333</v>
      </c>
      <c r="F1010" s="52">
        <f t="shared" si="34"/>
        <v>4.5162831940424187E-3</v>
      </c>
      <c r="G1010" s="52">
        <f t="shared" si="35"/>
        <v>2.0102404911239561E-3</v>
      </c>
    </row>
    <row r="1011" spans="1:7" ht="15" customHeight="1" x14ac:dyDescent="0.2">
      <c r="A1011" s="19" t="s">
        <v>1158</v>
      </c>
      <c r="B1011" s="50">
        <v>47.6755</v>
      </c>
      <c r="C1011" s="50">
        <v>1990.26</v>
      </c>
      <c r="D1011" s="51">
        <v>41797111.169523999</v>
      </c>
      <c r="E1011" s="51">
        <v>2409255556</v>
      </c>
      <c r="F1011" s="52">
        <f t="shared" si="34"/>
        <v>-1.8308369804024515E-2</v>
      </c>
      <c r="G1011" s="52">
        <f t="shared" si="35"/>
        <v>-1.3202187278752919E-2</v>
      </c>
    </row>
    <row r="1012" spans="1:7" ht="15" customHeight="1" x14ac:dyDescent="0.2">
      <c r="A1012" s="19" t="s">
        <v>1159</v>
      </c>
      <c r="B1012" s="50">
        <v>46.017800000000001</v>
      </c>
      <c r="C1012" s="50">
        <v>1943.09</v>
      </c>
      <c r="D1012" s="51">
        <v>60030126.236040004</v>
      </c>
      <c r="E1012" s="51">
        <v>2820327778</v>
      </c>
      <c r="F1012" s="52">
        <f t="shared" si="34"/>
        <v>-3.5389360945999648E-2</v>
      </c>
      <c r="G1012" s="52">
        <f t="shared" si="35"/>
        <v>-2.3985794022258523E-2</v>
      </c>
    </row>
    <row r="1013" spans="1:7" ht="15" customHeight="1" x14ac:dyDescent="0.2">
      <c r="A1013" s="19" t="s">
        <v>1160</v>
      </c>
      <c r="B1013" s="50">
        <v>46.156500000000001</v>
      </c>
      <c r="C1013" s="50">
        <v>1922.03</v>
      </c>
      <c r="D1013" s="51">
        <v>51670937.432651997</v>
      </c>
      <c r="E1013" s="51">
        <v>2591633333</v>
      </c>
      <c r="F1013" s="52">
        <f t="shared" si="34"/>
        <v>3.0095179390807417E-3</v>
      </c>
      <c r="G1013" s="52">
        <f t="shared" si="35"/>
        <v>-1.0897570278899054E-2</v>
      </c>
    </row>
    <row r="1014" spans="1:7" ht="15" customHeight="1" x14ac:dyDescent="0.2">
      <c r="A1014" s="19" t="s">
        <v>1161</v>
      </c>
      <c r="B1014" s="50">
        <v>46.130499999999998</v>
      </c>
      <c r="C1014" s="50">
        <v>1923.67</v>
      </c>
      <c r="D1014" s="51">
        <v>41883025.885733001</v>
      </c>
      <c r="E1014" s="51">
        <v>2559605556</v>
      </c>
      <c r="F1014" s="52">
        <f t="shared" si="34"/>
        <v>-5.6345965711081735E-4</v>
      </c>
      <c r="G1014" s="52">
        <f t="shared" si="35"/>
        <v>8.5290069397867538E-4</v>
      </c>
    </row>
    <row r="1015" spans="1:7" ht="15" customHeight="1" x14ac:dyDescent="0.2">
      <c r="A1015" s="19" t="s">
        <v>1162</v>
      </c>
      <c r="B1015" s="50">
        <v>46.554000000000002</v>
      </c>
      <c r="C1015" s="50">
        <v>1938.68</v>
      </c>
      <c r="D1015" s="51">
        <v>39233109.342968002</v>
      </c>
      <c r="E1015" s="51">
        <v>2715144444</v>
      </c>
      <c r="F1015" s="52">
        <f t="shared" si="34"/>
        <v>9.1385926954300877E-3</v>
      </c>
      <c r="G1015" s="52">
        <f t="shared" si="35"/>
        <v>7.7725092573912389E-3</v>
      </c>
    </row>
    <row r="1016" spans="1:7" ht="15" customHeight="1" x14ac:dyDescent="0.2">
      <c r="A1016" s="19" t="s">
        <v>1163</v>
      </c>
      <c r="B1016" s="50">
        <v>45.550899999999999</v>
      </c>
      <c r="C1016" s="50">
        <v>1890.28</v>
      </c>
      <c r="D1016" s="51">
        <v>71657733.381037995</v>
      </c>
      <c r="E1016" s="51">
        <v>2826127778</v>
      </c>
      <c r="F1016" s="52">
        <f t="shared" si="34"/>
        <v>-2.1782547121961687E-2</v>
      </c>
      <c r="G1016" s="52">
        <f t="shared" si="35"/>
        <v>-2.5282362871704309E-2</v>
      </c>
    </row>
    <row r="1017" spans="1:7" ht="15" customHeight="1" x14ac:dyDescent="0.2">
      <c r="A1017" s="19" t="s">
        <v>1164</v>
      </c>
      <c r="B1017" s="50">
        <v>46.848100000000002</v>
      </c>
      <c r="C1017" s="50">
        <v>1921.84</v>
      </c>
      <c r="D1017" s="51">
        <v>54243816.785595998</v>
      </c>
      <c r="E1017" s="51">
        <v>2911727778</v>
      </c>
      <c r="F1017" s="52">
        <f t="shared" si="34"/>
        <v>2.8080070881504139E-2</v>
      </c>
      <c r="G1017" s="52">
        <f t="shared" si="35"/>
        <v>1.6558094217956527E-2</v>
      </c>
    </row>
    <row r="1018" spans="1:7" ht="15" customHeight="1" x14ac:dyDescent="0.2">
      <c r="A1018" s="19" t="s">
        <v>1165</v>
      </c>
      <c r="B1018" s="50">
        <v>44.978900000000003</v>
      </c>
      <c r="C1018" s="50">
        <v>1880.33</v>
      </c>
      <c r="D1018" s="51">
        <v>78653907.060076997</v>
      </c>
      <c r="E1018" s="51">
        <v>3038033333</v>
      </c>
      <c r="F1018" s="52">
        <f t="shared" si="34"/>
        <v>-4.0716961980748811E-2</v>
      </c>
      <c r="G1018" s="52">
        <f t="shared" si="35"/>
        <v>-2.1835767111975091E-2</v>
      </c>
    </row>
    <row r="1019" spans="1:7" ht="15" customHeight="1" x14ac:dyDescent="0.2">
      <c r="A1019" s="19" t="s">
        <v>1166</v>
      </c>
      <c r="B1019" s="50">
        <v>44.595999999999997</v>
      </c>
      <c r="C1019" s="50">
        <v>1881.33</v>
      </c>
      <c r="D1019" s="51">
        <v>49388944.242705002</v>
      </c>
      <c r="E1019" s="51">
        <v>2737972222</v>
      </c>
      <c r="F1019" s="52">
        <f t="shared" si="34"/>
        <v>-8.5493220133359849E-3</v>
      </c>
      <c r="G1019" s="52">
        <f t="shared" si="35"/>
        <v>5.316801750062664E-4</v>
      </c>
    </row>
    <row r="1020" spans="1:7" ht="15" customHeight="1" x14ac:dyDescent="0.2">
      <c r="A1020" s="19" t="s">
        <v>1167</v>
      </c>
      <c r="B1020" s="50">
        <v>44.799900000000001</v>
      </c>
      <c r="C1020" s="50">
        <v>1859.33</v>
      </c>
      <c r="D1020" s="51">
        <v>70542202.724546</v>
      </c>
      <c r="E1020" s="51">
        <v>3564483333</v>
      </c>
      <c r="F1020" s="52">
        <f t="shared" si="34"/>
        <v>4.5617383702661364E-3</v>
      </c>
      <c r="G1020" s="52">
        <f t="shared" si="35"/>
        <v>-1.1762765749513873E-2</v>
      </c>
    </row>
    <row r="1021" spans="1:7" ht="15" customHeight="1" x14ac:dyDescent="0.2">
      <c r="A1021" s="19" t="s">
        <v>1168</v>
      </c>
      <c r="B1021" s="50">
        <v>44.526600000000002</v>
      </c>
      <c r="C1021" s="50">
        <v>1868.99</v>
      </c>
      <c r="D1021" s="51">
        <v>42765236.597208999</v>
      </c>
      <c r="E1021" s="51">
        <v>2821561111</v>
      </c>
      <c r="F1021" s="52">
        <f t="shared" si="34"/>
        <v>-6.1191438774560302E-3</v>
      </c>
      <c r="G1021" s="52">
        <f t="shared" si="35"/>
        <v>5.181970226003676E-3</v>
      </c>
    </row>
    <row r="1022" spans="1:7" ht="15" customHeight="1" x14ac:dyDescent="0.2">
      <c r="A1022" s="19" t="s">
        <v>1169</v>
      </c>
      <c r="B1022" s="50">
        <v>46.1205</v>
      </c>
      <c r="C1022" s="50">
        <v>1906.9</v>
      </c>
      <c r="D1022" s="51">
        <v>38339081.723458</v>
      </c>
      <c r="E1022" s="51">
        <v>2723200000</v>
      </c>
      <c r="F1022" s="52">
        <f t="shared" si="34"/>
        <v>3.517077322756483E-2</v>
      </c>
      <c r="G1022" s="52">
        <f t="shared" si="35"/>
        <v>2.0080708854120791E-2</v>
      </c>
    </row>
    <row r="1023" spans="1:7" ht="15" customHeight="1" x14ac:dyDescent="0.2">
      <c r="A1023" s="19" t="s">
        <v>1170</v>
      </c>
      <c r="B1023" s="50">
        <v>45.679200000000002</v>
      </c>
      <c r="C1023" s="50">
        <v>1877.08</v>
      </c>
      <c r="D1023" s="51">
        <v>36849119.302748002</v>
      </c>
      <c r="E1023" s="51">
        <v>2445211111</v>
      </c>
      <c r="F1023" s="52">
        <f t="shared" si="34"/>
        <v>-9.614484566152999E-3</v>
      </c>
      <c r="G1023" s="52">
        <f t="shared" si="35"/>
        <v>-1.5761508958281073E-2</v>
      </c>
    </row>
    <row r="1024" spans="1:7" ht="15" customHeight="1" x14ac:dyDescent="0.2">
      <c r="A1024" s="19" t="s">
        <v>1171</v>
      </c>
      <c r="B1024" s="50">
        <v>46.017800000000001</v>
      </c>
      <c r="C1024" s="50">
        <v>1903.63</v>
      </c>
      <c r="D1024" s="51">
        <v>31895966.369139999</v>
      </c>
      <c r="E1024" s="51">
        <v>2421077778</v>
      </c>
      <c r="F1024" s="52">
        <f t="shared" si="34"/>
        <v>7.3852261029203597E-3</v>
      </c>
      <c r="G1024" s="52">
        <f t="shared" si="35"/>
        <v>1.4045211853838186E-2</v>
      </c>
    </row>
    <row r="1025" spans="1:7" ht="15" customHeight="1" x14ac:dyDescent="0.2">
      <c r="A1025" s="19" t="s">
        <v>1172</v>
      </c>
      <c r="B1025" s="50">
        <v>45.180900000000001</v>
      </c>
      <c r="C1025" s="50">
        <v>1882.95</v>
      </c>
      <c r="D1025" s="51">
        <v>38428645.327225998</v>
      </c>
      <c r="E1025" s="51">
        <v>2641133333</v>
      </c>
      <c r="F1025" s="52">
        <f t="shared" si="34"/>
        <v>-1.8353847002291965E-2</v>
      </c>
      <c r="G1025" s="52">
        <f t="shared" si="35"/>
        <v>-1.0922893803811026E-2</v>
      </c>
    </row>
    <row r="1026" spans="1:7" ht="15" customHeight="1" x14ac:dyDescent="0.2">
      <c r="A1026" s="19" t="s">
        <v>1173</v>
      </c>
      <c r="B1026" s="50">
        <v>45.919499999999999</v>
      </c>
      <c r="C1026" s="50">
        <v>1893.36</v>
      </c>
      <c r="D1026" s="51">
        <v>59911762.630282998</v>
      </c>
      <c r="E1026" s="51">
        <v>2607227778</v>
      </c>
      <c r="F1026" s="52">
        <f t="shared" si="34"/>
        <v>1.6215432290113116E-2</v>
      </c>
      <c r="G1026" s="52">
        <f t="shared" si="35"/>
        <v>5.5133325226166194E-3</v>
      </c>
    </row>
    <row r="1027" spans="1:7" ht="15" customHeight="1" x14ac:dyDescent="0.2">
      <c r="A1027" s="19" t="s">
        <v>1174</v>
      </c>
      <c r="B1027" s="50">
        <v>48.548499999999997</v>
      </c>
      <c r="C1027" s="50">
        <v>1940.24</v>
      </c>
      <c r="D1027" s="51">
        <v>77501612.120919004</v>
      </c>
      <c r="E1027" s="51">
        <v>3054205556</v>
      </c>
      <c r="F1027" s="52">
        <f t="shared" si="34"/>
        <v>5.5673434826232389E-2</v>
      </c>
      <c r="G1027" s="52">
        <f t="shared" si="35"/>
        <v>2.4458648291019413E-2</v>
      </c>
    </row>
    <row r="1028" spans="1:7" ht="15" customHeight="1" x14ac:dyDescent="0.2">
      <c r="A1028" s="19" t="s">
        <v>1175</v>
      </c>
      <c r="B1028" s="50">
        <v>48.254800000000003</v>
      </c>
      <c r="C1028" s="50">
        <v>1939.38</v>
      </c>
      <c r="D1028" s="51">
        <v>46443881.430001996</v>
      </c>
      <c r="E1028" s="51">
        <v>2401405556</v>
      </c>
      <c r="F1028" s="52">
        <f t="shared" si="34"/>
        <v>-6.067993574233611E-3</v>
      </c>
      <c r="G1028" s="52">
        <f t="shared" si="35"/>
        <v>-4.4334239646468779E-4</v>
      </c>
    </row>
    <row r="1029" spans="1:7" ht="15" customHeight="1" x14ac:dyDescent="0.2">
      <c r="A1029" s="19" t="s">
        <v>1176</v>
      </c>
      <c r="B1029" s="50">
        <v>46.750700000000002</v>
      </c>
      <c r="C1029" s="50">
        <v>1903.03</v>
      </c>
      <c r="D1029" s="51">
        <v>58016548.450338997</v>
      </c>
      <c r="E1029" s="51">
        <v>2479550000</v>
      </c>
      <c r="F1029" s="52">
        <f t="shared" si="34"/>
        <v>-3.1666075817657395E-2</v>
      </c>
      <c r="G1029" s="52">
        <f t="shared" si="35"/>
        <v>-1.8920981595370201E-2</v>
      </c>
    </row>
    <row r="1030" spans="1:7" ht="15" customHeight="1" x14ac:dyDescent="0.2">
      <c r="A1030" s="19" t="s">
        <v>1177</v>
      </c>
      <c r="B1030" s="50">
        <v>46.008099999999999</v>
      </c>
      <c r="C1030" s="50">
        <v>1912.53</v>
      </c>
      <c r="D1030" s="51">
        <v>62876819.585853003</v>
      </c>
      <c r="E1030" s="51">
        <v>2873861111</v>
      </c>
      <c r="F1030" s="52">
        <f t="shared" ref="F1030:F1093" si="36">LN(B1030/B1029)</f>
        <v>-1.6011760940501611E-2</v>
      </c>
      <c r="G1030" s="52">
        <f t="shared" ref="G1030:G1093" si="37">LN(C1030/C1029)</f>
        <v>4.9796200980441394E-3</v>
      </c>
    </row>
    <row r="1031" spans="1:7" ht="15" customHeight="1" x14ac:dyDescent="0.2">
      <c r="A1031" s="19" t="s">
        <v>1178</v>
      </c>
      <c r="B1031" s="50">
        <v>45.866700000000002</v>
      </c>
      <c r="C1031" s="50">
        <v>1915.45</v>
      </c>
      <c r="D1031" s="51">
        <v>48094364.188849002</v>
      </c>
      <c r="E1031" s="51">
        <v>2885177778</v>
      </c>
      <c r="F1031" s="52">
        <f t="shared" si="36"/>
        <v>-3.078104369072748E-3</v>
      </c>
      <c r="G1031" s="52">
        <f t="shared" si="37"/>
        <v>1.525609102635925E-3</v>
      </c>
    </row>
    <row r="1032" spans="1:7" ht="15" customHeight="1" x14ac:dyDescent="0.2">
      <c r="A1032" s="19" t="s">
        <v>1179</v>
      </c>
      <c r="B1032" s="50">
        <v>44.244100000000003</v>
      </c>
      <c r="C1032" s="50">
        <v>1880.05</v>
      </c>
      <c r="D1032" s="51">
        <v>66137531.648936003</v>
      </c>
      <c r="E1032" s="51">
        <v>2738855556</v>
      </c>
      <c r="F1032" s="52">
        <f t="shared" si="36"/>
        <v>-3.6017334344129404E-2</v>
      </c>
      <c r="G1032" s="52">
        <f t="shared" si="37"/>
        <v>-1.8654209739793221E-2</v>
      </c>
    </row>
    <row r="1033" spans="1:7" ht="15" customHeight="1" x14ac:dyDescent="0.2">
      <c r="A1033" s="19" t="s">
        <v>1180</v>
      </c>
      <c r="B1033" s="50">
        <v>43.582000000000001</v>
      </c>
      <c r="C1033" s="50">
        <v>1853.44</v>
      </c>
      <c r="D1033" s="51">
        <v>63050502.128953002</v>
      </c>
      <c r="E1033" s="51">
        <v>3131366667</v>
      </c>
      <c r="F1033" s="52">
        <f t="shared" si="36"/>
        <v>-1.5077808156196453E-2</v>
      </c>
      <c r="G1033" s="52">
        <f t="shared" si="37"/>
        <v>-1.4255000337827674E-2</v>
      </c>
    </row>
    <row r="1034" spans="1:7" ht="15" customHeight="1" x14ac:dyDescent="0.2">
      <c r="A1034" s="19" t="s">
        <v>1181</v>
      </c>
      <c r="B1034" s="50">
        <v>43.467799999999997</v>
      </c>
      <c r="C1034" s="50">
        <v>1852.21</v>
      </c>
      <c r="D1034" s="51">
        <v>47557506.761087999</v>
      </c>
      <c r="E1034" s="51">
        <v>2879566667</v>
      </c>
      <c r="F1034" s="52">
        <f t="shared" si="36"/>
        <v>-2.6237869705659838E-3</v>
      </c>
      <c r="G1034" s="52">
        <f t="shared" si="37"/>
        <v>-6.638511706025009E-4</v>
      </c>
    </row>
    <row r="1035" spans="1:7" ht="15" customHeight="1" x14ac:dyDescent="0.2">
      <c r="A1035" s="19" t="s">
        <v>1182</v>
      </c>
      <c r="B1035" s="50">
        <v>43.8476</v>
      </c>
      <c r="C1035" s="50">
        <v>1851.86</v>
      </c>
      <c r="D1035" s="51">
        <v>40304754.038377002</v>
      </c>
      <c r="E1035" s="51">
        <v>2483983333</v>
      </c>
      <c r="F1035" s="52">
        <f t="shared" si="36"/>
        <v>8.6995511751264687E-3</v>
      </c>
      <c r="G1035" s="52">
        <f t="shared" si="37"/>
        <v>-1.8898131031094855E-4</v>
      </c>
    </row>
    <row r="1036" spans="1:7" ht="15" customHeight="1" x14ac:dyDescent="0.2">
      <c r="A1036" s="19" t="s">
        <v>1183</v>
      </c>
      <c r="B1036" s="50">
        <v>43.830100000000002</v>
      </c>
      <c r="C1036" s="50">
        <v>1829.08</v>
      </c>
      <c r="D1036" s="51">
        <v>50972036.225479998</v>
      </c>
      <c r="E1036" s="51">
        <v>3056000000</v>
      </c>
      <c r="F1036" s="52">
        <f t="shared" si="36"/>
        <v>-3.9918930885244057E-4</v>
      </c>
      <c r="G1036" s="52">
        <f t="shared" si="37"/>
        <v>-1.2377431213466798E-2</v>
      </c>
    </row>
    <row r="1037" spans="1:7" ht="15" customHeight="1" x14ac:dyDescent="0.2">
      <c r="A1037" s="19" t="s">
        <v>1184</v>
      </c>
      <c r="B1037" s="50">
        <v>44.543999999999997</v>
      </c>
      <c r="C1037" s="50">
        <v>1864.78</v>
      </c>
      <c r="D1037" s="51">
        <v>35286712.540031001</v>
      </c>
      <c r="E1037" s="51">
        <v>2609400000</v>
      </c>
      <c r="F1037" s="52">
        <f t="shared" si="36"/>
        <v>1.6156668741516597E-2</v>
      </c>
      <c r="G1037" s="52">
        <f t="shared" si="37"/>
        <v>1.9329975470501772E-2</v>
      </c>
    </row>
    <row r="1038" spans="1:7" ht="15" customHeight="1" x14ac:dyDescent="0.2">
      <c r="A1038" s="19" t="s">
        <v>1185</v>
      </c>
      <c r="B1038" s="50">
        <v>45.389800000000001</v>
      </c>
      <c r="C1038" s="50">
        <v>1895.58</v>
      </c>
      <c r="D1038" s="51">
        <v>37069309.804980002</v>
      </c>
      <c r="E1038" s="51">
        <v>2539261111</v>
      </c>
      <c r="F1038" s="52">
        <f t="shared" si="36"/>
        <v>1.8809945489827604E-2</v>
      </c>
      <c r="G1038" s="52">
        <f t="shared" si="37"/>
        <v>1.6381776635361386E-2</v>
      </c>
    </row>
    <row r="1039" spans="1:7" ht="15" customHeight="1" x14ac:dyDescent="0.2">
      <c r="A1039" s="19" t="s">
        <v>1186</v>
      </c>
      <c r="B1039" s="50">
        <v>46.569800000000001</v>
      </c>
      <c r="C1039" s="50">
        <v>1926.82</v>
      </c>
      <c r="D1039" s="51">
        <v>42831645.531764001</v>
      </c>
      <c r="E1039" s="51">
        <v>2784188889</v>
      </c>
      <c r="F1039" s="52">
        <f t="shared" si="36"/>
        <v>2.5664852173017984E-2</v>
      </c>
      <c r="G1039" s="52">
        <f t="shared" si="37"/>
        <v>1.634611531802933E-2</v>
      </c>
    </row>
    <row r="1040" spans="1:7" ht="15" customHeight="1" x14ac:dyDescent="0.2">
      <c r="A1040" s="19" t="s">
        <v>1187</v>
      </c>
      <c r="B1040" s="50">
        <v>46.365900000000003</v>
      </c>
      <c r="C1040" s="50">
        <v>1917.83</v>
      </c>
      <c r="D1040" s="51">
        <v>28459423.792668998</v>
      </c>
      <c r="E1040" s="51">
        <v>2464716667</v>
      </c>
      <c r="F1040" s="52">
        <f t="shared" si="36"/>
        <v>-4.3879871172168719E-3</v>
      </c>
      <c r="G1040" s="52">
        <f t="shared" si="37"/>
        <v>-4.6766370852842467E-3</v>
      </c>
    </row>
    <row r="1041" spans="1:7" ht="15" customHeight="1" x14ac:dyDescent="0.2">
      <c r="A1041" s="19" t="s">
        <v>1188</v>
      </c>
      <c r="B1041" s="50">
        <v>46.038499999999999</v>
      </c>
      <c r="C1041" s="50">
        <v>1917.78</v>
      </c>
      <c r="D1041" s="51">
        <v>30263446.498130001</v>
      </c>
      <c r="E1041" s="51">
        <v>2301583333</v>
      </c>
      <c r="F1041" s="52">
        <f t="shared" si="36"/>
        <v>-7.0862722995528081E-3</v>
      </c>
      <c r="G1041" s="52">
        <f t="shared" si="37"/>
        <v>-2.607147233575974E-5</v>
      </c>
    </row>
    <row r="1042" spans="1:7" ht="15" customHeight="1" x14ac:dyDescent="0.2">
      <c r="A1042" s="19" t="s">
        <v>1189</v>
      </c>
      <c r="B1042" s="50">
        <v>46.7759</v>
      </c>
      <c r="C1042" s="50">
        <v>1945.5</v>
      </c>
      <c r="D1042" s="51">
        <v>26307607.02124</v>
      </c>
      <c r="E1042" s="51">
        <v>2252616667</v>
      </c>
      <c r="F1042" s="52">
        <f t="shared" si="36"/>
        <v>1.5890110064584684E-2</v>
      </c>
      <c r="G1042" s="52">
        <f t="shared" si="37"/>
        <v>1.4350746375528583E-2</v>
      </c>
    </row>
    <row r="1043" spans="1:7" ht="15" customHeight="1" x14ac:dyDescent="0.2">
      <c r="A1043" s="19" t="s">
        <v>1190</v>
      </c>
      <c r="B1043" s="50">
        <v>45.471800000000002</v>
      </c>
      <c r="C1043" s="50">
        <v>1921.27</v>
      </c>
      <c r="D1043" s="51">
        <v>29054547.729965001</v>
      </c>
      <c r="E1043" s="51">
        <v>2161472222</v>
      </c>
      <c r="F1043" s="52">
        <f t="shared" si="36"/>
        <v>-2.8275759428645866E-2</v>
      </c>
      <c r="G1043" s="52">
        <f t="shared" si="37"/>
        <v>-1.2532587736590248E-2</v>
      </c>
    </row>
    <row r="1044" spans="1:7" ht="15" customHeight="1" x14ac:dyDescent="0.2">
      <c r="A1044" s="19" t="s">
        <v>1191</v>
      </c>
      <c r="B1044" s="50">
        <v>45.628300000000003</v>
      </c>
      <c r="C1044" s="50">
        <v>1929.8</v>
      </c>
      <c r="D1044" s="51">
        <v>34993529.953128003</v>
      </c>
      <c r="E1044" s="51">
        <v>2398472222</v>
      </c>
      <c r="F1044" s="52">
        <f t="shared" si="36"/>
        <v>3.4357844602108572E-3</v>
      </c>
      <c r="G1044" s="52">
        <f t="shared" si="37"/>
        <v>4.429944898265448E-3</v>
      </c>
    </row>
    <row r="1045" spans="1:7" ht="15" customHeight="1" x14ac:dyDescent="0.2">
      <c r="A1045" s="19" t="s">
        <v>1192</v>
      </c>
      <c r="B1045" s="50">
        <v>46.284700000000001</v>
      </c>
      <c r="C1045" s="50">
        <v>1951.7</v>
      </c>
      <c r="D1045" s="51">
        <v>29320702.543938</v>
      </c>
      <c r="E1045" s="51">
        <v>2287894444</v>
      </c>
      <c r="F1045" s="52">
        <f t="shared" si="36"/>
        <v>1.4283314862483324E-2</v>
      </c>
      <c r="G1045" s="52">
        <f t="shared" si="37"/>
        <v>1.1284417050872818E-2</v>
      </c>
    </row>
    <row r="1046" spans="1:7" ht="15" customHeight="1" x14ac:dyDescent="0.2">
      <c r="A1046" s="19" t="s">
        <v>1193</v>
      </c>
      <c r="B1046" s="50">
        <v>45.575600000000001</v>
      </c>
      <c r="C1046" s="50">
        <v>1948.05</v>
      </c>
      <c r="D1046" s="51">
        <v>37552551.928648002</v>
      </c>
      <c r="E1046" s="51">
        <v>2415838889</v>
      </c>
      <c r="F1046" s="52">
        <f t="shared" si="36"/>
        <v>-1.5438967326143744E-2</v>
      </c>
      <c r="G1046" s="52">
        <f t="shared" si="37"/>
        <v>-1.8719154129472615E-3</v>
      </c>
    </row>
    <row r="1047" spans="1:7" ht="15" customHeight="1" x14ac:dyDescent="0.2">
      <c r="A1047" s="19" t="s">
        <v>1194</v>
      </c>
      <c r="B1047" s="50">
        <v>45.202399999999997</v>
      </c>
      <c r="C1047" s="50">
        <v>1932.23</v>
      </c>
      <c r="D1047" s="51">
        <v>29395317.380231999</v>
      </c>
      <c r="E1047" s="51">
        <v>2548988889</v>
      </c>
      <c r="F1047" s="52">
        <f t="shared" si="36"/>
        <v>-8.2223028168153921E-3</v>
      </c>
      <c r="G1047" s="52">
        <f t="shared" si="37"/>
        <v>-8.1540959183034733E-3</v>
      </c>
    </row>
    <row r="1048" spans="1:7" ht="15" customHeight="1" x14ac:dyDescent="0.2">
      <c r="A1048" s="19" t="s">
        <v>1195</v>
      </c>
      <c r="B1048" s="50">
        <v>46.711399999999998</v>
      </c>
      <c r="C1048" s="50">
        <v>1978.35</v>
      </c>
      <c r="D1048" s="51">
        <v>34001871.043549001</v>
      </c>
      <c r="E1048" s="51">
        <v>2677638889</v>
      </c>
      <c r="F1048" s="52">
        <f t="shared" si="36"/>
        <v>3.2838063459856563E-2</v>
      </c>
      <c r="G1048" s="52">
        <f t="shared" si="37"/>
        <v>2.3588387634097943E-2</v>
      </c>
    </row>
    <row r="1049" spans="1:7" ht="15" customHeight="1" x14ac:dyDescent="0.2">
      <c r="A1049" s="19" t="s">
        <v>1196</v>
      </c>
      <c r="B1049" s="50">
        <v>47.040500000000002</v>
      </c>
      <c r="C1049" s="50">
        <v>1986.45</v>
      </c>
      <c r="D1049" s="51">
        <v>30011162.371215999</v>
      </c>
      <c r="E1049" s="51">
        <v>2592561111</v>
      </c>
      <c r="F1049" s="52">
        <f t="shared" si="36"/>
        <v>7.0206865520214207E-3</v>
      </c>
      <c r="G1049" s="52">
        <f t="shared" si="37"/>
        <v>4.0859621010796536E-3</v>
      </c>
    </row>
    <row r="1050" spans="1:7" ht="15" customHeight="1" x14ac:dyDescent="0.2">
      <c r="A1050" s="19" t="s">
        <v>1197</v>
      </c>
      <c r="B1050" s="50">
        <v>46.506300000000003</v>
      </c>
      <c r="C1050" s="50">
        <v>1993.4</v>
      </c>
      <c r="D1050" s="51">
        <v>26104080.181731001</v>
      </c>
      <c r="E1050" s="51">
        <v>2823166667</v>
      </c>
      <c r="F1050" s="52">
        <f t="shared" si="36"/>
        <v>-1.1421145498414463E-2</v>
      </c>
      <c r="G1050" s="52">
        <f t="shared" si="37"/>
        <v>3.4925974922729325E-3</v>
      </c>
    </row>
    <row r="1051" spans="1:7" ht="15" customHeight="1" x14ac:dyDescent="0.2">
      <c r="A1051" s="19" t="s">
        <v>1198</v>
      </c>
      <c r="B1051" s="50">
        <v>46.222999999999999</v>
      </c>
      <c r="C1051" s="50">
        <v>1999.99</v>
      </c>
      <c r="D1051" s="51">
        <v>35663069.082197003</v>
      </c>
      <c r="E1051" s="51">
        <v>3361072222</v>
      </c>
      <c r="F1051" s="52">
        <f t="shared" si="36"/>
        <v>-6.1102775806179122E-3</v>
      </c>
      <c r="G1051" s="52">
        <f t="shared" si="37"/>
        <v>3.3004569962263434E-3</v>
      </c>
    </row>
    <row r="1052" spans="1:7" ht="15" customHeight="1" x14ac:dyDescent="0.2">
      <c r="A1052" s="19" t="s">
        <v>1199</v>
      </c>
      <c r="B1052" s="50">
        <v>45.335099999999997</v>
      </c>
      <c r="C1052" s="50">
        <v>2001.76</v>
      </c>
      <c r="D1052" s="51">
        <v>42427195.422068998</v>
      </c>
      <c r="E1052" s="51">
        <v>2760100000</v>
      </c>
      <c r="F1052" s="52">
        <f t="shared" si="36"/>
        <v>-1.9395942809705788E-2</v>
      </c>
      <c r="G1052" s="52">
        <f t="shared" si="37"/>
        <v>8.8461303950758267E-4</v>
      </c>
    </row>
    <row r="1053" spans="1:7" ht="15" customHeight="1" x14ac:dyDescent="0.2">
      <c r="A1053" s="19" t="s">
        <v>1200</v>
      </c>
      <c r="B1053" s="50">
        <v>45.886099999999999</v>
      </c>
      <c r="C1053" s="50">
        <v>1979.26</v>
      </c>
      <c r="D1053" s="51">
        <v>36409779.521251999</v>
      </c>
      <c r="E1053" s="51">
        <v>2578694444</v>
      </c>
      <c r="F1053" s="52">
        <f t="shared" si="36"/>
        <v>1.2080672062703343E-2</v>
      </c>
      <c r="G1053" s="52">
        <f t="shared" si="37"/>
        <v>-1.1303756111464681E-2</v>
      </c>
    </row>
    <row r="1054" spans="1:7" ht="15" customHeight="1" x14ac:dyDescent="0.2">
      <c r="A1054" s="19" t="s">
        <v>1201</v>
      </c>
      <c r="B1054" s="50">
        <v>46.943800000000003</v>
      </c>
      <c r="C1054" s="50">
        <v>1989.26</v>
      </c>
      <c r="D1054" s="51">
        <v>28462792.154082</v>
      </c>
      <c r="E1054" s="51">
        <v>2243400000</v>
      </c>
      <c r="F1054" s="52">
        <f t="shared" si="36"/>
        <v>2.2788902596583741E-2</v>
      </c>
      <c r="G1054" s="52">
        <f t="shared" si="37"/>
        <v>5.0396728076172173E-3</v>
      </c>
    </row>
    <row r="1055" spans="1:7" ht="15" customHeight="1" x14ac:dyDescent="0.2">
      <c r="A1055" s="19" t="s">
        <v>1202</v>
      </c>
      <c r="B1055" s="50">
        <v>46.239600000000003</v>
      </c>
      <c r="C1055" s="50">
        <v>1989.57</v>
      </c>
      <c r="D1055" s="51">
        <v>43209897.161156997</v>
      </c>
      <c r="E1055" s="51">
        <v>2431550000</v>
      </c>
      <c r="F1055" s="52">
        <f t="shared" si="36"/>
        <v>-1.5114567748456044E-2</v>
      </c>
      <c r="G1055" s="52">
        <f t="shared" si="37"/>
        <v>1.5582470255186083E-4</v>
      </c>
    </row>
    <row r="1056" spans="1:7" ht="15" customHeight="1" x14ac:dyDescent="0.2">
      <c r="A1056" s="19" t="s">
        <v>1203</v>
      </c>
      <c r="B1056" s="50">
        <v>47.146999999999998</v>
      </c>
      <c r="C1056" s="50">
        <v>2022.19</v>
      </c>
      <c r="D1056" s="51">
        <v>34101174.228509001</v>
      </c>
      <c r="E1056" s="51">
        <v>2265900000</v>
      </c>
      <c r="F1056" s="52">
        <f t="shared" si="36"/>
        <v>1.9433806524301808E-2</v>
      </c>
      <c r="G1056" s="52">
        <f t="shared" si="37"/>
        <v>1.6262547567990299E-2</v>
      </c>
    </row>
    <row r="1057" spans="1:7" ht="15" customHeight="1" x14ac:dyDescent="0.2">
      <c r="A1057" s="19" t="s">
        <v>1204</v>
      </c>
      <c r="B1057" s="50">
        <v>47.236800000000002</v>
      </c>
      <c r="C1057" s="50">
        <v>2019.64</v>
      </c>
      <c r="D1057" s="51">
        <v>27108887.986637998</v>
      </c>
      <c r="E1057" s="51">
        <v>1937694444</v>
      </c>
      <c r="F1057" s="52">
        <f t="shared" si="36"/>
        <v>1.9028694987169351E-3</v>
      </c>
      <c r="G1057" s="52">
        <f t="shared" si="37"/>
        <v>-1.2618048449994732E-3</v>
      </c>
    </row>
    <row r="1058" spans="1:7" ht="15" customHeight="1" x14ac:dyDescent="0.2">
      <c r="A1058" s="19" t="s">
        <v>1205</v>
      </c>
      <c r="B1058" s="50">
        <v>47.609900000000003</v>
      </c>
      <c r="C1058" s="50">
        <v>2015.93</v>
      </c>
      <c r="D1058" s="51">
        <v>23755839.820482999</v>
      </c>
      <c r="E1058" s="51">
        <v>1977933333</v>
      </c>
      <c r="F1058" s="52">
        <f t="shared" si="36"/>
        <v>7.8674729744519674E-3</v>
      </c>
      <c r="G1058" s="52">
        <f t="shared" si="37"/>
        <v>-1.8386503245784805E-3</v>
      </c>
    </row>
    <row r="1059" spans="1:7" ht="15" customHeight="1" x14ac:dyDescent="0.2">
      <c r="A1059" s="19" t="s">
        <v>1206</v>
      </c>
      <c r="B1059" s="50">
        <v>48.281999999999996</v>
      </c>
      <c r="C1059" s="50">
        <v>2027.22</v>
      </c>
      <c r="D1059" s="51">
        <v>35672707.305402003</v>
      </c>
      <c r="E1059" s="51">
        <v>2253900000</v>
      </c>
      <c r="F1059" s="52">
        <f t="shared" si="36"/>
        <v>1.4018097586904945E-2</v>
      </c>
      <c r="G1059" s="52">
        <f t="shared" si="37"/>
        <v>5.5847689767839007E-3</v>
      </c>
    </row>
    <row r="1060" spans="1:7" ht="15" customHeight="1" x14ac:dyDescent="0.2">
      <c r="A1060" s="19" t="s">
        <v>1207</v>
      </c>
      <c r="B1060" s="50">
        <v>48.558399999999999</v>
      </c>
      <c r="C1060" s="50">
        <v>2040.59</v>
      </c>
      <c r="D1060" s="51">
        <v>31769303.694200002</v>
      </c>
      <c r="E1060" s="51">
        <v>2516933333</v>
      </c>
      <c r="F1060" s="52">
        <f t="shared" si="36"/>
        <v>5.7083768872044022E-3</v>
      </c>
      <c r="G1060" s="52">
        <f t="shared" si="37"/>
        <v>6.5735853667514303E-3</v>
      </c>
    </row>
    <row r="1061" spans="1:7" ht="15" customHeight="1" x14ac:dyDescent="0.2">
      <c r="A1061" s="19" t="s">
        <v>1208</v>
      </c>
      <c r="B1061" s="50">
        <v>47.519199999999998</v>
      </c>
      <c r="C1061" s="50">
        <v>2049.58</v>
      </c>
      <c r="D1061" s="51">
        <v>76120311.606042996</v>
      </c>
      <c r="E1061" s="51">
        <v>3612855556</v>
      </c>
      <c r="F1061" s="52">
        <f t="shared" si="36"/>
        <v>-2.1633357383411173E-2</v>
      </c>
      <c r="G1061" s="52">
        <f t="shared" si="37"/>
        <v>4.3959123835568669E-3</v>
      </c>
    </row>
    <row r="1062" spans="1:7" ht="15" customHeight="1" x14ac:dyDescent="0.2">
      <c r="A1062" s="19" t="s">
        <v>1209</v>
      </c>
      <c r="B1062" s="50">
        <v>47.8504</v>
      </c>
      <c r="C1062" s="50">
        <v>2051.6</v>
      </c>
      <c r="D1062" s="51">
        <v>26931150.100205999</v>
      </c>
      <c r="E1062" s="51">
        <v>1875888889</v>
      </c>
      <c r="F1062" s="52">
        <f t="shared" si="36"/>
        <v>6.9456374248145041E-3</v>
      </c>
      <c r="G1062" s="52">
        <f t="shared" si="37"/>
        <v>9.8508242181442169E-4</v>
      </c>
    </row>
    <row r="1063" spans="1:7" ht="15" customHeight="1" x14ac:dyDescent="0.2">
      <c r="A1063" s="19" t="s">
        <v>1210</v>
      </c>
      <c r="B1063" s="50">
        <v>48.035800000000002</v>
      </c>
      <c r="C1063" s="50">
        <v>2049.8000000000002</v>
      </c>
      <c r="D1063" s="51">
        <v>26028885.864415001</v>
      </c>
      <c r="E1063" s="51">
        <v>1899144444</v>
      </c>
      <c r="F1063" s="52">
        <f t="shared" si="36"/>
        <v>3.8670889251022195E-3</v>
      </c>
      <c r="G1063" s="52">
        <f t="shared" si="37"/>
        <v>-8.7774911765066258E-4</v>
      </c>
    </row>
    <row r="1064" spans="1:7" ht="15" customHeight="1" x14ac:dyDescent="0.2">
      <c r="A1064" s="19" t="s">
        <v>1211</v>
      </c>
      <c r="B1064" s="50">
        <v>47.945999999999998</v>
      </c>
      <c r="C1064" s="50">
        <v>2036.71</v>
      </c>
      <c r="D1064" s="51">
        <v>22657526.712281</v>
      </c>
      <c r="E1064" s="51">
        <v>2021950000</v>
      </c>
      <c r="F1064" s="52">
        <f t="shared" si="36"/>
        <v>-1.8711886253799709E-3</v>
      </c>
      <c r="G1064" s="52">
        <f t="shared" si="37"/>
        <v>-6.4064665305301419E-3</v>
      </c>
    </row>
    <row r="1065" spans="1:7" ht="15" customHeight="1" x14ac:dyDescent="0.2">
      <c r="A1065" s="19" t="s">
        <v>1212</v>
      </c>
      <c r="B1065" s="50">
        <v>48.162799999999997</v>
      </c>
      <c r="C1065" s="50">
        <v>2035.94</v>
      </c>
      <c r="D1065" s="51">
        <v>22455992.222715002</v>
      </c>
      <c r="E1065" s="51">
        <v>1893177778</v>
      </c>
      <c r="F1065" s="52">
        <f t="shared" si="36"/>
        <v>4.5115612250312253E-3</v>
      </c>
      <c r="G1065" s="52">
        <f t="shared" si="37"/>
        <v>-3.7813217888834326E-4</v>
      </c>
    </row>
    <row r="1066" spans="1:7" ht="15" customHeight="1" x14ac:dyDescent="0.2">
      <c r="A1066" s="19" t="s">
        <v>1213</v>
      </c>
      <c r="B1066" s="50">
        <v>47.564999999999998</v>
      </c>
      <c r="C1066" s="50">
        <v>2037.05</v>
      </c>
      <c r="D1066" s="51">
        <v>17250269.516952999</v>
      </c>
      <c r="E1066" s="51">
        <v>1560605556</v>
      </c>
      <c r="F1066" s="52">
        <f t="shared" si="36"/>
        <v>-1.2489742186991721E-2</v>
      </c>
      <c r="G1066" s="52">
        <f t="shared" si="37"/>
        <v>5.4505413835056777E-4</v>
      </c>
    </row>
    <row r="1067" spans="1:7" ht="15" customHeight="1" x14ac:dyDescent="0.2">
      <c r="A1067" s="19" t="s">
        <v>1214</v>
      </c>
      <c r="B1067" s="50">
        <v>48.604300000000002</v>
      </c>
      <c r="C1067" s="50">
        <v>2055.0100000000002</v>
      </c>
      <c r="D1067" s="51">
        <v>24873522.542534001</v>
      </c>
      <c r="E1067" s="51">
        <v>2123516667</v>
      </c>
      <c r="F1067" s="52">
        <f t="shared" si="36"/>
        <v>2.1614807700391751E-2</v>
      </c>
      <c r="G1067" s="52">
        <f t="shared" si="37"/>
        <v>8.7780312721493121E-3</v>
      </c>
    </row>
    <row r="1068" spans="1:7" ht="15" customHeight="1" x14ac:dyDescent="0.2">
      <c r="A1068" s="19" t="s">
        <v>1215</v>
      </c>
      <c r="B1068" s="50">
        <v>48.904299999999999</v>
      </c>
      <c r="C1068" s="50">
        <v>2063.9499999999998</v>
      </c>
      <c r="D1068" s="51">
        <v>24236992.331494</v>
      </c>
      <c r="E1068" s="51">
        <v>1994616667</v>
      </c>
      <c r="F1068" s="52">
        <f t="shared" si="36"/>
        <v>6.153322816324718E-3</v>
      </c>
      <c r="G1068" s="52">
        <f t="shared" si="37"/>
        <v>4.3409084032825307E-3</v>
      </c>
    </row>
    <row r="1069" spans="1:7" ht="15" customHeight="1" x14ac:dyDescent="0.2">
      <c r="A1069" s="19" t="s">
        <v>1216</v>
      </c>
      <c r="B1069" s="50">
        <v>49.064500000000002</v>
      </c>
      <c r="C1069" s="50">
        <v>2059.7399999999998</v>
      </c>
      <c r="D1069" s="51">
        <v>26410923.572988998</v>
      </c>
      <c r="E1069" s="51">
        <v>2064044444</v>
      </c>
      <c r="F1069" s="52">
        <f t="shared" si="36"/>
        <v>3.2704318678579872E-3</v>
      </c>
      <c r="G1069" s="52">
        <f t="shared" si="37"/>
        <v>-2.041861276038347E-3</v>
      </c>
    </row>
    <row r="1070" spans="1:7" ht="15" customHeight="1" x14ac:dyDescent="0.2">
      <c r="A1070" s="19" t="s">
        <v>1217</v>
      </c>
      <c r="B1070" s="50">
        <v>49.368200000000002</v>
      </c>
      <c r="C1070" s="50">
        <v>2072.7800000000002</v>
      </c>
      <c r="D1070" s="51">
        <v>25695836.826127999</v>
      </c>
      <c r="E1070" s="51">
        <v>2083327778</v>
      </c>
      <c r="F1070" s="52">
        <f t="shared" si="36"/>
        <v>6.1707331748246863E-3</v>
      </c>
      <c r="G1070" s="52">
        <f t="shared" si="37"/>
        <v>6.3109401913092533E-3</v>
      </c>
    </row>
    <row r="1071" spans="1:7" ht="15" customHeight="1" x14ac:dyDescent="0.2">
      <c r="A1071" s="19" t="s">
        <v>1218</v>
      </c>
      <c r="B1071" s="50">
        <v>49.244900000000001</v>
      </c>
      <c r="C1071" s="50">
        <v>2066.13</v>
      </c>
      <c r="D1071" s="51">
        <v>19380850.254209999</v>
      </c>
      <c r="E1071" s="51">
        <v>1936505556</v>
      </c>
      <c r="F1071" s="52">
        <f t="shared" si="36"/>
        <v>-2.5006832612269915E-3</v>
      </c>
      <c r="G1071" s="52">
        <f t="shared" si="37"/>
        <v>-3.2134091933979764E-3</v>
      </c>
    </row>
    <row r="1072" spans="1:7" ht="15" customHeight="1" x14ac:dyDescent="0.2">
      <c r="A1072" s="19" t="s">
        <v>1219</v>
      </c>
      <c r="B1072" s="50">
        <v>48.471600000000002</v>
      </c>
      <c r="C1072" s="50">
        <v>2045.17</v>
      </c>
      <c r="D1072" s="51">
        <v>19400813.682535</v>
      </c>
      <c r="E1072" s="51">
        <v>2308288889</v>
      </c>
      <c r="F1072" s="52">
        <f t="shared" si="36"/>
        <v>-1.5827749534783494E-2</v>
      </c>
      <c r="G1072" s="52">
        <f t="shared" si="37"/>
        <v>-1.0196376617517549E-2</v>
      </c>
    </row>
    <row r="1073" spans="1:7" ht="15" customHeight="1" x14ac:dyDescent="0.2">
      <c r="A1073" s="19" t="s">
        <v>1220</v>
      </c>
      <c r="B1073" s="50">
        <v>48.9696</v>
      </c>
      <c r="C1073" s="50">
        <v>2066.66</v>
      </c>
      <c r="D1073" s="51">
        <v>22202132.439808998</v>
      </c>
      <c r="E1073" s="51">
        <v>2083777778</v>
      </c>
      <c r="F1073" s="52">
        <f t="shared" si="36"/>
        <v>1.0221637992771157E-2</v>
      </c>
      <c r="G1073" s="52">
        <f t="shared" si="37"/>
        <v>1.0452861947236771E-2</v>
      </c>
    </row>
    <row r="1074" spans="1:7" ht="15" customHeight="1" x14ac:dyDescent="0.2">
      <c r="A1074" s="19" t="s">
        <v>1221</v>
      </c>
      <c r="B1074" s="50">
        <v>48.383600000000001</v>
      </c>
      <c r="C1074" s="50">
        <v>2041.91</v>
      </c>
      <c r="D1074" s="51">
        <v>18623156.295022</v>
      </c>
      <c r="E1074" s="51">
        <v>2111805556</v>
      </c>
      <c r="F1074" s="52">
        <f t="shared" si="36"/>
        <v>-1.2038784087452846E-2</v>
      </c>
      <c r="G1074" s="52">
        <f t="shared" si="37"/>
        <v>-1.2048133236940891E-2</v>
      </c>
    </row>
    <row r="1075" spans="1:7" ht="15" customHeight="1" x14ac:dyDescent="0.2">
      <c r="A1075" s="19" t="s">
        <v>1222</v>
      </c>
      <c r="B1075" s="50">
        <v>48.348500000000001</v>
      </c>
      <c r="C1075" s="50">
        <v>2047.6</v>
      </c>
      <c r="D1075" s="51">
        <v>24306494.220403001</v>
      </c>
      <c r="E1075" s="51">
        <v>1866405556</v>
      </c>
      <c r="F1075" s="52">
        <f t="shared" si="36"/>
        <v>-7.2571569397311176E-4</v>
      </c>
      <c r="G1075" s="52">
        <f t="shared" si="37"/>
        <v>2.782731266950438E-3</v>
      </c>
    </row>
    <row r="1076" spans="1:7" ht="15" customHeight="1" x14ac:dyDescent="0.2">
      <c r="A1076" s="19" t="s">
        <v>1223</v>
      </c>
      <c r="B1076" s="50">
        <v>48.245800000000003</v>
      </c>
      <c r="C1076" s="50">
        <v>2041.99</v>
      </c>
      <c r="D1076" s="51">
        <v>22243874.525876001</v>
      </c>
      <c r="E1076" s="51">
        <v>1982133333</v>
      </c>
      <c r="F1076" s="52">
        <f t="shared" si="36"/>
        <v>-2.1264202690613326E-3</v>
      </c>
      <c r="G1076" s="52">
        <f t="shared" si="37"/>
        <v>-2.7435530304558238E-3</v>
      </c>
    </row>
    <row r="1077" spans="1:7" ht="15" customHeight="1" x14ac:dyDescent="0.2">
      <c r="A1077" s="19" t="s">
        <v>1224</v>
      </c>
      <c r="B1077" s="50">
        <v>48.5505</v>
      </c>
      <c r="C1077" s="50">
        <v>2061.7199999999998</v>
      </c>
      <c r="D1077" s="51">
        <v>26780233.175457999</v>
      </c>
      <c r="E1077" s="51">
        <v>2355411111</v>
      </c>
      <c r="F1077" s="52">
        <f t="shared" si="36"/>
        <v>6.295715981384383E-3</v>
      </c>
      <c r="G1077" s="52">
        <f t="shared" si="37"/>
        <v>9.6157633089034942E-3</v>
      </c>
    </row>
    <row r="1078" spans="1:7" ht="15" customHeight="1" x14ac:dyDescent="0.2">
      <c r="A1078" s="19" t="s">
        <v>1225</v>
      </c>
      <c r="B1078" s="50">
        <v>49.173699999999997</v>
      </c>
      <c r="C1078" s="50">
        <v>2082.42</v>
      </c>
      <c r="D1078" s="51">
        <v>20540674.351372</v>
      </c>
      <c r="E1078" s="51">
        <v>2328794444</v>
      </c>
      <c r="F1078" s="52">
        <f t="shared" si="36"/>
        <v>1.2754434382948474E-2</v>
      </c>
      <c r="G1078" s="52">
        <f t="shared" si="37"/>
        <v>9.9900930750864061E-3</v>
      </c>
    </row>
    <row r="1079" spans="1:7" ht="15" customHeight="1" x14ac:dyDescent="0.2">
      <c r="A1079" s="19" t="s">
        <v>1226</v>
      </c>
      <c r="B1079" s="50">
        <v>49.181600000000003</v>
      </c>
      <c r="C1079" s="50">
        <v>2082.7800000000002</v>
      </c>
      <c r="D1079" s="51">
        <v>21654361.111542001</v>
      </c>
      <c r="E1079" s="51">
        <v>2092150000</v>
      </c>
      <c r="F1079" s="52">
        <f t="shared" si="36"/>
        <v>1.6064208064010992E-4</v>
      </c>
      <c r="G1079" s="52">
        <f t="shared" si="37"/>
        <v>1.7286084744860797E-4</v>
      </c>
    </row>
    <row r="1080" spans="1:7" ht="15" customHeight="1" x14ac:dyDescent="0.2">
      <c r="A1080" s="19" t="s">
        <v>1227</v>
      </c>
      <c r="B1080" s="50">
        <v>49.436500000000002</v>
      </c>
      <c r="C1080" s="50">
        <v>2080.73</v>
      </c>
      <c r="D1080" s="51">
        <v>28810878.008195002</v>
      </c>
      <c r="E1080" s="51">
        <v>2056361111</v>
      </c>
      <c r="F1080" s="52">
        <f t="shared" si="36"/>
        <v>5.1694479541764694E-3</v>
      </c>
      <c r="G1080" s="52">
        <f t="shared" si="37"/>
        <v>-9.8474612318046658E-4</v>
      </c>
    </row>
    <row r="1081" spans="1:7" ht="15" customHeight="1" x14ac:dyDescent="0.2">
      <c r="A1081" s="19" t="s">
        <v>1228</v>
      </c>
      <c r="B1081" s="50">
        <v>50.159300000000002</v>
      </c>
      <c r="C1081" s="50">
        <v>2094.34</v>
      </c>
      <c r="D1081" s="51">
        <v>24907624.898247998</v>
      </c>
      <c r="E1081" s="51">
        <v>1842711111</v>
      </c>
      <c r="F1081" s="52">
        <f t="shared" si="36"/>
        <v>1.4514923121143527E-2</v>
      </c>
      <c r="G1081" s="52">
        <f t="shared" si="37"/>
        <v>6.5196742612829879E-3</v>
      </c>
    </row>
    <row r="1082" spans="1:7" ht="15" customHeight="1" x14ac:dyDescent="0.2">
      <c r="A1082" s="19" t="s">
        <v>1229</v>
      </c>
      <c r="B1082" s="50">
        <v>50.095700000000001</v>
      </c>
      <c r="C1082" s="50">
        <v>2100.8000000000002</v>
      </c>
      <c r="D1082" s="51">
        <v>29397125.442922998</v>
      </c>
      <c r="E1082" s="51">
        <v>2164905556</v>
      </c>
      <c r="F1082" s="52">
        <f t="shared" si="36"/>
        <v>-1.2687648203431731E-3</v>
      </c>
      <c r="G1082" s="52">
        <f t="shared" si="37"/>
        <v>3.0797566260183499E-3</v>
      </c>
    </row>
    <row r="1083" spans="1:7" ht="15" customHeight="1" x14ac:dyDescent="0.2">
      <c r="A1083" s="19" t="s">
        <v>1230</v>
      </c>
      <c r="B1083" s="50">
        <v>49.3857</v>
      </c>
      <c r="C1083" s="50">
        <v>2102.4</v>
      </c>
      <c r="D1083" s="51">
        <v>38672045.784846</v>
      </c>
      <c r="E1083" s="51">
        <v>2324933333</v>
      </c>
      <c r="F1083" s="52">
        <f t="shared" si="36"/>
        <v>-1.4274267459970584E-2</v>
      </c>
      <c r="G1083" s="52">
        <f t="shared" si="37"/>
        <v>7.6132474175960086E-4</v>
      </c>
    </row>
    <row r="1084" spans="1:7" ht="15" customHeight="1" x14ac:dyDescent="0.2">
      <c r="A1084" s="19" t="s">
        <v>1231</v>
      </c>
      <c r="B1084" s="50">
        <v>49.5548</v>
      </c>
      <c r="C1084" s="50">
        <v>2091.48</v>
      </c>
      <c r="D1084" s="51">
        <v>38386180.425609</v>
      </c>
      <c r="E1084" s="51">
        <v>2319605556</v>
      </c>
      <c r="F1084" s="52">
        <f t="shared" si="36"/>
        <v>3.4182193267700534E-3</v>
      </c>
      <c r="G1084" s="52">
        <f t="shared" si="37"/>
        <v>-5.207599968700849E-3</v>
      </c>
    </row>
    <row r="1085" spans="1:7" ht="15" customHeight="1" x14ac:dyDescent="0.2">
      <c r="A1085" s="19" t="s">
        <v>1232</v>
      </c>
      <c r="B1085" s="50">
        <v>46.001399999999997</v>
      </c>
      <c r="C1085" s="50">
        <v>2091.58</v>
      </c>
      <c r="D1085" s="51">
        <v>136942908.85308999</v>
      </c>
      <c r="E1085" s="51">
        <v>2105877778</v>
      </c>
      <c r="F1085" s="52">
        <f t="shared" si="36"/>
        <v>-7.4407297122267235E-2</v>
      </c>
      <c r="G1085" s="52">
        <f t="shared" si="37"/>
        <v>4.7811888913341718E-5</v>
      </c>
    </row>
    <row r="1086" spans="1:7" ht="15" customHeight="1" x14ac:dyDescent="0.2">
      <c r="A1086" s="19" t="s">
        <v>1233</v>
      </c>
      <c r="B1086" s="50">
        <v>46.293300000000002</v>
      </c>
      <c r="C1086" s="50">
        <v>2087.79</v>
      </c>
      <c r="D1086" s="51">
        <v>35129646.564023003</v>
      </c>
      <c r="E1086" s="51">
        <v>1844300000</v>
      </c>
      <c r="F1086" s="52">
        <f t="shared" si="36"/>
        <v>6.3254113890131953E-3</v>
      </c>
      <c r="G1086" s="52">
        <f t="shared" si="37"/>
        <v>-1.8136709785938731E-3</v>
      </c>
    </row>
    <row r="1087" spans="1:7" ht="15" customHeight="1" x14ac:dyDescent="0.2">
      <c r="A1087" s="19" t="s">
        <v>1234</v>
      </c>
      <c r="B1087" s="50">
        <v>45.697600000000001</v>
      </c>
      <c r="C1087" s="50">
        <v>2091.6999999999998</v>
      </c>
      <c r="D1087" s="51">
        <v>36670209.144640997</v>
      </c>
      <c r="E1087" s="51">
        <v>1976216667</v>
      </c>
      <c r="F1087" s="52">
        <f t="shared" si="36"/>
        <v>-1.2951462087842786E-2</v>
      </c>
      <c r="G1087" s="52">
        <f t="shared" si="37"/>
        <v>1.8710422279640288E-3</v>
      </c>
    </row>
    <row r="1088" spans="1:7" ht="15" customHeight="1" x14ac:dyDescent="0.2">
      <c r="A1088" s="19" t="s">
        <v>1235</v>
      </c>
      <c r="B1088" s="50">
        <v>45.255200000000002</v>
      </c>
      <c r="C1088" s="50">
        <v>2095.15</v>
      </c>
      <c r="D1088" s="51">
        <v>45246828.236773998</v>
      </c>
      <c r="E1088" s="51">
        <v>2277838889</v>
      </c>
      <c r="F1088" s="52">
        <f t="shared" si="36"/>
        <v>-9.7281994392057168E-3</v>
      </c>
      <c r="G1088" s="52">
        <f t="shared" si="37"/>
        <v>1.6480173786207935E-3</v>
      </c>
    </row>
    <row r="1089" spans="1:7" ht="15" customHeight="1" x14ac:dyDescent="0.2">
      <c r="A1089" s="19" t="s">
        <v>1236</v>
      </c>
      <c r="B1089" s="50">
        <v>44.332000000000001</v>
      </c>
      <c r="C1089" s="50">
        <v>2075.81</v>
      </c>
      <c r="D1089" s="51">
        <v>43907457.166671999</v>
      </c>
      <c r="E1089" s="51">
        <v>2394355556</v>
      </c>
      <c r="F1089" s="52">
        <f t="shared" si="36"/>
        <v>-2.061081675713318E-2</v>
      </c>
      <c r="G1089" s="52">
        <f t="shared" si="37"/>
        <v>-9.2737108991200311E-3</v>
      </c>
    </row>
    <row r="1090" spans="1:7" ht="15" customHeight="1" x14ac:dyDescent="0.2">
      <c r="A1090" s="19" t="s">
        <v>1237</v>
      </c>
      <c r="B1090" s="50">
        <v>44.314700000000002</v>
      </c>
      <c r="C1090" s="50">
        <v>2065.3000000000002</v>
      </c>
      <c r="D1090" s="51">
        <v>48717033.951012999</v>
      </c>
      <c r="E1090" s="51">
        <v>2613733333</v>
      </c>
      <c r="F1090" s="52">
        <f t="shared" si="36"/>
        <v>-3.9031346276012594E-4</v>
      </c>
      <c r="G1090" s="52">
        <f t="shared" si="37"/>
        <v>-5.0759446457705557E-3</v>
      </c>
    </row>
    <row r="1091" spans="1:7" ht="15" customHeight="1" x14ac:dyDescent="0.2">
      <c r="A1091" s="19" t="s">
        <v>1238</v>
      </c>
      <c r="B1091" s="50">
        <v>44.963099999999997</v>
      </c>
      <c r="C1091" s="50">
        <v>2081.4299999999998</v>
      </c>
      <c r="D1091" s="51">
        <v>35978868.833832003</v>
      </c>
      <c r="E1091" s="51">
        <v>2133950000</v>
      </c>
      <c r="F1091" s="52">
        <f t="shared" si="36"/>
        <v>1.4525702935770692E-2</v>
      </c>
      <c r="G1091" s="52">
        <f t="shared" si="37"/>
        <v>7.779663181895582E-3</v>
      </c>
    </row>
    <row r="1092" spans="1:7" ht="15" customHeight="1" x14ac:dyDescent="0.2">
      <c r="A1092" s="19" t="s">
        <v>1239</v>
      </c>
      <c r="B1092" s="50">
        <v>44.224699999999999</v>
      </c>
      <c r="C1092" s="50">
        <v>2063.37</v>
      </c>
      <c r="D1092" s="51">
        <v>27555785.593043</v>
      </c>
      <c r="E1092" s="51">
        <v>2318550000</v>
      </c>
      <c r="F1092" s="52">
        <f t="shared" si="36"/>
        <v>-1.6558696857075506E-2</v>
      </c>
      <c r="G1092" s="52">
        <f t="shared" si="37"/>
        <v>-8.7145890251247322E-3</v>
      </c>
    </row>
    <row r="1093" spans="1:7" ht="15" customHeight="1" x14ac:dyDescent="0.2">
      <c r="A1093" s="19" t="s">
        <v>1240</v>
      </c>
      <c r="B1093" s="50">
        <v>44.304699999999997</v>
      </c>
      <c r="C1093" s="50">
        <v>2051.12</v>
      </c>
      <c r="D1093" s="51">
        <v>25495042.557018001</v>
      </c>
      <c r="E1093" s="51">
        <v>2254755556</v>
      </c>
      <c r="F1093" s="52">
        <f t="shared" si="36"/>
        <v>1.8073097022184906E-3</v>
      </c>
      <c r="G1093" s="52">
        <f t="shared" si="37"/>
        <v>-5.9545830446672615E-3</v>
      </c>
    </row>
    <row r="1094" spans="1:7" ht="15" customHeight="1" x14ac:dyDescent="0.2">
      <c r="A1094" s="19" t="s">
        <v>1241</v>
      </c>
      <c r="B1094" s="50">
        <v>44.369300000000003</v>
      </c>
      <c r="C1094" s="50">
        <v>2050.63</v>
      </c>
      <c r="D1094" s="51">
        <v>26127579.877629999</v>
      </c>
      <c r="E1094" s="51">
        <v>2226961111</v>
      </c>
      <c r="F1094" s="52">
        <f t="shared" ref="F1094:F1157" si="38">LN(B1094/B1093)</f>
        <v>1.4570226092962258E-3</v>
      </c>
      <c r="G1094" s="52">
        <f t="shared" ref="G1094:G1157" si="39">LN(C1094/C1093)</f>
        <v>-2.3892241230235656E-4</v>
      </c>
    </row>
    <row r="1095" spans="1:7" ht="15" customHeight="1" x14ac:dyDescent="0.2">
      <c r="A1095" s="19" t="s">
        <v>1242</v>
      </c>
      <c r="B1095" s="50">
        <v>44.766800000000003</v>
      </c>
      <c r="C1095" s="50">
        <v>2057.14</v>
      </c>
      <c r="D1095" s="51">
        <v>26101339.420788001</v>
      </c>
      <c r="E1095" s="51">
        <v>2109083333</v>
      </c>
      <c r="F1095" s="52">
        <f t="shared" si="38"/>
        <v>8.919004422342957E-3</v>
      </c>
      <c r="G1095" s="52">
        <f t="shared" si="39"/>
        <v>3.1696056255198523E-3</v>
      </c>
    </row>
    <row r="1096" spans="1:7" ht="15" customHeight="1" x14ac:dyDescent="0.2">
      <c r="A1096" s="19" t="s">
        <v>1243</v>
      </c>
      <c r="B1096" s="50">
        <v>44.482599999999998</v>
      </c>
      <c r="C1096" s="50">
        <v>2058.69</v>
      </c>
      <c r="D1096" s="51">
        <v>18229441.941489998</v>
      </c>
      <c r="E1096" s="51">
        <v>2104788889</v>
      </c>
      <c r="F1096" s="52">
        <f t="shared" si="38"/>
        <v>-6.3686917917862374E-3</v>
      </c>
      <c r="G1096" s="52">
        <f t="shared" si="39"/>
        <v>7.5318955023680417E-4</v>
      </c>
    </row>
    <row r="1097" spans="1:7" ht="15" customHeight="1" x14ac:dyDescent="0.2">
      <c r="A1097" s="19" t="s">
        <v>1244</v>
      </c>
      <c r="B1097" s="50">
        <v>45.325400000000002</v>
      </c>
      <c r="C1097" s="50">
        <v>2084.39</v>
      </c>
      <c r="D1097" s="51">
        <v>24059188.920706999</v>
      </c>
      <c r="E1097" s="51">
        <v>2000111111</v>
      </c>
      <c r="F1097" s="52">
        <f t="shared" si="38"/>
        <v>1.8769480282242717E-2</v>
      </c>
      <c r="G1097" s="52">
        <f t="shared" si="39"/>
        <v>1.2406388310731433E-2</v>
      </c>
    </row>
    <row r="1098" spans="1:7" ht="15" customHeight="1" x14ac:dyDescent="0.2">
      <c r="A1098" s="19" t="s">
        <v>1245</v>
      </c>
      <c r="B1098" s="50">
        <v>45.352899999999998</v>
      </c>
      <c r="C1098" s="50">
        <v>2064.46</v>
      </c>
      <c r="D1098" s="51">
        <v>21427974.462419</v>
      </c>
      <c r="E1098" s="51">
        <v>2123322222</v>
      </c>
      <c r="F1098" s="52">
        <f t="shared" si="38"/>
        <v>6.0653984124275418E-4</v>
      </c>
      <c r="G1098" s="52">
        <f t="shared" si="39"/>
        <v>-9.6075554928176481E-3</v>
      </c>
    </row>
    <row r="1099" spans="1:7" ht="15" customHeight="1" x14ac:dyDescent="0.2">
      <c r="A1099" s="19" t="s">
        <v>1246</v>
      </c>
      <c r="B1099" s="50">
        <v>45.761000000000003</v>
      </c>
      <c r="C1099" s="50">
        <v>2064.11</v>
      </c>
      <c r="D1099" s="51">
        <v>25707714.139426999</v>
      </c>
      <c r="E1099" s="51">
        <v>2101327778</v>
      </c>
      <c r="F1099" s="52">
        <f t="shared" si="38"/>
        <v>8.9580783847208641E-3</v>
      </c>
      <c r="G1099" s="52">
        <f t="shared" si="39"/>
        <v>-1.6955023208444766E-4</v>
      </c>
    </row>
    <row r="1100" spans="1:7" ht="15" customHeight="1" x14ac:dyDescent="0.2">
      <c r="A1100" s="19" t="s">
        <v>1247</v>
      </c>
      <c r="B1100" s="50">
        <v>45.38</v>
      </c>
      <c r="C1100" s="50">
        <v>2046.61</v>
      </c>
      <c r="D1100" s="51">
        <v>22971859.332639001</v>
      </c>
      <c r="E1100" s="51">
        <v>1988822222</v>
      </c>
      <c r="F1100" s="52">
        <f t="shared" si="38"/>
        <v>-8.3607206279234358E-3</v>
      </c>
      <c r="G1100" s="52">
        <f t="shared" si="39"/>
        <v>-8.5143749616302909E-3</v>
      </c>
    </row>
    <row r="1101" spans="1:7" ht="15" customHeight="1" x14ac:dyDescent="0.2">
      <c r="A1101" s="19" t="s">
        <v>1248</v>
      </c>
      <c r="B1101" s="50">
        <v>46.048299999999998</v>
      </c>
      <c r="C1101" s="50">
        <v>2066.66</v>
      </c>
      <c r="D1101" s="51">
        <v>16339922.237589</v>
      </c>
      <c r="E1101" s="51">
        <v>1945200000</v>
      </c>
      <c r="F1101" s="52">
        <f t="shared" si="38"/>
        <v>1.4619366272970691E-2</v>
      </c>
      <c r="G1101" s="52">
        <f t="shared" si="39"/>
        <v>9.7490117600573523E-3</v>
      </c>
    </row>
    <row r="1102" spans="1:7" ht="15" customHeight="1" x14ac:dyDescent="0.2">
      <c r="A1102" s="19" t="s">
        <v>1249</v>
      </c>
      <c r="B1102" s="50">
        <v>45.188699999999997</v>
      </c>
      <c r="C1102" s="50">
        <v>2047.21</v>
      </c>
      <c r="D1102" s="51">
        <v>27764893.264789999</v>
      </c>
      <c r="E1102" s="51">
        <v>2282755556</v>
      </c>
      <c r="F1102" s="52">
        <f t="shared" si="38"/>
        <v>-1.8843790041690154E-2</v>
      </c>
      <c r="G1102" s="52">
        <f t="shared" si="39"/>
        <v>-9.4558869991757388E-3</v>
      </c>
    </row>
    <row r="1103" spans="1:7" ht="15" customHeight="1" x14ac:dyDescent="0.2">
      <c r="A1103" s="19" t="s">
        <v>1250</v>
      </c>
      <c r="B1103" s="50">
        <v>45.4574</v>
      </c>
      <c r="C1103" s="50">
        <v>2047.63</v>
      </c>
      <c r="D1103" s="51">
        <v>21236982.227403</v>
      </c>
      <c r="E1103" s="51">
        <v>2278511111</v>
      </c>
      <c r="F1103" s="52">
        <f t="shared" si="38"/>
        <v>5.9285680690075301E-3</v>
      </c>
      <c r="G1103" s="52">
        <f t="shared" si="39"/>
        <v>2.0513622093808805E-4</v>
      </c>
    </row>
    <row r="1104" spans="1:7" ht="15" customHeight="1" x14ac:dyDescent="0.2">
      <c r="A1104" s="19" t="s">
        <v>1251</v>
      </c>
      <c r="B1104" s="50">
        <v>45.018700000000003</v>
      </c>
      <c r="C1104" s="50">
        <v>2040.04</v>
      </c>
      <c r="D1104" s="51">
        <v>25938154.084242001</v>
      </c>
      <c r="E1104" s="51">
        <v>2137094444</v>
      </c>
      <c r="F1104" s="52">
        <f t="shared" si="38"/>
        <v>-9.6976646454054356E-3</v>
      </c>
      <c r="G1104" s="52">
        <f t="shared" si="39"/>
        <v>-3.7136112860127355E-3</v>
      </c>
    </row>
    <row r="1105" spans="1:7" ht="15" customHeight="1" x14ac:dyDescent="0.2">
      <c r="A1105" s="19" t="s">
        <v>1252</v>
      </c>
      <c r="B1105" s="50">
        <v>45.283499999999997</v>
      </c>
      <c r="C1105" s="50">
        <v>2052.3200000000002</v>
      </c>
      <c r="D1105" s="51">
        <v>24128860.763413999</v>
      </c>
      <c r="E1105" s="51">
        <v>1948694444</v>
      </c>
      <c r="F1105" s="52">
        <f t="shared" si="38"/>
        <v>5.8647687208918066E-3</v>
      </c>
      <c r="G1105" s="52">
        <f t="shared" si="39"/>
        <v>6.0014450623727053E-3</v>
      </c>
    </row>
    <row r="1106" spans="1:7" ht="15" customHeight="1" x14ac:dyDescent="0.2">
      <c r="A1106" s="19" t="s">
        <v>1253</v>
      </c>
      <c r="B1106" s="50">
        <v>44.758000000000003</v>
      </c>
      <c r="C1106" s="50">
        <v>2048.04</v>
      </c>
      <c r="D1106" s="51">
        <v>25105054.901218999</v>
      </c>
      <c r="E1106" s="51">
        <v>1697488889</v>
      </c>
      <c r="F1106" s="52">
        <f t="shared" si="38"/>
        <v>-1.1672528034507046E-2</v>
      </c>
      <c r="G1106" s="52">
        <f t="shared" si="39"/>
        <v>-2.0876223328746188E-3</v>
      </c>
    </row>
    <row r="1107" spans="1:7" ht="15" customHeight="1" x14ac:dyDescent="0.2">
      <c r="A1107" s="19" t="s">
        <v>1254</v>
      </c>
      <c r="B1107" s="50">
        <v>46.151600000000002</v>
      </c>
      <c r="C1107" s="50">
        <v>2076.06</v>
      </c>
      <c r="D1107" s="51">
        <v>35140602.441067003</v>
      </c>
      <c r="E1107" s="51">
        <v>2015188889</v>
      </c>
      <c r="F1107" s="52">
        <f t="shared" si="38"/>
        <v>3.066143021071922E-2</v>
      </c>
      <c r="G1107" s="52">
        <f t="shared" si="39"/>
        <v>1.3588628383570183E-2</v>
      </c>
    </row>
    <row r="1108" spans="1:7" ht="15" customHeight="1" x14ac:dyDescent="0.2">
      <c r="A1108" s="19" t="s">
        <v>1255</v>
      </c>
      <c r="B1108" s="50">
        <v>46.643999999999998</v>
      </c>
      <c r="C1108" s="50">
        <v>2090.54</v>
      </c>
      <c r="D1108" s="51">
        <v>23188112.230618</v>
      </c>
      <c r="E1108" s="51">
        <v>2143977778</v>
      </c>
      <c r="F1108" s="52">
        <f t="shared" si="38"/>
        <v>1.0612671754404078E-2</v>
      </c>
      <c r="G1108" s="52">
        <f t="shared" si="39"/>
        <v>6.9505391897537305E-3</v>
      </c>
    </row>
    <row r="1109" spans="1:7" ht="15" customHeight="1" x14ac:dyDescent="0.2">
      <c r="A1109" s="19" t="s">
        <v>1256</v>
      </c>
      <c r="B1109" s="50">
        <v>46.425400000000003</v>
      </c>
      <c r="C1109" s="50">
        <v>2090.1</v>
      </c>
      <c r="D1109" s="51">
        <v>25589639.250362001</v>
      </c>
      <c r="E1109" s="51">
        <v>1794994444</v>
      </c>
      <c r="F1109" s="52">
        <f t="shared" si="38"/>
        <v>-4.6975784090464321E-3</v>
      </c>
      <c r="G1109" s="52">
        <f t="shared" si="39"/>
        <v>-2.1049408780701167E-4</v>
      </c>
    </row>
    <row r="1110" spans="1:7" ht="15" customHeight="1" x14ac:dyDescent="0.2">
      <c r="A1110" s="19" t="s">
        <v>1257</v>
      </c>
      <c r="B1110" s="50">
        <v>46.799399999999999</v>
      </c>
      <c r="C1110" s="50">
        <v>2099.06</v>
      </c>
      <c r="D1110" s="51">
        <v>15546606.576686</v>
      </c>
      <c r="E1110" s="51">
        <v>1710638889</v>
      </c>
      <c r="F1110" s="52">
        <f t="shared" si="38"/>
        <v>8.0236590795571064E-3</v>
      </c>
      <c r="G1110" s="52">
        <f t="shared" si="39"/>
        <v>4.2777137484011473E-3</v>
      </c>
    </row>
    <row r="1111" spans="1:7" ht="15" customHeight="1" x14ac:dyDescent="0.2">
      <c r="A1111" s="19" t="s">
        <v>1258</v>
      </c>
      <c r="B1111" s="50">
        <v>47.416600000000003</v>
      </c>
      <c r="C1111" s="50">
        <v>2096.9499999999998</v>
      </c>
      <c r="D1111" s="51">
        <v>35996459.051898003</v>
      </c>
      <c r="E1111" s="51">
        <v>2508005556</v>
      </c>
      <c r="F1111" s="52">
        <f t="shared" si="38"/>
        <v>1.3101996033349895E-2</v>
      </c>
      <c r="G1111" s="52">
        <f t="shared" si="39"/>
        <v>-1.0057174210022859E-3</v>
      </c>
    </row>
    <row r="1112" spans="1:7" ht="15" customHeight="1" x14ac:dyDescent="0.2">
      <c r="A1112" s="19" t="s">
        <v>1259</v>
      </c>
      <c r="B1112" s="50">
        <v>47.290599999999998</v>
      </c>
      <c r="C1112" s="50">
        <v>2099.33</v>
      </c>
      <c r="D1112" s="51">
        <v>24342155.851020999</v>
      </c>
      <c r="E1112" s="51">
        <v>1958427778</v>
      </c>
      <c r="F1112" s="52">
        <f t="shared" si="38"/>
        <v>-2.6608341148380865E-3</v>
      </c>
      <c r="G1112" s="52">
        <f t="shared" si="39"/>
        <v>1.1343381543654862E-3</v>
      </c>
    </row>
    <row r="1113" spans="1:7" ht="15" customHeight="1" x14ac:dyDescent="0.2">
      <c r="A1113" s="19" t="s">
        <v>1260</v>
      </c>
      <c r="B1113" s="50">
        <v>46.949800000000003</v>
      </c>
      <c r="C1113" s="50">
        <v>2105.2600000000002</v>
      </c>
      <c r="D1113" s="51">
        <v>24779586.211838</v>
      </c>
      <c r="E1113" s="51">
        <v>2018177778</v>
      </c>
      <c r="F1113" s="52">
        <f t="shared" si="38"/>
        <v>-7.2325984528151385E-3</v>
      </c>
      <c r="G1113" s="52">
        <f t="shared" si="39"/>
        <v>2.8207287425610055E-3</v>
      </c>
    </row>
    <row r="1114" spans="1:7" ht="15" customHeight="1" x14ac:dyDescent="0.2">
      <c r="A1114" s="19" t="s">
        <v>1261</v>
      </c>
      <c r="B1114" s="50">
        <v>46.332500000000003</v>
      </c>
      <c r="C1114" s="50">
        <v>2099.13</v>
      </c>
      <c r="D1114" s="51">
        <v>24100025.951611999</v>
      </c>
      <c r="E1114" s="51">
        <v>2015433333</v>
      </c>
      <c r="F1114" s="52">
        <f t="shared" si="38"/>
        <v>-1.323528710496529E-2</v>
      </c>
      <c r="G1114" s="52">
        <f t="shared" si="39"/>
        <v>-2.916001771314822E-3</v>
      </c>
    </row>
    <row r="1115" spans="1:7" ht="15" customHeight="1" x14ac:dyDescent="0.2">
      <c r="A1115" s="19" t="s">
        <v>1262</v>
      </c>
      <c r="B1115" s="50">
        <v>46.634399999999999</v>
      </c>
      <c r="C1115" s="50">
        <v>2109.41</v>
      </c>
      <c r="D1115" s="51">
        <v>18511818.128784001</v>
      </c>
      <c r="E1115" s="51">
        <v>1912233333</v>
      </c>
      <c r="F1115" s="52">
        <f t="shared" si="38"/>
        <v>6.4948075334612049E-3</v>
      </c>
      <c r="G1115" s="52">
        <f t="shared" si="39"/>
        <v>4.8853143586385676E-3</v>
      </c>
    </row>
    <row r="1116" spans="1:7" ht="15" customHeight="1" x14ac:dyDescent="0.2">
      <c r="A1116" s="19" t="s">
        <v>1263</v>
      </c>
      <c r="B1116" s="50">
        <v>46.608800000000002</v>
      </c>
      <c r="C1116" s="50">
        <v>2112.13</v>
      </c>
      <c r="D1116" s="51">
        <v>20306996.070037</v>
      </c>
      <c r="E1116" s="51">
        <v>1963738889</v>
      </c>
      <c r="F1116" s="52">
        <f t="shared" si="38"/>
        <v>-5.4910171772792448E-4</v>
      </c>
      <c r="G1116" s="52">
        <f t="shared" si="39"/>
        <v>1.2886294463136218E-3</v>
      </c>
    </row>
    <row r="1117" spans="1:7" ht="15" customHeight="1" x14ac:dyDescent="0.2">
      <c r="A1117" s="19" t="s">
        <v>1264</v>
      </c>
      <c r="B1117" s="50">
        <v>46.554000000000002</v>
      </c>
      <c r="C1117" s="50">
        <v>2119.12</v>
      </c>
      <c r="D1117" s="51">
        <v>22413354.295846</v>
      </c>
      <c r="E1117" s="51">
        <v>1978922222</v>
      </c>
      <c r="F1117" s="52">
        <f t="shared" si="38"/>
        <v>-1.1764353651944072E-3</v>
      </c>
      <c r="G1117" s="52">
        <f t="shared" si="39"/>
        <v>3.3039911887868061E-3</v>
      </c>
    </row>
    <row r="1118" spans="1:7" ht="15" customHeight="1" x14ac:dyDescent="0.2">
      <c r="A1118" s="19" t="s">
        <v>1265</v>
      </c>
      <c r="B1118" s="50">
        <v>46.179099999999998</v>
      </c>
      <c r="C1118" s="50">
        <v>2115.48</v>
      </c>
      <c r="D1118" s="51">
        <v>21211620.206454001</v>
      </c>
      <c r="E1118" s="51">
        <v>1827955556</v>
      </c>
      <c r="F1118" s="52">
        <f t="shared" si="38"/>
        <v>-8.0856143596883031E-3</v>
      </c>
      <c r="G1118" s="52">
        <f t="shared" si="39"/>
        <v>-1.7191710652795132E-3</v>
      </c>
    </row>
    <row r="1119" spans="1:7" ht="15" customHeight="1" x14ac:dyDescent="0.2">
      <c r="A1119" s="19" t="s">
        <v>1266</v>
      </c>
      <c r="B1119" s="50">
        <v>46.055999999999997</v>
      </c>
      <c r="C1119" s="50">
        <v>2096.0700000000002</v>
      </c>
      <c r="D1119" s="51">
        <v>26880675.869917002</v>
      </c>
      <c r="E1119" s="51">
        <v>1952783333</v>
      </c>
      <c r="F1119" s="52">
        <f t="shared" si="38"/>
        <v>-2.6692674066704993E-3</v>
      </c>
      <c r="G1119" s="52">
        <f t="shared" si="39"/>
        <v>-9.2175742558201733E-3</v>
      </c>
    </row>
    <row r="1120" spans="1:7" ht="15" customHeight="1" x14ac:dyDescent="0.2">
      <c r="A1120" s="19" t="s">
        <v>1267</v>
      </c>
      <c r="B1120" s="50">
        <v>44.856699999999996</v>
      </c>
      <c r="C1120" s="50">
        <v>2079.06</v>
      </c>
      <c r="D1120" s="51">
        <v>89262068.873385996</v>
      </c>
      <c r="E1120" s="51">
        <v>1884461111</v>
      </c>
      <c r="F1120" s="52">
        <f t="shared" si="38"/>
        <v>-2.6385083180767932E-2</v>
      </c>
      <c r="G1120" s="52">
        <f t="shared" si="39"/>
        <v>-8.1482943594018125E-3</v>
      </c>
    </row>
    <row r="1121" spans="1:7" ht="15" customHeight="1" x14ac:dyDescent="0.2">
      <c r="A1121" s="19" t="s">
        <v>1268</v>
      </c>
      <c r="B1121" s="50">
        <v>44.576300000000003</v>
      </c>
      <c r="C1121" s="50">
        <v>2075.3200000000002</v>
      </c>
      <c r="D1121" s="51">
        <v>46591118.752649002</v>
      </c>
      <c r="E1121" s="51">
        <v>2088761111</v>
      </c>
      <c r="F1121" s="52">
        <f t="shared" si="38"/>
        <v>-6.2706365390257663E-3</v>
      </c>
      <c r="G1121" s="52">
        <f t="shared" si="39"/>
        <v>-1.80050982836035E-3</v>
      </c>
    </row>
    <row r="1122" spans="1:7" ht="15" customHeight="1" x14ac:dyDescent="0.2">
      <c r="A1122" s="19" t="s">
        <v>1269</v>
      </c>
      <c r="B1122" s="50">
        <v>44.454099999999997</v>
      </c>
      <c r="C1122" s="50">
        <v>2071.5</v>
      </c>
      <c r="D1122" s="51">
        <v>31747693.966435999</v>
      </c>
      <c r="E1122" s="51">
        <v>1969288889</v>
      </c>
      <c r="F1122" s="52">
        <f t="shared" si="38"/>
        <v>-2.7451314773160275E-3</v>
      </c>
      <c r="G1122" s="52">
        <f t="shared" si="39"/>
        <v>-1.8423761246134855E-3</v>
      </c>
    </row>
    <row r="1123" spans="1:7" ht="15" customHeight="1" x14ac:dyDescent="0.2">
      <c r="A1123" s="19" t="s">
        <v>1270</v>
      </c>
      <c r="B1123" s="50">
        <v>45.080399999999997</v>
      </c>
      <c r="C1123" s="50">
        <v>2077.9899999999998</v>
      </c>
      <c r="D1123" s="51">
        <v>32274964.361898001</v>
      </c>
      <c r="E1123" s="51">
        <v>2015711111</v>
      </c>
      <c r="F1123" s="52">
        <f t="shared" si="38"/>
        <v>1.3990366070274155E-2</v>
      </c>
      <c r="G1123" s="52">
        <f t="shared" si="39"/>
        <v>3.1280978105988734E-3</v>
      </c>
    </row>
    <row r="1124" spans="1:7" ht="15" customHeight="1" x14ac:dyDescent="0.2">
      <c r="A1124" s="19" t="s">
        <v>1271</v>
      </c>
      <c r="B1124" s="50">
        <v>44.846699999999998</v>
      </c>
      <c r="C1124" s="50">
        <v>2071.2199999999998</v>
      </c>
      <c r="D1124" s="51">
        <v>46673982.491039999</v>
      </c>
      <c r="E1124" s="51">
        <v>2751461111</v>
      </c>
      <c r="F1124" s="52">
        <f t="shared" si="38"/>
        <v>-5.1975550442230969E-3</v>
      </c>
      <c r="G1124" s="52">
        <f t="shared" si="39"/>
        <v>-3.2632746994190635E-3</v>
      </c>
    </row>
    <row r="1125" spans="1:7" ht="15" customHeight="1" x14ac:dyDescent="0.2">
      <c r="A1125" s="19" t="s">
        <v>1272</v>
      </c>
      <c r="B1125" s="50">
        <v>44.793100000000003</v>
      </c>
      <c r="C1125" s="50">
        <v>2083.25</v>
      </c>
      <c r="D1125" s="51">
        <v>37285208.461910002</v>
      </c>
      <c r="E1125" s="51">
        <v>1926355556</v>
      </c>
      <c r="F1125" s="52">
        <f t="shared" si="38"/>
        <v>-1.1958975006211799E-3</v>
      </c>
      <c r="G1125" s="52">
        <f t="shared" si="39"/>
        <v>5.7913686336797431E-3</v>
      </c>
    </row>
    <row r="1126" spans="1:7" ht="15" customHeight="1" x14ac:dyDescent="0.2">
      <c r="A1126" s="19" t="s">
        <v>1273</v>
      </c>
      <c r="B1126" s="50">
        <v>45.795200000000001</v>
      </c>
      <c r="C1126" s="50">
        <v>2088.9</v>
      </c>
      <c r="D1126" s="51">
        <v>34979231.310122997</v>
      </c>
      <c r="E1126" s="51">
        <v>1796044444</v>
      </c>
      <c r="F1126" s="52">
        <f t="shared" si="38"/>
        <v>2.2125172432591073E-2</v>
      </c>
      <c r="G1126" s="52">
        <f t="shared" si="39"/>
        <v>2.7084373542945453E-3</v>
      </c>
    </row>
    <row r="1127" spans="1:7" ht="15" customHeight="1" x14ac:dyDescent="0.2">
      <c r="A1127" s="19" t="s">
        <v>1274</v>
      </c>
      <c r="B1127" s="50">
        <v>45.626399999999997</v>
      </c>
      <c r="C1127" s="50">
        <v>2085.4499999999998</v>
      </c>
      <c r="D1127" s="51">
        <v>27656812.887614001</v>
      </c>
      <c r="E1127" s="51">
        <v>1760088889</v>
      </c>
      <c r="F1127" s="52">
        <f t="shared" si="38"/>
        <v>-3.6927857710301604E-3</v>
      </c>
      <c r="G1127" s="52">
        <f t="shared" si="39"/>
        <v>-1.6529523329488472E-3</v>
      </c>
    </row>
    <row r="1128" spans="1:7" ht="15" customHeight="1" x14ac:dyDescent="0.2">
      <c r="A1128" s="19" t="s">
        <v>1275</v>
      </c>
      <c r="B1128" s="50">
        <v>46.442700000000002</v>
      </c>
      <c r="C1128" s="50">
        <v>2113.3200000000002</v>
      </c>
      <c r="D1128" s="51">
        <v>29273973.440106999</v>
      </c>
      <c r="E1128" s="51">
        <v>1832188889</v>
      </c>
      <c r="F1128" s="52">
        <f t="shared" si="38"/>
        <v>1.7732798311147852E-2</v>
      </c>
      <c r="G1128" s="52">
        <f t="shared" si="39"/>
        <v>1.3275511311332405E-2</v>
      </c>
    </row>
    <row r="1129" spans="1:7" ht="15" customHeight="1" x14ac:dyDescent="0.2">
      <c r="A1129" s="19" t="s">
        <v>1276</v>
      </c>
      <c r="B1129" s="50">
        <v>44.576300000000003</v>
      </c>
      <c r="C1129" s="50">
        <v>2037.41</v>
      </c>
      <c r="D1129" s="51">
        <v>70376549.986479998</v>
      </c>
      <c r="E1129" s="51">
        <v>4220805556</v>
      </c>
      <c r="F1129" s="52">
        <f t="shared" si="38"/>
        <v>-4.1016967020822637E-2</v>
      </c>
      <c r="G1129" s="52">
        <f t="shared" si="39"/>
        <v>-3.6580777234719343E-2</v>
      </c>
    </row>
    <row r="1130" spans="1:7" ht="15" customHeight="1" x14ac:dyDescent="0.2">
      <c r="A1130" s="19" t="s">
        <v>1277</v>
      </c>
      <c r="B1130" s="50">
        <v>43.327199999999998</v>
      </c>
      <c r="C1130" s="50">
        <v>2000.54</v>
      </c>
      <c r="D1130" s="51">
        <v>55375957.866270997</v>
      </c>
      <c r="E1130" s="51">
        <v>3017344444</v>
      </c>
      <c r="F1130" s="52">
        <f t="shared" si="38"/>
        <v>-2.8421714345293735E-2</v>
      </c>
      <c r="G1130" s="52">
        <f t="shared" si="39"/>
        <v>-1.826224926163297E-2</v>
      </c>
    </row>
    <row r="1131" spans="1:7" ht="15" customHeight="1" x14ac:dyDescent="0.2">
      <c r="A1131" s="19" t="s">
        <v>1278</v>
      </c>
      <c r="B1131" s="50">
        <v>44.229599999999998</v>
      </c>
      <c r="C1131" s="50">
        <v>2036.09</v>
      </c>
      <c r="D1131" s="51">
        <v>39743905.482047997</v>
      </c>
      <c r="E1131" s="51">
        <v>2436561111</v>
      </c>
      <c r="F1131" s="52">
        <f t="shared" si="38"/>
        <v>2.0613634895379089E-2</v>
      </c>
      <c r="G1131" s="52">
        <f t="shared" si="39"/>
        <v>1.76141579169895E-2</v>
      </c>
    </row>
    <row r="1132" spans="1:7" ht="15" customHeight="1" x14ac:dyDescent="0.2">
      <c r="A1132" s="19" t="s">
        <v>1279</v>
      </c>
      <c r="B1132" s="50">
        <v>45.213999999999999</v>
      </c>
      <c r="C1132" s="50">
        <v>2070.77</v>
      </c>
      <c r="D1132" s="51">
        <v>30555985.103475001</v>
      </c>
      <c r="E1132" s="51">
        <v>2356522222</v>
      </c>
      <c r="F1132" s="52">
        <f t="shared" si="38"/>
        <v>2.2012525189827985E-2</v>
      </c>
      <c r="G1132" s="52">
        <f t="shared" si="39"/>
        <v>1.6889216752452151E-2</v>
      </c>
    </row>
    <row r="1133" spans="1:7" ht="15" customHeight="1" x14ac:dyDescent="0.2">
      <c r="A1133" s="19" t="s">
        <v>1280</v>
      </c>
      <c r="B1133" s="50">
        <v>45.776899999999998</v>
      </c>
      <c r="C1133" s="50">
        <v>2098.86</v>
      </c>
      <c r="D1133" s="51">
        <v>29226586.021262001</v>
      </c>
      <c r="E1133" s="51">
        <v>2568233333</v>
      </c>
      <c r="F1133" s="52">
        <f t="shared" si="38"/>
        <v>1.2372823678559474E-2</v>
      </c>
      <c r="G1133" s="52">
        <f t="shared" si="39"/>
        <v>1.3473821400287618E-2</v>
      </c>
    </row>
    <row r="1134" spans="1:7" ht="15" customHeight="1" x14ac:dyDescent="0.2">
      <c r="A1134" s="19" t="s">
        <v>1281</v>
      </c>
      <c r="B1134" s="50">
        <v>45.767899999999997</v>
      </c>
      <c r="C1134" s="50">
        <v>2102.9499999999998</v>
      </c>
      <c r="D1134" s="51">
        <v>22258546.862475</v>
      </c>
      <c r="E1134" s="51">
        <v>1921605556</v>
      </c>
      <c r="F1134" s="52">
        <f t="shared" si="38"/>
        <v>-1.966250410508745E-4</v>
      </c>
      <c r="G1134" s="52">
        <f t="shared" si="39"/>
        <v>1.9467806929598444E-3</v>
      </c>
    </row>
    <row r="1135" spans="1:7" ht="15" customHeight="1" x14ac:dyDescent="0.2">
      <c r="A1135" s="19" t="s">
        <v>1282</v>
      </c>
      <c r="B1135" s="50">
        <v>45.776899999999998</v>
      </c>
      <c r="C1135" s="50">
        <v>2088.5500000000002</v>
      </c>
      <c r="D1135" s="51">
        <v>26343690.464896999</v>
      </c>
      <c r="E1135" s="51">
        <v>2032433333</v>
      </c>
      <c r="F1135" s="52">
        <f t="shared" si="38"/>
        <v>1.9662504105083542E-4</v>
      </c>
      <c r="G1135" s="52">
        <f t="shared" si="39"/>
        <v>-6.8710755834286629E-3</v>
      </c>
    </row>
    <row r="1136" spans="1:7" ht="15" customHeight="1" x14ac:dyDescent="0.2">
      <c r="A1136" s="19" t="s">
        <v>1283</v>
      </c>
      <c r="B1136" s="50">
        <v>45.967100000000002</v>
      </c>
      <c r="C1136" s="50">
        <v>2099.73</v>
      </c>
      <c r="D1136" s="51">
        <v>29344697.767779</v>
      </c>
      <c r="E1136" s="51">
        <v>2171877778</v>
      </c>
      <c r="F1136" s="52">
        <f t="shared" si="38"/>
        <v>4.1463261356263232E-3</v>
      </c>
      <c r="G1136" s="52">
        <f t="shared" si="39"/>
        <v>5.3387197390260708E-3</v>
      </c>
    </row>
    <row r="1137" spans="1:7" ht="15" customHeight="1" x14ac:dyDescent="0.2">
      <c r="A1137" s="19" t="s">
        <v>1284</v>
      </c>
      <c r="B1137" s="50">
        <v>45.967100000000002</v>
      </c>
      <c r="C1137" s="50">
        <v>2097.9</v>
      </c>
      <c r="D1137" s="51">
        <v>20051713.180029001</v>
      </c>
      <c r="E1137" s="51">
        <v>2002527778</v>
      </c>
      <c r="F1137" s="52">
        <f t="shared" si="38"/>
        <v>0</v>
      </c>
      <c r="G1137" s="52">
        <f t="shared" si="39"/>
        <v>-8.7192063899741768E-4</v>
      </c>
    </row>
    <row r="1138" spans="1:7" ht="15" customHeight="1" x14ac:dyDescent="0.2">
      <c r="A1138" s="19" t="s">
        <v>1285</v>
      </c>
      <c r="B1138" s="50">
        <v>46.791600000000003</v>
      </c>
      <c r="C1138" s="50">
        <v>2129.9</v>
      </c>
      <c r="D1138" s="51">
        <v>30127754.771731999</v>
      </c>
      <c r="E1138" s="51">
        <v>2004166667</v>
      </c>
      <c r="F1138" s="52">
        <f t="shared" si="38"/>
        <v>1.7777776426548819E-2</v>
      </c>
      <c r="G1138" s="52">
        <f t="shared" si="39"/>
        <v>1.5138185866623861E-2</v>
      </c>
    </row>
    <row r="1139" spans="1:7" ht="15" customHeight="1" x14ac:dyDescent="0.2">
      <c r="A1139" s="19" t="s">
        <v>1286</v>
      </c>
      <c r="B1139" s="50">
        <v>47.048200000000001</v>
      </c>
      <c r="C1139" s="50">
        <v>2137.16</v>
      </c>
      <c r="D1139" s="51">
        <v>20278341.450213</v>
      </c>
      <c r="E1139" s="51">
        <v>1807411111</v>
      </c>
      <c r="F1139" s="52">
        <f t="shared" si="38"/>
        <v>5.4689084919819853E-3</v>
      </c>
      <c r="G1139" s="52">
        <f t="shared" si="39"/>
        <v>3.4028145868032489E-3</v>
      </c>
    </row>
    <row r="1140" spans="1:7" ht="15" customHeight="1" x14ac:dyDescent="0.2">
      <c r="A1140" s="19" t="s">
        <v>1287</v>
      </c>
      <c r="B1140" s="50">
        <v>47.602200000000003</v>
      </c>
      <c r="C1140" s="50">
        <v>2152.14</v>
      </c>
      <c r="D1140" s="51">
        <v>29119277.602903001</v>
      </c>
      <c r="E1140" s="51">
        <v>2276566667</v>
      </c>
      <c r="F1140" s="52">
        <f t="shared" si="38"/>
        <v>1.1706370530383597E-2</v>
      </c>
      <c r="G1140" s="52">
        <f t="shared" si="39"/>
        <v>6.9848510963644384E-3</v>
      </c>
    </row>
    <row r="1141" spans="1:7" ht="15" customHeight="1" x14ac:dyDescent="0.2">
      <c r="A1141" s="19" t="s">
        <v>1288</v>
      </c>
      <c r="B1141" s="50">
        <v>47.871699999999997</v>
      </c>
      <c r="C1141" s="50">
        <v>2152.4299999999998</v>
      </c>
      <c r="D1141" s="51">
        <v>26698568.328012001</v>
      </c>
      <c r="E1141" s="51">
        <v>1945733333</v>
      </c>
      <c r="F1141" s="52">
        <f t="shared" si="38"/>
        <v>5.6455369644181205E-3</v>
      </c>
      <c r="G1141" s="52">
        <f t="shared" si="39"/>
        <v>1.3474052016275426E-4</v>
      </c>
    </row>
    <row r="1142" spans="1:7" ht="15" customHeight="1" x14ac:dyDescent="0.2">
      <c r="A1142" s="19" t="s">
        <v>1289</v>
      </c>
      <c r="B1142" s="50">
        <v>48.076000000000001</v>
      </c>
      <c r="C1142" s="50">
        <v>2163.75</v>
      </c>
      <c r="D1142" s="51">
        <v>24229211.314249001</v>
      </c>
      <c r="E1142" s="51">
        <v>1925338889</v>
      </c>
      <c r="F1142" s="52">
        <f t="shared" si="38"/>
        <v>4.2585764693963638E-3</v>
      </c>
      <c r="G1142" s="52">
        <f t="shared" si="39"/>
        <v>5.2453910425336123E-3</v>
      </c>
    </row>
    <row r="1143" spans="1:7" ht="15" customHeight="1" x14ac:dyDescent="0.2">
      <c r="A1143" s="19" t="s">
        <v>1290</v>
      </c>
      <c r="B1143" s="50">
        <v>48.041800000000002</v>
      </c>
      <c r="C1143" s="50">
        <v>2161.7399999999998</v>
      </c>
      <c r="D1143" s="51">
        <v>33253194.873819999</v>
      </c>
      <c r="E1143" s="51">
        <v>1734777778</v>
      </c>
      <c r="F1143" s="52">
        <f t="shared" si="38"/>
        <v>-7.1162680467670074E-4</v>
      </c>
      <c r="G1143" s="52">
        <f t="shared" si="39"/>
        <v>-9.2937454238768344E-4</v>
      </c>
    </row>
    <row r="1144" spans="1:7" ht="15" customHeight="1" x14ac:dyDescent="0.2">
      <c r="A1144" s="19" t="s">
        <v>1291</v>
      </c>
      <c r="B1144" s="50">
        <v>48.2712</v>
      </c>
      <c r="C1144" s="50">
        <v>2166.89</v>
      </c>
      <c r="D1144" s="51">
        <v>30775427.194704998</v>
      </c>
      <c r="E1144" s="51">
        <v>1671838889</v>
      </c>
      <c r="F1144" s="52">
        <f t="shared" si="38"/>
        <v>4.7636442391181966E-3</v>
      </c>
      <c r="G1144" s="52">
        <f t="shared" si="39"/>
        <v>2.3795068786033225E-3</v>
      </c>
    </row>
    <row r="1145" spans="1:7" ht="15" customHeight="1" x14ac:dyDescent="0.2">
      <c r="A1145" s="19" t="s">
        <v>1292</v>
      </c>
      <c r="B1145" s="50">
        <v>47.494799999999998</v>
      </c>
      <c r="C1145" s="50">
        <v>2163.7800000000002</v>
      </c>
      <c r="D1145" s="51">
        <v>51093982.170625001</v>
      </c>
      <c r="E1145" s="51">
        <v>1649077778</v>
      </c>
      <c r="F1145" s="52">
        <f t="shared" si="38"/>
        <v>-1.6214878161280033E-2</v>
      </c>
      <c r="G1145" s="52">
        <f t="shared" si="39"/>
        <v>-1.4362676143070065E-3</v>
      </c>
    </row>
    <row r="1146" spans="1:7" ht="15" customHeight="1" x14ac:dyDescent="0.2">
      <c r="A1146" s="19" t="s">
        <v>1293</v>
      </c>
      <c r="B1146" s="50">
        <v>50.018700000000003</v>
      </c>
      <c r="C1146" s="50">
        <v>2173.02</v>
      </c>
      <c r="D1146" s="51">
        <v>95651717.377228007</v>
      </c>
      <c r="E1146" s="51">
        <v>1784366667</v>
      </c>
      <c r="F1146" s="52">
        <f t="shared" si="38"/>
        <v>5.1776704143875203E-2</v>
      </c>
      <c r="G1146" s="52">
        <f t="shared" si="39"/>
        <v>4.2612128673701335E-3</v>
      </c>
    </row>
    <row r="1147" spans="1:7" ht="15" customHeight="1" x14ac:dyDescent="0.2">
      <c r="A1147" s="19" t="s">
        <v>1294</v>
      </c>
      <c r="B1147" s="50">
        <v>49.917900000000003</v>
      </c>
      <c r="C1147" s="50">
        <v>2165.17</v>
      </c>
      <c r="D1147" s="51">
        <v>34622279.19162</v>
      </c>
      <c r="E1147" s="51">
        <v>1910500000</v>
      </c>
      <c r="F1147" s="52">
        <f t="shared" si="38"/>
        <v>-2.0172796389531706E-3</v>
      </c>
      <c r="G1147" s="52">
        <f t="shared" si="39"/>
        <v>-3.6190247858399653E-3</v>
      </c>
    </row>
    <row r="1148" spans="1:7" ht="15" customHeight="1" x14ac:dyDescent="0.2">
      <c r="A1148" s="19" t="s">
        <v>1295</v>
      </c>
      <c r="B1148" s="50">
        <v>50.6096</v>
      </c>
      <c r="C1148" s="50">
        <v>2175.0300000000002</v>
      </c>
      <c r="D1148" s="51">
        <v>33243779.842953999</v>
      </c>
      <c r="E1148" s="51">
        <v>1679600000</v>
      </c>
      <c r="F1148" s="52">
        <f t="shared" si="38"/>
        <v>1.3761625749758919E-2</v>
      </c>
      <c r="G1148" s="52">
        <f t="shared" si="39"/>
        <v>4.5435772372509073E-3</v>
      </c>
    </row>
    <row r="1149" spans="1:7" ht="15" customHeight="1" x14ac:dyDescent="0.2">
      <c r="A1149" s="19" t="s">
        <v>1296</v>
      </c>
      <c r="B1149" s="50">
        <v>50.753100000000003</v>
      </c>
      <c r="C1149" s="50">
        <v>2168.48</v>
      </c>
      <c r="D1149" s="51">
        <v>25368871.314746998</v>
      </c>
      <c r="E1149" s="51">
        <v>1698466667</v>
      </c>
      <c r="F1149" s="52">
        <f t="shared" si="38"/>
        <v>2.8314181818182393E-3</v>
      </c>
      <c r="G1149" s="52">
        <f t="shared" si="39"/>
        <v>-3.0159962634030003E-3</v>
      </c>
    </row>
    <row r="1150" spans="1:7" ht="15" customHeight="1" x14ac:dyDescent="0.2">
      <c r="A1150" s="19" t="s">
        <v>1297</v>
      </c>
      <c r="B1150" s="50">
        <v>50.778700000000001</v>
      </c>
      <c r="C1150" s="50">
        <v>2169.1799999999998</v>
      </c>
      <c r="D1150" s="51">
        <v>28730620.910580002</v>
      </c>
      <c r="E1150" s="51">
        <v>1912416667</v>
      </c>
      <c r="F1150" s="52">
        <f t="shared" si="38"/>
        <v>5.0427551845815466E-4</v>
      </c>
      <c r="G1150" s="52">
        <f t="shared" si="39"/>
        <v>3.2275466775932843E-4</v>
      </c>
    </row>
    <row r="1151" spans="1:7" ht="15" customHeight="1" x14ac:dyDescent="0.2">
      <c r="A1151" s="19" t="s">
        <v>1298</v>
      </c>
      <c r="B1151" s="50">
        <v>50.267600000000002</v>
      </c>
      <c r="C1151" s="50">
        <v>2166.58</v>
      </c>
      <c r="D1151" s="51">
        <v>34155114.082925998</v>
      </c>
      <c r="E1151" s="51">
        <v>2219722222</v>
      </c>
      <c r="F1151" s="52">
        <f t="shared" si="38"/>
        <v>-1.0116240946034402E-2</v>
      </c>
      <c r="G1151" s="52">
        <f t="shared" si="39"/>
        <v>-1.1993285198676762E-3</v>
      </c>
    </row>
    <row r="1152" spans="1:7" ht="15" customHeight="1" x14ac:dyDescent="0.2">
      <c r="A1152" s="19" t="s">
        <v>1299</v>
      </c>
      <c r="B1152" s="50">
        <v>50.2864</v>
      </c>
      <c r="C1152" s="50">
        <v>2170.06</v>
      </c>
      <c r="D1152" s="51">
        <v>40503553.909910001</v>
      </c>
      <c r="E1152" s="51">
        <v>2035688889</v>
      </c>
      <c r="F1152" s="52">
        <f t="shared" si="38"/>
        <v>3.7392844081894519E-4</v>
      </c>
      <c r="G1152" s="52">
        <f t="shared" si="39"/>
        <v>1.6049295062452703E-3</v>
      </c>
    </row>
    <row r="1153" spans="1:7" ht="15" customHeight="1" x14ac:dyDescent="0.2">
      <c r="A1153" s="19" t="s">
        <v>1300</v>
      </c>
      <c r="B1153" s="50">
        <v>50.707299999999996</v>
      </c>
      <c r="C1153" s="50">
        <v>2173.6</v>
      </c>
      <c r="D1153" s="51">
        <v>31655423.387722</v>
      </c>
      <c r="E1153" s="51">
        <v>2243800000</v>
      </c>
      <c r="F1153" s="52">
        <f t="shared" si="38"/>
        <v>8.3352216398659262E-3</v>
      </c>
      <c r="G1153" s="52">
        <f t="shared" si="39"/>
        <v>1.6299621902952422E-3</v>
      </c>
    </row>
    <row r="1154" spans="1:7" ht="15" customHeight="1" x14ac:dyDescent="0.2">
      <c r="A1154" s="19" t="s">
        <v>1301</v>
      </c>
      <c r="B1154" s="50">
        <v>50.618600000000001</v>
      </c>
      <c r="C1154" s="50">
        <v>2170.84</v>
      </c>
      <c r="D1154" s="51">
        <v>27458551.544379</v>
      </c>
      <c r="E1154" s="51">
        <v>1947772222</v>
      </c>
      <c r="F1154" s="52">
        <f t="shared" si="38"/>
        <v>-1.7507867713453527E-3</v>
      </c>
      <c r="G1154" s="52">
        <f t="shared" si="39"/>
        <v>-1.2705897060663312E-3</v>
      </c>
    </row>
    <row r="1155" spans="1:7" ht="15" customHeight="1" x14ac:dyDescent="0.2">
      <c r="A1155" s="19" t="s">
        <v>1302</v>
      </c>
      <c r="B1155" s="50">
        <v>50.618600000000001</v>
      </c>
      <c r="C1155" s="50">
        <v>2157.0300000000002</v>
      </c>
      <c r="D1155" s="51">
        <v>35314018.791472003</v>
      </c>
      <c r="E1155" s="51">
        <v>2138194444</v>
      </c>
      <c r="F1155" s="52">
        <f t="shared" si="38"/>
        <v>0</v>
      </c>
      <c r="G1155" s="52">
        <f t="shared" si="39"/>
        <v>-6.3819139077918741E-3</v>
      </c>
    </row>
    <row r="1156" spans="1:7" ht="15" customHeight="1" x14ac:dyDescent="0.2">
      <c r="A1156" s="19" t="s">
        <v>1303</v>
      </c>
      <c r="B1156" s="50">
        <v>50.965200000000003</v>
      </c>
      <c r="C1156" s="50">
        <v>2163.79</v>
      </c>
      <c r="D1156" s="51">
        <v>23166361.215961002</v>
      </c>
      <c r="E1156" s="51">
        <v>2103627778</v>
      </c>
      <c r="F1156" s="52">
        <f t="shared" si="38"/>
        <v>6.8239491924582509E-3</v>
      </c>
      <c r="G1156" s="52">
        <f t="shared" si="39"/>
        <v>3.1290382452996857E-3</v>
      </c>
    </row>
    <row r="1157" spans="1:7" ht="15" customHeight="1" x14ac:dyDescent="0.2">
      <c r="A1157" s="19" t="s">
        <v>1304</v>
      </c>
      <c r="B1157" s="50">
        <v>51.342100000000002</v>
      </c>
      <c r="C1157" s="50">
        <v>2164.25</v>
      </c>
      <c r="D1157" s="51">
        <v>28074350.463550001</v>
      </c>
      <c r="E1157" s="51">
        <v>2060666667</v>
      </c>
      <c r="F1157" s="52">
        <f t="shared" si="38"/>
        <v>7.3680315107631927E-3</v>
      </c>
      <c r="G1157" s="52">
        <f t="shared" si="39"/>
        <v>2.1256735230357668E-4</v>
      </c>
    </row>
    <row r="1158" spans="1:7" ht="15" customHeight="1" x14ac:dyDescent="0.2">
      <c r="A1158" s="19" t="s">
        <v>1305</v>
      </c>
      <c r="B1158" s="50">
        <v>51.851999999999997</v>
      </c>
      <c r="C1158" s="50">
        <v>2182.87</v>
      </c>
      <c r="D1158" s="51">
        <v>29641059.309751</v>
      </c>
      <c r="E1158" s="51">
        <v>2035038889</v>
      </c>
      <c r="F1158" s="52">
        <f t="shared" ref="F1158:F1221" si="40">LN(B1158/B1157)</f>
        <v>9.8824283526087915E-3</v>
      </c>
      <c r="G1158" s="52">
        <f t="shared" ref="G1158:G1221" si="41">LN(C1158/C1157)</f>
        <v>8.5666436043246308E-3</v>
      </c>
    </row>
    <row r="1159" spans="1:7" ht="15" customHeight="1" x14ac:dyDescent="0.2">
      <c r="A1159" s="19" t="s">
        <v>1306</v>
      </c>
      <c r="B1159" s="50">
        <v>51.942799999999998</v>
      </c>
      <c r="C1159" s="50">
        <v>2180.89</v>
      </c>
      <c r="D1159" s="51">
        <v>19939590.769157</v>
      </c>
      <c r="E1159" s="51">
        <v>1848638889</v>
      </c>
      <c r="F1159" s="52">
        <f t="shared" si="40"/>
        <v>1.7496063995979837E-3</v>
      </c>
      <c r="G1159" s="52">
        <f t="shared" si="41"/>
        <v>-9.0747435050471642E-4</v>
      </c>
    </row>
    <row r="1160" spans="1:7" ht="15" customHeight="1" x14ac:dyDescent="0.2">
      <c r="A1160" s="19" t="s">
        <v>1307</v>
      </c>
      <c r="B1160" s="50">
        <v>52.067</v>
      </c>
      <c r="C1160" s="50">
        <v>2181.7399999999998</v>
      </c>
      <c r="D1160" s="51">
        <v>18436705.716913</v>
      </c>
      <c r="E1160" s="51">
        <v>1852388889</v>
      </c>
      <c r="F1160" s="52">
        <f t="shared" si="40"/>
        <v>2.3882376282440471E-3</v>
      </c>
      <c r="G1160" s="52">
        <f t="shared" si="41"/>
        <v>3.8967320664632022E-4</v>
      </c>
    </row>
    <row r="1161" spans="1:7" ht="15" customHeight="1" x14ac:dyDescent="0.2">
      <c r="A1161" s="19" t="s">
        <v>1308</v>
      </c>
      <c r="B1161" s="50">
        <v>51.907800000000002</v>
      </c>
      <c r="C1161" s="50">
        <v>2175.4899999999998</v>
      </c>
      <c r="D1161" s="51">
        <v>16407342.704383999</v>
      </c>
      <c r="E1161" s="51">
        <v>1808305556</v>
      </c>
      <c r="F1161" s="52">
        <f t="shared" si="40"/>
        <v>-3.0622828687173749E-3</v>
      </c>
      <c r="G1161" s="52">
        <f t="shared" si="41"/>
        <v>-2.8687970506289257E-3</v>
      </c>
    </row>
    <row r="1162" spans="1:7" ht="15" customHeight="1" x14ac:dyDescent="0.2">
      <c r="A1162" s="19" t="s">
        <v>1309</v>
      </c>
      <c r="B1162" s="50">
        <v>52.155799999999999</v>
      </c>
      <c r="C1162" s="50">
        <v>2185.79</v>
      </c>
      <c r="D1162" s="51">
        <v>17774612.816585999</v>
      </c>
      <c r="E1162" s="51">
        <v>1901755556</v>
      </c>
      <c r="F1162" s="52">
        <f t="shared" si="40"/>
        <v>4.7663250070559748E-3</v>
      </c>
      <c r="G1162" s="52">
        <f t="shared" si="41"/>
        <v>4.7233927423996338E-3</v>
      </c>
    </row>
    <row r="1163" spans="1:7" ht="15" customHeight="1" x14ac:dyDescent="0.2">
      <c r="A1163" s="19" t="s">
        <v>1310</v>
      </c>
      <c r="B1163" s="50">
        <v>51.833500000000001</v>
      </c>
      <c r="C1163" s="50">
        <v>2184.0500000000002</v>
      </c>
      <c r="D1163" s="51">
        <v>22549791.361791998</v>
      </c>
      <c r="E1163" s="51">
        <v>1667033333</v>
      </c>
      <c r="F1163" s="52">
        <f t="shared" si="40"/>
        <v>-6.1987345238838053E-3</v>
      </c>
      <c r="G1163" s="52">
        <f t="shared" si="41"/>
        <v>-7.9636787248911652E-4</v>
      </c>
    </row>
    <row r="1164" spans="1:7" ht="15" customHeight="1" x14ac:dyDescent="0.2">
      <c r="A1164" s="19" t="s">
        <v>1311</v>
      </c>
      <c r="B1164" s="50">
        <v>51.993699999999997</v>
      </c>
      <c r="C1164" s="50">
        <v>2190.15</v>
      </c>
      <c r="D1164" s="51">
        <v>19102911.294383001</v>
      </c>
      <c r="E1164" s="51">
        <v>1710294444</v>
      </c>
      <c r="F1164" s="52">
        <f t="shared" si="40"/>
        <v>3.0858990154601358E-3</v>
      </c>
      <c r="G1164" s="52">
        <f t="shared" si="41"/>
        <v>2.7890832400516256E-3</v>
      </c>
    </row>
    <row r="1165" spans="1:7" ht="15" customHeight="1" x14ac:dyDescent="0.2">
      <c r="A1165" s="19" t="s">
        <v>1312</v>
      </c>
      <c r="B1165" s="50">
        <v>51.7074</v>
      </c>
      <c r="C1165" s="50">
        <v>2178.15</v>
      </c>
      <c r="D1165" s="51">
        <v>19349355.563090999</v>
      </c>
      <c r="E1165" s="51">
        <v>1775777778</v>
      </c>
      <c r="F1165" s="52">
        <f t="shared" si="40"/>
        <v>-5.5216526615042578E-3</v>
      </c>
      <c r="G1165" s="52">
        <f t="shared" si="41"/>
        <v>-5.4941419708265955E-3</v>
      </c>
    </row>
    <row r="1166" spans="1:7" ht="15" customHeight="1" x14ac:dyDescent="0.2">
      <c r="A1166" s="19" t="s">
        <v>1313</v>
      </c>
      <c r="B1166" s="50">
        <v>51.816699999999997</v>
      </c>
      <c r="C1166" s="50">
        <v>2182.2199999999998</v>
      </c>
      <c r="D1166" s="51">
        <v>19460831.944766998</v>
      </c>
      <c r="E1166" s="51">
        <v>1882727778</v>
      </c>
      <c r="F1166" s="52">
        <f t="shared" si="40"/>
        <v>2.1115863960605003E-3</v>
      </c>
      <c r="G1166" s="52">
        <f t="shared" si="41"/>
        <v>1.8668145969237696E-3</v>
      </c>
    </row>
    <row r="1167" spans="1:7" ht="15" customHeight="1" x14ac:dyDescent="0.2">
      <c r="A1167" s="19" t="s">
        <v>1314</v>
      </c>
      <c r="B1167" s="50">
        <v>51.850999999999999</v>
      </c>
      <c r="C1167" s="50">
        <v>2187.02</v>
      </c>
      <c r="D1167" s="51">
        <v>13688242.680128001</v>
      </c>
      <c r="E1167" s="51">
        <v>1833650000</v>
      </c>
      <c r="F1167" s="52">
        <f t="shared" si="40"/>
        <v>6.6172976253215364E-4</v>
      </c>
      <c r="G1167" s="52">
        <f t="shared" si="41"/>
        <v>2.1971793405895896E-3</v>
      </c>
    </row>
    <row r="1168" spans="1:7" ht="15" customHeight="1" x14ac:dyDescent="0.2">
      <c r="A1168" s="19" t="s">
        <v>1315</v>
      </c>
      <c r="B1168" s="50">
        <v>51.869500000000002</v>
      </c>
      <c r="C1168" s="50">
        <v>2183.87</v>
      </c>
      <c r="D1168" s="51">
        <v>17570693.854758002</v>
      </c>
      <c r="E1168" s="51">
        <v>1713777778</v>
      </c>
      <c r="F1168" s="52">
        <f t="shared" si="40"/>
        <v>3.5672794088330002E-4</v>
      </c>
      <c r="G1168" s="52">
        <f t="shared" si="41"/>
        <v>-1.4413542987100584E-3</v>
      </c>
    </row>
    <row r="1169" spans="1:7" ht="15" customHeight="1" x14ac:dyDescent="0.2">
      <c r="A1169" s="19" t="s">
        <v>1316</v>
      </c>
      <c r="B1169" s="50">
        <v>51.915500000000002</v>
      </c>
      <c r="C1169" s="50">
        <v>2182.64</v>
      </c>
      <c r="D1169" s="51">
        <v>15761577.654455001</v>
      </c>
      <c r="E1169" s="51">
        <v>1543083333</v>
      </c>
      <c r="F1169" s="52">
        <f t="shared" si="40"/>
        <v>8.8644800331819985E-4</v>
      </c>
      <c r="G1169" s="52">
        <f t="shared" si="41"/>
        <v>-5.6337900636122971E-4</v>
      </c>
    </row>
    <row r="1170" spans="1:7" ht="15" customHeight="1" x14ac:dyDescent="0.2">
      <c r="A1170" s="19" t="s">
        <v>1317</v>
      </c>
      <c r="B1170" s="50">
        <v>52.111800000000002</v>
      </c>
      <c r="C1170" s="50">
        <v>2186.9</v>
      </c>
      <c r="D1170" s="51">
        <v>18739277.739231002</v>
      </c>
      <c r="E1170" s="51">
        <v>1689716667</v>
      </c>
      <c r="F1170" s="52">
        <f t="shared" si="40"/>
        <v>3.7740138020429942E-3</v>
      </c>
      <c r="G1170" s="52">
        <f t="shared" si="41"/>
        <v>1.9498626169790064E-3</v>
      </c>
    </row>
    <row r="1171" spans="1:7" ht="15" customHeight="1" x14ac:dyDescent="0.2">
      <c r="A1171" s="19" t="s">
        <v>1318</v>
      </c>
      <c r="B1171" s="50">
        <v>52.166400000000003</v>
      </c>
      <c r="C1171" s="50">
        <v>2175.44</v>
      </c>
      <c r="D1171" s="51">
        <v>18224564.472258002</v>
      </c>
      <c r="E1171" s="51">
        <v>1749044444</v>
      </c>
      <c r="F1171" s="52">
        <f t="shared" si="40"/>
        <v>1.0471988390601437E-3</v>
      </c>
      <c r="G1171" s="52">
        <f t="shared" si="41"/>
        <v>-5.254072980571481E-3</v>
      </c>
    </row>
    <row r="1172" spans="1:7" ht="15" customHeight="1" x14ac:dyDescent="0.2">
      <c r="A1172" s="19" t="s">
        <v>1319</v>
      </c>
      <c r="B1172" s="50">
        <v>52.364699999999999</v>
      </c>
      <c r="C1172" s="50">
        <v>2172.4699999999998</v>
      </c>
      <c r="D1172" s="51">
        <v>17832291.654553</v>
      </c>
      <c r="E1172" s="51">
        <v>1649616667</v>
      </c>
      <c r="F1172" s="52">
        <f t="shared" si="40"/>
        <v>3.794090713277961E-3</v>
      </c>
      <c r="G1172" s="52">
        <f t="shared" si="41"/>
        <v>-1.3661738453380294E-3</v>
      </c>
    </row>
    <row r="1173" spans="1:7" ht="15" customHeight="1" x14ac:dyDescent="0.2">
      <c r="A1173" s="19" t="s">
        <v>1320</v>
      </c>
      <c r="B1173" s="50">
        <v>52.246499999999997</v>
      </c>
      <c r="C1173" s="50">
        <v>2169.04</v>
      </c>
      <c r="D1173" s="51">
        <v>20903457.113717001</v>
      </c>
      <c r="E1173" s="51">
        <v>1856855556</v>
      </c>
      <c r="F1173" s="52">
        <f t="shared" si="40"/>
        <v>-2.259797235875841E-3</v>
      </c>
      <c r="G1173" s="52">
        <f t="shared" si="41"/>
        <v>-1.5800957333464785E-3</v>
      </c>
    </row>
    <row r="1174" spans="1:7" ht="15" customHeight="1" x14ac:dyDescent="0.2">
      <c r="A1174" s="19" t="s">
        <v>1321</v>
      </c>
      <c r="B1174" s="50">
        <v>52.302199999999999</v>
      </c>
      <c r="C1174" s="50">
        <v>2180.38</v>
      </c>
      <c r="D1174" s="51">
        <v>14124039.027323</v>
      </c>
      <c r="E1174" s="51">
        <v>1474877778</v>
      </c>
      <c r="F1174" s="52">
        <f t="shared" si="40"/>
        <v>1.0655322403809973E-3</v>
      </c>
      <c r="G1174" s="52">
        <f t="shared" si="41"/>
        <v>5.2145001841601589E-3</v>
      </c>
    </row>
    <row r="1175" spans="1:7" ht="15" customHeight="1" x14ac:dyDescent="0.2">
      <c r="A1175" s="19" t="s">
        <v>1322</v>
      </c>
      <c r="B1175" s="50">
        <v>52.111800000000002</v>
      </c>
      <c r="C1175" s="50">
        <v>2176.12</v>
      </c>
      <c r="D1175" s="51">
        <v>17765126.118454002</v>
      </c>
      <c r="E1175" s="51">
        <v>1670444444</v>
      </c>
      <c r="F1175" s="52">
        <f t="shared" si="40"/>
        <v>-3.6470245568433978E-3</v>
      </c>
      <c r="G1175" s="52">
        <f t="shared" si="41"/>
        <v>-1.9556990050680497E-3</v>
      </c>
    </row>
    <row r="1176" spans="1:7" ht="15" customHeight="1" x14ac:dyDescent="0.2">
      <c r="A1176" s="19" t="s">
        <v>1323</v>
      </c>
      <c r="B1176" s="50">
        <v>51.724800000000002</v>
      </c>
      <c r="C1176" s="50">
        <v>2170.9499999999998</v>
      </c>
      <c r="D1176" s="51">
        <v>21248166.415874001</v>
      </c>
      <c r="E1176" s="51">
        <v>2092438889</v>
      </c>
      <c r="F1176" s="52">
        <f t="shared" si="40"/>
        <v>-7.4540536169782736E-3</v>
      </c>
      <c r="G1176" s="52">
        <f t="shared" si="41"/>
        <v>-2.3786147623904054E-3</v>
      </c>
    </row>
    <row r="1177" spans="1:7" ht="15" customHeight="1" x14ac:dyDescent="0.2">
      <c r="A1177" s="19" t="s">
        <v>1324</v>
      </c>
      <c r="B1177" s="50">
        <v>51.832500000000003</v>
      </c>
      <c r="C1177" s="50">
        <v>2170.86</v>
      </c>
      <c r="D1177" s="51">
        <v>25970151.470028002</v>
      </c>
      <c r="E1177" s="51">
        <v>1884511111</v>
      </c>
      <c r="F1177" s="52">
        <f t="shared" si="40"/>
        <v>2.0800086296138484E-3</v>
      </c>
      <c r="G1177" s="52">
        <f t="shared" si="41"/>
        <v>-4.1457364561137788E-5</v>
      </c>
    </row>
    <row r="1178" spans="1:7" ht="15" customHeight="1" x14ac:dyDescent="0.2">
      <c r="A1178" s="19" t="s">
        <v>1325</v>
      </c>
      <c r="B1178" s="50">
        <v>51.915500000000002</v>
      </c>
      <c r="C1178" s="50">
        <v>2179.98</v>
      </c>
      <c r="D1178" s="51">
        <v>19764023.377011001</v>
      </c>
      <c r="E1178" s="51">
        <v>1717288889</v>
      </c>
      <c r="F1178" s="52">
        <f t="shared" si="40"/>
        <v>1.6000311853211406E-3</v>
      </c>
      <c r="G1178" s="52">
        <f t="shared" si="41"/>
        <v>4.1923000419618493E-3</v>
      </c>
    </row>
    <row r="1179" spans="1:7" ht="15" customHeight="1" x14ac:dyDescent="0.2">
      <c r="A1179" s="19" t="s">
        <v>1326</v>
      </c>
      <c r="B1179" s="50">
        <v>51.860799999999998</v>
      </c>
      <c r="C1179" s="50">
        <v>2186.48</v>
      </c>
      <c r="D1179" s="51">
        <v>16646716.485579999</v>
      </c>
      <c r="E1179" s="51">
        <v>1915361111</v>
      </c>
      <c r="F1179" s="52">
        <f t="shared" si="40"/>
        <v>-1.054190697987129E-3</v>
      </c>
      <c r="G1179" s="52">
        <f t="shared" si="41"/>
        <v>2.9772423433708003E-3</v>
      </c>
    </row>
    <row r="1180" spans="1:7" ht="15" customHeight="1" x14ac:dyDescent="0.2">
      <c r="A1180" s="19" t="s">
        <v>1327</v>
      </c>
      <c r="B1180" s="50">
        <v>51.906799999999997</v>
      </c>
      <c r="C1180" s="50">
        <v>2186.16</v>
      </c>
      <c r="D1180" s="51">
        <v>18298765.686057001</v>
      </c>
      <c r="E1180" s="51">
        <v>1844122222</v>
      </c>
      <c r="F1180" s="52">
        <f t="shared" si="40"/>
        <v>8.8659664506455756E-4</v>
      </c>
      <c r="G1180" s="52">
        <f t="shared" si="41"/>
        <v>-1.4636466783063686E-4</v>
      </c>
    </row>
    <row r="1181" spans="1:7" ht="15" customHeight="1" x14ac:dyDescent="0.2">
      <c r="A1181" s="19" t="s">
        <v>1328</v>
      </c>
      <c r="B1181" s="50">
        <v>51.697600000000001</v>
      </c>
      <c r="C1181" s="50">
        <v>2181.3000000000002</v>
      </c>
      <c r="D1181" s="51">
        <v>20015467.973118</v>
      </c>
      <c r="E1181" s="51">
        <v>2071022222</v>
      </c>
      <c r="F1181" s="52">
        <f t="shared" si="40"/>
        <v>-4.0384440104990742E-3</v>
      </c>
      <c r="G1181" s="52">
        <f t="shared" si="41"/>
        <v>-2.2255507805430696E-3</v>
      </c>
    </row>
    <row r="1182" spans="1:7" ht="15" customHeight="1" x14ac:dyDescent="0.2">
      <c r="A1182" s="19" t="s">
        <v>1329</v>
      </c>
      <c r="B1182" s="50">
        <v>50.601700000000001</v>
      </c>
      <c r="C1182" s="50">
        <v>2127.81</v>
      </c>
      <c r="D1182" s="51">
        <v>34698131.823948003</v>
      </c>
      <c r="E1182" s="51">
        <v>2352200000</v>
      </c>
      <c r="F1182" s="52">
        <f t="shared" si="40"/>
        <v>-2.1426186206418299E-2</v>
      </c>
      <c r="G1182" s="52">
        <f t="shared" si="41"/>
        <v>-2.4827747563078314E-2</v>
      </c>
    </row>
    <row r="1183" spans="1:7" ht="15" customHeight="1" x14ac:dyDescent="0.2">
      <c r="A1183" s="19" t="s">
        <v>1330</v>
      </c>
      <c r="B1183" s="50">
        <v>51.356699999999996</v>
      </c>
      <c r="C1183" s="50">
        <v>2159.04</v>
      </c>
      <c r="D1183" s="51">
        <v>27425159.718398001</v>
      </c>
      <c r="E1183" s="51">
        <v>2228044444</v>
      </c>
      <c r="F1183" s="52">
        <f t="shared" si="40"/>
        <v>1.4810232413983849E-2</v>
      </c>
      <c r="G1183" s="52">
        <f t="shared" si="41"/>
        <v>1.4570396678017971E-2</v>
      </c>
    </row>
    <row r="1184" spans="1:7" ht="15" customHeight="1" x14ac:dyDescent="0.2">
      <c r="A1184" s="19" t="s">
        <v>1331</v>
      </c>
      <c r="B1184" s="50">
        <v>50.886899999999997</v>
      </c>
      <c r="C1184" s="50">
        <v>2127.02</v>
      </c>
      <c r="D1184" s="51">
        <v>31768307.519228</v>
      </c>
      <c r="E1184" s="51">
        <v>2300927778</v>
      </c>
      <c r="F1184" s="52">
        <f t="shared" si="40"/>
        <v>-9.189881936213248E-3</v>
      </c>
      <c r="G1184" s="52">
        <f t="shared" si="41"/>
        <v>-1.4941739368126835E-2</v>
      </c>
    </row>
    <row r="1185" spans="1:7" ht="15" customHeight="1" x14ac:dyDescent="0.2">
      <c r="A1185" s="19" t="s">
        <v>1332</v>
      </c>
      <c r="B1185" s="50">
        <v>50.643599999999999</v>
      </c>
      <c r="C1185" s="50">
        <v>2125.77</v>
      </c>
      <c r="D1185" s="51">
        <v>22569407.715794999</v>
      </c>
      <c r="E1185" s="51">
        <v>2035611111</v>
      </c>
      <c r="F1185" s="52">
        <f t="shared" si="40"/>
        <v>-4.7926576882376479E-3</v>
      </c>
      <c r="G1185" s="52">
        <f t="shared" si="41"/>
        <v>-5.8784940521235899E-4</v>
      </c>
    </row>
    <row r="1186" spans="1:7" ht="15" customHeight="1" x14ac:dyDescent="0.2">
      <c r="A1186" s="19" t="s">
        <v>1333</v>
      </c>
      <c r="B1186" s="50">
        <v>51.4818</v>
      </c>
      <c r="C1186" s="50">
        <v>2147.2600000000002</v>
      </c>
      <c r="D1186" s="51">
        <v>23301243.102277</v>
      </c>
      <c r="E1186" s="51">
        <v>1874288889</v>
      </c>
      <c r="F1186" s="52">
        <f t="shared" si="40"/>
        <v>1.6415481795091887E-2</v>
      </c>
      <c r="G1186" s="52">
        <f t="shared" si="41"/>
        <v>1.0058521089340135E-2</v>
      </c>
    </row>
    <row r="1187" spans="1:7" ht="15" customHeight="1" x14ac:dyDescent="0.2">
      <c r="A1187" s="19" t="s">
        <v>1334</v>
      </c>
      <c r="B1187" s="50">
        <v>51.535499999999999</v>
      </c>
      <c r="C1187" s="50">
        <v>2139.16</v>
      </c>
      <c r="D1187" s="51">
        <v>43793093.618069001</v>
      </c>
      <c r="E1187" s="51">
        <v>2785755556</v>
      </c>
      <c r="F1187" s="52">
        <f t="shared" si="40"/>
        <v>1.0425434342360982E-3</v>
      </c>
      <c r="G1187" s="52">
        <f t="shared" si="41"/>
        <v>-3.7793821611113664E-3</v>
      </c>
    </row>
    <row r="1188" spans="1:7" ht="15" customHeight="1" x14ac:dyDescent="0.2">
      <c r="A1188" s="19" t="s">
        <v>1335</v>
      </c>
      <c r="B1188" s="50">
        <v>51.248399999999997</v>
      </c>
      <c r="C1188" s="50">
        <v>2139.12</v>
      </c>
      <c r="D1188" s="51">
        <v>21695070.165188</v>
      </c>
      <c r="E1188" s="51">
        <v>1757222222</v>
      </c>
      <c r="F1188" s="52">
        <f t="shared" si="40"/>
        <v>-5.5864925668811473E-3</v>
      </c>
      <c r="G1188" s="52">
        <f t="shared" si="41"/>
        <v>-1.869910337847447E-5</v>
      </c>
    </row>
    <row r="1189" spans="1:7" ht="15" customHeight="1" x14ac:dyDescent="0.2">
      <c r="A1189" s="19" t="s">
        <v>1336</v>
      </c>
      <c r="B1189" s="50">
        <v>51.137799999999999</v>
      </c>
      <c r="C1189" s="50">
        <v>2139.7600000000002</v>
      </c>
      <c r="D1189" s="51">
        <v>17815353.608591001</v>
      </c>
      <c r="E1189" s="51">
        <v>1744850000</v>
      </c>
      <c r="F1189" s="52">
        <f t="shared" si="40"/>
        <v>-2.160448244375183E-3</v>
      </c>
      <c r="G1189" s="52">
        <f t="shared" si="41"/>
        <v>2.991437033863788E-4</v>
      </c>
    </row>
    <row r="1190" spans="1:7" ht="15" customHeight="1" x14ac:dyDescent="0.2">
      <c r="A1190" s="19" t="s">
        <v>1337</v>
      </c>
      <c r="B1190" s="50">
        <v>51.993699999999997</v>
      </c>
      <c r="C1190" s="50">
        <v>2163.12</v>
      </c>
      <c r="D1190" s="51">
        <v>35659016.810322002</v>
      </c>
      <c r="E1190" s="51">
        <v>2062272222</v>
      </c>
      <c r="F1190" s="52">
        <f t="shared" si="40"/>
        <v>1.6598607620945342E-2</v>
      </c>
      <c r="G1190" s="52">
        <f t="shared" si="41"/>
        <v>1.0857950722306076E-2</v>
      </c>
    </row>
    <row r="1191" spans="1:7" ht="15" customHeight="1" x14ac:dyDescent="0.2">
      <c r="A1191" s="19" t="s">
        <v>1338</v>
      </c>
      <c r="B1191" s="50">
        <v>52.048400000000001</v>
      </c>
      <c r="C1191" s="50">
        <v>2177.1799999999998</v>
      </c>
      <c r="D1191" s="51">
        <v>20511226.272553001</v>
      </c>
      <c r="E1191" s="51">
        <v>1973794444</v>
      </c>
      <c r="F1191" s="52">
        <f t="shared" si="40"/>
        <v>1.051497519560105E-3</v>
      </c>
      <c r="G1191" s="52">
        <f t="shared" si="41"/>
        <v>6.4788374909876233E-3</v>
      </c>
    </row>
    <row r="1192" spans="1:7" ht="15" customHeight="1" x14ac:dyDescent="0.2">
      <c r="A1192" s="19" t="s">
        <v>1339</v>
      </c>
      <c r="B1192" s="50">
        <v>51.697600000000001</v>
      </c>
      <c r="C1192" s="50">
        <v>2164.69</v>
      </c>
      <c r="D1192" s="51">
        <v>20918212.379578002</v>
      </c>
      <c r="E1192" s="51">
        <v>1842883333</v>
      </c>
      <c r="F1192" s="52">
        <f t="shared" si="40"/>
        <v>-6.7626961416917142E-3</v>
      </c>
      <c r="G1192" s="52">
        <f t="shared" si="41"/>
        <v>-5.7532972898826128E-3</v>
      </c>
    </row>
    <row r="1193" spans="1:7" ht="15" customHeight="1" x14ac:dyDescent="0.2">
      <c r="A1193" s="19" t="s">
        <v>1340</v>
      </c>
      <c r="B1193" s="50">
        <v>51.220999999999997</v>
      </c>
      <c r="C1193" s="50">
        <v>2146.1</v>
      </c>
      <c r="D1193" s="51">
        <v>22205518.206129</v>
      </c>
      <c r="E1193" s="51">
        <v>1786761111</v>
      </c>
      <c r="F1193" s="52">
        <f t="shared" si="40"/>
        <v>-9.2617545690415384E-3</v>
      </c>
      <c r="G1193" s="52">
        <f t="shared" si="41"/>
        <v>-8.624922689932854E-3</v>
      </c>
    </row>
    <row r="1194" spans="1:7" ht="15" customHeight="1" x14ac:dyDescent="0.2">
      <c r="A1194" s="19" t="s">
        <v>1341</v>
      </c>
      <c r="B1194" s="50">
        <v>52.166400000000003</v>
      </c>
      <c r="C1194" s="50">
        <v>2159.9299999999998</v>
      </c>
      <c r="D1194" s="51">
        <v>26348722.530655999</v>
      </c>
      <c r="E1194" s="51">
        <v>1909872222</v>
      </c>
      <c r="F1194" s="52">
        <f t="shared" si="40"/>
        <v>1.8289005273566316E-2</v>
      </c>
      <c r="G1194" s="52">
        <f t="shared" si="41"/>
        <v>6.4235723182359062E-3</v>
      </c>
    </row>
    <row r="1195" spans="1:7" ht="15" customHeight="1" x14ac:dyDescent="0.2">
      <c r="A1195" s="19" t="s">
        <v>1342</v>
      </c>
      <c r="B1195" s="50">
        <v>52.238799999999998</v>
      </c>
      <c r="C1195" s="50">
        <v>2171.37</v>
      </c>
      <c r="D1195" s="51">
        <v>20857732.375402998</v>
      </c>
      <c r="E1195" s="51">
        <v>2161922222</v>
      </c>
      <c r="F1195" s="52">
        <f t="shared" si="40"/>
        <v>1.3869043228714887E-3</v>
      </c>
      <c r="G1195" s="52">
        <f t="shared" si="41"/>
        <v>5.2824909853757054E-3</v>
      </c>
    </row>
    <row r="1196" spans="1:7" ht="15" customHeight="1" x14ac:dyDescent="0.2">
      <c r="A1196" s="19" t="s">
        <v>1343</v>
      </c>
      <c r="B1196" s="50">
        <v>51.6693</v>
      </c>
      <c r="C1196" s="50">
        <v>2151.13</v>
      </c>
      <c r="D1196" s="51">
        <v>26737129.411371998</v>
      </c>
      <c r="E1196" s="51">
        <v>2360677778</v>
      </c>
      <c r="F1196" s="52">
        <f t="shared" si="40"/>
        <v>-1.0961719106556939E-2</v>
      </c>
      <c r="G1196" s="52">
        <f t="shared" si="41"/>
        <v>-9.365019283515956E-3</v>
      </c>
    </row>
    <row r="1197" spans="1:7" ht="15" customHeight="1" x14ac:dyDescent="0.2">
      <c r="A1197" s="19" t="s">
        <v>1344</v>
      </c>
      <c r="B1197" s="50">
        <v>51.850999999999999</v>
      </c>
      <c r="C1197" s="50">
        <v>2168.27</v>
      </c>
      <c r="D1197" s="51">
        <v>22039693.466628</v>
      </c>
      <c r="E1197" s="51">
        <v>2318522222</v>
      </c>
      <c r="F1197" s="52">
        <f t="shared" si="40"/>
        <v>3.5104261983806896E-3</v>
      </c>
      <c r="G1197" s="52">
        <f t="shared" si="41"/>
        <v>7.9363291030870517E-3</v>
      </c>
    </row>
    <row r="1198" spans="1:7" ht="15" customHeight="1" x14ac:dyDescent="0.2">
      <c r="A1198" s="19" t="s">
        <v>1345</v>
      </c>
      <c r="B1198" s="50">
        <v>51.687800000000003</v>
      </c>
      <c r="C1198" s="50">
        <v>2161.1999999999998</v>
      </c>
      <c r="D1198" s="51">
        <v>20716645.127834</v>
      </c>
      <c r="E1198" s="51">
        <v>1743083333</v>
      </c>
      <c r="F1198" s="52">
        <f t="shared" si="40"/>
        <v>-3.1524440143300414E-3</v>
      </c>
      <c r="G1198" s="52">
        <f t="shared" si="41"/>
        <v>-3.2659915807079186E-3</v>
      </c>
    </row>
    <row r="1199" spans="1:7" ht="15" customHeight="1" x14ac:dyDescent="0.2">
      <c r="A1199" s="19" t="s">
        <v>1346</v>
      </c>
      <c r="B1199" s="50">
        <v>51.5276</v>
      </c>
      <c r="C1199" s="50">
        <v>2150.4899999999998</v>
      </c>
      <c r="D1199" s="51">
        <v>21321948.888085999</v>
      </c>
      <c r="E1199" s="51">
        <v>2083827778</v>
      </c>
      <c r="F1199" s="52">
        <f t="shared" si="40"/>
        <v>-3.1041904336089228E-3</v>
      </c>
      <c r="G1199" s="52">
        <f t="shared" si="41"/>
        <v>-4.9678998383077579E-3</v>
      </c>
    </row>
    <row r="1200" spans="1:7" ht="15" customHeight="1" x14ac:dyDescent="0.2">
      <c r="A1200" s="19" t="s">
        <v>1347</v>
      </c>
      <c r="B1200" s="50">
        <v>51.887099999999997</v>
      </c>
      <c r="C1200" s="50">
        <v>2159.73</v>
      </c>
      <c r="D1200" s="51">
        <v>16846345.649739999</v>
      </c>
      <c r="E1200" s="51">
        <v>2170305556</v>
      </c>
      <c r="F1200" s="52">
        <f t="shared" si="40"/>
        <v>6.9526179189533304E-3</v>
      </c>
      <c r="G1200" s="52">
        <f t="shared" si="41"/>
        <v>4.2874907334568115E-3</v>
      </c>
    </row>
    <row r="1201" spans="1:7" ht="15" customHeight="1" x14ac:dyDescent="0.2">
      <c r="A1201" s="19" t="s">
        <v>1348</v>
      </c>
      <c r="B1201" s="50">
        <v>51.975000000000001</v>
      </c>
      <c r="C1201" s="50">
        <v>2160.77</v>
      </c>
      <c r="D1201" s="51">
        <v>17175659.799749002</v>
      </c>
      <c r="E1201" s="51">
        <v>1923083333</v>
      </c>
      <c r="F1201" s="52">
        <f t="shared" si="40"/>
        <v>1.6926293804205295E-3</v>
      </c>
      <c r="G1201" s="52">
        <f t="shared" si="41"/>
        <v>4.8142577020570391E-4</v>
      </c>
    </row>
    <row r="1202" spans="1:7" ht="15" customHeight="1" x14ac:dyDescent="0.2">
      <c r="A1202" s="19" t="s">
        <v>1349</v>
      </c>
      <c r="B1202" s="50">
        <v>52.030700000000003</v>
      </c>
      <c r="C1202" s="50">
        <v>2153.7399999999998</v>
      </c>
      <c r="D1202" s="51">
        <v>21077370.015880998</v>
      </c>
      <c r="E1202" s="51">
        <v>2011050000</v>
      </c>
      <c r="F1202" s="52">
        <f t="shared" si="40"/>
        <v>1.0710952443015187E-3</v>
      </c>
      <c r="G1202" s="52">
        <f t="shared" si="41"/>
        <v>-3.2587738683275704E-3</v>
      </c>
    </row>
    <row r="1203" spans="1:7" ht="15" customHeight="1" x14ac:dyDescent="0.2">
      <c r="A1203" s="19" t="s">
        <v>1350</v>
      </c>
      <c r="B1203" s="50">
        <v>52.246499999999997</v>
      </c>
      <c r="C1203" s="50">
        <v>2163.66</v>
      </c>
      <c r="D1203" s="51">
        <v>18888419.363465998</v>
      </c>
      <c r="E1203" s="51">
        <v>1620305556</v>
      </c>
      <c r="F1203" s="52">
        <f t="shared" si="40"/>
        <v>4.1389739669705841E-3</v>
      </c>
      <c r="G1203" s="52">
        <f t="shared" si="41"/>
        <v>4.5953664043352545E-3</v>
      </c>
    </row>
    <row r="1204" spans="1:7" ht="15" customHeight="1" x14ac:dyDescent="0.2">
      <c r="A1204" s="19" t="s">
        <v>1351</v>
      </c>
      <c r="B1204" s="50">
        <v>51.4818</v>
      </c>
      <c r="C1204" s="50">
        <v>2136.73</v>
      </c>
      <c r="D1204" s="51">
        <v>26662395.812183</v>
      </c>
      <c r="E1204" s="51">
        <v>1910150000</v>
      </c>
      <c r="F1204" s="52">
        <f t="shared" si="40"/>
        <v>-1.4744555803720406E-2</v>
      </c>
      <c r="G1204" s="52">
        <f t="shared" si="41"/>
        <v>-1.252460917831065E-2</v>
      </c>
    </row>
    <row r="1205" spans="1:7" ht="15" customHeight="1" x14ac:dyDescent="0.2">
      <c r="A1205" s="19" t="s">
        <v>1352</v>
      </c>
      <c r="B1205" s="50">
        <v>51.411499999999997</v>
      </c>
      <c r="C1205" s="50">
        <v>2139.1799999999998</v>
      </c>
      <c r="D1205" s="51">
        <v>23152386.099461999</v>
      </c>
      <c r="E1205" s="51">
        <v>1653944444</v>
      </c>
      <c r="F1205" s="52">
        <f t="shared" si="40"/>
        <v>-1.3664643069826287E-3</v>
      </c>
      <c r="G1205" s="52">
        <f t="shared" si="41"/>
        <v>1.1459550215575632E-3</v>
      </c>
    </row>
    <row r="1206" spans="1:7" ht="15" customHeight="1" x14ac:dyDescent="0.2">
      <c r="A1206" s="19" t="s">
        <v>1353</v>
      </c>
      <c r="B1206" s="50">
        <v>51.238500000000002</v>
      </c>
      <c r="C1206" s="50">
        <v>2132.5500000000002</v>
      </c>
      <c r="D1206" s="51">
        <v>25952347.273988999</v>
      </c>
      <c r="E1206" s="51">
        <v>1989138889</v>
      </c>
      <c r="F1206" s="52">
        <f t="shared" si="40"/>
        <v>-3.3706802492880429E-3</v>
      </c>
      <c r="G1206" s="52">
        <f t="shared" si="41"/>
        <v>-3.1041312647029852E-3</v>
      </c>
    </row>
    <row r="1207" spans="1:7" ht="15" customHeight="1" x14ac:dyDescent="0.2">
      <c r="A1207" s="19" t="s">
        <v>1354</v>
      </c>
      <c r="B1207" s="50">
        <v>51.687800000000003</v>
      </c>
      <c r="C1207" s="50">
        <v>2132.98</v>
      </c>
      <c r="D1207" s="51">
        <v>28706781.307085</v>
      </c>
      <c r="E1207" s="51">
        <v>1793416667</v>
      </c>
      <c r="F1207" s="52">
        <f t="shared" si="40"/>
        <v>8.7305742829540869E-3</v>
      </c>
      <c r="G1207" s="52">
        <f t="shared" si="41"/>
        <v>2.0161621250175643E-4</v>
      </c>
    </row>
    <row r="1208" spans="1:7" ht="15" customHeight="1" x14ac:dyDescent="0.2">
      <c r="A1208" s="19" t="s">
        <v>1355</v>
      </c>
      <c r="B1208" s="50">
        <v>51.510300000000001</v>
      </c>
      <c r="C1208" s="50">
        <v>2126.5</v>
      </c>
      <c r="D1208" s="51">
        <v>24139080.515276</v>
      </c>
      <c r="E1208" s="51">
        <v>1572438889</v>
      </c>
      <c r="F1208" s="52">
        <f t="shared" si="40"/>
        <v>-3.4399892059550326E-3</v>
      </c>
      <c r="G1208" s="52">
        <f t="shared" si="41"/>
        <v>-3.0426272686303788E-3</v>
      </c>
    </row>
    <row r="1209" spans="1:7" ht="15" customHeight="1" x14ac:dyDescent="0.2">
      <c r="A1209" s="19" t="s">
        <v>1356</v>
      </c>
      <c r="B1209" s="50">
        <v>51.906799999999997</v>
      </c>
      <c r="C1209" s="50">
        <v>2139.6</v>
      </c>
      <c r="D1209" s="51">
        <v>20277864.350997999</v>
      </c>
      <c r="E1209" s="51">
        <v>1761111111</v>
      </c>
      <c r="F1209" s="52">
        <f t="shared" si="40"/>
        <v>7.6680151115639953E-3</v>
      </c>
      <c r="G1209" s="52">
        <f t="shared" si="41"/>
        <v>6.1414599634068111E-3</v>
      </c>
    </row>
    <row r="1210" spans="1:7" ht="15" customHeight="1" x14ac:dyDescent="0.2">
      <c r="A1210" s="19" t="s">
        <v>1357</v>
      </c>
      <c r="B1210" s="50">
        <v>51.7896</v>
      </c>
      <c r="C1210" s="50">
        <v>2144.29</v>
      </c>
      <c r="D1210" s="51">
        <v>23925499.782430999</v>
      </c>
      <c r="E1210" s="51">
        <v>1868150000</v>
      </c>
      <c r="F1210" s="52">
        <f t="shared" si="40"/>
        <v>-2.2604458766920322E-3</v>
      </c>
      <c r="G1210" s="52">
        <f t="shared" si="41"/>
        <v>2.1895995806570281E-3</v>
      </c>
    </row>
    <row r="1211" spans="1:7" ht="15" customHeight="1" x14ac:dyDescent="0.2">
      <c r="A1211" s="19" t="s">
        <v>1358</v>
      </c>
      <c r="B1211" s="50">
        <v>51.535499999999999</v>
      </c>
      <c r="C1211" s="50">
        <v>2141.34</v>
      </c>
      <c r="D1211" s="51">
        <v>46793446.701210998</v>
      </c>
      <c r="E1211" s="51">
        <v>1853983333</v>
      </c>
      <c r="F1211" s="52">
        <f t="shared" si="40"/>
        <v>-4.9184663213644253E-3</v>
      </c>
      <c r="G1211" s="52">
        <f t="shared" si="41"/>
        <v>-1.3766939590792353E-3</v>
      </c>
    </row>
    <row r="1212" spans="1:7" ht="15" customHeight="1" x14ac:dyDescent="0.2">
      <c r="A1212" s="19" t="s">
        <v>1359</v>
      </c>
      <c r="B1212" s="50">
        <v>53.704799999999999</v>
      </c>
      <c r="C1212" s="50">
        <v>2141.16</v>
      </c>
      <c r="D1212" s="51">
        <v>85275893.667418003</v>
      </c>
      <c r="E1212" s="51">
        <v>1916027778</v>
      </c>
      <c r="F1212" s="52">
        <f t="shared" si="40"/>
        <v>4.1231492409171372E-2</v>
      </c>
      <c r="G1212" s="52">
        <f t="shared" si="41"/>
        <v>-8.4063047335106874E-5</v>
      </c>
    </row>
    <row r="1213" spans="1:7" ht="15" customHeight="1" x14ac:dyDescent="0.2">
      <c r="A1213" s="19" t="s">
        <v>1360</v>
      </c>
      <c r="B1213" s="50">
        <v>54.911200000000001</v>
      </c>
      <c r="C1213" s="50">
        <v>2151.33</v>
      </c>
      <c r="D1213" s="51">
        <v>56480862.315132998</v>
      </c>
      <c r="E1213" s="51">
        <v>1865177778</v>
      </c>
      <c r="F1213" s="52">
        <f t="shared" si="40"/>
        <v>2.2214951999767155E-2</v>
      </c>
      <c r="G1213" s="52">
        <f t="shared" si="41"/>
        <v>4.7385172845472385E-3</v>
      </c>
    </row>
    <row r="1214" spans="1:7" ht="15" customHeight="1" x14ac:dyDescent="0.2">
      <c r="A1214" s="19" t="s">
        <v>1361</v>
      </c>
      <c r="B1214" s="50">
        <v>54.901299999999999</v>
      </c>
      <c r="C1214" s="50">
        <v>2143.16</v>
      </c>
      <c r="D1214" s="51">
        <v>37083752.806332998</v>
      </c>
      <c r="E1214" s="51">
        <v>2084077778</v>
      </c>
      <c r="F1214" s="52">
        <f t="shared" si="40"/>
        <v>-1.8030734254881488E-4</v>
      </c>
      <c r="G1214" s="52">
        <f t="shared" si="41"/>
        <v>-3.8048801401324552E-3</v>
      </c>
    </row>
    <row r="1215" spans="1:7" ht="15" customHeight="1" x14ac:dyDescent="0.2">
      <c r="A1215" s="19" t="s">
        <v>1362</v>
      </c>
      <c r="B1215" s="50">
        <v>54.579099999999997</v>
      </c>
      <c r="C1215" s="50">
        <v>2139.4299999999998</v>
      </c>
      <c r="D1215" s="51">
        <v>31026170.475442</v>
      </c>
      <c r="E1215" s="51">
        <v>2097333333</v>
      </c>
      <c r="F1215" s="52">
        <f t="shared" si="40"/>
        <v>-5.8860020646300092E-3</v>
      </c>
      <c r="G1215" s="52">
        <f t="shared" si="41"/>
        <v>-1.7419369788728072E-3</v>
      </c>
    </row>
    <row r="1216" spans="1:7" ht="15" customHeight="1" x14ac:dyDescent="0.2">
      <c r="A1216" s="19" t="s">
        <v>1363</v>
      </c>
      <c r="B1216" s="50">
        <v>54.099499999999999</v>
      </c>
      <c r="C1216" s="50">
        <v>2133.04</v>
      </c>
      <c r="D1216" s="51">
        <v>30381170.217602</v>
      </c>
      <c r="E1216" s="51">
        <v>2336016667</v>
      </c>
      <c r="F1216" s="52">
        <f t="shared" si="40"/>
        <v>-8.8260819220745065E-3</v>
      </c>
      <c r="G1216" s="52">
        <f t="shared" si="41"/>
        <v>-2.9912461712177669E-3</v>
      </c>
    </row>
    <row r="1217" spans="1:7" ht="15" customHeight="1" x14ac:dyDescent="0.2">
      <c r="A1217" s="19" t="s">
        <v>1364</v>
      </c>
      <c r="B1217" s="50">
        <v>53.896299999999997</v>
      </c>
      <c r="C1217" s="50">
        <v>2126.41</v>
      </c>
      <c r="D1217" s="51">
        <v>35322106.954135001</v>
      </c>
      <c r="E1217" s="51">
        <v>2233061111</v>
      </c>
      <c r="F1217" s="52">
        <f t="shared" si="40"/>
        <v>-3.7631137468920523E-3</v>
      </c>
      <c r="G1217" s="52">
        <f t="shared" si="41"/>
        <v>-3.1130804936909326E-3</v>
      </c>
    </row>
    <row r="1218" spans="1:7" ht="15" customHeight="1" x14ac:dyDescent="0.2">
      <c r="A1218" s="19" t="s">
        <v>1365</v>
      </c>
      <c r="B1218" s="50">
        <v>53.9422</v>
      </c>
      <c r="C1218" s="50">
        <v>2126.15</v>
      </c>
      <c r="D1218" s="51">
        <v>29365596.965808</v>
      </c>
      <c r="E1218" s="51">
        <v>2179111111</v>
      </c>
      <c r="F1218" s="52">
        <f t="shared" si="40"/>
        <v>8.5127301978132528E-4</v>
      </c>
      <c r="G1218" s="52">
        <f t="shared" si="41"/>
        <v>-1.2227928604123579E-4</v>
      </c>
    </row>
    <row r="1219" spans="1:7" ht="15" customHeight="1" x14ac:dyDescent="0.2">
      <c r="A1219" s="19" t="s">
        <v>1366</v>
      </c>
      <c r="B1219" s="50">
        <v>53.829799999999999</v>
      </c>
      <c r="C1219" s="50">
        <v>2111.7199999999998</v>
      </c>
      <c r="D1219" s="51">
        <v>27253037.474018</v>
      </c>
      <c r="E1219" s="51">
        <v>2517866667</v>
      </c>
      <c r="F1219" s="52">
        <f t="shared" si="40"/>
        <v>-2.0858857728094224E-3</v>
      </c>
      <c r="G1219" s="52">
        <f t="shared" si="41"/>
        <v>-6.8100511662960534E-3</v>
      </c>
    </row>
    <row r="1220" spans="1:7" ht="15" customHeight="1" x14ac:dyDescent="0.2">
      <c r="A1220" s="19" t="s">
        <v>1367</v>
      </c>
      <c r="B1220" s="50">
        <v>53.5015</v>
      </c>
      <c r="C1220" s="50">
        <v>2097.94</v>
      </c>
      <c r="D1220" s="51">
        <v>24602513.807145</v>
      </c>
      <c r="E1220" s="51">
        <v>2360322222</v>
      </c>
      <c r="F1220" s="52">
        <f t="shared" si="40"/>
        <v>-6.117526273531025E-3</v>
      </c>
      <c r="G1220" s="52">
        <f t="shared" si="41"/>
        <v>-6.5468703977364399E-3</v>
      </c>
    </row>
    <row r="1221" spans="1:7" ht="15" customHeight="1" x14ac:dyDescent="0.2">
      <c r="A1221" s="19" t="s">
        <v>1368</v>
      </c>
      <c r="B1221" s="50">
        <v>53.300400000000003</v>
      </c>
      <c r="C1221" s="50">
        <v>2088.66</v>
      </c>
      <c r="D1221" s="51">
        <v>23995335.436028</v>
      </c>
      <c r="E1221" s="51">
        <v>2159300000</v>
      </c>
      <c r="F1221" s="52">
        <f t="shared" si="40"/>
        <v>-3.7658550580279126E-3</v>
      </c>
      <c r="G1221" s="52">
        <f t="shared" si="41"/>
        <v>-4.4331988718818317E-3</v>
      </c>
    </row>
    <row r="1222" spans="1:7" ht="15" customHeight="1" x14ac:dyDescent="0.2">
      <c r="A1222" s="19" t="s">
        <v>1369</v>
      </c>
      <c r="B1222" s="50">
        <v>52.850200000000001</v>
      </c>
      <c r="C1222" s="50">
        <v>2085.1799999999998</v>
      </c>
      <c r="D1222" s="51">
        <v>31878745.749393001</v>
      </c>
      <c r="E1222" s="51">
        <v>2132144444</v>
      </c>
      <c r="F1222" s="52">
        <f t="shared" ref="F1222:F1285" si="42">LN(B1222/B1221)</f>
        <v>-8.4823392298091736E-3</v>
      </c>
      <c r="G1222" s="52">
        <f t="shared" ref="G1222:G1285" si="43">LN(C1222/C1221)</f>
        <v>-1.6675295681625661E-3</v>
      </c>
    </row>
    <row r="1223" spans="1:7" ht="15" customHeight="1" x14ac:dyDescent="0.2">
      <c r="A1223" s="19" t="s">
        <v>1370</v>
      </c>
      <c r="B1223" s="50">
        <v>54.392400000000002</v>
      </c>
      <c r="C1223" s="50">
        <v>2131.52</v>
      </c>
      <c r="D1223" s="51">
        <v>31627438.344907999</v>
      </c>
      <c r="E1223" s="51">
        <v>2075588889</v>
      </c>
      <c r="F1223" s="52">
        <f t="shared" si="42"/>
        <v>2.87629416155071E-2</v>
      </c>
      <c r="G1223" s="52">
        <f t="shared" si="43"/>
        <v>2.1980157782961814E-2</v>
      </c>
    </row>
    <row r="1224" spans="1:7" ht="15" customHeight="1" x14ac:dyDescent="0.2">
      <c r="A1224" s="19" t="s">
        <v>1371</v>
      </c>
      <c r="B1224" s="50">
        <v>54.436399999999999</v>
      </c>
      <c r="C1224" s="50">
        <v>2139.56</v>
      </c>
      <c r="D1224" s="51">
        <v>23922479.519157998</v>
      </c>
      <c r="E1224" s="51">
        <v>2176072222</v>
      </c>
      <c r="F1224" s="52">
        <f t="shared" si="42"/>
        <v>8.0860952978338205E-4</v>
      </c>
      <c r="G1224" s="52">
        <f t="shared" si="43"/>
        <v>3.7648601743320194E-3</v>
      </c>
    </row>
    <row r="1225" spans="1:7" ht="15" customHeight="1" x14ac:dyDescent="0.2">
      <c r="A1225" s="19" t="s">
        <v>1372</v>
      </c>
      <c r="B1225" s="50">
        <v>54.1629</v>
      </c>
      <c r="C1225" s="50">
        <v>2163.2600000000002</v>
      </c>
      <c r="D1225" s="51">
        <v>52020136.176996998</v>
      </c>
      <c r="E1225" s="51">
        <v>3480083333</v>
      </c>
      <c r="F1225" s="52">
        <f t="shared" si="42"/>
        <v>-5.0368755273184785E-3</v>
      </c>
      <c r="G1225" s="52">
        <f t="shared" si="43"/>
        <v>1.1016142751234132E-2</v>
      </c>
    </row>
    <row r="1226" spans="1:7" ht="15" customHeight="1" x14ac:dyDescent="0.2">
      <c r="A1226" s="19" t="s">
        <v>1373</v>
      </c>
      <c r="B1226" s="50">
        <v>52.842300000000002</v>
      </c>
      <c r="C1226" s="50">
        <v>2167.48</v>
      </c>
      <c r="D1226" s="51">
        <v>61757968.687397003</v>
      </c>
      <c r="E1226" s="51">
        <v>3584244444</v>
      </c>
      <c r="F1226" s="52">
        <f t="shared" si="42"/>
        <v>-2.4684165884825419E-2</v>
      </c>
      <c r="G1226" s="52">
        <f t="shared" si="43"/>
        <v>1.9488592414451842E-3</v>
      </c>
    </row>
    <row r="1227" spans="1:7" ht="15" customHeight="1" x14ac:dyDescent="0.2">
      <c r="A1227" s="19" t="s">
        <v>1374</v>
      </c>
      <c r="B1227" s="50">
        <v>53.129600000000003</v>
      </c>
      <c r="C1227" s="50">
        <v>2164.4499999999998</v>
      </c>
      <c r="D1227" s="51">
        <v>38704589.889475003</v>
      </c>
      <c r="E1227" s="51">
        <v>2771138889</v>
      </c>
      <c r="F1227" s="52">
        <f t="shared" si="42"/>
        <v>5.4222053939224869E-3</v>
      </c>
      <c r="G1227" s="52">
        <f t="shared" si="43"/>
        <v>-1.398914799700448E-3</v>
      </c>
    </row>
    <row r="1228" spans="1:7" ht="15" customHeight="1" x14ac:dyDescent="0.2">
      <c r="A1228" s="19" t="s">
        <v>1375</v>
      </c>
      <c r="B1228" s="50">
        <v>52.317799999999998</v>
      </c>
      <c r="C1228" s="50">
        <v>2164.1999999999998</v>
      </c>
      <c r="D1228" s="51">
        <v>45910639.103804998</v>
      </c>
      <c r="E1228" s="51">
        <v>2981777778</v>
      </c>
      <c r="F1228" s="52">
        <f t="shared" si="42"/>
        <v>-1.5397554396131623E-2</v>
      </c>
      <c r="G1228" s="52">
        <f t="shared" si="43"/>
        <v>-1.155094545772426E-4</v>
      </c>
    </row>
    <row r="1229" spans="1:7" ht="15" customHeight="1" x14ac:dyDescent="0.2">
      <c r="A1229" s="19" t="s">
        <v>1376</v>
      </c>
      <c r="B1229" s="50">
        <v>53.3523</v>
      </c>
      <c r="C1229" s="50">
        <v>2180.39</v>
      </c>
      <c r="D1229" s="51">
        <v>39617292.974192999</v>
      </c>
      <c r="E1229" s="51">
        <v>2524366667</v>
      </c>
      <c r="F1229" s="52">
        <f t="shared" si="42"/>
        <v>1.9580431010936088E-2</v>
      </c>
      <c r="G1229" s="52">
        <f t="shared" si="43"/>
        <v>7.4529817276226176E-3</v>
      </c>
    </row>
    <row r="1230" spans="1:7" ht="15" customHeight="1" x14ac:dyDescent="0.2">
      <c r="A1230" s="19" t="s">
        <v>1377</v>
      </c>
      <c r="B1230" s="50">
        <v>54.058500000000002</v>
      </c>
      <c r="C1230" s="50">
        <v>2176.94</v>
      </c>
      <c r="D1230" s="51">
        <v>27847806.146448001</v>
      </c>
      <c r="E1230" s="51">
        <v>2128105556</v>
      </c>
      <c r="F1230" s="52">
        <f t="shared" si="42"/>
        <v>1.314970516937735E-2</v>
      </c>
      <c r="G1230" s="52">
        <f t="shared" si="43"/>
        <v>-1.5835388740046499E-3</v>
      </c>
    </row>
    <row r="1231" spans="1:7" ht="15" customHeight="1" x14ac:dyDescent="0.2">
      <c r="A1231" s="19" t="s">
        <v>1378</v>
      </c>
      <c r="B1231" s="50">
        <v>54.955100000000002</v>
      </c>
      <c r="C1231" s="50">
        <v>2187.12</v>
      </c>
      <c r="D1231" s="51">
        <v>33522939.193906002</v>
      </c>
      <c r="E1231" s="51">
        <v>2116200000</v>
      </c>
      <c r="F1231" s="52">
        <f t="shared" si="42"/>
        <v>1.6449694674335463E-2</v>
      </c>
      <c r="G1231" s="52">
        <f t="shared" si="43"/>
        <v>4.6653888648148147E-3</v>
      </c>
    </row>
    <row r="1232" spans="1:7" ht="15" customHeight="1" x14ac:dyDescent="0.2">
      <c r="A1232" s="19" t="s">
        <v>1379</v>
      </c>
      <c r="B1232" s="50">
        <v>54.692300000000003</v>
      </c>
      <c r="C1232" s="50">
        <v>2181.9</v>
      </c>
      <c r="D1232" s="51">
        <v>29121517.716814999</v>
      </c>
      <c r="E1232" s="51">
        <v>1984666667</v>
      </c>
      <c r="F1232" s="52">
        <f t="shared" si="42"/>
        <v>-4.7935564951294904E-3</v>
      </c>
      <c r="G1232" s="52">
        <f t="shared" si="43"/>
        <v>-2.3895530273762948E-3</v>
      </c>
    </row>
    <row r="1233" spans="1:7" ht="15" customHeight="1" x14ac:dyDescent="0.2">
      <c r="A1233" s="19" t="s">
        <v>1380</v>
      </c>
      <c r="B1233" s="50">
        <v>55.154200000000003</v>
      </c>
      <c r="C1233" s="50">
        <v>2198.1799999999998</v>
      </c>
      <c r="D1233" s="51">
        <v>20105131.911056001</v>
      </c>
      <c r="E1233" s="51">
        <v>2003894444</v>
      </c>
      <c r="F1233" s="52">
        <f t="shared" si="42"/>
        <v>8.4099670434269504E-3</v>
      </c>
      <c r="G1233" s="52">
        <f t="shared" si="43"/>
        <v>7.4336884116068527E-3</v>
      </c>
    </row>
    <row r="1234" spans="1:7" ht="15" customHeight="1" x14ac:dyDescent="0.2">
      <c r="A1234" s="19" t="s">
        <v>1381</v>
      </c>
      <c r="B1234" s="50">
        <v>55.382899999999999</v>
      </c>
      <c r="C1234" s="50">
        <v>2202.94</v>
      </c>
      <c r="D1234" s="51">
        <v>18722069.405301999</v>
      </c>
      <c r="E1234" s="51">
        <v>2198855556</v>
      </c>
      <c r="F1234" s="52">
        <f t="shared" si="42"/>
        <v>4.1379831085477225E-3</v>
      </c>
      <c r="G1234" s="52">
        <f t="shared" si="43"/>
        <v>2.1630866034014736E-3</v>
      </c>
    </row>
    <row r="1235" spans="1:7" ht="15" customHeight="1" x14ac:dyDescent="0.2">
      <c r="A1235" s="19" t="s">
        <v>1382</v>
      </c>
      <c r="B1235" s="50">
        <v>54.739199999999997</v>
      </c>
      <c r="C1235" s="50">
        <v>2204.7199999999998</v>
      </c>
      <c r="D1235" s="51">
        <v>22933549.084704001</v>
      </c>
      <c r="E1235" s="51">
        <v>1899244444</v>
      </c>
      <c r="F1235" s="52">
        <f t="shared" si="42"/>
        <v>-1.1690792882422078E-2</v>
      </c>
      <c r="G1235" s="52">
        <f t="shared" si="43"/>
        <v>8.0768484718235598E-4</v>
      </c>
    </row>
    <row r="1236" spans="1:7" ht="15" customHeight="1" x14ac:dyDescent="0.2">
      <c r="A1236" s="19" t="s">
        <v>1383</v>
      </c>
      <c r="B1236" s="50">
        <v>54.856499999999997</v>
      </c>
      <c r="C1236" s="50">
        <v>2213.35</v>
      </c>
      <c r="D1236" s="51">
        <v>8768157.0221753996</v>
      </c>
      <c r="E1236" s="51">
        <v>880333333</v>
      </c>
      <c r="F1236" s="52">
        <f t="shared" si="42"/>
        <v>2.1405957494777601E-3</v>
      </c>
      <c r="G1236" s="52">
        <f t="shared" si="43"/>
        <v>3.9066882037051285E-3</v>
      </c>
    </row>
    <row r="1237" spans="1:7" ht="15" customHeight="1" x14ac:dyDescent="0.2">
      <c r="A1237" s="19" t="s">
        <v>1384</v>
      </c>
      <c r="B1237" s="50">
        <v>54.9298</v>
      </c>
      <c r="C1237" s="50">
        <v>2201.7199999999998</v>
      </c>
      <c r="D1237" s="51">
        <v>21470223.338427</v>
      </c>
      <c r="E1237" s="51">
        <v>1947583333</v>
      </c>
      <c r="F1237" s="52">
        <f t="shared" si="42"/>
        <v>1.3353216365188424E-3</v>
      </c>
      <c r="G1237" s="52">
        <f t="shared" si="43"/>
        <v>-5.2683318269105429E-3</v>
      </c>
    </row>
    <row r="1238" spans="1:7" ht="15" customHeight="1" x14ac:dyDescent="0.2">
      <c r="A1238" s="19" t="s">
        <v>1385</v>
      </c>
      <c r="B1238" s="50">
        <v>55.363399999999999</v>
      </c>
      <c r="C1238" s="50">
        <v>2204.66</v>
      </c>
      <c r="D1238" s="51">
        <v>23148777.140804999</v>
      </c>
      <c r="E1238" s="51">
        <v>2059200000</v>
      </c>
      <c r="F1238" s="52">
        <f t="shared" si="42"/>
        <v>7.8627192582213373E-3</v>
      </c>
      <c r="G1238" s="52">
        <f t="shared" si="43"/>
        <v>1.3344289127455414E-3</v>
      </c>
    </row>
    <row r="1239" spans="1:7" ht="15" customHeight="1" x14ac:dyDescent="0.2">
      <c r="A1239" s="19" t="s">
        <v>1386</v>
      </c>
      <c r="B1239" s="50">
        <v>54.611199999999997</v>
      </c>
      <c r="C1239" s="50">
        <v>2198.81</v>
      </c>
      <c r="D1239" s="51">
        <v>33590298.231619</v>
      </c>
      <c r="E1239" s="51">
        <v>3074433333</v>
      </c>
      <c r="F1239" s="52">
        <f t="shared" si="42"/>
        <v>-1.3679735688414617E-2</v>
      </c>
      <c r="G1239" s="52">
        <f t="shared" si="43"/>
        <v>-2.6569970689346348E-3</v>
      </c>
    </row>
    <row r="1240" spans="1:7" ht="15" customHeight="1" x14ac:dyDescent="0.2">
      <c r="A1240" s="19" t="s">
        <v>1387</v>
      </c>
      <c r="B1240" s="50">
        <v>53.6492</v>
      </c>
      <c r="C1240" s="50">
        <v>2191.08</v>
      </c>
      <c r="D1240" s="51">
        <v>35025373.766204998</v>
      </c>
      <c r="E1240" s="51">
        <v>2813188889</v>
      </c>
      <c r="F1240" s="52">
        <f t="shared" si="42"/>
        <v>-1.7772432417730702E-2</v>
      </c>
      <c r="G1240" s="52">
        <f t="shared" si="43"/>
        <v>-3.5217319747589582E-3</v>
      </c>
    </row>
    <row r="1241" spans="1:7" ht="15" customHeight="1" x14ac:dyDescent="0.2">
      <c r="A1241" s="19" t="s">
        <v>1388</v>
      </c>
      <c r="B1241" s="50">
        <v>53.695900000000002</v>
      </c>
      <c r="C1241" s="50">
        <v>2191.9499999999998</v>
      </c>
      <c r="D1241" s="51">
        <v>26600609.416164</v>
      </c>
      <c r="E1241" s="51">
        <v>2099722222</v>
      </c>
      <c r="F1241" s="52">
        <f t="shared" si="42"/>
        <v>8.7009100454928123E-4</v>
      </c>
      <c r="G1241" s="52">
        <f t="shared" si="43"/>
        <v>3.969856521291979E-4</v>
      </c>
    </row>
    <row r="1242" spans="1:7" ht="15" customHeight="1" x14ac:dyDescent="0.2">
      <c r="A1242" s="19" t="s">
        <v>1389</v>
      </c>
      <c r="B1242" s="50">
        <v>54.5762</v>
      </c>
      <c r="C1242" s="50">
        <v>2204.71</v>
      </c>
      <c r="D1242" s="51">
        <v>24836505.376807</v>
      </c>
      <c r="E1242" s="51">
        <v>2164016667</v>
      </c>
      <c r="F1242" s="52">
        <f t="shared" si="42"/>
        <v>1.6261241777165251E-2</v>
      </c>
      <c r="G1242" s="52">
        <f t="shared" si="43"/>
        <v>5.8044223683808216E-3</v>
      </c>
    </row>
    <row r="1243" spans="1:7" ht="15" customHeight="1" x14ac:dyDescent="0.2">
      <c r="A1243" s="19" t="s">
        <v>1390</v>
      </c>
      <c r="B1243" s="50">
        <v>54.331899999999997</v>
      </c>
      <c r="C1243" s="50">
        <v>2212.23</v>
      </c>
      <c r="D1243" s="51">
        <v>20163952.306159001</v>
      </c>
      <c r="E1243" s="51">
        <v>2141844444</v>
      </c>
      <c r="F1243" s="52">
        <f t="shared" si="42"/>
        <v>-4.4863588614714282E-3</v>
      </c>
      <c r="G1243" s="52">
        <f t="shared" si="43"/>
        <v>3.4050755798857375E-3</v>
      </c>
    </row>
    <row r="1244" spans="1:7" ht="15" customHeight="1" x14ac:dyDescent="0.2">
      <c r="A1244" s="19" t="s">
        <v>1391</v>
      </c>
      <c r="B1244" s="50">
        <v>55.619500000000002</v>
      </c>
      <c r="C1244" s="50">
        <v>2241.35</v>
      </c>
      <c r="D1244" s="51">
        <v>31282250.919716999</v>
      </c>
      <c r="E1244" s="51">
        <v>2501011111</v>
      </c>
      <c r="F1244" s="52">
        <f t="shared" si="42"/>
        <v>2.3422327770729563E-2</v>
      </c>
      <c r="G1244" s="52">
        <f t="shared" si="43"/>
        <v>1.3077306345682039E-2</v>
      </c>
    </row>
    <row r="1245" spans="1:7" ht="15" customHeight="1" x14ac:dyDescent="0.2">
      <c r="A1245" s="19" t="s">
        <v>1392</v>
      </c>
      <c r="B1245" s="50">
        <v>55.292000000000002</v>
      </c>
      <c r="C1245" s="50">
        <v>2246.19</v>
      </c>
      <c r="D1245" s="51">
        <v>22913642.990189999</v>
      </c>
      <c r="E1245" s="51">
        <v>2333655556</v>
      </c>
      <c r="F1245" s="52">
        <f t="shared" si="42"/>
        <v>-5.9056265912051809E-3</v>
      </c>
      <c r="G1245" s="52">
        <f t="shared" si="43"/>
        <v>2.1570846729904334E-3</v>
      </c>
    </row>
    <row r="1246" spans="1:7" ht="15" customHeight="1" x14ac:dyDescent="0.2">
      <c r="A1246" s="19" t="s">
        <v>1393</v>
      </c>
      <c r="B1246" s="50">
        <v>56.162500000000001</v>
      </c>
      <c r="C1246" s="50">
        <v>2259.5300000000002</v>
      </c>
      <c r="D1246" s="51">
        <v>27847765.193725999</v>
      </c>
      <c r="E1246" s="51">
        <v>2158044444</v>
      </c>
      <c r="F1246" s="52">
        <f t="shared" si="42"/>
        <v>1.5621041794167529E-2</v>
      </c>
      <c r="G1246" s="52">
        <f t="shared" si="43"/>
        <v>5.9213794812155249E-3</v>
      </c>
    </row>
    <row r="1247" spans="1:7" ht="15" customHeight="1" x14ac:dyDescent="0.2">
      <c r="A1247" s="19" t="s">
        <v>1394</v>
      </c>
      <c r="B1247" s="50">
        <v>56.344000000000001</v>
      </c>
      <c r="C1247" s="50">
        <v>2256.96</v>
      </c>
      <c r="D1247" s="51">
        <v>21800159.969815001</v>
      </c>
      <c r="E1247" s="51">
        <v>2241394444</v>
      </c>
      <c r="F1247" s="52">
        <f t="shared" si="42"/>
        <v>3.226483046830814E-3</v>
      </c>
      <c r="G1247" s="52">
        <f t="shared" si="43"/>
        <v>-1.1380520171109239E-3</v>
      </c>
    </row>
    <row r="1248" spans="1:7" ht="15" customHeight="1" x14ac:dyDescent="0.2">
      <c r="A1248" s="19" t="s">
        <v>1395</v>
      </c>
      <c r="B1248" s="50">
        <v>57.075699999999998</v>
      </c>
      <c r="C1248" s="50">
        <v>2271.7199999999998</v>
      </c>
      <c r="D1248" s="51">
        <v>36863208.063054003</v>
      </c>
      <c r="E1248" s="51">
        <v>2143105556</v>
      </c>
      <c r="F1248" s="52">
        <f t="shared" si="42"/>
        <v>1.290269946171063E-2</v>
      </c>
      <c r="G1248" s="52">
        <f t="shared" si="43"/>
        <v>6.5184787900044779E-3</v>
      </c>
    </row>
    <row r="1249" spans="1:7" ht="15" customHeight="1" x14ac:dyDescent="0.2">
      <c r="A1249" s="19" t="s">
        <v>1396</v>
      </c>
      <c r="B1249" s="50">
        <v>56.8157</v>
      </c>
      <c r="C1249" s="50">
        <v>2253.2800000000002</v>
      </c>
      <c r="D1249" s="51">
        <v>28204570.906245999</v>
      </c>
      <c r="E1249" s="51">
        <v>2448316667</v>
      </c>
      <c r="F1249" s="52">
        <f t="shared" si="42"/>
        <v>-4.5657609207880555E-3</v>
      </c>
      <c r="G1249" s="52">
        <f t="shared" si="43"/>
        <v>-8.1503213600785333E-3</v>
      </c>
    </row>
    <row r="1250" spans="1:7" ht="15" customHeight="1" x14ac:dyDescent="0.2">
      <c r="A1250" s="19" t="s">
        <v>1397</v>
      </c>
      <c r="B1250" s="50">
        <v>56.713200000000001</v>
      </c>
      <c r="C1250" s="50">
        <v>2262.0300000000002</v>
      </c>
      <c r="D1250" s="51">
        <v>28481367.285119001</v>
      </c>
      <c r="E1250" s="51">
        <v>2315666667</v>
      </c>
      <c r="F1250" s="52">
        <f t="shared" si="42"/>
        <v>-1.805708112221635E-3</v>
      </c>
      <c r="G1250" s="52">
        <f t="shared" si="43"/>
        <v>3.8757077378476596E-3</v>
      </c>
    </row>
    <row r="1251" spans="1:7" ht="15" customHeight="1" x14ac:dyDescent="0.2">
      <c r="A1251" s="19" t="s">
        <v>1398</v>
      </c>
      <c r="B1251" s="50">
        <v>56.460099999999997</v>
      </c>
      <c r="C1251" s="50">
        <v>2258.0700000000002</v>
      </c>
      <c r="D1251" s="51">
        <v>41968934.459031001</v>
      </c>
      <c r="E1251" s="51">
        <v>3289077778</v>
      </c>
      <c r="F1251" s="52">
        <f t="shared" si="42"/>
        <v>-4.4727938826087613E-3</v>
      </c>
      <c r="G1251" s="52">
        <f t="shared" si="43"/>
        <v>-1.7521740727583343E-3</v>
      </c>
    </row>
    <row r="1252" spans="1:7" ht="15" customHeight="1" x14ac:dyDescent="0.2">
      <c r="A1252" s="19" t="s">
        <v>1399</v>
      </c>
      <c r="B1252" s="50">
        <v>57.659799999999997</v>
      </c>
      <c r="C1252" s="50">
        <v>2262.5300000000002</v>
      </c>
      <c r="D1252" s="51">
        <v>31431023.969452001</v>
      </c>
      <c r="E1252" s="51">
        <v>1804650000</v>
      </c>
      <c r="F1252" s="52">
        <f t="shared" si="42"/>
        <v>2.1026029605951162E-2</v>
      </c>
      <c r="G1252" s="52">
        <f t="shared" si="43"/>
        <v>1.9731900398514256E-3</v>
      </c>
    </row>
    <row r="1253" spans="1:7" ht="15" customHeight="1" x14ac:dyDescent="0.2">
      <c r="A1253" s="19" t="s">
        <v>1400</v>
      </c>
      <c r="B1253" s="50">
        <v>57.584299999999999</v>
      </c>
      <c r="C1253" s="50">
        <v>2270.7600000000002</v>
      </c>
      <c r="D1253" s="51">
        <v>23992231.219673</v>
      </c>
      <c r="E1253" s="51">
        <v>1832655556</v>
      </c>
      <c r="F1253" s="52">
        <f t="shared" si="42"/>
        <v>-1.3102624915540418E-3</v>
      </c>
      <c r="G1253" s="52">
        <f t="shared" si="43"/>
        <v>3.6309210492785509E-3</v>
      </c>
    </row>
    <row r="1254" spans="1:7" ht="15" customHeight="1" x14ac:dyDescent="0.2">
      <c r="A1254" s="19" t="s">
        <v>1401</v>
      </c>
      <c r="B1254" s="50">
        <v>57.594099999999997</v>
      </c>
      <c r="C1254" s="50">
        <v>2265.1799999999998</v>
      </c>
      <c r="D1254" s="51">
        <v>16762557.40364</v>
      </c>
      <c r="E1254" s="51">
        <v>1584572222</v>
      </c>
      <c r="F1254" s="52">
        <f t="shared" si="42"/>
        <v>1.701707963237567E-4</v>
      </c>
      <c r="G1254" s="52">
        <f t="shared" si="43"/>
        <v>-2.4603512457385653E-3</v>
      </c>
    </row>
    <row r="1255" spans="1:7" ht="15" customHeight="1" x14ac:dyDescent="0.2">
      <c r="A1255" s="19" t="s">
        <v>1402</v>
      </c>
      <c r="B1255" s="50">
        <v>57.594099999999997</v>
      </c>
      <c r="C1255" s="50">
        <v>2260.96</v>
      </c>
      <c r="D1255" s="51">
        <v>23530827.135196999</v>
      </c>
      <c r="E1255" s="51">
        <v>1597955556</v>
      </c>
      <c r="F1255" s="52">
        <f t="shared" si="42"/>
        <v>0</v>
      </c>
      <c r="G1255" s="52">
        <f t="shared" si="43"/>
        <v>-1.8647241237848297E-3</v>
      </c>
    </row>
    <row r="1256" spans="1:7" ht="15" customHeight="1" x14ac:dyDescent="0.2">
      <c r="A1256" s="19" t="s">
        <v>1403</v>
      </c>
      <c r="B1256" s="50">
        <v>57.312899999999999</v>
      </c>
      <c r="C1256" s="50">
        <v>2263.79</v>
      </c>
      <c r="D1256" s="51">
        <v>13248737.040105</v>
      </c>
      <c r="E1256" s="51">
        <v>1122527778</v>
      </c>
      <c r="F1256" s="52">
        <f t="shared" si="42"/>
        <v>-4.8944026273321003E-3</v>
      </c>
      <c r="G1256" s="52">
        <f t="shared" si="43"/>
        <v>1.2508980027710417E-3</v>
      </c>
    </row>
    <row r="1257" spans="1:7" ht="15" customHeight="1" x14ac:dyDescent="0.2">
      <c r="A1257" s="19" t="s">
        <v>1404</v>
      </c>
      <c r="B1257" s="50">
        <v>57.351999999999997</v>
      </c>
      <c r="C1257" s="50">
        <v>2268.88</v>
      </c>
      <c r="D1257" s="51">
        <v>12319172.695781</v>
      </c>
      <c r="E1257" s="51">
        <v>1103933333</v>
      </c>
      <c r="F1257" s="52">
        <f t="shared" si="42"/>
        <v>6.819872779807877E-4</v>
      </c>
      <c r="G1257" s="52">
        <f t="shared" si="43"/>
        <v>2.2459178098379177E-3</v>
      </c>
    </row>
    <row r="1258" spans="1:7" ht="15" customHeight="1" x14ac:dyDescent="0.2">
      <c r="A1258" s="19" t="s">
        <v>1405</v>
      </c>
      <c r="B1258" s="50">
        <v>57.085299999999997</v>
      </c>
      <c r="C1258" s="50">
        <v>2249.92</v>
      </c>
      <c r="D1258" s="51">
        <v>14785140.871771</v>
      </c>
      <c r="E1258" s="51">
        <v>1329088889</v>
      </c>
      <c r="F1258" s="52">
        <f t="shared" si="42"/>
        <v>-4.6610761150772517E-3</v>
      </c>
      <c r="G1258" s="52">
        <f t="shared" si="43"/>
        <v>-8.3916576362484015E-3</v>
      </c>
    </row>
    <row r="1259" spans="1:7" ht="15" customHeight="1" x14ac:dyDescent="0.2">
      <c r="A1259" s="19" t="s">
        <v>1406</v>
      </c>
      <c r="B1259" s="50">
        <v>57.005200000000002</v>
      </c>
      <c r="C1259" s="50">
        <v>2249.2600000000002</v>
      </c>
      <c r="D1259" s="51">
        <v>10910608.929822</v>
      </c>
      <c r="E1259" s="51">
        <v>1297983333</v>
      </c>
      <c r="F1259" s="52">
        <f t="shared" si="42"/>
        <v>-1.4041486917954812E-3</v>
      </c>
      <c r="G1259" s="52">
        <f t="shared" si="43"/>
        <v>-2.9338679703151362E-4</v>
      </c>
    </row>
    <row r="1260" spans="1:7" ht="15" customHeight="1" x14ac:dyDescent="0.2">
      <c r="A1260" s="19" t="s">
        <v>1407</v>
      </c>
      <c r="B1260" s="50">
        <v>56.317599999999999</v>
      </c>
      <c r="C1260" s="50">
        <v>2238.83</v>
      </c>
      <c r="D1260" s="51">
        <v>28225356.460471001</v>
      </c>
      <c r="E1260" s="51">
        <v>1483833333</v>
      </c>
      <c r="F1260" s="52">
        <f t="shared" si="42"/>
        <v>-1.2135394438261771E-2</v>
      </c>
      <c r="G1260" s="52">
        <f t="shared" si="43"/>
        <v>-4.6478652506068445E-3</v>
      </c>
    </row>
    <row r="1261" spans="1:7" ht="15" customHeight="1" x14ac:dyDescent="0.2">
      <c r="A1261" s="19" t="s">
        <v>1408</v>
      </c>
      <c r="B1261" s="50">
        <v>56.713200000000001</v>
      </c>
      <c r="C1261" s="50">
        <v>2257.83</v>
      </c>
      <c r="D1261" s="51">
        <v>21858595.409327999</v>
      </c>
      <c r="E1261" s="51">
        <v>2094738889</v>
      </c>
      <c r="F1261" s="52">
        <f t="shared" si="42"/>
        <v>6.9998905663737464E-3</v>
      </c>
      <c r="G1261" s="52">
        <f t="shared" si="43"/>
        <v>8.4507670468079114E-3</v>
      </c>
    </row>
    <row r="1262" spans="1:7" ht="15" customHeight="1" x14ac:dyDescent="0.2">
      <c r="A1262" s="19" t="s">
        <v>1409</v>
      </c>
      <c r="B1262" s="50">
        <v>56.460099999999997</v>
      </c>
      <c r="C1262" s="50">
        <v>2270.75</v>
      </c>
      <c r="D1262" s="51">
        <v>18612206.560883999</v>
      </c>
      <c r="E1262" s="51">
        <v>2091605556</v>
      </c>
      <c r="F1262" s="52">
        <f t="shared" si="42"/>
        <v>-4.4727938826087613E-3</v>
      </c>
      <c r="G1262" s="52">
        <f t="shared" si="43"/>
        <v>5.7059983723568549E-3</v>
      </c>
    </row>
    <row r="1263" spans="1:7" ht="15" customHeight="1" x14ac:dyDescent="0.2">
      <c r="A1263" s="19" t="s">
        <v>1410</v>
      </c>
      <c r="B1263" s="50">
        <v>56.460099999999997</v>
      </c>
      <c r="C1263" s="50">
        <v>2269</v>
      </c>
      <c r="D1263" s="51">
        <v>23564004.983203001</v>
      </c>
      <c r="E1263" s="51">
        <v>2089900000</v>
      </c>
      <c r="F1263" s="52">
        <f t="shared" si="42"/>
        <v>0</v>
      </c>
      <c r="G1263" s="52">
        <f t="shared" si="43"/>
        <v>-7.7096760248118474E-4</v>
      </c>
    </row>
    <row r="1264" spans="1:7" ht="15" customHeight="1" x14ac:dyDescent="0.2">
      <c r="A1264" s="19" t="s">
        <v>1411</v>
      </c>
      <c r="B1264" s="50">
        <v>56.949599999999997</v>
      </c>
      <c r="C1264" s="50">
        <v>2276.98</v>
      </c>
      <c r="D1264" s="51">
        <v>19392406.088638999</v>
      </c>
      <c r="E1264" s="51">
        <v>1855494444</v>
      </c>
      <c r="F1264" s="52">
        <f t="shared" si="42"/>
        <v>8.6324721743188775E-3</v>
      </c>
      <c r="G1264" s="52">
        <f t="shared" si="43"/>
        <v>3.5107977582784673E-3</v>
      </c>
    </row>
    <row r="1265" spans="1:7" ht="15" customHeight="1" x14ac:dyDescent="0.2">
      <c r="A1265" s="19" t="s">
        <v>1412</v>
      </c>
      <c r="B1265" s="50">
        <v>56.769799999999996</v>
      </c>
      <c r="C1265" s="50">
        <v>2268.9</v>
      </c>
      <c r="D1265" s="51">
        <v>20516586.983906999</v>
      </c>
      <c r="E1265" s="51">
        <v>1787561111</v>
      </c>
      <c r="F1265" s="52">
        <f t="shared" si="42"/>
        <v>-3.1621719745846791E-3</v>
      </c>
      <c r="G1265" s="52">
        <f t="shared" si="43"/>
        <v>-3.5548710080266039E-3</v>
      </c>
    </row>
    <row r="1266" spans="1:7" ht="15" customHeight="1" x14ac:dyDescent="0.2">
      <c r="A1266" s="19" t="s">
        <v>1413</v>
      </c>
      <c r="B1266" s="50">
        <v>56.750300000000003</v>
      </c>
      <c r="C1266" s="50">
        <v>2268.9</v>
      </c>
      <c r="D1266" s="51">
        <v>18798105.301061001</v>
      </c>
      <c r="E1266" s="51">
        <v>2021550000</v>
      </c>
      <c r="F1266" s="52">
        <f t="shared" si="42"/>
        <v>-3.4355149778392784E-4</v>
      </c>
      <c r="G1266" s="52">
        <f t="shared" si="43"/>
        <v>0</v>
      </c>
    </row>
    <row r="1267" spans="1:7" ht="15" customHeight="1" x14ac:dyDescent="0.2">
      <c r="A1267" s="19" t="s">
        <v>1414</v>
      </c>
      <c r="B1267" s="50">
        <v>57.268099999999997</v>
      </c>
      <c r="C1267" s="50">
        <v>2275.3200000000002</v>
      </c>
      <c r="D1267" s="51">
        <v>22545184.180528998</v>
      </c>
      <c r="E1267" s="51">
        <v>2011338889</v>
      </c>
      <c r="F1267" s="52">
        <f t="shared" si="42"/>
        <v>9.0828069812795859E-3</v>
      </c>
      <c r="G1267" s="52">
        <f t="shared" si="43"/>
        <v>2.8255693040190599E-3</v>
      </c>
    </row>
    <row r="1268" spans="1:7" ht="15" customHeight="1" x14ac:dyDescent="0.2">
      <c r="A1268" s="19" t="s">
        <v>1415</v>
      </c>
      <c r="B1268" s="50">
        <v>56.741500000000002</v>
      </c>
      <c r="C1268" s="50">
        <v>2270.44</v>
      </c>
      <c r="D1268" s="51">
        <v>22774744.665631998</v>
      </c>
      <c r="E1268" s="51">
        <v>1923405556</v>
      </c>
      <c r="F1268" s="52">
        <f t="shared" si="42"/>
        <v>-9.237884264706793E-3</v>
      </c>
      <c r="G1268" s="52">
        <f t="shared" si="43"/>
        <v>-2.1470565426564801E-3</v>
      </c>
    </row>
    <row r="1269" spans="1:7" ht="15" customHeight="1" x14ac:dyDescent="0.2">
      <c r="A1269" s="19" t="s">
        <v>1416</v>
      </c>
      <c r="B1269" s="50">
        <v>56.8245</v>
      </c>
      <c r="C1269" s="50">
        <v>2274.64</v>
      </c>
      <c r="D1269" s="51">
        <v>20383293.039402001</v>
      </c>
      <c r="E1269" s="51">
        <v>1711816667</v>
      </c>
      <c r="F1269" s="52">
        <f t="shared" si="42"/>
        <v>1.4617053480448651E-3</v>
      </c>
      <c r="G1269" s="52">
        <f t="shared" si="43"/>
        <v>1.8481528138047062E-3</v>
      </c>
    </row>
    <row r="1270" spans="1:7" ht="15" customHeight="1" x14ac:dyDescent="0.2">
      <c r="A1270" s="19" t="s">
        <v>1417</v>
      </c>
      <c r="B1270" s="50">
        <v>56.668399999999998</v>
      </c>
      <c r="C1270" s="50">
        <v>2267.89</v>
      </c>
      <c r="D1270" s="51">
        <v>20204765.789248001</v>
      </c>
      <c r="E1270" s="51">
        <v>1991661111</v>
      </c>
      <c r="F1270" s="52">
        <f t="shared" si="42"/>
        <v>-2.750834606133604E-3</v>
      </c>
      <c r="G1270" s="52">
        <f t="shared" si="43"/>
        <v>-2.9719143156583245E-3</v>
      </c>
    </row>
    <row r="1271" spans="1:7" ht="15" customHeight="1" x14ac:dyDescent="0.2">
      <c r="A1271" s="19" t="s">
        <v>1418</v>
      </c>
      <c r="B1271" s="50">
        <v>56.640999999999998</v>
      </c>
      <c r="C1271" s="50">
        <v>2271.89</v>
      </c>
      <c r="D1271" s="51">
        <v>19699738.864929002</v>
      </c>
      <c r="E1271" s="51">
        <v>1841805556</v>
      </c>
      <c r="F1271" s="52">
        <f t="shared" si="42"/>
        <v>-4.8363155279383647E-4</v>
      </c>
      <c r="G1271" s="52">
        <f t="shared" si="43"/>
        <v>1.7622003864136812E-3</v>
      </c>
    </row>
    <row r="1272" spans="1:7" ht="15" customHeight="1" x14ac:dyDescent="0.2">
      <c r="A1272" s="19" t="s">
        <v>1419</v>
      </c>
      <c r="B1272" s="50">
        <v>56.460099999999997</v>
      </c>
      <c r="C1272" s="50">
        <v>2263.69</v>
      </c>
      <c r="D1272" s="51">
        <v>19988791.369782001</v>
      </c>
      <c r="E1272" s="51">
        <v>1758872222</v>
      </c>
      <c r="F1272" s="52">
        <f t="shared" si="42"/>
        <v>-3.198910607640233E-3</v>
      </c>
      <c r="G1272" s="52">
        <f t="shared" si="43"/>
        <v>-3.6158590231882884E-3</v>
      </c>
    </row>
    <row r="1273" spans="1:7" ht="15" customHeight="1" x14ac:dyDescent="0.2">
      <c r="A1273" s="19" t="s">
        <v>1420</v>
      </c>
      <c r="B1273" s="50">
        <v>56.857799999999997</v>
      </c>
      <c r="C1273" s="50">
        <v>2271.31</v>
      </c>
      <c r="D1273" s="51">
        <v>30122177.010947999</v>
      </c>
      <c r="E1273" s="51">
        <v>1958316667</v>
      </c>
      <c r="F1273" s="52">
        <f t="shared" si="42"/>
        <v>7.0192199620767465E-3</v>
      </c>
      <c r="G1273" s="52">
        <f t="shared" si="43"/>
        <v>3.3605323797867037E-3</v>
      </c>
    </row>
    <row r="1274" spans="1:7" ht="15" customHeight="1" x14ac:dyDescent="0.2">
      <c r="A1274" s="19" t="s">
        <v>1421</v>
      </c>
      <c r="B1274" s="50">
        <v>57.059100000000001</v>
      </c>
      <c r="C1274" s="50">
        <v>2265.1999999999998</v>
      </c>
      <c r="D1274" s="51">
        <v>23791777.881976001</v>
      </c>
      <c r="E1274" s="51">
        <v>1751505556</v>
      </c>
      <c r="F1274" s="52">
        <f t="shared" si="42"/>
        <v>3.5341588390200513E-3</v>
      </c>
      <c r="G1274" s="52">
        <f t="shared" si="43"/>
        <v>-2.6937022929649501E-3</v>
      </c>
    </row>
    <row r="1275" spans="1:7" ht="15" customHeight="1" x14ac:dyDescent="0.2">
      <c r="A1275" s="19" t="s">
        <v>1422</v>
      </c>
      <c r="B1275" s="50">
        <v>57.561100000000003</v>
      </c>
      <c r="C1275" s="50">
        <v>2280.0700000000002</v>
      </c>
      <c r="D1275" s="51">
        <v>23224298.056081001</v>
      </c>
      <c r="E1275" s="51">
        <v>2117200000</v>
      </c>
      <c r="F1275" s="52">
        <f t="shared" si="42"/>
        <v>8.7594195396636307E-3</v>
      </c>
      <c r="G1275" s="52">
        <f t="shared" si="43"/>
        <v>6.5430889919335022E-3</v>
      </c>
    </row>
    <row r="1276" spans="1:7" ht="15" customHeight="1" x14ac:dyDescent="0.2">
      <c r="A1276" s="19" t="s">
        <v>1423</v>
      </c>
      <c r="B1276" s="50">
        <v>57.710500000000003</v>
      </c>
      <c r="C1276" s="50">
        <v>2298.37</v>
      </c>
      <c r="D1276" s="51">
        <v>24959005.207520999</v>
      </c>
      <c r="E1276" s="51">
        <v>2136677778</v>
      </c>
      <c r="F1276" s="52">
        <f t="shared" si="42"/>
        <v>2.5921403650843132E-3</v>
      </c>
      <c r="G1276" s="52">
        <f t="shared" si="43"/>
        <v>7.9940317900096345E-3</v>
      </c>
    </row>
    <row r="1277" spans="1:7" ht="15" customHeight="1" x14ac:dyDescent="0.2">
      <c r="A1277" s="19" t="s">
        <v>1424</v>
      </c>
      <c r="B1277" s="50">
        <v>58.245699999999999</v>
      </c>
      <c r="C1277" s="50">
        <v>2296.6799999999998</v>
      </c>
      <c r="D1277" s="51">
        <v>41194416.097686</v>
      </c>
      <c r="E1277" s="51">
        <v>2005755556</v>
      </c>
      <c r="F1277" s="52">
        <f t="shared" si="42"/>
        <v>9.2311372834628386E-3</v>
      </c>
      <c r="G1277" s="52">
        <f t="shared" si="43"/>
        <v>-7.355741836108801E-4</v>
      </c>
    </row>
    <row r="1278" spans="1:7" ht="15" customHeight="1" x14ac:dyDescent="0.2">
      <c r="A1278" s="19" t="s">
        <v>1425</v>
      </c>
      <c r="B1278" s="50">
        <v>59.616100000000003</v>
      </c>
      <c r="C1278" s="50">
        <v>2294.69</v>
      </c>
      <c r="D1278" s="51">
        <v>47992476.887110002</v>
      </c>
      <c r="E1278" s="51">
        <v>1742161111</v>
      </c>
      <c r="F1278" s="52">
        <f t="shared" si="42"/>
        <v>2.3255401841301464E-2</v>
      </c>
      <c r="G1278" s="52">
        <f t="shared" si="43"/>
        <v>-8.6684371967846608E-4</v>
      </c>
    </row>
    <row r="1279" spans="1:7" ht="15" customHeight="1" x14ac:dyDescent="0.2">
      <c r="A1279" s="19" t="s">
        <v>1426</v>
      </c>
      <c r="B1279" s="50">
        <v>59.0261</v>
      </c>
      <c r="C1279" s="50">
        <v>2280.9</v>
      </c>
      <c r="D1279" s="51">
        <v>33783384.174566001</v>
      </c>
      <c r="E1279" s="51">
        <v>1995150000</v>
      </c>
      <c r="F1279" s="52">
        <f t="shared" si="42"/>
        <v>-9.9459528507716138E-3</v>
      </c>
      <c r="G1279" s="52">
        <f t="shared" si="43"/>
        <v>-6.027656215802972E-3</v>
      </c>
    </row>
    <row r="1280" spans="1:7" ht="15" customHeight="1" x14ac:dyDescent="0.2">
      <c r="A1280" s="19" t="s">
        <v>1427</v>
      </c>
      <c r="B1280" s="50">
        <v>58.589399999999998</v>
      </c>
      <c r="C1280" s="50">
        <v>2278.87</v>
      </c>
      <c r="D1280" s="51">
        <v>23784759.609184999</v>
      </c>
      <c r="E1280" s="51">
        <v>2270805556</v>
      </c>
      <c r="F1280" s="52">
        <f t="shared" si="42"/>
        <v>-7.4259261201798819E-3</v>
      </c>
      <c r="G1280" s="52">
        <f t="shared" si="43"/>
        <v>-8.9039584633273847E-4</v>
      </c>
    </row>
    <row r="1281" spans="1:7" ht="15" customHeight="1" x14ac:dyDescent="0.2">
      <c r="A1281" s="19" t="s">
        <v>1428</v>
      </c>
      <c r="B1281" s="50">
        <v>57.622500000000002</v>
      </c>
      <c r="C1281" s="50">
        <v>2279.5500000000002</v>
      </c>
      <c r="D1281" s="51">
        <v>41845283.856818996</v>
      </c>
      <c r="E1281" s="51">
        <v>2175894444</v>
      </c>
      <c r="F1281" s="52">
        <f t="shared" si="42"/>
        <v>-1.6640676421096776E-2</v>
      </c>
      <c r="G1281" s="52">
        <f t="shared" si="43"/>
        <v>2.983489915560355E-4</v>
      </c>
    </row>
    <row r="1282" spans="1:7" ht="15" customHeight="1" x14ac:dyDescent="0.2">
      <c r="A1282" s="19" t="s">
        <v>1429</v>
      </c>
      <c r="B1282" s="50">
        <v>57.249200000000002</v>
      </c>
      <c r="C1282" s="50">
        <v>2280.85</v>
      </c>
      <c r="D1282" s="51">
        <v>47500932.622804001</v>
      </c>
      <c r="E1282" s="51">
        <v>2115394444</v>
      </c>
      <c r="F1282" s="52">
        <f t="shared" si="42"/>
        <v>-6.4994478901746608E-3</v>
      </c>
      <c r="G1282" s="52">
        <f t="shared" si="43"/>
        <v>5.7012544303699489E-4</v>
      </c>
    </row>
    <row r="1283" spans="1:7" ht="15" customHeight="1" x14ac:dyDescent="0.2">
      <c r="A1283" s="19" t="s">
        <v>1430</v>
      </c>
      <c r="B1283" s="50">
        <v>57.710500000000003</v>
      </c>
      <c r="C1283" s="50">
        <v>2297.42</v>
      </c>
      <c r="D1283" s="51">
        <v>33435534.822423998</v>
      </c>
      <c r="E1283" s="51">
        <v>1998872222</v>
      </c>
      <c r="F1283" s="52">
        <f t="shared" si="42"/>
        <v>8.0254641574585388E-3</v>
      </c>
      <c r="G1283" s="52">
        <f t="shared" si="43"/>
        <v>7.2385736758165571E-3</v>
      </c>
    </row>
    <row r="1284" spans="1:7" ht="15" customHeight="1" x14ac:dyDescent="0.2">
      <c r="A1284" s="19" t="s">
        <v>1431</v>
      </c>
      <c r="B1284" s="50">
        <v>57.678100000000001</v>
      </c>
      <c r="C1284" s="50">
        <v>2292.56</v>
      </c>
      <c r="D1284" s="51">
        <v>19182981.033294</v>
      </c>
      <c r="E1284" s="51">
        <v>1727250000</v>
      </c>
      <c r="F1284" s="52">
        <f t="shared" si="42"/>
        <v>-5.6158062150874247E-4</v>
      </c>
      <c r="G1284" s="52">
        <f t="shared" si="43"/>
        <v>-2.1176570774647531E-3</v>
      </c>
    </row>
    <row r="1285" spans="1:7" ht="15" customHeight="1" x14ac:dyDescent="0.2">
      <c r="A1285" s="19" t="s">
        <v>1432</v>
      </c>
      <c r="B1285" s="50">
        <v>57.483699999999999</v>
      </c>
      <c r="C1285" s="50">
        <v>2293.08</v>
      </c>
      <c r="D1285" s="51">
        <v>21063192.183405999</v>
      </c>
      <c r="E1285" s="51">
        <v>1915938889</v>
      </c>
      <c r="F1285" s="52">
        <f t="shared" si="42"/>
        <v>-3.376122718659827E-3</v>
      </c>
      <c r="G1285" s="52">
        <f t="shared" si="43"/>
        <v>2.267949521675034E-4</v>
      </c>
    </row>
    <row r="1286" spans="1:7" ht="15" customHeight="1" x14ac:dyDescent="0.2">
      <c r="A1286" s="19" t="s">
        <v>1433</v>
      </c>
      <c r="B1286" s="50">
        <v>57.403599999999997</v>
      </c>
      <c r="C1286" s="50">
        <v>2294.67</v>
      </c>
      <c r="D1286" s="51">
        <v>18787738.119399</v>
      </c>
      <c r="E1286" s="51">
        <v>2005411111</v>
      </c>
      <c r="F1286" s="52">
        <f t="shared" ref="F1286:F1349" si="44">LN(B1286/B1285)</f>
        <v>-1.3944102259995333E-3</v>
      </c>
      <c r="G1286" s="52">
        <f t="shared" ref="G1286:G1349" si="45">LN(C1286/C1285)</f>
        <v>6.9315026479685557E-4</v>
      </c>
    </row>
    <row r="1287" spans="1:7" ht="15" customHeight="1" x14ac:dyDescent="0.2">
      <c r="A1287" s="19" t="s">
        <v>1434</v>
      </c>
      <c r="B1287" s="50">
        <v>58.055300000000003</v>
      </c>
      <c r="C1287" s="50">
        <v>2307.87</v>
      </c>
      <c r="D1287" s="51">
        <v>23995847.345056001</v>
      </c>
      <c r="E1287" s="51">
        <v>2043300000</v>
      </c>
      <c r="F1287" s="52">
        <f t="shared" si="44"/>
        <v>1.1288985450304365E-2</v>
      </c>
      <c r="G1287" s="52">
        <f t="shared" si="45"/>
        <v>5.7359789123306989E-3</v>
      </c>
    </row>
    <row r="1288" spans="1:7" ht="15" customHeight="1" x14ac:dyDescent="0.2">
      <c r="A1288" s="19" t="s">
        <v>1435</v>
      </c>
      <c r="B1288" s="50">
        <v>58.000500000000002</v>
      </c>
      <c r="C1288" s="50">
        <v>2316.1</v>
      </c>
      <c r="D1288" s="51">
        <v>18865666.030931</v>
      </c>
      <c r="E1288" s="51">
        <v>1930566667</v>
      </c>
      <c r="F1288" s="52">
        <f t="shared" si="44"/>
        <v>-9.4437338026610331E-4</v>
      </c>
      <c r="G1288" s="52">
        <f t="shared" si="45"/>
        <v>3.559715435258431E-3</v>
      </c>
    </row>
    <row r="1289" spans="1:7" ht="15" customHeight="1" x14ac:dyDescent="0.2">
      <c r="A1289" s="19" t="s">
        <v>1436</v>
      </c>
      <c r="B1289" s="50">
        <v>58.653100000000002</v>
      </c>
      <c r="C1289" s="50">
        <v>2328.25</v>
      </c>
      <c r="D1289" s="51">
        <v>23782075.158234999</v>
      </c>
      <c r="E1289" s="51">
        <v>1860961111</v>
      </c>
      <c r="F1289" s="52">
        <f t="shared" si="44"/>
        <v>1.1188798428721421E-2</v>
      </c>
      <c r="G1289" s="52">
        <f t="shared" si="45"/>
        <v>5.2321757481008707E-3</v>
      </c>
    </row>
    <row r="1290" spans="1:7" ht="15" customHeight="1" x14ac:dyDescent="0.2">
      <c r="A1290" s="19" t="s">
        <v>1437</v>
      </c>
      <c r="B1290" s="50">
        <v>58.872799999999998</v>
      </c>
      <c r="C1290" s="50">
        <v>2337.58</v>
      </c>
      <c r="D1290" s="51">
        <v>20323536.874591999</v>
      </c>
      <c r="E1290" s="51">
        <v>1956061111</v>
      </c>
      <c r="F1290" s="52">
        <f t="shared" si="44"/>
        <v>3.7387547071594564E-3</v>
      </c>
      <c r="G1290" s="52">
        <f t="shared" si="45"/>
        <v>3.9992937743571818E-3</v>
      </c>
    </row>
    <row r="1291" spans="1:7" ht="15" customHeight="1" x14ac:dyDescent="0.2">
      <c r="A1291" s="19" t="s">
        <v>1438</v>
      </c>
      <c r="B1291" s="50">
        <v>58.835599999999999</v>
      </c>
      <c r="C1291" s="50">
        <v>2349.25</v>
      </c>
      <c r="D1291" s="51">
        <v>17253845.713431999</v>
      </c>
      <c r="E1291" s="51">
        <v>2097550000</v>
      </c>
      <c r="F1291" s="52">
        <f t="shared" si="44"/>
        <v>-6.320704595166902E-4</v>
      </c>
      <c r="G1291" s="52">
        <f t="shared" si="45"/>
        <v>4.9799220870501608E-3</v>
      </c>
    </row>
    <row r="1292" spans="1:7" ht="15" customHeight="1" x14ac:dyDescent="0.2">
      <c r="A1292" s="19" t="s">
        <v>1439</v>
      </c>
      <c r="B1292" s="50">
        <v>58.827800000000003</v>
      </c>
      <c r="C1292" s="50">
        <v>2347.2199999999998</v>
      </c>
      <c r="D1292" s="51">
        <v>22030125.886870001</v>
      </c>
      <c r="E1292" s="51">
        <v>2040205556</v>
      </c>
      <c r="F1292" s="52">
        <f t="shared" si="44"/>
        <v>-1.3258158461204299E-4</v>
      </c>
      <c r="G1292" s="52">
        <f t="shared" si="45"/>
        <v>-8.644791200295176E-4</v>
      </c>
    </row>
    <row r="1293" spans="1:7" ht="15" customHeight="1" x14ac:dyDescent="0.2">
      <c r="A1293" s="19" t="s">
        <v>1440</v>
      </c>
      <c r="B1293" s="50">
        <v>58.915599999999998</v>
      </c>
      <c r="C1293" s="50">
        <v>2351.16</v>
      </c>
      <c r="D1293" s="51">
        <v>21760045.75446</v>
      </c>
      <c r="E1293" s="51">
        <v>1951700000</v>
      </c>
      <c r="F1293" s="52">
        <f t="shared" si="44"/>
        <v>1.4913789864027256E-3</v>
      </c>
      <c r="G1293" s="52">
        <f t="shared" si="45"/>
        <v>1.6771742275309119E-3</v>
      </c>
    </row>
    <row r="1294" spans="1:7" ht="15" customHeight="1" x14ac:dyDescent="0.2">
      <c r="A1294" s="19" t="s">
        <v>1441</v>
      </c>
      <c r="B1294" s="50">
        <v>58.801600000000001</v>
      </c>
      <c r="C1294" s="50">
        <v>2365.38</v>
      </c>
      <c r="D1294" s="51">
        <v>20325388.961461</v>
      </c>
      <c r="E1294" s="51">
        <v>1988766667</v>
      </c>
      <c r="F1294" s="52">
        <f t="shared" si="44"/>
        <v>-1.9368458583457595E-3</v>
      </c>
      <c r="G1294" s="52">
        <f t="shared" si="45"/>
        <v>6.0298621810357042E-3</v>
      </c>
    </row>
    <row r="1295" spans="1:7" ht="15" customHeight="1" x14ac:dyDescent="0.2">
      <c r="A1295" s="19" t="s">
        <v>1442</v>
      </c>
      <c r="B1295" s="50">
        <v>58.6813</v>
      </c>
      <c r="C1295" s="50">
        <v>2362.8200000000002</v>
      </c>
      <c r="D1295" s="51">
        <v>20043444.825387999</v>
      </c>
      <c r="E1295" s="51">
        <v>1927038889</v>
      </c>
      <c r="F1295" s="52">
        <f t="shared" si="44"/>
        <v>-2.0479583334456698E-3</v>
      </c>
      <c r="G1295" s="52">
        <f t="shared" si="45"/>
        <v>-1.0828646208509895E-3</v>
      </c>
    </row>
    <row r="1296" spans="1:7" ht="15" customHeight="1" x14ac:dyDescent="0.2">
      <c r="A1296" s="19" t="s">
        <v>1443</v>
      </c>
      <c r="B1296" s="50">
        <v>58.915599999999998</v>
      </c>
      <c r="C1296" s="50">
        <v>2363.81</v>
      </c>
      <c r="D1296" s="51">
        <v>21231084.011567</v>
      </c>
      <c r="E1296" s="51">
        <v>2230700000</v>
      </c>
      <c r="F1296" s="52">
        <f t="shared" si="44"/>
        <v>3.9848041917913664E-3</v>
      </c>
      <c r="G1296" s="52">
        <f t="shared" si="45"/>
        <v>4.1890311468295642E-4</v>
      </c>
    </row>
    <row r="1297" spans="1:7" ht="15" customHeight="1" x14ac:dyDescent="0.2">
      <c r="A1297" s="19" t="s">
        <v>1444</v>
      </c>
      <c r="B1297" s="50">
        <v>58.915599999999998</v>
      </c>
      <c r="C1297" s="50">
        <v>2367.34</v>
      </c>
      <c r="D1297" s="51">
        <v>23458050.052315999</v>
      </c>
      <c r="E1297" s="51">
        <v>2128650000</v>
      </c>
      <c r="F1297" s="52">
        <f t="shared" si="44"/>
        <v>0</v>
      </c>
      <c r="G1297" s="52">
        <f t="shared" si="45"/>
        <v>1.4922378935534736E-3</v>
      </c>
    </row>
    <row r="1298" spans="1:7" ht="15" customHeight="1" x14ac:dyDescent="0.2">
      <c r="A1298" s="19" t="s">
        <v>1445</v>
      </c>
      <c r="B1298" s="50">
        <v>58.563099999999999</v>
      </c>
      <c r="C1298" s="50">
        <v>2369.75</v>
      </c>
      <c r="D1298" s="51">
        <v>17055167.676247999</v>
      </c>
      <c r="E1298" s="51">
        <v>1990338889</v>
      </c>
      <c r="F1298" s="52">
        <f t="shared" si="44"/>
        <v>-6.0011058666671778E-3</v>
      </c>
      <c r="G1298" s="52">
        <f t="shared" si="45"/>
        <v>1.0175023940541276E-3</v>
      </c>
    </row>
    <row r="1299" spans="1:7" ht="15" customHeight="1" x14ac:dyDescent="0.2">
      <c r="A1299" s="19" t="s">
        <v>1446</v>
      </c>
      <c r="B1299" s="50">
        <v>58.336500000000001</v>
      </c>
      <c r="C1299" s="50">
        <v>2363.64</v>
      </c>
      <c r="D1299" s="51">
        <v>23794167.473324999</v>
      </c>
      <c r="E1299" s="51">
        <v>2338966667</v>
      </c>
      <c r="F1299" s="52">
        <f t="shared" si="44"/>
        <v>-3.8768359141300906E-3</v>
      </c>
      <c r="G1299" s="52">
        <f t="shared" si="45"/>
        <v>-2.5816606675474183E-3</v>
      </c>
    </row>
    <row r="1300" spans="1:7" ht="15" customHeight="1" x14ac:dyDescent="0.2">
      <c r="A1300" s="19" t="s">
        <v>1447</v>
      </c>
      <c r="B1300" s="50">
        <v>59.182299999999998</v>
      </c>
      <c r="C1300" s="50">
        <v>2395.96</v>
      </c>
      <c r="D1300" s="51">
        <v>24507040.725542001</v>
      </c>
      <c r="E1300" s="51">
        <v>2413988889</v>
      </c>
      <c r="F1300" s="52">
        <f t="shared" si="44"/>
        <v>1.4394541201828912E-2</v>
      </c>
      <c r="G1300" s="52">
        <f t="shared" si="45"/>
        <v>1.3581181939563836E-2</v>
      </c>
    </row>
    <row r="1301" spans="1:7" ht="15" customHeight="1" x14ac:dyDescent="0.2">
      <c r="A1301" s="19" t="s">
        <v>1448</v>
      </c>
      <c r="B1301" s="50">
        <v>58.362000000000002</v>
      </c>
      <c r="C1301" s="50">
        <v>2381.92</v>
      </c>
      <c r="D1301" s="51">
        <v>26210397.544210002</v>
      </c>
      <c r="E1301" s="51">
        <v>2122955556</v>
      </c>
      <c r="F1301" s="52">
        <f t="shared" si="44"/>
        <v>-1.395751758274448E-2</v>
      </c>
      <c r="G1301" s="52">
        <f t="shared" si="45"/>
        <v>-5.8771004764202996E-3</v>
      </c>
    </row>
    <row r="1302" spans="1:7" ht="15" customHeight="1" x14ac:dyDescent="0.2">
      <c r="A1302" s="19" t="s">
        <v>1449</v>
      </c>
      <c r="B1302" s="50">
        <v>58.580599999999997</v>
      </c>
      <c r="C1302" s="50">
        <v>2383.12</v>
      </c>
      <c r="D1302" s="51">
        <v>19577549.251084998</v>
      </c>
      <c r="E1302" s="51">
        <v>1975144444</v>
      </c>
      <c r="F1302" s="52">
        <f t="shared" si="44"/>
        <v>3.7385906353267998E-3</v>
      </c>
      <c r="G1302" s="52">
        <f t="shared" si="45"/>
        <v>5.0366839538305158E-4</v>
      </c>
    </row>
    <row r="1303" spans="1:7" ht="15" customHeight="1" x14ac:dyDescent="0.2">
      <c r="A1303" s="19" t="s">
        <v>1450</v>
      </c>
      <c r="B1303" s="50">
        <v>58.599299999999999</v>
      </c>
      <c r="C1303" s="50">
        <v>2375.31</v>
      </c>
      <c r="D1303" s="51">
        <v>18562158.238908</v>
      </c>
      <c r="E1303" s="51">
        <v>1795944444</v>
      </c>
      <c r="F1303" s="52">
        <f t="shared" si="44"/>
        <v>3.1916736844359169E-4</v>
      </c>
      <c r="G1303" s="52">
        <f t="shared" si="45"/>
        <v>-3.2825982574175411E-3</v>
      </c>
    </row>
    <row r="1304" spans="1:7" ht="15" customHeight="1" x14ac:dyDescent="0.2">
      <c r="A1304" s="19" t="s">
        <v>1451</v>
      </c>
      <c r="B1304" s="50">
        <v>58.718499999999999</v>
      </c>
      <c r="C1304" s="50">
        <v>2368.39</v>
      </c>
      <c r="D1304" s="51">
        <v>18287363.424338002</v>
      </c>
      <c r="E1304" s="51">
        <v>1954661111</v>
      </c>
      <c r="F1304" s="52">
        <f t="shared" si="44"/>
        <v>2.032087901725447E-3</v>
      </c>
      <c r="G1304" s="52">
        <f t="shared" si="45"/>
        <v>-2.9175558777588639E-3</v>
      </c>
    </row>
    <row r="1305" spans="1:7" ht="15" customHeight="1" x14ac:dyDescent="0.2">
      <c r="A1305" s="19" t="s">
        <v>1452</v>
      </c>
      <c r="B1305" s="50">
        <v>59.255600000000001</v>
      </c>
      <c r="C1305" s="50">
        <v>2362.98</v>
      </c>
      <c r="D1305" s="51">
        <v>22348787.209979001</v>
      </c>
      <c r="E1305" s="51">
        <v>2117833333</v>
      </c>
      <c r="F1305" s="52">
        <f t="shared" si="44"/>
        <v>9.1054512960797862E-3</v>
      </c>
      <c r="G1305" s="52">
        <f t="shared" si="45"/>
        <v>-2.2868650550458714E-3</v>
      </c>
    </row>
    <row r="1306" spans="1:7" ht="15" customHeight="1" x14ac:dyDescent="0.2">
      <c r="A1306" s="19" t="s">
        <v>1453</v>
      </c>
      <c r="B1306" s="50">
        <v>59.0182</v>
      </c>
      <c r="C1306" s="50">
        <v>2364.87</v>
      </c>
      <c r="D1306" s="51">
        <v>21056358.197865002</v>
      </c>
      <c r="E1306" s="51">
        <v>2064633333</v>
      </c>
      <c r="F1306" s="52">
        <f t="shared" si="44"/>
        <v>-4.0144194034430905E-3</v>
      </c>
      <c r="G1306" s="52">
        <f t="shared" si="45"/>
        <v>7.9951779378723649E-4</v>
      </c>
    </row>
    <row r="1307" spans="1:7" ht="15" customHeight="1" x14ac:dyDescent="0.2">
      <c r="A1307" s="19" t="s">
        <v>1454</v>
      </c>
      <c r="B1307" s="50">
        <v>59.201999999999998</v>
      </c>
      <c r="C1307" s="50">
        <v>2372.6</v>
      </c>
      <c r="D1307" s="51">
        <v>20083165.894607998</v>
      </c>
      <c r="E1307" s="51">
        <v>1907194444</v>
      </c>
      <c r="F1307" s="52">
        <f t="shared" si="44"/>
        <v>3.109454189593941E-3</v>
      </c>
      <c r="G1307" s="52">
        <f t="shared" si="45"/>
        <v>3.2633480993077457E-3</v>
      </c>
    </row>
    <row r="1308" spans="1:7" ht="15" customHeight="1" x14ac:dyDescent="0.2">
      <c r="A1308" s="19" t="s">
        <v>1455</v>
      </c>
      <c r="B1308" s="50">
        <v>58.9998</v>
      </c>
      <c r="C1308" s="50">
        <v>2373.4699999999998</v>
      </c>
      <c r="D1308" s="51">
        <v>22045111.511794001</v>
      </c>
      <c r="E1308" s="51">
        <v>1741055556</v>
      </c>
      <c r="F1308" s="52">
        <f t="shared" si="44"/>
        <v>-3.4212710336190407E-3</v>
      </c>
      <c r="G1308" s="52">
        <f t="shared" si="45"/>
        <v>3.6661912266134326E-4</v>
      </c>
    </row>
    <row r="1309" spans="1:7" ht="15" customHeight="1" x14ac:dyDescent="0.2">
      <c r="A1309" s="19" t="s">
        <v>1456</v>
      </c>
      <c r="B1309" s="50">
        <v>58.728200000000001</v>
      </c>
      <c r="C1309" s="50">
        <v>2365.4499999999998</v>
      </c>
      <c r="D1309" s="51">
        <v>15662093.253699001</v>
      </c>
      <c r="E1309" s="51">
        <v>1762572222</v>
      </c>
      <c r="F1309" s="52">
        <f t="shared" si="44"/>
        <v>-4.614033736202337E-3</v>
      </c>
      <c r="G1309" s="52">
        <f t="shared" si="45"/>
        <v>-3.3847406821550332E-3</v>
      </c>
    </row>
    <row r="1310" spans="1:7" ht="15" customHeight="1" x14ac:dyDescent="0.2">
      <c r="A1310" s="19" t="s">
        <v>1457</v>
      </c>
      <c r="B1310" s="50">
        <v>59.037799999999997</v>
      </c>
      <c r="C1310" s="50">
        <v>2385.2600000000002</v>
      </c>
      <c r="D1310" s="51">
        <v>27236972.744860999</v>
      </c>
      <c r="E1310" s="51">
        <v>2170466667</v>
      </c>
      <c r="F1310" s="52">
        <f t="shared" si="44"/>
        <v>5.2578963920471376E-3</v>
      </c>
      <c r="G1310" s="52">
        <f t="shared" si="45"/>
        <v>8.3398543883171257E-3</v>
      </c>
    </row>
    <row r="1311" spans="1:7" ht="15" customHeight="1" x14ac:dyDescent="0.2">
      <c r="A1311" s="19" t="s">
        <v>1458</v>
      </c>
      <c r="B1311" s="50">
        <v>58.935299999999998</v>
      </c>
      <c r="C1311" s="50">
        <v>2381.38</v>
      </c>
      <c r="D1311" s="51">
        <v>22674942.881276999</v>
      </c>
      <c r="E1311" s="51">
        <v>1869811111</v>
      </c>
      <c r="F1311" s="52">
        <f t="shared" si="44"/>
        <v>-1.7376847059536978E-3</v>
      </c>
      <c r="G1311" s="52">
        <f t="shared" si="45"/>
        <v>-1.6279814951152382E-3</v>
      </c>
    </row>
    <row r="1312" spans="1:7" ht="15" customHeight="1" x14ac:dyDescent="0.2">
      <c r="A1312" s="19" t="s">
        <v>1459</v>
      </c>
      <c r="B1312" s="50">
        <v>59.147300000000001</v>
      </c>
      <c r="C1312" s="50">
        <v>2378.25</v>
      </c>
      <c r="D1312" s="51">
        <v>47531521.234941997</v>
      </c>
      <c r="E1312" s="51">
        <v>2876688889</v>
      </c>
      <c r="F1312" s="52">
        <f t="shared" si="44"/>
        <v>3.590710702167503E-3</v>
      </c>
      <c r="G1312" s="52">
        <f t="shared" si="45"/>
        <v>-1.315228474144621E-3</v>
      </c>
    </row>
    <row r="1313" spans="1:7" ht="15" customHeight="1" x14ac:dyDescent="0.2">
      <c r="A1313" s="19" t="s">
        <v>1460</v>
      </c>
      <c r="B1313" s="50">
        <v>59.201999999999998</v>
      </c>
      <c r="C1313" s="50">
        <v>2373.4699999999998</v>
      </c>
      <c r="D1313" s="51">
        <v>16010735.041019</v>
      </c>
      <c r="E1313" s="51">
        <v>1697183333</v>
      </c>
      <c r="F1313" s="52">
        <f t="shared" si="44"/>
        <v>9.2438238156059276E-4</v>
      </c>
      <c r="G1313" s="52">
        <f t="shared" si="45"/>
        <v>-2.0119037369022092E-3</v>
      </c>
    </row>
    <row r="1314" spans="1:7" ht="15" customHeight="1" x14ac:dyDescent="0.2">
      <c r="A1314" s="19" t="s">
        <v>1461</v>
      </c>
      <c r="B1314" s="50">
        <v>58.545499999999997</v>
      </c>
      <c r="C1314" s="50">
        <v>2344.02</v>
      </c>
      <c r="D1314" s="51">
        <v>29218476.358419999</v>
      </c>
      <c r="E1314" s="51">
        <v>2369772222</v>
      </c>
      <c r="F1314" s="52">
        <f t="shared" si="44"/>
        <v>-1.1151095399887468E-2</v>
      </c>
      <c r="G1314" s="52">
        <f t="shared" si="45"/>
        <v>-1.2485615265953647E-2</v>
      </c>
    </row>
    <row r="1315" spans="1:7" ht="15" customHeight="1" x14ac:dyDescent="0.2">
      <c r="A1315" s="19" t="s">
        <v>1462</v>
      </c>
      <c r="B1315" s="50">
        <v>59.2898</v>
      </c>
      <c r="C1315" s="50">
        <v>2348.4499999999998</v>
      </c>
      <c r="D1315" s="51">
        <v>22681214.790704001</v>
      </c>
      <c r="E1315" s="51">
        <v>1984850000</v>
      </c>
      <c r="F1315" s="52">
        <f t="shared" si="44"/>
        <v>1.2633054760263294E-2</v>
      </c>
      <c r="G1315" s="52">
        <f t="shared" si="45"/>
        <v>1.8881319714754499E-3</v>
      </c>
    </row>
    <row r="1316" spans="1:7" ht="15" customHeight="1" x14ac:dyDescent="0.2">
      <c r="A1316" s="19" t="s">
        <v>1463</v>
      </c>
      <c r="B1316" s="50">
        <v>59.147300000000001</v>
      </c>
      <c r="C1316" s="50">
        <v>2345.96</v>
      </c>
      <c r="D1316" s="51">
        <v>21133882.725081999</v>
      </c>
      <c r="E1316" s="51">
        <v>1811444444</v>
      </c>
      <c r="F1316" s="52">
        <f t="shared" si="44"/>
        <v>-2.4063417419364175E-3</v>
      </c>
      <c r="G1316" s="52">
        <f t="shared" si="45"/>
        <v>-1.0608362855033045E-3</v>
      </c>
    </row>
    <row r="1317" spans="1:7" ht="15" customHeight="1" x14ac:dyDescent="0.2">
      <c r="A1317" s="19" t="s">
        <v>1464</v>
      </c>
      <c r="B1317" s="50">
        <v>59.245899999999999</v>
      </c>
      <c r="C1317" s="50">
        <v>2343.98</v>
      </c>
      <c r="D1317" s="51">
        <v>23935048.933463998</v>
      </c>
      <c r="E1317" s="51">
        <v>1652850000</v>
      </c>
      <c r="F1317" s="52">
        <f t="shared" si="44"/>
        <v>1.6656365871665539E-3</v>
      </c>
      <c r="G1317" s="52">
        <f t="shared" si="45"/>
        <v>-8.4436053238891068E-4</v>
      </c>
    </row>
    <row r="1318" spans="1:7" ht="15" customHeight="1" x14ac:dyDescent="0.2">
      <c r="A1318" s="19" t="s">
        <v>1465</v>
      </c>
      <c r="B1318" s="50">
        <v>59.356200000000001</v>
      </c>
      <c r="C1318" s="50">
        <v>2341.59</v>
      </c>
      <c r="D1318" s="51">
        <v>18805765.507776</v>
      </c>
      <c r="E1318" s="51">
        <v>1800127778</v>
      </c>
      <c r="F1318" s="52">
        <f t="shared" si="44"/>
        <v>1.8600013288050203E-3</v>
      </c>
      <c r="G1318" s="52">
        <f t="shared" si="45"/>
        <v>-1.0201534529525073E-3</v>
      </c>
    </row>
    <row r="1319" spans="1:7" ht="15" customHeight="1" x14ac:dyDescent="0.2">
      <c r="A1319" s="19" t="s">
        <v>1466</v>
      </c>
      <c r="B1319" s="50">
        <v>59.528100000000002</v>
      </c>
      <c r="C1319" s="50">
        <v>2358.5700000000002</v>
      </c>
      <c r="D1319" s="51">
        <v>20556683.794356</v>
      </c>
      <c r="E1319" s="51">
        <v>1870988889</v>
      </c>
      <c r="F1319" s="52">
        <f t="shared" si="44"/>
        <v>2.8918893377899105E-3</v>
      </c>
      <c r="G1319" s="52">
        <f t="shared" si="45"/>
        <v>7.2253173808166449E-3</v>
      </c>
    </row>
    <row r="1320" spans="1:7" ht="15" customHeight="1" x14ac:dyDescent="0.2">
      <c r="A1320" s="19" t="s">
        <v>1467</v>
      </c>
      <c r="B1320" s="50">
        <v>59.6922</v>
      </c>
      <c r="C1320" s="50">
        <v>2361.13</v>
      </c>
      <c r="D1320" s="51">
        <v>14096172.747403</v>
      </c>
      <c r="E1320" s="51">
        <v>1726077778</v>
      </c>
      <c r="F1320" s="52">
        <f t="shared" si="44"/>
        <v>2.7528886210576847E-3</v>
      </c>
      <c r="G1320" s="52">
        <f t="shared" si="45"/>
        <v>1.0848148191858569E-3</v>
      </c>
    </row>
    <row r="1321" spans="1:7" ht="15" customHeight="1" x14ac:dyDescent="0.2">
      <c r="A1321" s="19" t="s">
        <v>1468</v>
      </c>
      <c r="B1321" s="50">
        <v>59.914999999999999</v>
      </c>
      <c r="C1321" s="50">
        <v>2368.06</v>
      </c>
      <c r="D1321" s="51">
        <v>16328753.406386999</v>
      </c>
      <c r="E1321" s="51">
        <v>1754677778</v>
      </c>
      <c r="F1321" s="52">
        <f t="shared" si="44"/>
        <v>3.7255325381367515E-3</v>
      </c>
      <c r="G1321" s="52">
        <f t="shared" si="45"/>
        <v>2.9307365363928895E-3</v>
      </c>
    </row>
    <row r="1322" spans="1:7" ht="15" customHeight="1" x14ac:dyDescent="0.2">
      <c r="A1322" s="19" t="s">
        <v>1469</v>
      </c>
      <c r="B1322" s="50">
        <v>60.0488</v>
      </c>
      <c r="C1322" s="50">
        <v>2362.7199999999998</v>
      </c>
      <c r="D1322" s="51">
        <v>21910024.861868002</v>
      </c>
      <c r="E1322" s="51">
        <v>1863394444</v>
      </c>
      <c r="F1322" s="52">
        <f t="shared" si="44"/>
        <v>2.2306738446321831E-3</v>
      </c>
      <c r="G1322" s="52">
        <f t="shared" si="45"/>
        <v>-2.2575567952728324E-3</v>
      </c>
    </row>
    <row r="1323" spans="1:7" ht="15" customHeight="1" x14ac:dyDescent="0.2">
      <c r="A1323" s="19" t="s">
        <v>1470</v>
      </c>
      <c r="B1323" s="50">
        <v>59.764600000000002</v>
      </c>
      <c r="C1323" s="50">
        <v>2358.84</v>
      </c>
      <c r="D1323" s="51">
        <v>22375059.405182</v>
      </c>
      <c r="E1323" s="51">
        <v>1898000000</v>
      </c>
      <c r="F1323" s="52">
        <f t="shared" si="44"/>
        <v>-4.7440525520136868E-3</v>
      </c>
      <c r="G1323" s="52">
        <f t="shared" si="45"/>
        <v>-1.6435249677560892E-3</v>
      </c>
    </row>
    <row r="1324" spans="1:7" ht="15" customHeight="1" x14ac:dyDescent="0.2">
      <c r="A1324" s="19" t="s">
        <v>1471</v>
      </c>
      <c r="B1324" s="50">
        <v>59.931399999999996</v>
      </c>
      <c r="C1324" s="50">
        <v>2360.16</v>
      </c>
      <c r="D1324" s="51">
        <v>13858853.769052001</v>
      </c>
      <c r="E1324" s="51">
        <v>1781244444</v>
      </c>
      <c r="F1324" s="52">
        <f t="shared" si="44"/>
        <v>2.7870623574929349E-3</v>
      </c>
      <c r="G1324" s="52">
        <f t="shared" si="45"/>
        <v>5.5944057403117787E-4</v>
      </c>
    </row>
    <row r="1325" spans="1:7" ht="15" customHeight="1" x14ac:dyDescent="0.2">
      <c r="A1325" s="19" t="s">
        <v>1472</v>
      </c>
      <c r="B1325" s="50">
        <v>59.774299999999997</v>
      </c>
      <c r="C1325" s="50">
        <v>2352.9499999999998</v>
      </c>
      <c r="D1325" s="51">
        <v>22578081.502386</v>
      </c>
      <c r="E1325" s="51">
        <v>2094733333</v>
      </c>
      <c r="F1325" s="52">
        <f t="shared" si="44"/>
        <v>-2.624772090119258E-3</v>
      </c>
      <c r="G1325" s="52">
        <f t="shared" si="45"/>
        <v>-3.0595532989129127E-3</v>
      </c>
    </row>
    <row r="1326" spans="1:7" ht="15" customHeight="1" x14ac:dyDescent="0.2">
      <c r="A1326" s="19" t="s">
        <v>1473</v>
      </c>
      <c r="B1326" s="50">
        <v>59.931399999999996</v>
      </c>
      <c r="C1326" s="50">
        <v>2357.4899999999998</v>
      </c>
      <c r="D1326" s="51">
        <v>19104780.786159001</v>
      </c>
      <c r="E1326" s="51">
        <v>1778844444</v>
      </c>
      <c r="F1326" s="52">
        <f t="shared" si="44"/>
        <v>2.6247720901191201E-3</v>
      </c>
      <c r="G1326" s="52">
        <f t="shared" si="45"/>
        <v>1.9276336842417722E-3</v>
      </c>
    </row>
    <row r="1327" spans="1:7" ht="15" customHeight="1" x14ac:dyDescent="0.2">
      <c r="A1327" s="19" t="s">
        <v>1474</v>
      </c>
      <c r="B1327" s="50">
        <v>59.886499999999998</v>
      </c>
      <c r="C1327" s="50">
        <v>2355.54</v>
      </c>
      <c r="D1327" s="51">
        <v>15473813.112718999</v>
      </c>
      <c r="E1327" s="51">
        <v>1696194444</v>
      </c>
      <c r="F1327" s="52">
        <f t="shared" si="44"/>
        <v>-7.4947069013422756E-4</v>
      </c>
      <c r="G1327" s="52">
        <f t="shared" si="45"/>
        <v>-8.2749318857336135E-4</v>
      </c>
    </row>
    <row r="1328" spans="1:7" ht="15" customHeight="1" x14ac:dyDescent="0.2">
      <c r="A1328" s="19" t="s">
        <v>1475</v>
      </c>
      <c r="B1328" s="50">
        <v>59.747</v>
      </c>
      <c r="C1328" s="50">
        <v>2357.16</v>
      </c>
      <c r="D1328" s="51">
        <v>17028262.761486001</v>
      </c>
      <c r="E1328" s="51">
        <v>1547450000</v>
      </c>
      <c r="F1328" s="52">
        <f t="shared" si="44"/>
        <v>-2.3321237483825081E-3</v>
      </c>
      <c r="G1328" s="52">
        <f t="shared" si="45"/>
        <v>6.8750400569067267E-4</v>
      </c>
    </row>
    <row r="1329" spans="1:7" ht="15" customHeight="1" x14ac:dyDescent="0.2">
      <c r="A1329" s="19" t="s">
        <v>1476</v>
      </c>
      <c r="B1329" s="50">
        <v>59.702100000000002</v>
      </c>
      <c r="C1329" s="50">
        <v>2353.7800000000002</v>
      </c>
      <c r="D1329" s="51">
        <v>20609986.833941001</v>
      </c>
      <c r="E1329" s="51">
        <v>1731900000</v>
      </c>
      <c r="F1329" s="52">
        <f t="shared" si="44"/>
        <v>-7.5178468677807888E-4</v>
      </c>
      <c r="G1329" s="52">
        <f t="shared" si="45"/>
        <v>-1.4349580253540969E-3</v>
      </c>
    </row>
    <row r="1330" spans="1:7" ht="15" customHeight="1" x14ac:dyDescent="0.2">
      <c r="A1330" s="19" t="s">
        <v>1477</v>
      </c>
      <c r="B1330" s="50">
        <v>59.474499999999999</v>
      </c>
      <c r="C1330" s="50">
        <v>2344.9299999999998</v>
      </c>
      <c r="D1330" s="51">
        <v>18070316.043547001</v>
      </c>
      <c r="E1330" s="51">
        <v>1776083333</v>
      </c>
      <c r="F1330" s="52">
        <f t="shared" si="44"/>
        <v>-3.8195463992662664E-3</v>
      </c>
      <c r="G1330" s="52">
        <f t="shared" si="45"/>
        <v>-3.7669958202624669E-3</v>
      </c>
    </row>
    <row r="1331" spans="1:7" ht="15" customHeight="1" x14ac:dyDescent="0.2">
      <c r="A1331" s="19" t="s">
        <v>1478</v>
      </c>
      <c r="B1331" s="50">
        <v>59.219499999999996</v>
      </c>
      <c r="C1331" s="50">
        <v>2328.9499999999998</v>
      </c>
      <c r="D1331" s="51">
        <v>18437051.767416</v>
      </c>
      <c r="E1331" s="51">
        <v>1746605556</v>
      </c>
      <c r="F1331" s="52">
        <f t="shared" si="44"/>
        <v>-4.2967697157778794E-3</v>
      </c>
      <c r="G1331" s="52">
        <f t="shared" si="45"/>
        <v>-6.8380284760690994E-3</v>
      </c>
    </row>
    <row r="1332" spans="1:7" ht="15" customHeight="1" x14ac:dyDescent="0.2">
      <c r="A1332" s="19" t="s">
        <v>1479</v>
      </c>
      <c r="B1332" s="50">
        <v>59.702100000000002</v>
      </c>
      <c r="C1332" s="50">
        <v>2349.0100000000002</v>
      </c>
      <c r="D1332" s="51">
        <v>15955328.055322999</v>
      </c>
      <c r="E1332" s="51">
        <v>1569283333</v>
      </c>
      <c r="F1332" s="52">
        <f t="shared" si="44"/>
        <v>8.1163161150440352E-3</v>
      </c>
      <c r="G1332" s="52">
        <f t="shared" si="45"/>
        <v>8.5764405680456898E-3</v>
      </c>
    </row>
    <row r="1333" spans="1:7" ht="15" customHeight="1" x14ac:dyDescent="0.2">
      <c r="A1333" s="19" t="s">
        <v>1480</v>
      </c>
      <c r="B1333" s="50">
        <v>59.621899999999997</v>
      </c>
      <c r="C1333" s="50">
        <v>2342.19</v>
      </c>
      <c r="D1333" s="51">
        <v>15974232.855775001</v>
      </c>
      <c r="E1333" s="51">
        <v>1816577778</v>
      </c>
      <c r="F1333" s="52">
        <f t="shared" si="44"/>
        <v>-1.3442394166580495E-3</v>
      </c>
      <c r="G1333" s="52">
        <f t="shared" si="45"/>
        <v>-2.9075736718455298E-3</v>
      </c>
    </row>
    <row r="1334" spans="1:7" ht="15" customHeight="1" x14ac:dyDescent="0.2">
      <c r="A1334" s="19" t="s">
        <v>1481</v>
      </c>
      <c r="B1334" s="50">
        <v>59.299500000000002</v>
      </c>
      <c r="C1334" s="50">
        <v>2338.17</v>
      </c>
      <c r="D1334" s="51">
        <v>23775785.843899999</v>
      </c>
      <c r="E1334" s="51">
        <v>1955500000</v>
      </c>
      <c r="F1334" s="52">
        <f t="shared" si="44"/>
        <v>-5.4220819777099517E-3</v>
      </c>
      <c r="G1334" s="52">
        <f t="shared" si="45"/>
        <v>-1.7178170006366042E-3</v>
      </c>
    </row>
    <row r="1335" spans="1:7" ht="15" customHeight="1" x14ac:dyDescent="0.2">
      <c r="A1335" s="19" t="s">
        <v>1482</v>
      </c>
      <c r="B1335" s="50">
        <v>59.720500000000001</v>
      </c>
      <c r="C1335" s="50">
        <v>2355.84</v>
      </c>
      <c r="D1335" s="51">
        <v>22798210.575536001</v>
      </c>
      <c r="E1335" s="51">
        <v>2026344444</v>
      </c>
      <c r="F1335" s="52">
        <f t="shared" si="44"/>
        <v>7.0744707755671446E-3</v>
      </c>
      <c r="G1335" s="52">
        <f t="shared" si="45"/>
        <v>7.5287796425385226E-3</v>
      </c>
    </row>
    <row r="1336" spans="1:7" ht="15" customHeight="1" x14ac:dyDescent="0.2">
      <c r="A1336" s="19" t="s">
        <v>1483</v>
      </c>
      <c r="B1336" s="50">
        <v>60.543100000000003</v>
      </c>
      <c r="C1336" s="50">
        <v>2348.69</v>
      </c>
      <c r="D1336" s="51">
        <v>34305180.214868002</v>
      </c>
      <c r="E1336" s="51">
        <v>1946311111</v>
      </c>
      <c r="F1336" s="52">
        <f t="shared" si="44"/>
        <v>1.3680163056441512E-2</v>
      </c>
      <c r="G1336" s="52">
        <f t="shared" si="45"/>
        <v>-3.039625852145616E-3</v>
      </c>
    </row>
    <row r="1337" spans="1:7" ht="15" customHeight="1" x14ac:dyDescent="0.2">
      <c r="A1337" s="19" t="s">
        <v>1484</v>
      </c>
      <c r="B1337" s="50">
        <v>61.573399999999999</v>
      </c>
      <c r="C1337" s="50">
        <v>2374.15</v>
      </c>
      <c r="D1337" s="51">
        <v>32600939.841217</v>
      </c>
      <c r="E1337" s="51">
        <v>2050361111</v>
      </c>
      <c r="F1337" s="52">
        <f t="shared" si="44"/>
        <v>1.6874451000398829E-2</v>
      </c>
      <c r="G1337" s="52">
        <f t="shared" si="45"/>
        <v>1.0781752773837281E-2</v>
      </c>
    </row>
    <row r="1338" spans="1:7" ht="15" customHeight="1" x14ac:dyDescent="0.2">
      <c r="A1338" s="19" t="s">
        <v>1485</v>
      </c>
      <c r="B1338" s="50">
        <v>61.928899999999999</v>
      </c>
      <c r="C1338" s="50">
        <v>2388.61</v>
      </c>
      <c r="D1338" s="51">
        <v>33155709.989732999</v>
      </c>
      <c r="E1338" s="51">
        <v>2219577778</v>
      </c>
      <c r="F1338" s="52">
        <f t="shared" si="44"/>
        <v>5.7569937055445214E-3</v>
      </c>
      <c r="G1338" s="52">
        <f t="shared" si="45"/>
        <v>6.0721281060621066E-3</v>
      </c>
    </row>
    <row r="1339" spans="1:7" ht="15" customHeight="1" x14ac:dyDescent="0.2">
      <c r="A1339" s="19" t="s">
        <v>1486</v>
      </c>
      <c r="B1339" s="50">
        <v>61.844799999999999</v>
      </c>
      <c r="C1339" s="50">
        <v>2387.4499999999998</v>
      </c>
      <c r="D1339" s="51">
        <v>28699883.844826002</v>
      </c>
      <c r="E1339" s="51">
        <v>2281066667</v>
      </c>
      <c r="F1339" s="52">
        <f t="shared" si="44"/>
        <v>-1.3589318723163622E-3</v>
      </c>
      <c r="G1339" s="52">
        <f t="shared" si="45"/>
        <v>-4.8575605114247193E-4</v>
      </c>
    </row>
    <row r="1340" spans="1:7" ht="15" customHeight="1" x14ac:dyDescent="0.2">
      <c r="A1340" s="19" t="s">
        <v>1487</v>
      </c>
      <c r="B1340" s="50">
        <v>62.247300000000003</v>
      </c>
      <c r="C1340" s="50">
        <v>2388.77</v>
      </c>
      <c r="D1340" s="51">
        <v>37672635.548744</v>
      </c>
      <c r="E1340" s="51">
        <v>2276922222</v>
      </c>
      <c r="F1340" s="52">
        <f t="shared" si="44"/>
        <v>6.4871399796194475E-3</v>
      </c>
      <c r="G1340" s="52">
        <f t="shared" si="45"/>
        <v>5.5273837202107399E-4</v>
      </c>
    </row>
    <row r="1341" spans="1:7" ht="15" customHeight="1" x14ac:dyDescent="0.2">
      <c r="A1341" s="19" t="s">
        <v>1488</v>
      </c>
      <c r="B1341" s="50">
        <v>62.420499999999997</v>
      </c>
      <c r="C1341" s="50">
        <v>2384.1999999999998</v>
      </c>
      <c r="D1341" s="51">
        <v>43375950.212084003</v>
      </c>
      <c r="E1341" s="51">
        <v>2065705556</v>
      </c>
      <c r="F1341" s="52">
        <f t="shared" si="44"/>
        <v>2.7785861534914942E-3</v>
      </c>
      <c r="G1341" s="52">
        <f t="shared" si="45"/>
        <v>-1.9149508153329291E-3</v>
      </c>
    </row>
    <row r="1342" spans="1:7" ht="15" customHeight="1" x14ac:dyDescent="0.2">
      <c r="A1342" s="19" t="s">
        <v>1489</v>
      </c>
      <c r="B1342" s="50">
        <v>63.285499999999999</v>
      </c>
      <c r="C1342" s="50">
        <v>2388.33</v>
      </c>
      <c r="D1342" s="51">
        <v>35017132.030832998</v>
      </c>
      <c r="E1342" s="51">
        <v>1777355556</v>
      </c>
      <c r="F1342" s="52">
        <f t="shared" si="44"/>
        <v>1.3762487915899629E-2</v>
      </c>
      <c r="G1342" s="52">
        <f t="shared" si="45"/>
        <v>1.7307386358750435E-3</v>
      </c>
    </row>
    <row r="1343" spans="1:7" ht="15" customHeight="1" x14ac:dyDescent="0.2">
      <c r="A1343" s="19" t="s">
        <v>1490</v>
      </c>
      <c r="B1343" s="50">
        <v>63.186</v>
      </c>
      <c r="C1343" s="50">
        <v>2391.17</v>
      </c>
      <c r="D1343" s="51">
        <v>25807578.376681998</v>
      </c>
      <c r="E1343" s="51">
        <v>2118711111</v>
      </c>
      <c r="F1343" s="52">
        <f t="shared" si="44"/>
        <v>-1.5734773530600285E-3</v>
      </c>
      <c r="G1343" s="52">
        <f t="shared" si="45"/>
        <v>1.1884089692428136E-3</v>
      </c>
    </row>
    <row r="1344" spans="1:7" ht="15" customHeight="1" x14ac:dyDescent="0.2">
      <c r="A1344" s="19" t="s">
        <v>1491</v>
      </c>
      <c r="B1344" s="50">
        <v>62.985900000000001</v>
      </c>
      <c r="C1344" s="50">
        <v>2388.13</v>
      </c>
      <c r="D1344" s="51">
        <v>31698984.79848</v>
      </c>
      <c r="E1344" s="51">
        <v>2163327778</v>
      </c>
      <c r="F1344" s="52">
        <f t="shared" si="44"/>
        <v>-3.1718658078809464E-3</v>
      </c>
      <c r="G1344" s="52">
        <f t="shared" si="45"/>
        <v>-1.2721529972957541E-3</v>
      </c>
    </row>
    <row r="1345" spans="1:7" ht="15" customHeight="1" x14ac:dyDescent="0.2">
      <c r="A1345" s="19" t="s">
        <v>1492</v>
      </c>
      <c r="B1345" s="50">
        <v>62.738599999999998</v>
      </c>
      <c r="C1345" s="50">
        <v>2389.52</v>
      </c>
      <c r="D1345" s="51">
        <v>23784586.583933</v>
      </c>
      <c r="E1345" s="51">
        <v>2423633333</v>
      </c>
      <c r="F1345" s="52">
        <f t="shared" si="44"/>
        <v>-3.9340036181079573E-3</v>
      </c>
      <c r="G1345" s="52">
        <f t="shared" si="45"/>
        <v>5.8187604333453274E-4</v>
      </c>
    </row>
    <row r="1346" spans="1:7" ht="15" customHeight="1" x14ac:dyDescent="0.2">
      <c r="A1346" s="19" t="s">
        <v>1493</v>
      </c>
      <c r="B1346" s="50">
        <v>62.9116</v>
      </c>
      <c r="C1346" s="50">
        <v>2399.29</v>
      </c>
      <c r="D1346" s="51">
        <v>20979869.774521999</v>
      </c>
      <c r="E1346" s="51">
        <v>1966744444</v>
      </c>
      <c r="F1346" s="52">
        <f t="shared" si="44"/>
        <v>2.7536782164751567E-3</v>
      </c>
      <c r="G1346" s="52">
        <f t="shared" si="45"/>
        <v>4.0803513003330903E-3</v>
      </c>
    </row>
    <row r="1347" spans="1:7" ht="15" customHeight="1" x14ac:dyDescent="0.2">
      <c r="A1347" s="19" t="s">
        <v>1494</v>
      </c>
      <c r="B1347" s="50">
        <v>62.857100000000003</v>
      </c>
      <c r="C1347" s="50">
        <v>2399.38</v>
      </c>
      <c r="D1347" s="51">
        <v>20349380.090027999</v>
      </c>
      <c r="E1347" s="51">
        <v>1905244444</v>
      </c>
      <c r="F1347" s="52">
        <f t="shared" si="44"/>
        <v>-8.6667037842199095E-4</v>
      </c>
      <c r="G1347" s="52">
        <f t="shared" si="45"/>
        <v>3.7510393509375765E-5</v>
      </c>
    </row>
    <row r="1348" spans="1:7" ht="15" customHeight="1" x14ac:dyDescent="0.2">
      <c r="A1348" s="19" t="s">
        <v>1495</v>
      </c>
      <c r="B1348" s="50">
        <v>62.948599999999999</v>
      </c>
      <c r="C1348" s="50">
        <v>2396.92</v>
      </c>
      <c r="D1348" s="51">
        <v>25056167.588920001</v>
      </c>
      <c r="E1348" s="51">
        <v>2029772222</v>
      </c>
      <c r="F1348" s="52">
        <f t="shared" si="44"/>
        <v>1.4546243315522696E-3</v>
      </c>
      <c r="G1348" s="52">
        <f t="shared" si="45"/>
        <v>-1.0257908036239289E-3</v>
      </c>
    </row>
    <row r="1349" spans="1:7" ht="15" customHeight="1" x14ac:dyDescent="0.2">
      <c r="A1349" s="19" t="s">
        <v>1496</v>
      </c>
      <c r="B1349" s="50">
        <v>63.194899999999997</v>
      </c>
      <c r="C1349" s="50">
        <v>2399.63</v>
      </c>
      <c r="D1349" s="51">
        <v>19669951.902330998</v>
      </c>
      <c r="E1349" s="51">
        <v>2024183333</v>
      </c>
      <c r="F1349" s="52">
        <f t="shared" si="44"/>
        <v>3.9050813240348206E-3</v>
      </c>
      <c r="G1349" s="52">
        <f t="shared" si="45"/>
        <v>1.1299789591918902E-3</v>
      </c>
    </row>
    <row r="1350" spans="1:7" ht="15" customHeight="1" x14ac:dyDescent="0.2">
      <c r="A1350" s="19" t="s">
        <v>1497</v>
      </c>
      <c r="B1350" s="50">
        <v>62.420499999999997</v>
      </c>
      <c r="C1350" s="50">
        <v>2394.44</v>
      </c>
      <c r="D1350" s="51">
        <v>31555469.054476999</v>
      </c>
      <c r="E1350" s="51">
        <v>2070788889</v>
      </c>
      <c r="F1350" s="52">
        <f t="shared" ref="F1350:F1413" si="46">LN(B1350/B1349)</f>
        <v>-1.2329854630490912E-2</v>
      </c>
      <c r="G1350" s="52">
        <f t="shared" ref="G1350:G1413" si="47">LN(C1350/C1349)</f>
        <v>-2.1651757390083516E-3</v>
      </c>
    </row>
    <row r="1351" spans="1:7" ht="15" customHeight="1" x14ac:dyDescent="0.2">
      <c r="A1351" s="19" t="s">
        <v>1498</v>
      </c>
      <c r="B1351" s="50">
        <v>62.344999999999999</v>
      </c>
      <c r="C1351" s="50">
        <v>2390.9</v>
      </c>
      <c r="D1351" s="51">
        <v>19028998.797277</v>
      </c>
      <c r="E1351" s="51">
        <v>1836461111</v>
      </c>
      <c r="F1351" s="52">
        <f t="shared" si="46"/>
        <v>-1.2102706151259548E-3</v>
      </c>
      <c r="G1351" s="52">
        <f t="shared" si="47"/>
        <v>-1.4795189665720563E-3</v>
      </c>
    </row>
    <row r="1352" spans="1:7" ht="15" customHeight="1" x14ac:dyDescent="0.2">
      <c r="A1352" s="19" t="s">
        <v>1499</v>
      </c>
      <c r="B1352" s="50">
        <v>62.392899999999997</v>
      </c>
      <c r="C1352" s="50">
        <v>2402.3200000000002</v>
      </c>
      <c r="D1352" s="51">
        <v>33957947.201197997</v>
      </c>
      <c r="E1352" s="51">
        <v>1929777778</v>
      </c>
      <c r="F1352" s="52">
        <f t="shared" si="46"/>
        <v>7.6801040188174507E-4</v>
      </c>
      <c r="G1352" s="52">
        <f t="shared" si="47"/>
        <v>4.7650730024741666E-3</v>
      </c>
    </row>
    <row r="1353" spans="1:7" ht="15" customHeight="1" x14ac:dyDescent="0.2">
      <c r="A1353" s="19" t="s">
        <v>1500</v>
      </c>
      <c r="B1353" s="50">
        <v>63.651000000000003</v>
      </c>
      <c r="C1353" s="50">
        <v>2400.67</v>
      </c>
      <c r="D1353" s="51">
        <v>38102597.156824</v>
      </c>
      <c r="E1353" s="51">
        <v>1900438889</v>
      </c>
      <c r="F1353" s="52">
        <f t="shared" si="46"/>
        <v>1.9963548948657983E-2</v>
      </c>
      <c r="G1353" s="52">
        <f t="shared" si="47"/>
        <v>-6.8707203842168071E-4</v>
      </c>
    </row>
    <row r="1354" spans="1:7" ht="15" customHeight="1" x14ac:dyDescent="0.2">
      <c r="A1354" s="19" t="s">
        <v>1501</v>
      </c>
      <c r="B1354" s="50">
        <v>61.879199999999997</v>
      </c>
      <c r="C1354" s="50">
        <v>2357.0300000000002</v>
      </c>
      <c r="D1354" s="51">
        <v>33255783.085873</v>
      </c>
      <c r="E1354" s="51">
        <v>2312777778</v>
      </c>
      <c r="F1354" s="52">
        <f t="shared" si="46"/>
        <v>-2.8230938426016757E-2</v>
      </c>
      <c r="G1354" s="52">
        <f t="shared" si="47"/>
        <v>-1.8345513143686251E-2</v>
      </c>
    </row>
    <row r="1355" spans="1:7" ht="15" customHeight="1" x14ac:dyDescent="0.2">
      <c r="A1355" s="19" t="s">
        <v>1502</v>
      </c>
      <c r="B1355" s="50">
        <v>62.087200000000003</v>
      </c>
      <c r="C1355" s="50">
        <v>2365.7199999999998</v>
      </c>
      <c r="D1355" s="51">
        <v>27482469.981864002</v>
      </c>
      <c r="E1355" s="51">
        <v>2399677778</v>
      </c>
      <c r="F1355" s="52">
        <f t="shared" si="46"/>
        <v>3.3557511582458172E-3</v>
      </c>
      <c r="G1355" s="52">
        <f t="shared" si="47"/>
        <v>3.6800634407031319E-3</v>
      </c>
    </row>
    <row r="1356" spans="1:7" ht="15" customHeight="1" x14ac:dyDescent="0.2">
      <c r="A1356" s="19" t="s">
        <v>1503</v>
      </c>
      <c r="B1356" s="50">
        <v>62.069600000000001</v>
      </c>
      <c r="C1356" s="50">
        <v>2381.73</v>
      </c>
      <c r="D1356" s="51">
        <v>29340884.045510001</v>
      </c>
      <c r="E1356" s="51">
        <v>2125088889</v>
      </c>
      <c r="F1356" s="52">
        <f t="shared" si="46"/>
        <v>-2.8351246356043546E-4</v>
      </c>
      <c r="G1356" s="52">
        <f t="shared" si="47"/>
        <v>6.744699024732498E-3</v>
      </c>
    </row>
    <row r="1357" spans="1:7" ht="15" customHeight="1" x14ac:dyDescent="0.2">
      <c r="A1357" s="19" t="s">
        <v>1504</v>
      </c>
      <c r="B1357" s="50">
        <v>62.768000000000001</v>
      </c>
      <c r="C1357" s="50">
        <v>2394.02</v>
      </c>
      <c r="D1357" s="51">
        <v>17683979.322944999</v>
      </c>
      <c r="E1357" s="51">
        <v>1762683333</v>
      </c>
      <c r="F1357" s="52">
        <f t="shared" si="46"/>
        <v>1.1189053399439007E-2</v>
      </c>
      <c r="G1357" s="52">
        <f t="shared" si="47"/>
        <v>5.14684693721281E-3</v>
      </c>
    </row>
    <row r="1358" spans="1:7" ht="15" customHeight="1" x14ac:dyDescent="0.2">
      <c r="A1358" s="19" t="s">
        <v>1505</v>
      </c>
      <c r="B1358" s="50">
        <v>62.98</v>
      </c>
      <c r="C1358" s="50">
        <v>2398.42</v>
      </c>
      <c r="D1358" s="51">
        <v>16820321.218508001</v>
      </c>
      <c r="E1358" s="51">
        <v>1785316667</v>
      </c>
      <c r="F1358" s="52">
        <f t="shared" si="46"/>
        <v>3.3718262056817026E-3</v>
      </c>
      <c r="G1358" s="52">
        <f t="shared" si="47"/>
        <v>1.8362259042573701E-3</v>
      </c>
    </row>
    <row r="1359" spans="1:7" ht="15" customHeight="1" x14ac:dyDescent="0.2">
      <c r="A1359" s="19" t="s">
        <v>1506</v>
      </c>
      <c r="B1359" s="50">
        <v>63.061999999999998</v>
      </c>
      <c r="C1359" s="50">
        <v>2404.39</v>
      </c>
      <c r="D1359" s="51">
        <v>15993460.158915</v>
      </c>
      <c r="E1359" s="51">
        <v>1883277778</v>
      </c>
      <c r="F1359" s="52">
        <f t="shared" si="46"/>
        <v>1.3011537672973136E-3</v>
      </c>
      <c r="G1359" s="52">
        <f t="shared" si="47"/>
        <v>2.4860459084413127E-3</v>
      </c>
    </row>
    <row r="1360" spans="1:7" ht="15" customHeight="1" x14ac:dyDescent="0.2">
      <c r="A1360" s="19" t="s">
        <v>1507</v>
      </c>
      <c r="B1360" s="50">
        <v>63.839500000000001</v>
      </c>
      <c r="C1360" s="50">
        <v>2415.0700000000002</v>
      </c>
      <c r="D1360" s="51">
        <v>23815715.772006001</v>
      </c>
      <c r="E1360" s="51">
        <v>1964105556</v>
      </c>
      <c r="F1360" s="52">
        <f t="shared" si="46"/>
        <v>1.2253751590506122E-2</v>
      </c>
      <c r="G1360" s="52">
        <f t="shared" si="47"/>
        <v>4.4320390592464875E-3</v>
      </c>
    </row>
    <row r="1361" spans="1:7" ht="15" customHeight="1" x14ac:dyDescent="0.2">
      <c r="A1361" s="19" t="s">
        <v>1508</v>
      </c>
      <c r="B1361" s="50">
        <v>64.151899999999998</v>
      </c>
      <c r="C1361" s="50">
        <v>2415.8200000000002</v>
      </c>
      <c r="D1361" s="51">
        <v>21500509.924238</v>
      </c>
      <c r="E1361" s="51">
        <v>1558355556</v>
      </c>
      <c r="F1361" s="52">
        <f t="shared" si="46"/>
        <v>4.8815876749756289E-3</v>
      </c>
      <c r="G1361" s="52">
        <f t="shared" si="47"/>
        <v>3.1050179408999626E-4</v>
      </c>
    </row>
    <row r="1362" spans="1:7" ht="15" customHeight="1" x14ac:dyDescent="0.2">
      <c r="A1362" s="19" t="s">
        <v>1509</v>
      </c>
      <c r="B1362" s="50">
        <v>64.5642</v>
      </c>
      <c r="C1362" s="50">
        <v>2412.91</v>
      </c>
      <c r="D1362" s="51">
        <v>18601474.899994999</v>
      </c>
      <c r="E1362" s="51">
        <v>1779533333</v>
      </c>
      <c r="F1362" s="52">
        <f t="shared" si="46"/>
        <v>6.4063689020832943E-3</v>
      </c>
      <c r="G1362" s="52">
        <f t="shared" si="47"/>
        <v>-1.205286007825416E-3</v>
      </c>
    </row>
    <row r="1363" spans="1:7" ht="15" customHeight="1" x14ac:dyDescent="0.2">
      <c r="A1363" s="19" t="s">
        <v>1510</v>
      </c>
      <c r="B1363" s="50">
        <v>64.042500000000004</v>
      </c>
      <c r="C1363" s="50">
        <v>2411.8000000000002</v>
      </c>
      <c r="D1363" s="51">
        <v>33204793.875099</v>
      </c>
      <c r="E1363" s="51">
        <v>2508950000</v>
      </c>
      <c r="F1363" s="52">
        <f t="shared" si="46"/>
        <v>-8.1131521400068674E-3</v>
      </c>
      <c r="G1363" s="52">
        <f t="shared" si="47"/>
        <v>-4.6013129062012688E-4</v>
      </c>
    </row>
    <row r="1364" spans="1:7" ht="15" customHeight="1" x14ac:dyDescent="0.2">
      <c r="A1364" s="19" t="s">
        <v>1511</v>
      </c>
      <c r="B1364" s="50">
        <v>64.281000000000006</v>
      </c>
      <c r="C1364" s="50">
        <v>2430.06</v>
      </c>
      <c r="D1364" s="51">
        <v>23527312.367800001</v>
      </c>
      <c r="E1364" s="51">
        <v>2142855556</v>
      </c>
      <c r="F1364" s="52">
        <f t="shared" si="46"/>
        <v>3.7171722189645994E-3</v>
      </c>
      <c r="G1364" s="52">
        <f t="shared" si="47"/>
        <v>7.5425917183000596E-3</v>
      </c>
    </row>
    <row r="1365" spans="1:7" ht="15" customHeight="1" x14ac:dyDescent="0.2">
      <c r="A1365" s="19" t="s">
        <v>1512</v>
      </c>
      <c r="B1365" s="50">
        <v>65.795900000000003</v>
      </c>
      <c r="C1365" s="50">
        <v>2439.0700000000002</v>
      </c>
      <c r="D1365" s="51">
        <v>37771908.019162998</v>
      </c>
      <c r="E1365" s="51">
        <v>1923155556</v>
      </c>
      <c r="F1365" s="52">
        <f t="shared" si="46"/>
        <v>2.329342867282732E-2</v>
      </c>
      <c r="G1365" s="52">
        <f t="shared" si="47"/>
        <v>3.7008707032855424E-3</v>
      </c>
    </row>
    <row r="1366" spans="1:7" ht="15" customHeight="1" x14ac:dyDescent="0.2">
      <c r="A1366" s="19" t="s">
        <v>1513</v>
      </c>
      <c r="B1366" s="50">
        <v>66.280199999999994</v>
      </c>
      <c r="C1366" s="50">
        <v>2436.1</v>
      </c>
      <c r="D1366" s="51">
        <v>36319885.224251002</v>
      </c>
      <c r="E1366" s="51">
        <v>1618111111</v>
      </c>
      <c r="F1366" s="52">
        <f t="shared" si="46"/>
        <v>7.3336836957922941E-3</v>
      </c>
      <c r="G1366" s="52">
        <f t="shared" si="47"/>
        <v>-1.2184192007356274E-3</v>
      </c>
    </row>
    <row r="1367" spans="1:7" ht="15" customHeight="1" x14ac:dyDescent="0.2">
      <c r="A1367" s="19" t="s">
        <v>1514</v>
      </c>
      <c r="B1367" s="50">
        <v>66.5</v>
      </c>
      <c r="C1367" s="50">
        <v>2429.33</v>
      </c>
      <c r="D1367" s="51">
        <v>34358567.207534999</v>
      </c>
      <c r="E1367" s="51">
        <v>1865466667</v>
      </c>
      <c r="F1367" s="52">
        <f t="shared" si="46"/>
        <v>3.3107376064902471E-3</v>
      </c>
      <c r="G1367" s="52">
        <f t="shared" si="47"/>
        <v>-2.7829007381501205E-3</v>
      </c>
    </row>
    <row r="1368" spans="1:7" ht="15" customHeight="1" x14ac:dyDescent="0.2">
      <c r="A1368" s="19" t="s">
        <v>1515</v>
      </c>
      <c r="B1368" s="50">
        <v>66.38</v>
      </c>
      <c r="C1368" s="50">
        <v>2433.14</v>
      </c>
      <c r="D1368" s="51">
        <v>24299574.234145001</v>
      </c>
      <c r="E1368" s="51">
        <v>1984611111</v>
      </c>
      <c r="F1368" s="52">
        <f t="shared" si="46"/>
        <v>-1.80614136998E-3</v>
      </c>
      <c r="G1368" s="52">
        <f t="shared" si="47"/>
        <v>1.5671051049044751E-3</v>
      </c>
    </row>
    <row r="1369" spans="1:7" ht="15" customHeight="1" x14ac:dyDescent="0.2">
      <c r="A1369" s="19" t="s">
        <v>1516</v>
      </c>
      <c r="B1369" s="50">
        <v>65.976500000000001</v>
      </c>
      <c r="C1369" s="50">
        <v>2433.79</v>
      </c>
      <c r="D1369" s="51">
        <v>26676561.358842</v>
      </c>
      <c r="E1369" s="51">
        <v>2071588889</v>
      </c>
      <c r="F1369" s="52">
        <f t="shared" si="46"/>
        <v>-6.0971882760921759E-3</v>
      </c>
      <c r="G1369" s="52">
        <f t="shared" si="47"/>
        <v>2.6710883611008482E-4</v>
      </c>
    </row>
    <row r="1370" spans="1:7" ht="15" customHeight="1" x14ac:dyDescent="0.2">
      <c r="A1370" s="19" t="s">
        <v>1517</v>
      </c>
      <c r="B1370" s="50">
        <v>64.482200000000006</v>
      </c>
      <c r="C1370" s="50">
        <v>2431.77</v>
      </c>
      <c r="D1370" s="51">
        <v>53592420.736344002</v>
      </c>
      <c r="E1370" s="51">
        <v>2237411111</v>
      </c>
      <c r="F1370" s="52">
        <f t="shared" si="46"/>
        <v>-2.2909401292707129E-2</v>
      </c>
      <c r="G1370" s="52">
        <f t="shared" si="47"/>
        <v>-8.3032584781852277E-4</v>
      </c>
    </row>
    <row r="1371" spans="1:7" ht="15" customHeight="1" x14ac:dyDescent="0.2">
      <c r="A1371" s="19" t="s">
        <v>1518</v>
      </c>
      <c r="B1371" s="50">
        <v>63.988900000000001</v>
      </c>
      <c r="C1371" s="50">
        <v>2429.39</v>
      </c>
      <c r="D1371" s="51">
        <v>52041071.208659001</v>
      </c>
      <c r="E1371" s="51">
        <v>2237638889</v>
      </c>
      <c r="F1371" s="52">
        <f t="shared" si="46"/>
        <v>-7.6795859053798545E-3</v>
      </c>
      <c r="G1371" s="52">
        <f t="shared" si="47"/>
        <v>-9.7919023038320948E-4</v>
      </c>
    </row>
    <row r="1372" spans="1:7" ht="15" customHeight="1" x14ac:dyDescent="0.2">
      <c r="A1372" s="19" t="s">
        <v>1519</v>
      </c>
      <c r="B1372" s="50">
        <v>64.787800000000004</v>
      </c>
      <c r="C1372" s="50">
        <v>2440.35</v>
      </c>
      <c r="D1372" s="51">
        <v>27543206.964373998</v>
      </c>
      <c r="E1372" s="51">
        <v>1819722222</v>
      </c>
      <c r="F1372" s="52">
        <f t="shared" si="46"/>
        <v>1.2407683210317972E-2</v>
      </c>
      <c r="G1372" s="52">
        <f t="shared" si="47"/>
        <v>4.501274608283941E-3</v>
      </c>
    </row>
    <row r="1373" spans="1:7" ht="15" customHeight="1" x14ac:dyDescent="0.2">
      <c r="A1373" s="19" t="s">
        <v>1520</v>
      </c>
      <c r="B1373" s="50">
        <v>64.437200000000004</v>
      </c>
      <c r="C1373" s="50">
        <v>2437.92</v>
      </c>
      <c r="D1373" s="51">
        <v>27790587.002788</v>
      </c>
      <c r="E1373" s="51">
        <v>1975327778</v>
      </c>
      <c r="F1373" s="52">
        <f t="shared" si="46"/>
        <v>-5.4262079357291684E-3</v>
      </c>
      <c r="G1373" s="52">
        <f t="shared" si="47"/>
        <v>-9.962549022444363E-4</v>
      </c>
    </row>
    <row r="1374" spans="1:7" ht="15" customHeight="1" x14ac:dyDescent="0.2">
      <c r="A1374" s="19" t="s">
        <v>1521</v>
      </c>
      <c r="B1374" s="50">
        <v>64.098100000000002</v>
      </c>
      <c r="C1374" s="50">
        <v>2432.46</v>
      </c>
      <c r="D1374" s="51">
        <v>28417485.133533001</v>
      </c>
      <c r="E1374" s="51">
        <v>1862805556</v>
      </c>
      <c r="F1374" s="52">
        <f t="shared" si="46"/>
        <v>-5.2763837905699263E-3</v>
      </c>
      <c r="G1374" s="52">
        <f t="shared" si="47"/>
        <v>-2.2421257837553104E-3</v>
      </c>
    </row>
    <row r="1375" spans="1:7" ht="15" customHeight="1" x14ac:dyDescent="0.2">
      <c r="A1375" s="19" t="s">
        <v>1522</v>
      </c>
      <c r="B1375" s="50">
        <v>64.188999999999993</v>
      </c>
      <c r="C1375" s="50">
        <v>2433.15</v>
      </c>
      <c r="D1375" s="51">
        <v>52648221.936688997</v>
      </c>
      <c r="E1375" s="51">
        <v>2935955556</v>
      </c>
      <c r="F1375" s="52">
        <f t="shared" si="46"/>
        <v>1.4171341500840453E-3</v>
      </c>
      <c r="G1375" s="52">
        <f t="shared" si="47"/>
        <v>2.8362322694394307E-4</v>
      </c>
    </row>
    <row r="1376" spans="1:7" ht="15" customHeight="1" x14ac:dyDescent="0.2">
      <c r="A1376" s="19" t="s">
        <v>1523</v>
      </c>
      <c r="B1376" s="50">
        <v>64.988</v>
      </c>
      <c r="C1376" s="50">
        <v>2453.46</v>
      </c>
      <c r="D1376" s="51">
        <v>25759381.117754001</v>
      </c>
      <c r="E1376" s="51">
        <v>1813722222</v>
      </c>
      <c r="F1376" s="52">
        <f t="shared" si="46"/>
        <v>1.2370781015751342E-2</v>
      </c>
      <c r="G1376" s="52">
        <f t="shared" si="47"/>
        <v>8.3125589925565676E-3</v>
      </c>
    </row>
    <row r="1377" spans="1:7" ht="15" customHeight="1" x14ac:dyDescent="0.2">
      <c r="A1377" s="19" t="s">
        <v>1524</v>
      </c>
      <c r="B1377" s="50">
        <v>64.107100000000003</v>
      </c>
      <c r="C1377" s="50">
        <v>2437.0300000000002</v>
      </c>
      <c r="D1377" s="51">
        <v>23458385.864640001</v>
      </c>
      <c r="E1377" s="51">
        <v>1898061111</v>
      </c>
      <c r="F1377" s="52">
        <f t="shared" si="46"/>
        <v>-1.3647515244228884E-2</v>
      </c>
      <c r="G1377" s="52">
        <f t="shared" si="47"/>
        <v>-6.7191883898731087E-3</v>
      </c>
    </row>
    <row r="1378" spans="1:7" ht="15" customHeight="1" x14ac:dyDescent="0.2">
      <c r="A1378" s="19" t="s">
        <v>1525</v>
      </c>
      <c r="B1378" s="50">
        <v>64.437200000000004</v>
      </c>
      <c r="C1378" s="50">
        <v>2435.61</v>
      </c>
      <c r="D1378" s="51">
        <v>21691566.659791</v>
      </c>
      <c r="E1378" s="51">
        <v>1997122222</v>
      </c>
      <c r="F1378" s="52">
        <f t="shared" si="46"/>
        <v>5.1359838689632835E-3</v>
      </c>
      <c r="G1378" s="52">
        <f t="shared" si="47"/>
        <v>-5.8284627643293246E-4</v>
      </c>
    </row>
    <row r="1379" spans="1:7" ht="15" customHeight="1" x14ac:dyDescent="0.2">
      <c r="A1379" s="19" t="s">
        <v>1526</v>
      </c>
      <c r="B1379" s="50">
        <v>64.428299999999993</v>
      </c>
      <c r="C1379" s="50">
        <v>2434.5</v>
      </c>
      <c r="D1379" s="51">
        <v>24648054.25821</v>
      </c>
      <c r="E1379" s="51">
        <v>1926783333</v>
      </c>
      <c r="F1379" s="52">
        <f t="shared" si="46"/>
        <v>-1.3812851405788535E-4</v>
      </c>
      <c r="G1379" s="52">
        <f t="shared" si="47"/>
        <v>-4.5584186772818001E-4</v>
      </c>
    </row>
    <row r="1380" spans="1:7" ht="15" customHeight="1" x14ac:dyDescent="0.2">
      <c r="A1380" s="19" t="s">
        <v>1527</v>
      </c>
      <c r="B1380" s="50">
        <v>65.299899999999994</v>
      </c>
      <c r="C1380" s="50">
        <v>2438.3000000000002</v>
      </c>
      <c r="D1380" s="51">
        <v>29522572.845828</v>
      </c>
      <c r="E1380" s="51">
        <v>2932405556</v>
      </c>
      <c r="F1380" s="52">
        <f t="shared" si="46"/>
        <v>1.3437527309464134E-2</v>
      </c>
      <c r="G1380" s="52">
        <f t="shared" si="47"/>
        <v>1.5596785299304831E-3</v>
      </c>
    </row>
    <row r="1381" spans="1:7" ht="15" customHeight="1" x14ac:dyDescent="0.2">
      <c r="A1381" s="19" t="s">
        <v>1528</v>
      </c>
      <c r="B1381" s="50">
        <v>64.676500000000004</v>
      </c>
      <c r="C1381" s="50">
        <v>2439.0700000000002</v>
      </c>
      <c r="D1381" s="51">
        <v>21274651.565234002</v>
      </c>
      <c r="E1381" s="51">
        <v>1799427778</v>
      </c>
      <c r="F1381" s="52">
        <f t="shared" si="46"/>
        <v>-9.5925841969880157E-3</v>
      </c>
      <c r="G1381" s="52">
        <f t="shared" si="47"/>
        <v>3.157439383918202E-4</v>
      </c>
    </row>
    <row r="1382" spans="1:7" ht="15" customHeight="1" x14ac:dyDescent="0.2">
      <c r="A1382" s="19" t="s">
        <v>1529</v>
      </c>
      <c r="B1382" s="50">
        <v>63.465400000000002</v>
      </c>
      <c r="C1382" s="50">
        <v>2419.38</v>
      </c>
      <c r="D1382" s="51">
        <v>27496767.601054002</v>
      </c>
      <c r="E1382" s="51">
        <v>1979950000</v>
      </c>
      <c r="F1382" s="52">
        <f t="shared" si="46"/>
        <v>-1.8903045183857773E-2</v>
      </c>
      <c r="G1382" s="52">
        <f t="shared" si="47"/>
        <v>-8.1055101118562012E-3</v>
      </c>
    </row>
    <row r="1383" spans="1:7" ht="15" customHeight="1" x14ac:dyDescent="0.2">
      <c r="A1383" s="19" t="s">
        <v>1530</v>
      </c>
      <c r="B1383" s="50">
        <v>64.007499999999993</v>
      </c>
      <c r="C1383" s="50">
        <v>2440.69</v>
      </c>
      <c r="D1383" s="51">
        <v>28139441.744263999</v>
      </c>
      <c r="E1383" s="51">
        <v>1944888889</v>
      </c>
      <c r="F1383" s="52">
        <f t="shared" si="46"/>
        <v>8.5053884869543007E-3</v>
      </c>
      <c r="G1383" s="52">
        <f t="shared" si="47"/>
        <v>8.7694772165970627E-3</v>
      </c>
    </row>
    <row r="1384" spans="1:7" ht="15" customHeight="1" x14ac:dyDescent="0.2">
      <c r="A1384" s="19" t="s">
        <v>1531</v>
      </c>
      <c r="B1384" s="50">
        <v>62.806199999999997</v>
      </c>
      <c r="C1384" s="50">
        <v>2419.6999999999998</v>
      </c>
      <c r="D1384" s="51">
        <v>31514944.288079999</v>
      </c>
      <c r="E1384" s="51">
        <v>2166822222</v>
      </c>
      <c r="F1384" s="52">
        <f t="shared" si="46"/>
        <v>-1.894646927805255E-2</v>
      </c>
      <c r="G1384" s="52">
        <f t="shared" si="47"/>
        <v>-8.6372206717718336E-3</v>
      </c>
    </row>
    <row r="1385" spans="1:7" ht="15" customHeight="1" x14ac:dyDescent="0.2">
      <c r="A1385" s="19" t="s">
        <v>1532</v>
      </c>
      <c r="B1385" s="50">
        <v>63.209400000000002</v>
      </c>
      <c r="C1385" s="50">
        <v>2423.41</v>
      </c>
      <c r="D1385" s="51">
        <v>26336689.597011998</v>
      </c>
      <c r="E1385" s="51">
        <v>1867550000</v>
      </c>
      <c r="F1385" s="52">
        <f t="shared" si="46"/>
        <v>6.3992295544954402E-3</v>
      </c>
      <c r="G1385" s="52">
        <f t="shared" si="47"/>
        <v>1.532073698797482E-3</v>
      </c>
    </row>
    <row r="1386" spans="1:7" ht="15" customHeight="1" x14ac:dyDescent="0.2">
      <c r="A1386" s="19" t="s">
        <v>1533</v>
      </c>
      <c r="B1386" s="50">
        <v>62.5122</v>
      </c>
      <c r="C1386" s="50">
        <v>2429.0100000000002</v>
      </c>
      <c r="D1386" s="51">
        <v>17628827.267944999</v>
      </c>
      <c r="E1386" s="51">
        <v>1090161111</v>
      </c>
      <c r="F1386" s="52">
        <f t="shared" si="46"/>
        <v>-1.1091286576881186E-2</v>
      </c>
      <c r="G1386" s="52">
        <f t="shared" si="47"/>
        <v>2.3081276913972876E-3</v>
      </c>
    </row>
    <row r="1387" spans="1:7" ht="15" customHeight="1" x14ac:dyDescent="0.2">
      <c r="A1387" s="19" t="s">
        <v>1534</v>
      </c>
      <c r="B1387" s="50">
        <v>63.345199999999998</v>
      </c>
      <c r="C1387" s="50">
        <v>2432.54</v>
      </c>
      <c r="D1387" s="51">
        <v>23080585.739011001</v>
      </c>
      <c r="E1387" s="51">
        <v>1870677778</v>
      </c>
      <c r="F1387" s="52">
        <f t="shared" si="46"/>
        <v>1.3237396668844159E-2</v>
      </c>
      <c r="G1387" s="52">
        <f t="shared" si="47"/>
        <v>1.4522119983846045E-3</v>
      </c>
    </row>
    <row r="1388" spans="1:7" ht="15" customHeight="1" x14ac:dyDescent="0.2">
      <c r="A1388" s="19" t="s">
        <v>1535</v>
      </c>
      <c r="B1388" s="50">
        <v>62.877299999999998</v>
      </c>
      <c r="C1388" s="50">
        <v>2409.75</v>
      </c>
      <c r="D1388" s="51">
        <v>23019030.725873001</v>
      </c>
      <c r="E1388" s="51">
        <v>1869177778</v>
      </c>
      <c r="F1388" s="52">
        <f t="shared" si="46"/>
        <v>-7.4139260944076973E-3</v>
      </c>
      <c r="G1388" s="52">
        <f t="shared" si="47"/>
        <v>-9.4129712485487432E-3</v>
      </c>
    </row>
    <row r="1389" spans="1:7" ht="15" customHeight="1" x14ac:dyDescent="0.2">
      <c r="A1389" s="19" t="s">
        <v>1536</v>
      </c>
      <c r="B1389" s="50">
        <v>63.695900000000002</v>
      </c>
      <c r="C1389" s="50">
        <v>2425.1799999999998</v>
      </c>
      <c r="D1389" s="51">
        <v>17655572.467091002</v>
      </c>
      <c r="E1389" s="51">
        <v>1611850000</v>
      </c>
      <c r="F1389" s="52">
        <f t="shared" si="46"/>
        <v>1.2934988031680908E-2</v>
      </c>
      <c r="G1389" s="52">
        <f t="shared" si="47"/>
        <v>6.3827407569568501E-3</v>
      </c>
    </row>
    <row r="1390" spans="1:7" ht="15" customHeight="1" x14ac:dyDescent="0.2">
      <c r="A1390" s="19" t="s">
        <v>1537</v>
      </c>
      <c r="B1390" s="50">
        <v>64.169600000000003</v>
      </c>
      <c r="C1390" s="50">
        <v>2427.4299999999998</v>
      </c>
      <c r="D1390" s="51">
        <v>16364537.895172</v>
      </c>
      <c r="E1390" s="51">
        <v>1666183333</v>
      </c>
      <c r="F1390" s="52">
        <f t="shared" si="46"/>
        <v>7.4093820011456347E-3</v>
      </c>
      <c r="G1390" s="52">
        <f t="shared" si="47"/>
        <v>9.2733607738550183E-4</v>
      </c>
    </row>
    <row r="1391" spans="1:7" ht="15" customHeight="1" x14ac:dyDescent="0.2">
      <c r="A1391" s="19" t="s">
        <v>1538</v>
      </c>
      <c r="B1391" s="50">
        <v>64.179299999999998</v>
      </c>
      <c r="C1391" s="50">
        <v>2425.5300000000002</v>
      </c>
      <c r="D1391" s="51">
        <v>19039578.933095001</v>
      </c>
      <c r="E1391" s="51">
        <v>1725972222</v>
      </c>
      <c r="F1391" s="52">
        <f t="shared" si="46"/>
        <v>1.5115049709763079E-4</v>
      </c>
      <c r="G1391" s="52">
        <f t="shared" si="47"/>
        <v>-7.8302730584169154E-4</v>
      </c>
    </row>
    <row r="1392" spans="1:7" ht="15" customHeight="1" x14ac:dyDescent="0.2">
      <c r="A1392" s="19" t="s">
        <v>1539</v>
      </c>
      <c r="B1392" s="50">
        <v>65.245000000000005</v>
      </c>
      <c r="C1392" s="50">
        <v>2443.25</v>
      </c>
      <c r="D1392" s="51">
        <v>19353964.791990999</v>
      </c>
      <c r="E1392" s="51">
        <v>1762011111</v>
      </c>
      <c r="F1392" s="52">
        <f t="shared" si="46"/>
        <v>1.6468686116535264E-2</v>
      </c>
      <c r="G1392" s="52">
        <f t="shared" si="47"/>
        <v>7.2790630263669361E-3</v>
      </c>
    </row>
    <row r="1393" spans="1:7" ht="15" customHeight="1" x14ac:dyDescent="0.2">
      <c r="A1393" s="19" t="s">
        <v>1540</v>
      </c>
      <c r="B1393" s="50">
        <v>65.814300000000003</v>
      </c>
      <c r="C1393" s="50">
        <v>2447.83</v>
      </c>
      <c r="D1393" s="51">
        <v>22103576.642030999</v>
      </c>
      <c r="E1393" s="51">
        <v>1704261111</v>
      </c>
      <c r="F1393" s="52">
        <f t="shared" si="46"/>
        <v>8.6877250333183276E-3</v>
      </c>
      <c r="G1393" s="52">
        <f t="shared" si="47"/>
        <v>1.8727975574500866E-3</v>
      </c>
    </row>
    <row r="1394" spans="1:7" ht="15" customHeight="1" x14ac:dyDescent="0.2">
      <c r="A1394" s="19" t="s">
        <v>1541</v>
      </c>
      <c r="B1394" s="50">
        <v>66.739400000000003</v>
      </c>
      <c r="C1394" s="50">
        <v>2459.27</v>
      </c>
      <c r="D1394" s="51">
        <v>28202298.030154999</v>
      </c>
      <c r="E1394" s="51">
        <v>1520355556</v>
      </c>
      <c r="F1394" s="52">
        <f t="shared" si="46"/>
        <v>1.3958343224410029E-2</v>
      </c>
      <c r="G1394" s="52">
        <f t="shared" si="47"/>
        <v>4.6626401441430309E-3</v>
      </c>
    </row>
    <row r="1395" spans="1:7" ht="15" customHeight="1" x14ac:dyDescent="0.2">
      <c r="A1395" s="19" t="s">
        <v>1542</v>
      </c>
      <c r="B1395" s="50">
        <v>67.261899999999997</v>
      </c>
      <c r="C1395" s="50">
        <v>2459.14</v>
      </c>
      <c r="D1395" s="51">
        <v>23758482.294891998</v>
      </c>
      <c r="E1395" s="51">
        <v>1551761111</v>
      </c>
      <c r="F1395" s="52">
        <f t="shared" si="46"/>
        <v>7.7984713287716431E-3</v>
      </c>
      <c r="G1395" s="52">
        <f t="shared" si="47"/>
        <v>-5.2862612116695394E-5</v>
      </c>
    </row>
    <row r="1396" spans="1:7" ht="15" customHeight="1" x14ac:dyDescent="0.2">
      <c r="A1396" s="19" t="s">
        <v>1543</v>
      </c>
      <c r="B1396" s="50">
        <v>67.216099999999997</v>
      </c>
      <c r="C1396" s="50">
        <v>2460.61</v>
      </c>
      <c r="D1396" s="51">
        <v>28781082.855052002</v>
      </c>
      <c r="E1396" s="51">
        <v>1645627778</v>
      </c>
      <c r="F1396" s="52">
        <f t="shared" si="46"/>
        <v>-6.8115233377670189E-4</v>
      </c>
      <c r="G1396" s="52">
        <f t="shared" si="47"/>
        <v>5.9759135880759124E-4</v>
      </c>
    </row>
    <row r="1397" spans="1:7" ht="15" customHeight="1" x14ac:dyDescent="0.2">
      <c r="A1397" s="19" t="s">
        <v>1544</v>
      </c>
      <c r="B1397" s="50">
        <v>67.729799999999997</v>
      </c>
      <c r="C1397" s="50">
        <v>2473.83</v>
      </c>
      <c r="D1397" s="51">
        <v>24183753.792445</v>
      </c>
      <c r="E1397" s="51">
        <v>1699866667</v>
      </c>
      <c r="F1397" s="52">
        <f t="shared" si="46"/>
        <v>7.6134581542932969E-3</v>
      </c>
      <c r="G1397" s="52">
        <f t="shared" si="47"/>
        <v>5.3582702920709109E-3</v>
      </c>
    </row>
    <row r="1398" spans="1:7" ht="15" customHeight="1" x14ac:dyDescent="0.2">
      <c r="A1398" s="19" t="s">
        <v>1545</v>
      </c>
      <c r="B1398" s="50">
        <v>68.058999999999997</v>
      </c>
      <c r="C1398" s="50">
        <v>2473.4499999999998</v>
      </c>
      <c r="D1398" s="51">
        <v>43504867.33439</v>
      </c>
      <c r="E1398" s="51">
        <v>1768211111</v>
      </c>
      <c r="F1398" s="52">
        <f t="shared" si="46"/>
        <v>4.8487157255772623E-3</v>
      </c>
      <c r="G1398" s="52">
        <f t="shared" si="47"/>
        <v>-1.5361976712352472E-4</v>
      </c>
    </row>
    <row r="1399" spans="1:7" ht="15" customHeight="1" x14ac:dyDescent="0.2">
      <c r="A1399" s="19" t="s">
        <v>1546</v>
      </c>
      <c r="B1399" s="50">
        <v>67.665499999999994</v>
      </c>
      <c r="C1399" s="50">
        <v>2472.54</v>
      </c>
      <c r="D1399" s="51">
        <v>50494067.788631998</v>
      </c>
      <c r="E1399" s="51">
        <v>1699761111</v>
      </c>
      <c r="F1399" s="52">
        <f t="shared" si="46"/>
        <v>-5.7985272010712095E-3</v>
      </c>
      <c r="G1399" s="52">
        <f t="shared" si="47"/>
        <v>-3.6797486863832021E-4</v>
      </c>
    </row>
    <row r="1400" spans="1:7" ht="15" customHeight="1" x14ac:dyDescent="0.2">
      <c r="A1400" s="19" t="s">
        <v>1547</v>
      </c>
      <c r="B1400" s="50">
        <v>67.490399999999994</v>
      </c>
      <c r="C1400" s="50">
        <v>2469.91</v>
      </c>
      <c r="D1400" s="51">
        <v>23150062.032469001</v>
      </c>
      <c r="E1400" s="51">
        <v>1672355556</v>
      </c>
      <c r="F1400" s="52">
        <f t="shared" si="46"/>
        <v>-2.5910833040103456E-3</v>
      </c>
      <c r="G1400" s="52">
        <f t="shared" si="47"/>
        <v>-1.0642496123316407E-3</v>
      </c>
    </row>
    <row r="1401" spans="1:7" ht="15" customHeight="1" x14ac:dyDescent="0.2">
      <c r="A1401" s="19" t="s">
        <v>1548</v>
      </c>
      <c r="B1401" s="50">
        <v>68.030500000000004</v>
      </c>
      <c r="C1401" s="50">
        <v>2477.13</v>
      </c>
      <c r="D1401" s="51">
        <v>24000401.287781</v>
      </c>
      <c r="E1401" s="51">
        <v>2282255556</v>
      </c>
      <c r="F1401" s="52">
        <f t="shared" si="46"/>
        <v>7.9707684869003322E-3</v>
      </c>
      <c r="G1401" s="52">
        <f t="shared" si="47"/>
        <v>2.9189192431246041E-3</v>
      </c>
    </row>
    <row r="1402" spans="1:7" ht="15" customHeight="1" x14ac:dyDescent="0.2">
      <c r="A1402" s="19" t="s">
        <v>1549</v>
      </c>
      <c r="B1402" s="50">
        <v>67.904799999999994</v>
      </c>
      <c r="C1402" s="50">
        <v>2477.83</v>
      </c>
      <c r="D1402" s="51">
        <v>17699849.526671998</v>
      </c>
      <c r="E1402" s="51">
        <v>1976122222</v>
      </c>
      <c r="F1402" s="52">
        <f t="shared" si="46"/>
        <v>-1.8494097681444057E-3</v>
      </c>
      <c r="G1402" s="52">
        <f t="shared" si="47"/>
        <v>2.8254516874271819E-4</v>
      </c>
    </row>
    <row r="1403" spans="1:7" ht="15" customHeight="1" x14ac:dyDescent="0.2">
      <c r="A1403" s="19" t="s">
        <v>1550</v>
      </c>
      <c r="B1403" s="50">
        <v>67.0869</v>
      </c>
      <c r="C1403" s="50">
        <v>2475.42</v>
      </c>
      <c r="D1403" s="51">
        <v>39046972.053185001</v>
      </c>
      <c r="E1403" s="51">
        <v>2219733333</v>
      </c>
      <c r="F1403" s="52">
        <f t="shared" si="46"/>
        <v>-1.2117930341404197E-2</v>
      </c>
      <c r="G1403" s="52">
        <f t="shared" si="47"/>
        <v>-9.7309854748828207E-4</v>
      </c>
    </row>
    <row r="1404" spans="1:7" ht="15" customHeight="1" x14ac:dyDescent="0.2">
      <c r="A1404" s="19" t="s">
        <v>1551</v>
      </c>
      <c r="B1404" s="50">
        <v>66.976500000000001</v>
      </c>
      <c r="C1404" s="50">
        <v>2472.1</v>
      </c>
      <c r="D1404" s="51">
        <v>19412204.682255998</v>
      </c>
      <c r="E1404" s="51">
        <v>1830427778</v>
      </c>
      <c r="F1404" s="52">
        <f t="shared" si="46"/>
        <v>-1.6469823226243866E-3</v>
      </c>
      <c r="G1404" s="52">
        <f t="shared" si="47"/>
        <v>-1.3420867417742238E-3</v>
      </c>
    </row>
    <row r="1405" spans="1:7" ht="15" customHeight="1" x14ac:dyDescent="0.2">
      <c r="A1405" s="19" t="s">
        <v>1552</v>
      </c>
      <c r="B1405" s="50">
        <v>66.666200000000003</v>
      </c>
      <c r="C1405" s="50">
        <v>2470.3000000000002</v>
      </c>
      <c r="D1405" s="51">
        <v>25677973.248642001</v>
      </c>
      <c r="E1405" s="51">
        <v>1927338889</v>
      </c>
      <c r="F1405" s="52">
        <f t="shared" si="46"/>
        <v>-4.643733741022834E-3</v>
      </c>
      <c r="G1405" s="52">
        <f t="shared" si="47"/>
        <v>-7.2839109727374364E-4</v>
      </c>
    </row>
    <row r="1406" spans="1:7" ht="15" customHeight="1" x14ac:dyDescent="0.2">
      <c r="A1406" s="19" t="s">
        <v>1553</v>
      </c>
      <c r="B1406" s="50">
        <v>66.5548</v>
      </c>
      <c r="C1406" s="50">
        <v>2476.35</v>
      </c>
      <c r="D1406" s="51">
        <v>22689081.808667</v>
      </c>
      <c r="E1406" s="51">
        <v>1922700000</v>
      </c>
      <c r="F1406" s="52">
        <f t="shared" si="46"/>
        <v>-1.6724093943905549E-3</v>
      </c>
      <c r="G1406" s="52">
        <f t="shared" si="47"/>
        <v>2.4461011054493871E-3</v>
      </c>
    </row>
    <row r="1407" spans="1:7" ht="15" customHeight="1" x14ac:dyDescent="0.2">
      <c r="A1407" s="19" t="s">
        <v>1554</v>
      </c>
      <c r="B1407" s="50">
        <v>66.262799999999999</v>
      </c>
      <c r="C1407" s="50">
        <v>2477.5700000000002</v>
      </c>
      <c r="D1407" s="51">
        <v>28884999.364185002</v>
      </c>
      <c r="E1407" s="51">
        <v>1932544444</v>
      </c>
      <c r="F1407" s="52">
        <f t="shared" si="46"/>
        <v>-4.397014709709459E-3</v>
      </c>
      <c r="G1407" s="52">
        <f t="shared" si="47"/>
        <v>4.9253925160855719E-4</v>
      </c>
    </row>
    <row r="1408" spans="1:7" ht="15" customHeight="1" x14ac:dyDescent="0.2">
      <c r="A1408" s="19" t="s">
        <v>1555</v>
      </c>
      <c r="B1408" s="50">
        <v>66.162300000000002</v>
      </c>
      <c r="C1408" s="50">
        <v>2472.16</v>
      </c>
      <c r="D1408" s="51">
        <v>19859766.746580999</v>
      </c>
      <c r="E1408" s="51">
        <v>2025011111</v>
      </c>
      <c r="F1408" s="52">
        <f t="shared" si="46"/>
        <v>-1.5178394321715492E-3</v>
      </c>
      <c r="G1408" s="52">
        <f t="shared" si="47"/>
        <v>-2.1859786914876496E-3</v>
      </c>
    </row>
    <row r="1409" spans="1:7" ht="15" customHeight="1" x14ac:dyDescent="0.2">
      <c r="A1409" s="19" t="s">
        <v>1556</v>
      </c>
      <c r="B1409" s="50">
        <v>66.648499999999999</v>
      </c>
      <c r="C1409" s="50">
        <v>2476.83</v>
      </c>
      <c r="D1409" s="51">
        <v>24622125.042057998</v>
      </c>
      <c r="E1409" s="51">
        <v>1797300000</v>
      </c>
      <c r="F1409" s="52">
        <f t="shared" si="46"/>
        <v>7.3217264259001482E-3</v>
      </c>
      <c r="G1409" s="52">
        <f t="shared" si="47"/>
        <v>1.887254323046072E-3</v>
      </c>
    </row>
    <row r="1410" spans="1:7" ht="15" customHeight="1" x14ac:dyDescent="0.2">
      <c r="A1410" s="19" t="s">
        <v>1557</v>
      </c>
      <c r="B1410" s="50">
        <v>66.3887</v>
      </c>
      <c r="C1410" s="50">
        <v>2480.91</v>
      </c>
      <c r="D1410" s="51">
        <v>20397263.036812</v>
      </c>
      <c r="E1410" s="51">
        <v>1628766667</v>
      </c>
      <c r="F1410" s="52">
        <f t="shared" si="46"/>
        <v>-3.9056794679413406E-3</v>
      </c>
      <c r="G1410" s="52">
        <f t="shared" si="47"/>
        <v>1.6459116133836385E-3</v>
      </c>
    </row>
    <row r="1411" spans="1:7" ht="15" customHeight="1" x14ac:dyDescent="0.2">
      <c r="A1411" s="19" t="s">
        <v>1558</v>
      </c>
      <c r="B1411" s="50">
        <v>66.749099999999999</v>
      </c>
      <c r="C1411" s="50">
        <v>2474.92</v>
      </c>
      <c r="D1411" s="51">
        <v>24035370.817391999</v>
      </c>
      <c r="E1411" s="51">
        <v>1858133333</v>
      </c>
      <c r="F1411" s="52">
        <f t="shared" si="46"/>
        <v>5.4139527662788135E-3</v>
      </c>
      <c r="G1411" s="52">
        <f t="shared" si="47"/>
        <v>-2.41735609047731E-3</v>
      </c>
    </row>
    <row r="1412" spans="1:7" ht="15" customHeight="1" x14ac:dyDescent="0.2">
      <c r="A1412" s="19" t="s">
        <v>1559</v>
      </c>
      <c r="B1412" s="50">
        <v>66.455100000000002</v>
      </c>
      <c r="C1412" s="50">
        <v>2474.02</v>
      </c>
      <c r="D1412" s="51">
        <v>24219611.996130001</v>
      </c>
      <c r="E1412" s="51">
        <v>1837811111</v>
      </c>
      <c r="F1412" s="52">
        <f t="shared" si="46"/>
        <v>-4.4142823935600555E-3</v>
      </c>
      <c r="G1412" s="52">
        <f t="shared" si="47"/>
        <v>-3.6371425392981165E-4</v>
      </c>
    </row>
    <row r="1413" spans="1:7" ht="15" customHeight="1" x14ac:dyDescent="0.2">
      <c r="A1413" s="19" t="s">
        <v>1560</v>
      </c>
      <c r="B1413" s="50">
        <v>65.482100000000003</v>
      </c>
      <c r="C1413" s="50">
        <v>2438.21</v>
      </c>
      <c r="D1413" s="51">
        <v>26049171.795428999</v>
      </c>
      <c r="E1413" s="51">
        <v>2011705556</v>
      </c>
      <c r="F1413" s="52">
        <f t="shared" si="46"/>
        <v>-1.47497087998262E-2</v>
      </c>
      <c r="G1413" s="52">
        <f t="shared" si="47"/>
        <v>-1.4580194485226952E-2</v>
      </c>
    </row>
    <row r="1414" spans="1:7" ht="15" customHeight="1" x14ac:dyDescent="0.2">
      <c r="A1414" s="19" t="s">
        <v>1561</v>
      </c>
      <c r="B1414" s="50">
        <v>66.4816</v>
      </c>
      <c r="C1414" s="50">
        <v>2441.3200000000002</v>
      </c>
      <c r="D1414" s="51">
        <v>23379881.543540999</v>
      </c>
      <c r="E1414" s="51">
        <v>1755516667</v>
      </c>
      <c r="F1414" s="52">
        <f t="shared" ref="F1414:F1477" si="48">LN(B1414/B1413)</f>
        <v>1.5148394796259207E-2</v>
      </c>
      <c r="G1414" s="52">
        <f t="shared" ref="G1414:G1477" si="49">LN(C1414/C1413)</f>
        <v>1.2747131060238811E-3</v>
      </c>
    </row>
    <row r="1415" spans="1:7" ht="15" customHeight="1" x14ac:dyDescent="0.2">
      <c r="A1415" s="19" t="s">
        <v>1562</v>
      </c>
      <c r="B1415" s="50">
        <v>67.481700000000004</v>
      </c>
      <c r="C1415" s="50">
        <v>2465.84</v>
      </c>
      <c r="D1415" s="51">
        <v>21898151.643842001</v>
      </c>
      <c r="E1415" s="51">
        <v>1568083333</v>
      </c>
      <c r="F1415" s="52">
        <f t="shared" si="48"/>
        <v>1.4931232363845956E-2</v>
      </c>
      <c r="G1415" s="52">
        <f t="shared" si="49"/>
        <v>9.9936436037592596E-3</v>
      </c>
    </row>
    <row r="1416" spans="1:7" ht="15" customHeight="1" x14ac:dyDescent="0.2">
      <c r="A1416" s="19" t="s">
        <v>1563</v>
      </c>
      <c r="B1416" s="50">
        <v>67.499399999999994</v>
      </c>
      <c r="C1416" s="50">
        <v>2464.61</v>
      </c>
      <c r="D1416" s="51">
        <v>20799005.147741001</v>
      </c>
      <c r="E1416" s="51">
        <v>1618388889</v>
      </c>
      <c r="F1416" s="52">
        <f t="shared" si="48"/>
        <v>2.6225893997675141E-4</v>
      </c>
      <c r="G1416" s="52">
        <f t="shared" si="49"/>
        <v>-4.9894026935336125E-4</v>
      </c>
    </row>
    <row r="1417" spans="1:7" ht="15" customHeight="1" x14ac:dyDescent="0.2">
      <c r="A1417" s="19" t="s">
        <v>1564</v>
      </c>
      <c r="B1417" s="50">
        <v>67.896900000000002</v>
      </c>
      <c r="C1417" s="50">
        <v>2468.11</v>
      </c>
      <c r="D1417" s="51">
        <v>19684023.257729001</v>
      </c>
      <c r="E1417" s="51">
        <v>1640916667</v>
      </c>
      <c r="F1417" s="52">
        <f t="shared" si="48"/>
        <v>5.8716691967710972E-3</v>
      </c>
      <c r="G1417" s="52">
        <f t="shared" si="49"/>
        <v>1.4190955851406412E-3</v>
      </c>
    </row>
    <row r="1418" spans="1:7" ht="15" customHeight="1" x14ac:dyDescent="0.2">
      <c r="A1418" s="19" t="s">
        <v>1565</v>
      </c>
      <c r="B1418" s="50">
        <v>66.7453</v>
      </c>
      <c r="C1418" s="50">
        <v>2430.0100000000002</v>
      </c>
      <c r="D1418" s="51">
        <v>24353355.396763999</v>
      </c>
      <c r="E1418" s="51">
        <v>1745900000</v>
      </c>
      <c r="F1418" s="52">
        <f t="shared" si="48"/>
        <v>-1.7106495330559787E-2</v>
      </c>
      <c r="G1418" s="52">
        <f t="shared" si="49"/>
        <v>-1.5557302982010086E-2</v>
      </c>
    </row>
    <row r="1419" spans="1:7" ht="15" customHeight="1" x14ac:dyDescent="0.2">
      <c r="A1419" s="19" t="s">
        <v>1566</v>
      </c>
      <c r="B1419" s="50">
        <v>66.828199999999995</v>
      </c>
      <c r="C1419" s="50">
        <v>2425.5500000000002</v>
      </c>
      <c r="D1419" s="51">
        <v>20350680.338964</v>
      </c>
      <c r="E1419" s="51">
        <v>1897600000</v>
      </c>
      <c r="F1419" s="52">
        <f t="shared" si="48"/>
        <v>1.2412643322803126E-3</v>
      </c>
      <c r="G1419" s="52">
        <f t="shared" si="49"/>
        <v>-1.8370697733361559E-3</v>
      </c>
    </row>
    <row r="1420" spans="1:7" ht="15" customHeight="1" x14ac:dyDescent="0.2">
      <c r="A1420" s="19" t="s">
        <v>1567</v>
      </c>
      <c r="B1420" s="50">
        <v>66.512900000000002</v>
      </c>
      <c r="C1420" s="50">
        <v>2428.37</v>
      </c>
      <c r="D1420" s="51">
        <v>19214191.102991</v>
      </c>
      <c r="E1420" s="51">
        <v>1548972222</v>
      </c>
      <c r="F1420" s="52">
        <f t="shared" si="48"/>
        <v>-4.7292333370157645E-3</v>
      </c>
      <c r="G1420" s="52">
        <f t="shared" si="49"/>
        <v>1.1619475876316547E-3</v>
      </c>
    </row>
    <row r="1421" spans="1:7" ht="15" customHeight="1" x14ac:dyDescent="0.2">
      <c r="A1421" s="19" t="s">
        <v>1568</v>
      </c>
      <c r="B1421" s="50">
        <v>67.443600000000004</v>
      </c>
      <c r="C1421" s="50">
        <v>2452.5100000000002</v>
      </c>
      <c r="D1421" s="51">
        <v>15548024.564698</v>
      </c>
      <c r="E1421" s="51">
        <v>1543050000</v>
      </c>
      <c r="F1421" s="52">
        <f t="shared" si="48"/>
        <v>1.3895779240250343E-2</v>
      </c>
      <c r="G1421" s="52">
        <f t="shared" si="49"/>
        <v>9.8917395364131917E-3</v>
      </c>
    </row>
    <row r="1422" spans="1:7" ht="15" customHeight="1" x14ac:dyDescent="0.2">
      <c r="A1422" s="19" t="s">
        <v>1569</v>
      </c>
      <c r="B1422" s="50">
        <v>67.041200000000003</v>
      </c>
      <c r="C1422" s="50">
        <v>2444.04</v>
      </c>
      <c r="D1422" s="51">
        <v>14924925.822768001</v>
      </c>
      <c r="E1422" s="51">
        <v>1547383333</v>
      </c>
      <c r="F1422" s="52">
        <f t="shared" si="48"/>
        <v>-5.9843372768496042E-3</v>
      </c>
      <c r="G1422" s="52">
        <f t="shared" si="49"/>
        <v>-3.459582133507087E-3</v>
      </c>
    </row>
    <row r="1423" spans="1:7" ht="15" customHeight="1" x14ac:dyDescent="0.2">
      <c r="A1423" s="19" t="s">
        <v>1570</v>
      </c>
      <c r="B1423" s="50">
        <v>67.013000000000005</v>
      </c>
      <c r="C1423" s="50">
        <v>2438.9699999999998</v>
      </c>
      <c r="D1423" s="51">
        <v>18546052.557027001</v>
      </c>
      <c r="E1423" s="51">
        <v>1581438889</v>
      </c>
      <c r="F1423" s="52">
        <f t="shared" si="48"/>
        <v>-4.207253546099164E-4</v>
      </c>
      <c r="G1423" s="52">
        <f t="shared" si="49"/>
        <v>-2.0765887523938203E-3</v>
      </c>
    </row>
    <row r="1424" spans="1:7" ht="15" customHeight="1" x14ac:dyDescent="0.2">
      <c r="A1424" s="19" t="s">
        <v>1571</v>
      </c>
      <c r="B1424" s="50">
        <v>67.130099999999999</v>
      </c>
      <c r="C1424" s="50">
        <v>2443.0500000000002</v>
      </c>
      <c r="D1424" s="51">
        <v>13875893.173</v>
      </c>
      <c r="E1424" s="51">
        <v>1438211111</v>
      </c>
      <c r="F1424" s="52">
        <f t="shared" si="48"/>
        <v>1.7458971761488836E-3</v>
      </c>
      <c r="G1424" s="52">
        <f t="shared" si="49"/>
        <v>1.671439670407706E-3</v>
      </c>
    </row>
    <row r="1425" spans="1:7" ht="15" customHeight="1" x14ac:dyDescent="0.2">
      <c r="A1425" s="19" t="s">
        <v>1572</v>
      </c>
      <c r="B1425" s="50">
        <v>67.139700000000005</v>
      </c>
      <c r="C1425" s="50">
        <v>2444.2399999999998</v>
      </c>
      <c r="D1425" s="51">
        <v>15795932.893230001</v>
      </c>
      <c r="E1425" s="51">
        <v>1487611111</v>
      </c>
      <c r="F1425" s="52">
        <f t="shared" si="48"/>
        <v>1.4299567015602365E-4</v>
      </c>
      <c r="G1425" s="52">
        <f t="shared" si="49"/>
        <v>4.869774552017658E-4</v>
      </c>
    </row>
    <row r="1426" spans="1:7" ht="15" customHeight="1" x14ac:dyDescent="0.2">
      <c r="A1426" s="19" t="s">
        <v>1573</v>
      </c>
      <c r="B1426" s="50">
        <v>67.343199999999996</v>
      </c>
      <c r="C1426" s="50">
        <v>2446.3000000000002</v>
      </c>
      <c r="D1426" s="51">
        <v>12445560.987481</v>
      </c>
      <c r="E1426" s="51">
        <v>1520877778</v>
      </c>
      <c r="F1426" s="52">
        <f t="shared" si="48"/>
        <v>3.0264093847463982E-3</v>
      </c>
      <c r="G1426" s="52">
        <f t="shared" si="49"/>
        <v>8.4244280665693428E-4</v>
      </c>
    </row>
    <row r="1427" spans="1:7" ht="15" customHeight="1" x14ac:dyDescent="0.2">
      <c r="A1427" s="19" t="s">
        <v>1574</v>
      </c>
      <c r="B1427" s="50">
        <v>68.228999999999999</v>
      </c>
      <c r="C1427" s="50">
        <v>2457.59</v>
      </c>
      <c r="D1427" s="51">
        <v>18324986.690356001</v>
      </c>
      <c r="E1427" s="51">
        <v>1463144444</v>
      </c>
      <c r="F1427" s="52">
        <f t="shared" si="48"/>
        <v>1.3067761758979597E-2</v>
      </c>
      <c r="G1427" s="52">
        <f t="shared" si="49"/>
        <v>4.6045159851196751E-3</v>
      </c>
    </row>
    <row r="1428" spans="1:7" ht="15" customHeight="1" x14ac:dyDescent="0.2">
      <c r="A1428" s="19" t="s">
        <v>1575</v>
      </c>
      <c r="B1428" s="50">
        <v>68.955799999999996</v>
      </c>
      <c r="C1428" s="50">
        <v>2471.65</v>
      </c>
      <c r="D1428" s="51">
        <v>29988268.775607001</v>
      </c>
      <c r="E1428" s="51">
        <v>1860061111</v>
      </c>
      <c r="F1428" s="52">
        <f t="shared" si="48"/>
        <v>1.059602521788445E-2</v>
      </c>
      <c r="G1428" s="52">
        <f t="shared" si="49"/>
        <v>5.704748858195643E-3</v>
      </c>
    </row>
    <row r="1429" spans="1:7" ht="15" customHeight="1" x14ac:dyDescent="0.2">
      <c r="A1429" s="19" t="s">
        <v>1576</v>
      </c>
      <c r="B1429" s="50">
        <v>68.164400000000001</v>
      </c>
      <c r="C1429" s="50">
        <v>2476.5500000000002</v>
      </c>
      <c r="D1429" s="51">
        <v>23573998.471273001</v>
      </c>
      <c r="E1429" s="51">
        <v>1505961111</v>
      </c>
      <c r="F1429" s="52">
        <f t="shared" si="48"/>
        <v>-1.1543285200119326E-2</v>
      </c>
      <c r="G1429" s="52">
        <f t="shared" si="49"/>
        <v>1.9805188155972674E-3</v>
      </c>
    </row>
    <row r="1430" spans="1:7" ht="15" customHeight="1" x14ac:dyDescent="0.2">
      <c r="A1430" s="19" t="s">
        <v>1577</v>
      </c>
      <c r="B1430" s="50">
        <v>67.860699999999994</v>
      </c>
      <c r="C1430" s="50">
        <v>2457.85</v>
      </c>
      <c r="D1430" s="51">
        <v>24118512.010476999</v>
      </c>
      <c r="E1430" s="51">
        <v>1939033333</v>
      </c>
      <c r="F1430" s="52">
        <f t="shared" si="48"/>
        <v>-4.4653597701273806E-3</v>
      </c>
      <c r="G1430" s="52">
        <f t="shared" si="49"/>
        <v>-7.5794785683446272E-3</v>
      </c>
    </row>
    <row r="1431" spans="1:7" ht="15" customHeight="1" x14ac:dyDescent="0.2">
      <c r="A1431" s="19" t="s">
        <v>1578</v>
      </c>
      <c r="B1431" s="50">
        <v>67.666499999999999</v>
      </c>
      <c r="C1431" s="50">
        <v>2465.54</v>
      </c>
      <c r="D1431" s="51">
        <v>17935898.970631</v>
      </c>
      <c r="E1431" s="51">
        <v>1874672222</v>
      </c>
      <c r="F1431" s="52">
        <f t="shared" si="48"/>
        <v>-2.865847341566934E-3</v>
      </c>
      <c r="G1431" s="52">
        <f t="shared" si="49"/>
        <v>3.1238663821462308E-3</v>
      </c>
    </row>
    <row r="1432" spans="1:7" ht="15" customHeight="1" x14ac:dyDescent="0.2">
      <c r="A1432" s="19" t="s">
        <v>1579</v>
      </c>
      <c r="B1432" s="50">
        <v>68.532700000000006</v>
      </c>
      <c r="C1432" s="50">
        <v>2465.1</v>
      </c>
      <c r="D1432" s="51">
        <v>18948714.056575</v>
      </c>
      <c r="E1432" s="51">
        <v>1863294444</v>
      </c>
      <c r="F1432" s="52">
        <f t="shared" si="48"/>
        <v>1.2719776308606557E-2</v>
      </c>
      <c r="G1432" s="52">
        <f t="shared" si="49"/>
        <v>-1.7847581700066779E-4</v>
      </c>
    </row>
    <row r="1433" spans="1:7" ht="15" customHeight="1" x14ac:dyDescent="0.2">
      <c r="A1433" s="19" t="s">
        <v>1580</v>
      </c>
      <c r="B1433" s="50">
        <v>68.200500000000005</v>
      </c>
      <c r="C1433" s="50">
        <v>2461.4299999999998</v>
      </c>
      <c r="D1433" s="51">
        <v>15949731.865815001</v>
      </c>
      <c r="E1433" s="51">
        <v>1834716667</v>
      </c>
      <c r="F1433" s="52">
        <f t="shared" si="48"/>
        <v>-4.8591074242224962E-3</v>
      </c>
      <c r="G1433" s="52">
        <f t="shared" si="49"/>
        <v>-1.4898927557054817E-3</v>
      </c>
    </row>
    <row r="1434" spans="1:7" ht="15" customHeight="1" x14ac:dyDescent="0.2">
      <c r="A1434" s="19" t="s">
        <v>1581</v>
      </c>
      <c r="B1434" s="50">
        <v>68.916499999999999</v>
      </c>
      <c r="C1434" s="50">
        <v>2488.11</v>
      </c>
      <c r="D1434" s="51">
        <v>19417253.129103001</v>
      </c>
      <c r="E1434" s="51">
        <v>1828755556</v>
      </c>
      <c r="F1434" s="52">
        <f t="shared" si="48"/>
        <v>1.0443730652239963E-2</v>
      </c>
      <c r="G1434" s="52">
        <f t="shared" si="49"/>
        <v>1.0780904250841916E-2</v>
      </c>
    </row>
    <row r="1435" spans="1:7" ht="15" customHeight="1" x14ac:dyDescent="0.2">
      <c r="A1435" s="19" t="s">
        <v>1582</v>
      </c>
      <c r="B1435" s="50">
        <v>68.846199999999996</v>
      </c>
      <c r="C1435" s="50">
        <v>2496.48</v>
      </c>
      <c r="D1435" s="51">
        <v>15618305.579151001</v>
      </c>
      <c r="E1435" s="51">
        <v>1794955556</v>
      </c>
      <c r="F1435" s="52">
        <f t="shared" si="48"/>
        <v>-1.0205956489258185E-3</v>
      </c>
      <c r="G1435" s="52">
        <f t="shared" si="49"/>
        <v>3.3583535924836664E-3</v>
      </c>
    </row>
    <row r="1436" spans="1:7" ht="15" customHeight="1" x14ac:dyDescent="0.2">
      <c r="A1436" s="19" t="s">
        <v>1583</v>
      </c>
      <c r="B1436" s="50">
        <v>69.334699999999998</v>
      </c>
      <c r="C1436" s="50">
        <v>2498.37</v>
      </c>
      <c r="D1436" s="51">
        <v>14485648.494173</v>
      </c>
      <c r="E1436" s="51">
        <v>1871138889</v>
      </c>
      <c r="F1436" s="52">
        <f t="shared" si="48"/>
        <v>7.0704711732446478E-3</v>
      </c>
      <c r="G1436" s="52">
        <f t="shared" si="49"/>
        <v>7.5677951898545429E-4</v>
      </c>
    </row>
    <row r="1437" spans="1:7" ht="15" customHeight="1" x14ac:dyDescent="0.2">
      <c r="A1437" s="19" t="s">
        <v>1584</v>
      </c>
      <c r="B1437" s="50">
        <v>68.926400000000001</v>
      </c>
      <c r="C1437" s="50">
        <v>2495.62</v>
      </c>
      <c r="D1437" s="51">
        <v>17032147.127200998</v>
      </c>
      <c r="E1437" s="51">
        <v>1896922222</v>
      </c>
      <c r="F1437" s="52">
        <f t="shared" si="48"/>
        <v>-5.9062337405632369E-3</v>
      </c>
      <c r="G1437" s="52">
        <f t="shared" si="49"/>
        <v>-1.1013239025146775E-3</v>
      </c>
    </row>
    <row r="1438" spans="1:7" ht="15" customHeight="1" x14ac:dyDescent="0.2">
      <c r="A1438" s="19" t="s">
        <v>1585</v>
      </c>
      <c r="B1438" s="50">
        <v>69.427300000000002</v>
      </c>
      <c r="C1438" s="50">
        <v>2500.23</v>
      </c>
      <c r="D1438" s="51">
        <v>41779115.519507997</v>
      </c>
      <c r="E1438" s="51">
        <v>2696205556</v>
      </c>
      <c r="F1438" s="52">
        <f t="shared" si="48"/>
        <v>7.2408932834616309E-3</v>
      </c>
      <c r="G1438" s="52">
        <f t="shared" si="49"/>
        <v>1.8455323152087293E-3</v>
      </c>
    </row>
    <row r="1439" spans="1:7" ht="15" customHeight="1" x14ac:dyDescent="0.2">
      <c r="A1439" s="19" t="s">
        <v>1586</v>
      </c>
      <c r="B1439" s="50">
        <v>69.286900000000003</v>
      </c>
      <c r="C1439" s="50">
        <v>2503.87</v>
      </c>
      <c r="D1439" s="51">
        <v>25280671.436632</v>
      </c>
      <c r="E1439" s="51">
        <v>1774611111</v>
      </c>
      <c r="F1439" s="52">
        <f t="shared" si="48"/>
        <v>-2.0243067824990348E-3</v>
      </c>
      <c r="G1439" s="52">
        <f t="shared" si="49"/>
        <v>1.454807314799407E-3</v>
      </c>
    </row>
    <row r="1440" spans="1:7" ht="15" customHeight="1" x14ac:dyDescent="0.2">
      <c r="A1440" s="19" t="s">
        <v>1587</v>
      </c>
      <c r="B1440" s="50">
        <v>69.548599999999993</v>
      </c>
      <c r="C1440" s="50">
        <v>2506.65</v>
      </c>
      <c r="D1440" s="51">
        <v>17105814.931790002</v>
      </c>
      <c r="E1440" s="51">
        <v>1805055556</v>
      </c>
      <c r="F1440" s="52">
        <f t="shared" si="48"/>
        <v>3.7699336257466004E-3</v>
      </c>
      <c r="G1440" s="52">
        <f t="shared" si="49"/>
        <v>1.1096653781502376E-3</v>
      </c>
    </row>
    <row r="1441" spans="1:7" ht="15" customHeight="1" x14ac:dyDescent="0.2">
      <c r="A1441" s="19" t="s">
        <v>1588</v>
      </c>
      <c r="B1441" s="50">
        <v>69.086299999999994</v>
      </c>
      <c r="C1441" s="50">
        <v>2508.2399999999998</v>
      </c>
      <c r="D1441" s="51">
        <v>22552080.618969999</v>
      </c>
      <c r="E1441" s="51">
        <v>1961116667</v>
      </c>
      <c r="F1441" s="52">
        <f t="shared" si="48"/>
        <v>-6.6693410331014613E-3</v>
      </c>
      <c r="G1441" s="52">
        <f t="shared" si="49"/>
        <v>6.3411163685643339E-4</v>
      </c>
    </row>
    <row r="1442" spans="1:7" ht="15" customHeight="1" x14ac:dyDescent="0.2">
      <c r="A1442" s="19" t="s">
        <v>1589</v>
      </c>
      <c r="B1442" s="50">
        <v>68.410600000000002</v>
      </c>
      <c r="C1442" s="50">
        <v>2500.6</v>
      </c>
      <c r="D1442" s="51">
        <v>20798903.789753001</v>
      </c>
      <c r="E1442" s="51">
        <v>1628255556</v>
      </c>
      <c r="F1442" s="52">
        <f t="shared" si="48"/>
        <v>-9.8286643484332744E-3</v>
      </c>
      <c r="G1442" s="52">
        <f t="shared" si="49"/>
        <v>-3.0506088934585734E-3</v>
      </c>
    </row>
    <row r="1443" spans="1:7" ht="15" customHeight="1" x14ac:dyDescent="0.2">
      <c r="A1443" s="19" t="s">
        <v>1590</v>
      </c>
      <c r="B1443" s="50">
        <v>68.598100000000002</v>
      </c>
      <c r="C1443" s="50">
        <v>2502.2199999999998</v>
      </c>
      <c r="D1443" s="51">
        <v>15289903.651031001</v>
      </c>
      <c r="E1443" s="51">
        <v>1592200000</v>
      </c>
      <c r="F1443" s="52">
        <f t="shared" si="48"/>
        <v>2.7370541732623967E-3</v>
      </c>
      <c r="G1443" s="52">
        <f t="shared" si="49"/>
        <v>6.4763475664636797E-4</v>
      </c>
    </row>
    <row r="1444" spans="1:7" ht="15" customHeight="1" x14ac:dyDescent="0.2">
      <c r="A1444" s="19" t="s">
        <v>1591</v>
      </c>
      <c r="B1444" s="50">
        <v>67.535300000000007</v>
      </c>
      <c r="C1444" s="50">
        <v>2496.66</v>
      </c>
      <c r="D1444" s="51">
        <v>26184848.164556</v>
      </c>
      <c r="E1444" s="51">
        <v>1832161111</v>
      </c>
      <c r="F1444" s="52">
        <f t="shared" si="48"/>
        <v>-1.5614413411300094E-2</v>
      </c>
      <c r="G1444" s="52">
        <f t="shared" si="49"/>
        <v>-2.2244992049246771E-3</v>
      </c>
    </row>
    <row r="1445" spans="1:7" ht="15" customHeight="1" x14ac:dyDescent="0.2">
      <c r="A1445" s="19" t="s">
        <v>1592</v>
      </c>
      <c r="B1445" s="50">
        <v>67.535300000000007</v>
      </c>
      <c r="C1445" s="50">
        <v>2496.84</v>
      </c>
      <c r="D1445" s="51">
        <v>19541128.971287999</v>
      </c>
      <c r="E1445" s="51">
        <v>1690616667</v>
      </c>
      <c r="F1445" s="52">
        <f t="shared" si="48"/>
        <v>0</v>
      </c>
      <c r="G1445" s="52">
        <f t="shared" si="49"/>
        <v>7.2093721869792582E-5</v>
      </c>
    </row>
    <row r="1446" spans="1:7" ht="15" customHeight="1" x14ac:dyDescent="0.2">
      <c r="A1446" s="19" t="s">
        <v>1593</v>
      </c>
      <c r="B1446" s="50">
        <v>68.080299999999994</v>
      </c>
      <c r="C1446" s="50">
        <v>2507.04</v>
      </c>
      <c r="D1446" s="51">
        <v>21139411.342597</v>
      </c>
      <c r="E1446" s="51">
        <v>1920016667</v>
      </c>
      <c r="F1446" s="52">
        <f t="shared" si="48"/>
        <v>8.0374666919298433E-3</v>
      </c>
      <c r="G1446" s="52">
        <f t="shared" si="49"/>
        <v>4.0768420216074665E-3</v>
      </c>
    </row>
    <row r="1447" spans="1:7" ht="15" customHeight="1" x14ac:dyDescent="0.2">
      <c r="A1447" s="19" t="s">
        <v>1594</v>
      </c>
      <c r="B1447" s="50">
        <v>68.099999999999994</v>
      </c>
      <c r="C1447" s="50">
        <v>2510.06</v>
      </c>
      <c r="D1447" s="51">
        <v>11801621.40515</v>
      </c>
      <c r="E1447" s="51">
        <v>1760344444</v>
      </c>
      <c r="F1447" s="52">
        <f t="shared" si="48"/>
        <v>2.8932231956330399E-4</v>
      </c>
      <c r="G1447" s="52">
        <f t="shared" si="49"/>
        <v>1.2038828664962132E-3</v>
      </c>
    </row>
    <row r="1448" spans="1:7" ht="15" customHeight="1" x14ac:dyDescent="0.2">
      <c r="A1448" s="19" t="s">
        <v>1595</v>
      </c>
      <c r="B1448" s="50">
        <v>68.670299999999997</v>
      </c>
      <c r="C1448" s="50">
        <v>2519.36</v>
      </c>
      <c r="D1448" s="51">
        <v>18522253.906254999</v>
      </c>
      <c r="E1448" s="51">
        <v>1784400000</v>
      </c>
      <c r="F1448" s="52">
        <f t="shared" si="48"/>
        <v>8.3395781875405684E-3</v>
      </c>
      <c r="G1448" s="52">
        <f t="shared" si="49"/>
        <v>3.6982437735080622E-3</v>
      </c>
    </row>
    <row r="1449" spans="1:7" ht="15" customHeight="1" x14ac:dyDescent="0.2">
      <c r="A1449" s="19" t="s">
        <v>1596</v>
      </c>
      <c r="B1449" s="50">
        <v>68.781899999999993</v>
      </c>
      <c r="C1449" s="50">
        <v>2529.12</v>
      </c>
      <c r="D1449" s="51">
        <v>16593034.633311</v>
      </c>
      <c r="E1449" s="51">
        <v>1777627778</v>
      </c>
      <c r="F1449" s="52">
        <f t="shared" si="48"/>
        <v>1.6238375889608323E-3</v>
      </c>
      <c r="G1449" s="52">
        <f t="shared" si="49"/>
        <v>3.8665151329828713E-3</v>
      </c>
    </row>
    <row r="1450" spans="1:7" ht="15" customHeight="1" x14ac:dyDescent="0.2">
      <c r="A1450" s="19" t="s">
        <v>1597</v>
      </c>
      <c r="B1450" s="50">
        <v>68.458600000000004</v>
      </c>
      <c r="C1450" s="50">
        <v>2534.58</v>
      </c>
      <c r="D1450" s="51">
        <v>13219277.699285001</v>
      </c>
      <c r="E1450" s="51">
        <v>1704916667</v>
      </c>
      <c r="F1450" s="52">
        <f t="shared" si="48"/>
        <v>-4.7114459367813381E-3</v>
      </c>
      <c r="G1450" s="52">
        <f t="shared" si="49"/>
        <v>2.1565266962995347E-3</v>
      </c>
    </row>
    <row r="1451" spans="1:7" ht="15" customHeight="1" x14ac:dyDescent="0.2">
      <c r="A1451" s="19" t="s">
        <v>1598</v>
      </c>
      <c r="B1451" s="50">
        <v>68.855900000000005</v>
      </c>
      <c r="C1451" s="50">
        <v>2537.7399999999998</v>
      </c>
      <c r="D1451" s="51">
        <v>14421787.842768</v>
      </c>
      <c r="E1451" s="51">
        <v>1676177778</v>
      </c>
      <c r="F1451" s="52">
        <f t="shared" si="48"/>
        <v>5.7867320446696735E-3</v>
      </c>
      <c r="G1451" s="52">
        <f t="shared" si="49"/>
        <v>1.2459783329185144E-3</v>
      </c>
    </row>
    <row r="1452" spans="1:7" ht="15" customHeight="1" x14ac:dyDescent="0.2">
      <c r="A1452" s="19" t="s">
        <v>1599</v>
      </c>
      <c r="B1452" s="50">
        <v>70.034999999999997</v>
      </c>
      <c r="C1452" s="50">
        <v>2552.0700000000002</v>
      </c>
      <c r="D1452" s="51">
        <v>22985238.587030001</v>
      </c>
      <c r="E1452" s="51">
        <v>1691733333</v>
      </c>
      <c r="F1452" s="52">
        <f t="shared" si="48"/>
        <v>1.6979202051153396E-2</v>
      </c>
      <c r="G1452" s="52">
        <f t="shared" si="49"/>
        <v>5.6308733972806214E-3</v>
      </c>
    </row>
    <row r="1453" spans="1:7" ht="15" customHeight="1" x14ac:dyDescent="0.2">
      <c r="A1453" s="19" t="s">
        <v>1600</v>
      </c>
      <c r="B1453" s="50">
        <v>70.060400000000001</v>
      </c>
      <c r="C1453" s="50">
        <v>2549.33</v>
      </c>
      <c r="D1453" s="51">
        <v>15128489.519726999</v>
      </c>
      <c r="E1453" s="51">
        <v>1602538889</v>
      </c>
      <c r="F1453" s="52">
        <f t="shared" si="48"/>
        <v>3.6261005398193196E-4</v>
      </c>
      <c r="G1453" s="52">
        <f t="shared" si="49"/>
        <v>-1.0742150246923344E-3</v>
      </c>
    </row>
    <row r="1454" spans="1:7" ht="15" customHeight="1" x14ac:dyDescent="0.2">
      <c r="A1454" s="19" t="s">
        <v>1601</v>
      </c>
      <c r="B1454" s="50">
        <v>70.332899999999995</v>
      </c>
      <c r="C1454" s="50">
        <v>2544.73</v>
      </c>
      <c r="D1454" s="51">
        <v>12351355.392635001</v>
      </c>
      <c r="E1454" s="51">
        <v>1379983333</v>
      </c>
      <c r="F1454" s="52">
        <f t="shared" si="48"/>
        <v>3.8819565065440357E-3</v>
      </c>
      <c r="G1454" s="52">
        <f t="shared" si="49"/>
        <v>-1.8060255475314134E-3</v>
      </c>
    </row>
    <row r="1455" spans="1:7" ht="15" customHeight="1" x14ac:dyDescent="0.2">
      <c r="A1455" s="19" t="s">
        <v>1602</v>
      </c>
      <c r="B1455" s="50">
        <v>70.332899999999995</v>
      </c>
      <c r="C1455" s="50">
        <v>2550.64</v>
      </c>
      <c r="D1455" s="51">
        <v>15122770.472052</v>
      </c>
      <c r="E1455" s="51">
        <v>1644722222</v>
      </c>
      <c r="F1455" s="52">
        <f t="shared" si="48"/>
        <v>0</v>
      </c>
      <c r="G1455" s="52">
        <f t="shared" si="49"/>
        <v>2.3197540709582955E-3</v>
      </c>
    </row>
    <row r="1456" spans="1:7" ht="15" customHeight="1" x14ac:dyDescent="0.2">
      <c r="A1456" s="19" t="s">
        <v>1603</v>
      </c>
      <c r="B1456" s="50">
        <v>70.447999999999993</v>
      </c>
      <c r="C1456" s="50">
        <v>2555.2399999999998</v>
      </c>
      <c r="D1456" s="51">
        <v>16684658.159015</v>
      </c>
      <c r="E1456" s="51">
        <v>1653383333</v>
      </c>
      <c r="F1456" s="52">
        <f t="shared" si="48"/>
        <v>1.6351653618617214E-3</v>
      </c>
      <c r="G1456" s="52">
        <f t="shared" si="49"/>
        <v>1.8018446358107835E-3</v>
      </c>
    </row>
    <row r="1457" spans="1:7" ht="15" customHeight="1" x14ac:dyDescent="0.2">
      <c r="A1457" s="19" t="s">
        <v>1604</v>
      </c>
      <c r="B1457" s="50">
        <v>71.094800000000006</v>
      </c>
      <c r="C1457" s="50">
        <v>2550.9299999999998</v>
      </c>
      <c r="D1457" s="51">
        <v>18732947.472174</v>
      </c>
      <c r="E1457" s="51">
        <v>1750838889</v>
      </c>
      <c r="F1457" s="52">
        <f t="shared" si="48"/>
        <v>9.1393486936315483E-3</v>
      </c>
      <c r="G1457" s="52">
        <f t="shared" si="49"/>
        <v>-1.6881541443298049E-3</v>
      </c>
    </row>
    <row r="1458" spans="1:7" ht="15" customHeight="1" x14ac:dyDescent="0.2">
      <c r="A1458" s="19" t="s">
        <v>1605</v>
      </c>
      <c r="B1458" s="50">
        <v>71.438500000000005</v>
      </c>
      <c r="C1458" s="50">
        <v>2553.17</v>
      </c>
      <c r="D1458" s="51">
        <v>16617984.055583</v>
      </c>
      <c r="E1458" s="51">
        <v>1749688889</v>
      </c>
      <c r="F1458" s="52">
        <f t="shared" si="48"/>
        <v>4.8227420002440761E-3</v>
      </c>
      <c r="G1458" s="52">
        <f t="shared" si="49"/>
        <v>8.7772580623768782E-4</v>
      </c>
    </row>
    <row r="1459" spans="1:7" ht="15" customHeight="1" x14ac:dyDescent="0.2">
      <c r="A1459" s="19" t="s">
        <v>1606</v>
      </c>
      <c r="B1459" s="50">
        <v>71.584000000000003</v>
      </c>
      <c r="C1459" s="50">
        <v>2557.64</v>
      </c>
      <c r="D1459" s="51">
        <v>13409628.000382001</v>
      </c>
      <c r="E1459" s="51">
        <v>1620011111</v>
      </c>
      <c r="F1459" s="52">
        <f t="shared" si="48"/>
        <v>2.0346456004454658E-3</v>
      </c>
      <c r="G1459" s="52">
        <f t="shared" si="49"/>
        <v>1.7492339334793062E-3</v>
      </c>
    </row>
    <row r="1460" spans="1:7" ht="15" customHeight="1" x14ac:dyDescent="0.2">
      <c r="A1460" s="19" t="s">
        <v>1607</v>
      </c>
      <c r="B1460" s="50">
        <v>71.528199999999998</v>
      </c>
      <c r="C1460" s="50">
        <v>2559.36</v>
      </c>
      <c r="D1460" s="51">
        <v>17439071.805142999</v>
      </c>
      <c r="E1460" s="51">
        <v>1605216667</v>
      </c>
      <c r="F1460" s="52">
        <f t="shared" si="48"/>
        <v>-7.7980777079346853E-4</v>
      </c>
      <c r="G1460" s="52">
        <f t="shared" si="49"/>
        <v>6.7226893288223496E-4</v>
      </c>
    </row>
    <row r="1461" spans="1:7" ht="15" customHeight="1" x14ac:dyDescent="0.2">
      <c r="A1461" s="19" t="s">
        <v>1608</v>
      </c>
      <c r="B1461" s="50">
        <v>71.546999999999997</v>
      </c>
      <c r="C1461" s="50">
        <v>2561.2600000000002</v>
      </c>
      <c r="D1461" s="51">
        <v>14415067.50103</v>
      </c>
      <c r="E1461" s="51">
        <v>1665605556</v>
      </c>
      <c r="F1461" s="52">
        <f t="shared" si="48"/>
        <v>2.6279886532671888E-4</v>
      </c>
      <c r="G1461" s="52">
        <f t="shared" si="49"/>
        <v>7.4209767067105596E-4</v>
      </c>
    </row>
    <row r="1462" spans="1:7" ht="15" customHeight="1" x14ac:dyDescent="0.2">
      <c r="A1462" s="19" t="s">
        <v>1609</v>
      </c>
      <c r="B1462" s="50">
        <v>71.822299999999998</v>
      </c>
      <c r="C1462" s="50">
        <v>2562.1</v>
      </c>
      <c r="D1462" s="51">
        <v>16365978.407181</v>
      </c>
      <c r="E1462" s="51">
        <v>1661505556</v>
      </c>
      <c r="F1462" s="52">
        <f t="shared" si="48"/>
        <v>3.8404363886195441E-3</v>
      </c>
      <c r="G1462" s="52">
        <f t="shared" si="49"/>
        <v>3.2790981212585998E-4</v>
      </c>
    </row>
    <row r="1463" spans="1:7" ht="15" customHeight="1" x14ac:dyDescent="0.2">
      <c r="A1463" s="19" t="s">
        <v>1610</v>
      </c>
      <c r="B1463" s="50">
        <v>72.652600000000007</v>
      </c>
      <c r="C1463" s="50">
        <v>2575.21</v>
      </c>
      <c r="D1463" s="51">
        <v>24791557.716398001</v>
      </c>
      <c r="E1463" s="51">
        <v>1880361111</v>
      </c>
      <c r="F1463" s="52">
        <f t="shared" si="48"/>
        <v>1.149416460982031E-2</v>
      </c>
      <c r="G1463" s="52">
        <f t="shared" si="49"/>
        <v>5.103849469401585E-3</v>
      </c>
    </row>
    <row r="1464" spans="1:7" ht="15" customHeight="1" x14ac:dyDescent="0.2">
      <c r="A1464" s="19" t="s">
        <v>1611</v>
      </c>
      <c r="B1464" s="50">
        <v>72.671199999999999</v>
      </c>
      <c r="C1464" s="50">
        <v>2564.98</v>
      </c>
      <c r="D1464" s="51">
        <v>22356446.392875999</v>
      </c>
      <c r="E1464" s="51">
        <v>1784283333</v>
      </c>
      <c r="F1464" s="52">
        <f t="shared" si="48"/>
        <v>2.5598009550464721E-4</v>
      </c>
      <c r="G1464" s="52">
        <f t="shared" si="49"/>
        <v>-3.9804028670812871E-3</v>
      </c>
    </row>
    <row r="1465" spans="1:7" ht="15" customHeight="1" x14ac:dyDescent="0.2">
      <c r="A1465" s="19" t="s">
        <v>1612</v>
      </c>
      <c r="B1465" s="50">
        <v>72.699399999999997</v>
      </c>
      <c r="C1465" s="50">
        <v>2569.13</v>
      </c>
      <c r="D1465" s="51">
        <v>18836365.381910998</v>
      </c>
      <c r="E1465" s="51">
        <v>1904072222</v>
      </c>
      <c r="F1465" s="52">
        <f t="shared" si="48"/>
        <v>3.8797391430902748E-4</v>
      </c>
      <c r="G1465" s="52">
        <f t="shared" si="49"/>
        <v>1.6166388736675908E-3</v>
      </c>
    </row>
    <row r="1466" spans="1:7" ht="15" customHeight="1" x14ac:dyDescent="0.2">
      <c r="A1466" s="19" t="s">
        <v>1613</v>
      </c>
      <c r="B1466" s="50">
        <v>72.489599999999996</v>
      </c>
      <c r="C1466" s="50">
        <v>2557.15</v>
      </c>
      <c r="D1466" s="51">
        <v>22130200.006829001</v>
      </c>
      <c r="E1466" s="51">
        <v>2152505556</v>
      </c>
      <c r="F1466" s="52">
        <f t="shared" si="48"/>
        <v>-2.89002811542708E-3</v>
      </c>
      <c r="G1466" s="52">
        <f t="shared" si="49"/>
        <v>-4.6739631114622714E-3</v>
      </c>
    </row>
    <row r="1467" spans="1:7" ht="15" customHeight="1" x14ac:dyDescent="0.2">
      <c r="A1467" s="19" t="s">
        <v>1614</v>
      </c>
      <c r="B1467" s="50">
        <v>72.604600000000005</v>
      </c>
      <c r="C1467" s="50">
        <v>2560.4</v>
      </c>
      <c r="D1467" s="51">
        <v>34278992.996564999</v>
      </c>
      <c r="E1467" s="51">
        <v>2149472222</v>
      </c>
      <c r="F1467" s="52">
        <f t="shared" si="48"/>
        <v>1.585177409998393E-3</v>
      </c>
      <c r="G1467" s="52">
        <f t="shared" si="49"/>
        <v>1.2701392021270566E-3</v>
      </c>
    </row>
    <row r="1468" spans="1:7" ht="15" customHeight="1" x14ac:dyDescent="0.2">
      <c r="A1468" s="19" t="s">
        <v>1615</v>
      </c>
      <c r="B1468" s="50">
        <v>77.260800000000003</v>
      </c>
      <c r="C1468" s="50">
        <v>2581.0700000000002</v>
      </c>
      <c r="D1468" s="51">
        <v>77043441.253869995</v>
      </c>
      <c r="E1468" s="51">
        <v>2159505556</v>
      </c>
      <c r="F1468" s="52">
        <f t="shared" si="48"/>
        <v>6.2158431126096592E-2</v>
      </c>
      <c r="G1468" s="52">
        <f t="shared" si="49"/>
        <v>8.0405453538159206E-3</v>
      </c>
    </row>
    <row r="1469" spans="1:7" ht="15" customHeight="1" x14ac:dyDescent="0.2">
      <c r="A1469" s="19" t="s">
        <v>1616</v>
      </c>
      <c r="B1469" s="50">
        <v>77.338099999999997</v>
      </c>
      <c r="C1469" s="50">
        <v>2572.83</v>
      </c>
      <c r="D1469" s="51">
        <v>34447703.879173003</v>
      </c>
      <c r="E1469" s="51">
        <v>2032705556</v>
      </c>
      <c r="F1469" s="52">
        <f t="shared" si="48"/>
        <v>1.0000071985214684E-3</v>
      </c>
      <c r="G1469" s="52">
        <f t="shared" si="49"/>
        <v>-3.1975812572382673E-3</v>
      </c>
    </row>
    <row r="1470" spans="1:7" ht="15" customHeight="1" x14ac:dyDescent="0.2">
      <c r="A1470" s="19" t="s">
        <v>1617</v>
      </c>
      <c r="B1470" s="50">
        <v>76.682599999999994</v>
      </c>
      <c r="C1470" s="50">
        <v>2575.2600000000002</v>
      </c>
      <c r="D1470" s="51">
        <v>29381882.839667</v>
      </c>
      <c r="E1470" s="51">
        <v>2126238889</v>
      </c>
      <c r="F1470" s="52">
        <f t="shared" si="48"/>
        <v>-8.5118942805029255E-3</v>
      </c>
      <c r="G1470" s="52">
        <f t="shared" si="49"/>
        <v>9.4403950998150389E-4</v>
      </c>
    </row>
    <row r="1471" spans="1:7" ht="15" customHeight="1" x14ac:dyDescent="0.2">
      <c r="A1471" s="19" t="s">
        <v>1618</v>
      </c>
      <c r="B1471" s="50">
        <v>76.682599999999994</v>
      </c>
      <c r="C1471" s="50">
        <v>2579.36</v>
      </c>
      <c r="D1471" s="51">
        <v>24197692.051495999</v>
      </c>
      <c r="E1471" s="51">
        <v>2118433333</v>
      </c>
      <c r="F1471" s="52">
        <f t="shared" si="48"/>
        <v>0</v>
      </c>
      <c r="G1471" s="52">
        <f t="shared" si="49"/>
        <v>1.5908062532808776E-3</v>
      </c>
    </row>
    <row r="1472" spans="1:7" ht="15" customHeight="1" x14ac:dyDescent="0.2">
      <c r="A1472" s="19" t="s">
        <v>1619</v>
      </c>
      <c r="B1472" s="50">
        <v>77.4846</v>
      </c>
      <c r="C1472" s="50">
        <v>2579.85</v>
      </c>
      <c r="D1472" s="51">
        <v>26026096.984023999</v>
      </c>
      <c r="E1472" s="51">
        <v>2249038889</v>
      </c>
      <c r="F1472" s="52">
        <f t="shared" si="48"/>
        <v>1.0404382187305728E-2</v>
      </c>
      <c r="G1472" s="52">
        <f t="shared" si="49"/>
        <v>1.8995156292258536E-4</v>
      </c>
    </row>
    <row r="1473" spans="1:7" ht="15" customHeight="1" x14ac:dyDescent="0.2">
      <c r="A1473" s="19" t="s">
        <v>1620</v>
      </c>
      <c r="B1473" s="50">
        <v>77.567599999999999</v>
      </c>
      <c r="C1473" s="50">
        <v>2587.84</v>
      </c>
      <c r="D1473" s="51">
        <v>19127804.406660002</v>
      </c>
      <c r="E1473" s="51">
        <v>1982061111</v>
      </c>
      <c r="F1473" s="52">
        <f t="shared" si="48"/>
        <v>1.0706072913235231E-3</v>
      </c>
      <c r="G1473" s="52">
        <f t="shared" si="49"/>
        <v>3.0922932168462635E-3</v>
      </c>
    </row>
    <row r="1474" spans="1:7" ht="15" customHeight="1" x14ac:dyDescent="0.2">
      <c r="A1474" s="19" t="s">
        <v>1621</v>
      </c>
      <c r="B1474" s="50">
        <v>77.873199999999997</v>
      </c>
      <c r="C1474" s="50">
        <v>2591.13</v>
      </c>
      <c r="D1474" s="51">
        <v>21534415.706884</v>
      </c>
      <c r="E1474" s="51">
        <v>1966155556</v>
      </c>
      <c r="F1474" s="52">
        <f t="shared" si="48"/>
        <v>3.9320486479765245E-3</v>
      </c>
      <c r="G1474" s="52">
        <f t="shared" si="49"/>
        <v>1.2705230741123081E-3</v>
      </c>
    </row>
    <row r="1475" spans="1:7" ht="15" customHeight="1" x14ac:dyDescent="0.2">
      <c r="A1475" s="19" t="s">
        <v>1622</v>
      </c>
      <c r="B1475" s="50">
        <v>77.677800000000005</v>
      </c>
      <c r="C1475" s="50">
        <v>2590.64</v>
      </c>
      <c r="D1475" s="51">
        <v>19447080.020605002</v>
      </c>
      <c r="E1475" s="51">
        <v>2116472222</v>
      </c>
      <c r="F1475" s="52">
        <f t="shared" si="48"/>
        <v>-2.5123606120135366E-3</v>
      </c>
      <c r="G1475" s="52">
        <f t="shared" si="49"/>
        <v>-1.8912456610798272E-4</v>
      </c>
    </row>
    <row r="1476" spans="1:7" ht="15" customHeight="1" x14ac:dyDescent="0.2">
      <c r="A1476" s="19" t="s">
        <v>1623</v>
      </c>
      <c r="B1476" s="50">
        <v>77.956199999999995</v>
      </c>
      <c r="C1476" s="50">
        <v>2594.38</v>
      </c>
      <c r="D1476" s="51">
        <v>19557407.67842</v>
      </c>
      <c r="E1476" s="51">
        <v>2166311111</v>
      </c>
      <c r="F1476" s="52">
        <f t="shared" si="48"/>
        <v>3.5776282424991386E-3</v>
      </c>
      <c r="G1476" s="52">
        <f t="shared" si="49"/>
        <v>1.442617636431107E-3</v>
      </c>
    </row>
    <row r="1477" spans="1:7" ht="15" customHeight="1" x14ac:dyDescent="0.2">
      <c r="A1477" s="19" t="s">
        <v>1624</v>
      </c>
      <c r="B1477" s="50">
        <v>77.521500000000003</v>
      </c>
      <c r="C1477" s="50">
        <v>2584.62</v>
      </c>
      <c r="D1477" s="51">
        <v>22969780.981981002</v>
      </c>
      <c r="E1477" s="51">
        <v>2128672222</v>
      </c>
      <c r="F1477" s="52">
        <f t="shared" si="48"/>
        <v>-5.5918132657777186E-3</v>
      </c>
      <c r="G1477" s="52">
        <f t="shared" si="49"/>
        <v>-3.7690718494426323E-3</v>
      </c>
    </row>
    <row r="1478" spans="1:7" ht="15" customHeight="1" x14ac:dyDescent="0.2">
      <c r="A1478" s="19" t="s">
        <v>1625</v>
      </c>
      <c r="B1478" s="50">
        <v>77.319400000000002</v>
      </c>
      <c r="C1478" s="50">
        <v>2582.3000000000002</v>
      </c>
      <c r="D1478" s="51">
        <v>21039939.227658</v>
      </c>
      <c r="E1478" s="51">
        <v>1937172222</v>
      </c>
      <c r="F1478" s="52">
        <f t="shared" ref="F1478:F1541" si="50">LN(B1478/B1477)</f>
        <v>-2.6104228890982102E-3</v>
      </c>
      <c r="G1478" s="52">
        <f t="shared" ref="G1478:G1541" si="51">LN(C1478/C1477)</f>
        <v>-8.9802054450679157E-4</v>
      </c>
    </row>
    <row r="1479" spans="1:7" ht="15" customHeight="1" x14ac:dyDescent="0.2">
      <c r="A1479" s="19" t="s">
        <v>1626</v>
      </c>
      <c r="B1479" s="50">
        <v>77.375100000000003</v>
      </c>
      <c r="C1479" s="50">
        <v>2584.84</v>
      </c>
      <c r="D1479" s="51">
        <v>15388052.993039001</v>
      </c>
      <c r="E1479" s="51">
        <v>1890516667</v>
      </c>
      <c r="F1479" s="52">
        <f t="shared" si="50"/>
        <v>7.2012905962533496E-4</v>
      </c>
      <c r="G1479" s="52">
        <f t="shared" si="51"/>
        <v>9.8313581772029252E-4</v>
      </c>
    </row>
    <row r="1480" spans="1:7" ht="15" customHeight="1" x14ac:dyDescent="0.2">
      <c r="A1480" s="19" t="s">
        <v>1627</v>
      </c>
      <c r="B1480" s="50">
        <v>77.4846</v>
      </c>
      <c r="C1480" s="50">
        <v>2578.87</v>
      </c>
      <c r="D1480" s="51">
        <v>20355303.901315</v>
      </c>
      <c r="E1480" s="51">
        <v>2023200000</v>
      </c>
      <c r="F1480" s="52">
        <f t="shared" si="50"/>
        <v>1.4141835254649663E-3</v>
      </c>
      <c r="G1480" s="52">
        <f t="shared" si="51"/>
        <v>-2.3122919993494805E-3</v>
      </c>
    </row>
    <row r="1481" spans="1:7" ht="15" customHeight="1" x14ac:dyDescent="0.2">
      <c r="A1481" s="19" t="s">
        <v>1628</v>
      </c>
      <c r="B1481" s="50">
        <v>76.881</v>
      </c>
      <c r="C1481" s="50">
        <v>2564.62</v>
      </c>
      <c r="D1481" s="51">
        <v>20871883.588608</v>
      </c>
      <c r="E1481" s="51">
        <v>1977161111</v>
      </c>
      <c r="F1481" s="52">
        <f t="shared" si="50"/>
        <v>-7.8204350749760711E-3</v>
      </c>
      <c r="G1481" s="52">
        <f t="shared" si="51"/>
        <v>-5.5409989946132651E-3</v>
      </c>
    </row>
    <row r="1482" spans="1:7" ht="15" customHeight="1" x14ac:dyDescent="0.2">
      <c r="A1482" s="19" t="s">
        <v>1629</v>
      </c>
      <c r="B1482" s="50">
        <v>77.086799999999997</v>
      </c>
      <c r="C1482" s="50">
        <v>2585.64</v>
      </c>
      <c r="D1482" s="51">
        <v>22620480.879648998</v>
      </c>
      <c r="E1482" s="51">
        <v>1840394444</v>
      </c>
      <c r="F1482" s="52">
        <f t="shared" si="50"/>
        <v>2.6732878246218967E-3</v>
      </c>
      <c r="G1482" s="52">
        <f t="shared" si="51"/>
        <v>8.1627400224411704E-3</v>
      </c>
    </row>
    <row r="1483" spans="1:7" ht="15" customHeight="1" x14ac:dyDescent="0.2">
      <c r="A1483" s="19" t="s">
        <v>1630</v>
      </c>
      <c r="B1483" s="50">
        <v>76.345600000000005</v>
      </c>
      <c r="C1483" s="50">
        <v>2578.85</v>
      </c>
      <c r="D1483" s="51">
        <v>23826466.885439001</v>
      </c>
      <c r="E1483" s="51">
        <v>1833422222</v>
      </c>
      <c r="F1483" s="52">
        <f t="shared" si="50"/>
        <v>-9.6616590207089532E-3</v>
      </c>
      <c r="G1483" s="52">
        <f t="shared" si="51"/>
        <v>-2.6294963926015349E-3</v>
      </c>
    </row>
    <row r="1484" spans="1:7" ht="15" customHeight="1" x14ac:dyDescent="0.2">
      <c r="A1484" s="19" t="s">
        <v>1631</v>
      </c>
      <c r="B1484" s="50">
        <v>76.463800000000006</v>
      </c>
      <c r="C1484" s="50">
        <v>2582.14</v>
      </c>
      <c r="D1484" s="51">
        <v>17408277.405576002</v>
      </c>
      <c r="E1484" s="51">
        <v>1668633333</v>
      </c>
      <c r="F1484" s="52">
        <f t="shared" si="50"/>
        <v>1.5470255569865281E-3</v>
      </c>
      <c r="G1484" s="52">
        <f t="shared" si="51"/>
        <v>1.2749493588078771E-3</v>
      </c>
    </row>
    <row r="1485" spans="1:7" ht="15" customHeight="1" x14ac:dyDescent="0.2">
      <c r="A1485" s="19" t="s">
        <v>1632</v>
      </c>
      <c r="B1485" s="50">
        <v>77.567599999999999</v>
      </c>
      <c r="C1485" s="50">
        <v>2599.0300000000002</v>
      </c>
      <c r="D1485" s="51">
        <v>22877139.781128999</v>
      </c>
      <c r="E1485" s="51">
        <v>1851511111</v>
      </c>
      <c r="F1485" s="52">
        <f t="shared" si="50"/>
        <v>1.4332388005400288E-2</v>
      </c>
      <c r="G1485" s="52">
        <f t="shared" si="51"/>
        <v>6.5197860056391329E-3</v>
      </c>
    </row>
    <row r="1486" spans="1:7" ht="15" customHeight="1" x14ac:dyDescent="0.2">
      <c r="A1486" s="19" t="s">
        <v>1633</v>
      </c>
      <c r="B1486" s="50">
        <v>77.000900000000001</v>
      </c>
      <c r="C1486" s="50">
        <v>2597.08</v>
      </c>
      <c r="D1486" s="51">
        <v>22182495.609444998</v>
      </c>
      <c r="E1486" s="51">
        <v>1534972222</v>
      </c>
      <c r="F1486" s="52">
        <f t="shared" si="50"/>
        <v>-7.3327041307574108E-3</v>
      </c>
      <c r="G1486" s="52">
        <f t="shared" si="51"/>
        <v>-7.5056151295621967E-4</v>
      </c>
    </row>
    <row r="1487" spans="1:7" ht="15" customHeight="1" x14ac:dyDescent="0.2">
      <c r="A1487" s="19" t="s">
        <v>1634</v>
      </c>
      <c r="B1487" s="50">
        <v>77.142600000000002</v>
      </c>
      <c r="C1487" s="50">
        <v>2602.42</v>
      </c>
      <c r="D1487" s="51">
        <v>8014594.1688537002</v>
      </c>
      <c r="E1487" s="51">
        <v>749877778</v>
      </c>
      <c r="F1487" s="52">
        <f t="shared" si="50"/>
        <v>1.8385470670534397E-3</v>
      </c>
      <c r="G1487" s="52">
        <f t="shared" si="51"/>
        <v>2.0540443802283723E-3</v>
      </c>
    </row>
    <row r="1488" spans="1:7" ht="15" customHeight="1" x14ac:dyDescent="0.2">
      <c r="A1488" s="19" t="s">
        <v>1635</v>
      </c>
      <c r="B1488" s="50">
        <v>77.706199999999995</v>
      </c>
      <c r="C1488" s="50">
        <v>2601.42</v>
      </c>
      <c r="D1488" s="51">
        <v>19127594.523959</v>
      </c>
      <c r="E1488" s="51">
        <v>1670477778</v>
      </c>
      <c r="F1488" s="52">
        <f t="shared" si="50"/>
        <v>7.2793911058997409E-3</v>
      </c>
      <c r="G1488" s="52">
        <f t="shared" si="51"/>
        <v>-3.8433157526338035E-4</v>
      </c>
    </row>
    <row r="1489" spans="1:7" ht="15" customHeight="1" x14ac:dyDescent="0.2">
      <c r="A1489" s="19" t="s">
        <v>1636</v>
      </c>
      <c r="B1489" s="50">
        <v>78.641999999999996</v>
      </c>
      <c r="C1489" s="50">
        <v>2627.04</v>
      </c>
      <c r="D1489" s="51">
        <v>23662915.022027999</v>
      </c>
      <c r="E1489" s="51">
        <v>1938011111</v>
      </c>
      <c r="F1489" s="52">
        <f t="shared" si="50"/>
        <v>1.1970859595445959E-2</v>
      </c>
      <c r="G1489" s="52">
        <f t="shared" si="51"/>
        <v>9.8002872957213879E-3</v>
      </c>
    </row>
    <row r="1490" spans="1:7" ht="15" customHeight="1" x14ac:dyDescent="0.2">
      <c r="A1490" s="19" t="s">
        <v>1637</v>
      </c>
      <c r="B1490" s="50">
        <v>77.212800000000001</v>
      </c>
      <c r="C1490" s="50">
        <v>2626.07</v>
      </c>
      <c r="D1490" s="51">
        <v>29542965.253919002</v>
      </c>
      <c r="E1490" s="51">
        <v>2265711111</v>
      </c>
      <c r="F1490" s="52">
        <f t="shared" si="50"/>
        <v>-1.8340661469740963E-2</v>
      </c>
      <c r="G1490" s="52">
        <f t="shared" si="51"/>
        <v>-3.6930504444957223E-4</v>
      </c>
    </row>
    <row r="1491" spans="1:7" ht="15" customHeight="1" x14ac:dyDescent="0.2">
      <c r="A1491" s="19" t="s">
        <v>1638</v>
      </c>
      <c r="B1491" s="50">
        <v>77.985600000000005</v>
      </c>
      <c r="C1491" s="50">
        <v>2647.58</v>
      </c>
      <c r="D1491" s="51">
        <v>35643127.154050998</v>
      </c>
      <c r="E1491" s="51">
        <v>2743605556</v>
      </c>
      <c r="F1491" s="52">
        <f t="shared" si="50"/>
        <v>9.9589478657360064E-3</v>
      </c>
      <c r="G1491" s="52">
        <f t="shared" si="51"/>
        <v>8.1575831857880702E-3</v>
      </c>
    </row>
    <row r="1492" spans="1:7" ht="15" customHeight="1" x14ac:dyDescent="0.2">
      <c r="A1492" s="19" t="s">
        <v>1639</v>
      </c>
      <c r="B1492" s="50">
        <v>78.066699999999997</v>
      </c>
      <c r="C1492" s="50">
        <v>2642.22</v>
      </c>
      <c r="D1492" s="51">
        <v>31718605.247756001</v>
      </c>
      <c r="E1492" s="51">
        <v>2190177778</v>
      </c>
      <c r="F1492" s="52">
        <f t="shared" si="50"/>
        <v>1.0393952194398966E-3</v>
      </c>
      <c r="G1492" s="52">
        <f t="shared" si="51"/>
        <v>-2.0265423397495962E-3</v>
      </c>
    </row>
    <row r="1493" spans="1:7" ht="15" customHeight="1" x14ac:dyDescent="0.2">
      <c r="A1493" s="19" t="s">
        <v>1640</v>
      </c>
      <c r="B1493" s="50">
        <v>75.121700000000004</v>
      </c>
      <c r="C1493" s="50">
        <v>2639.44</v>
      </c>
      <c r="D1493" s="51">
        <v>42186145.650711</v>
      </c>
      <c r="E1493" s="51">
        <v>2235083333</v>
      </c>
      <c r="F1493" s="52">
        <f t="shared" si="50"/>
        <v>-3.8454124379022014E-2</v>
      </c>
      <c r="G1493" s="52">
        <f t="shared" si="51"/>
        <v>-1.052699437952113E-3</v>
      </c>
    </row>
    <row r="1494" spans="1:7" ht="15" customHeight="1" x14ac:dyDescent="0.2">
      <c r="A1494" s="19" t="s">
        <v>1641</v>
      </c>
      <c r="B1494" s="50">
        <v>75.593400000000003</v>
      </c>
      <c r="C1494" s="50">
        <v>2629.57</v>
      </c>
      <c r="D1494" s="51">
        <v>28221414.760946002</v>
      </c>
      <c r="E1494" s="51">
        <v>1966133333</v>
      </c>
      <c r="F1494" s="52">
        <f t="shared" si="50"/>
        <v>6.2595126853038415E-3</v>
      </c>
      <c r="G1494" s="52">
        <f t="shared" si="51"/>
        <v>-3.7464387216745616E-3</v>
      </c>
    </row>
    <row r="1495" spans="1:7" ht="15" customHeight="1" x14ac:dyDescent="0.2">
      <c r="A1495" s="19" t="s">
        <v>1642</v>
      </c>
      <c r="B1495" s="50">
        <v>76.697299999999998</v>
      </c>
      <c r="C1495" s="50">
        <v>2629.27</v>
      </c>
      <c r="D1495" s="51">
        <v>26850200.901583999</v>
      </c>
      <c r="E1495" s="51">
        <v>1793888889</v>
      </c>
      <c r="F1495" s="52">
        <f t="shared" si="50"/>
        <v>1.4497527880372554E-2</v>
      </c>
      <c r="G1495" s="52">
        <f t="shared" si="51"/>
        <v>-1.1409360251520882E-4</v>
      </c>
    </row>
    <row r="1496" spans="1:7" ht="15" customHeight="1" x14ac:dyDescent="0.2">
      <c r="A1496" s="19" t="s">
        <v>1643</v>
      </c>
      <c r="B1496" s="50">
        <v>76.427599999999998</v>
      </c>
      <c r="C1496" s="50">
        <v>2636.98</v>
      </c>
      <c r="D1496" s="51">
        <v>25009124.172944002</v>
      </c>
      <c r="E1496" s="51">
        <v>1829111111</v>
      </c>
      <c r="F1496" s="52">
        <f t="shared" si="50"/>
        <v>-3.5226181880098316E-3</v>
      </c>
      <c r="G1496" s="52">
        <f t="shared" si="51"/>
        <v>2.9280818451754833E-3</v>
      </c>
    </row>
    <row r="1497" spans="1:7" ht="15" customHeight="1" x14ac:dyDescent="0.2">
      <c r="A1497" s="19" t="s">
        <v>1644</v>
      </c>
      <c r="B1497" s="50">
        <v>77.976699999999994</v>
      </c>
      <c r="C1497" s="50">
        <v>2651.5</v>
      </c>
      <c r="D1497" s="51">
        <v>25933662.594420001</v>
      </c>
      <c r="E1497" s="51">
        <v>1725638889</v>
      </c>
      <c r="F1497" s="52">
        <f t="shared" si="50"/>
        <v>2.0066176636237065E-2</v>
      </c>
      <c r="G1497" s="52">
        <f t="shared" si="51"/>
        <v>5.491194628844653E-3</v>
      </c>
    </row>
    <row r="1498" spans="1:7" ht="15" customHeight="1" x14ac:dyDescent="0.2">
      <c r="A1498" s="19" t="s">
        <v>1645</v>
      </c>
      <c r="B1498" s="50">
        <v>78.966200000000001</v>
      </c>
      <c r="C1498" s="50">
        <v>2659.99</v>
      </c>
      <c r="D1498" s="51">
        <v>23149443.646361001</v>
      </c>
      <c r="E1498" s="51">
        <v>1717750000</v>
      </c>
      <c r="F1498" s="52">
        <f t="shared" si="50"/>
        <v>1.2609848696861914E-2</v>
      </c>
      <c r="G1498" s="52">
        <f t="shared" si="51"/>
        <v>3.1968457929972233E-3</v>
      </c>
    </row>
    <row r="1499" spans="1:7" ht="15" customHeight="1" x14ac:dyDescent="0.2">
      <c r="A1499" s="19" t="s">
        <v>1646</v>
      </c>
      <c r="B1499" s="50">
        <v>79.289500000000004</v>
      </c>
      <c r="C1499" s="50">
        <v>2664.11</v>
      </c>
      <c r="D1499" s="51">
        <v>25818685.7788</v>
      </c>
      <c r="E1499" s="51">
        <v>1975377778</v>
      </c>
      <c r="F1499" s="52">
        <f t="shared" si="50"/>
        <v>4.0857984863395744E-3</v>
      </c>
      <c r="G1499" s="52">
        <f t="shared" si="51"/>
        <v>1.5476797289272538E-3</v>
      </c>
    </row>
    <row r="1500" spans="1:7" ht="15" customHeight="1" x14ac:dyDescent="0.2">
      <c r="A1500" s="19" t="s">
        <v>1647</v>
      </c>
      <c r="B1500" s="50">
        <v>79.079499999999996</v>
      </c>
      <c r="C1500" s="50">
        <v>2662.85</v>
      </c>
      <c r="D1500" s="51">
        <v>23430867.682859998</v>
      </c>
      <c r="E1500" s="51">
        <v>1967983333</v>
      </c>
      <c r="F1500" s="52">
        <f t="shared" si="50"/>
        <v>-2.6520357277324317E-3</v>
      </c>
      <c r="G1500" s="52">
        <f t="shared" si="51"/>
        <v>-4.7306532187143082E-4</v>
      </c>
    </row>
    <row r="1501" spans="1:7" ht="15" customHeight="1" x14ac:dyDescent="0.2">
      <c r="A1501" s="19" t="s">
        <v>1648</v>
      </c>
      <c r="B1501" s="50">
        <v>78.465000000000003</v>
      </c>
      <c r="C1501" s="50">
        <v>2652.01</v>
      </c>
      <c r="D1501" s="51">
        <v>20833812.914097998</v>
      </c>
      <c r="E1501" s="51">
        <v>1905572222</v>
      </c>
      <c r="F1501" s="52">
        <f t="shared" si="50"/>
        <v>-7.8010100805650613E-3</v>
      </c>
      <c r="G1501" s="52">
        <f t="shared" si="51"/>
        <v>-4.0791347395288243E-3</v>
      </c>
    </row>
    <row r="1502" spans="1:7" ht="15" customHeight="1" x14ac:dyDescent="0.2">
      <c r="A1502" s="19" t="s">
        <v>1649</v>
      </c>
      <c r="B1502" s="50">
        <v>80.468500000000006</v>
      </c>
      <c r="C1502" s="50">
        <v>2675.81</v>
      </c>
      <c r="D1502" s="51">
        <v>58201911.733671002</v>
      </c>
      <c r="E1502" s="51">
        <v>3179955556</v>
      </c>
      <c r="F1502" s="52">
        <f t="shared" si="50"/>
        <v>2.5213138006483365E-2</v>
      </c>
      <c r="G1502" s="52">
        <f t="shared" si="51"/>
        <v>8.9342951949163939E-3</v>
      </c>
    </row>
    <row r="1503" spans="1:7" ht="15" customHeight="1" x14ac:dyDescent="0.2">
      <c r="A1503" s="19" t="s">
        <v>1650</v>
      </c>
      <c r="B1503" s="50">
        <v>80.031800000000004</v>
      </c>
      <c r="C1503" s="50">
        <v>2690.16</v>
      </c>
      <c r="D1503" s="51">
        <v>24046535.553321</v>
      </c>
      <c r="E1503" s="51">
        <v>2069255556</v>
      </c>
      <c r="F1503" s="52">
        <f t="shared" si="50"/>
        <v>-5.4417478054811846E-3</v>
      </c>
      <c r="G1503" s="52">
        <f t="shared" si="51"/>
        <v>5.3485331483242001E-3</v>
      </c>
    </row>
    <row r="1504" spans="1:7" ht="15" customHeight="1" x14ac:dyDescent="0.2">
      <c r="A1504" s="19" t="s">
        <v>1651</v>
      </c>
      <c r="B1504" s="50">
        <v>79.524799999999999</v>
      </c>
      <c r="C1504" s="50">
        <v>2681.47</v>
      </c>
      <c r="D1504" s="51">
        <v>25191937.125491001</v>
      </c>
      <c r="E1504" s="51">
        <v>1871438889</v>
      </c>
      <c r="F1504" s="52">
        <f t="shared" si="50"/>
        <v>-6.3551329920521231E-3</v>
      </c>
      <c r="G1504" s="52">
        <f t="shared" si="51"/>
        <v>-3.2355197885935352E-3</v>
      </c>
    </row>
    <row r="1505" spans="1:7" ht="15" customHeight="1" x14ac:dyDescent="0.2">
      <c r="A1505" s="19" t="s">
        <v>1652</v>
      </c>
      <c r="B1505" s="50">
        <v>79.234800000000007</v>
      </c>
      <c r="C1505" s="50">
        <v>2679.25</v>
      </c>
      <c r="D1505" s="51">
        <v>25459648.142914001</v>
      </c>
      <c r="E1505" s="51">
        <v>1800572222</v>
      </c>
      <c r="F1505" s="52">
        <f t="shared" si="50"/>
        <v>-3.6533264451087096E-3</v>
      </c>
      <c r="G1505" s="52">
        <f t="shared" si="51"/>
        <v>-8.2824699924951802E-4</v>
      </c>
    </row>
    <row r="1506" spans="1:7" ht="15" customHeight="1" x14ac:dyDescent="0.2">
      <c r="A1506" s="19" t="s">
        <v>1653</v>
      </c>
      <c r="B1506" s="50">
        <v>79.215100000000007</v>
      </c>
      <c r="C1506" s="50">
        <v>2684.57</v>
      </c>
      <c r="D1506" s="51">
        <v>19364984.145755999</v>
      </c>
      <c r="E1506" s="51">
        <v>1818550000</v>
      </c>
      <c r="F1506" s="52">
        <f t="shared" si="50"/>
        <v>-2.4865904114175844E-4</v>
      </c>
      <c r="G1506" s="52">
        <f t="shared" si="51"/>
        <v>1.983661548850703E-3</v>
      </c>
    </row>
    <row r="1507" spans="1:7" ht="15" customHeight="1" x14ac:dyDescent="0.2">
      <c r="A1507" s="19" t="s">
        <v>1654</v>
      </c>
      <c r="B1507" s="50">
        <v>79.225099999999998</v>
      </c>
      <c r="C1507" s="50">
        <v>2683.34</v>
      </c>
      <c r="D1507" s="51">
        <v>15193106.772678999</v>
      </c>
      <c r="E1507" s="51">
        <v>1333238889</v>
      </c>
      <c r="F1507" s="52">
        <f t="shared" si="50"/>
        <v>1.2623059063624728E-4</v>
      </c>
      <c r="G1507" s="52">
        <f t="shared" si="51"/>
        <v>-4.5827892849429578E-4</v>
      </c>
    </row>
    <row r="1508" spans="1:7" ht="15" customHeight="1" x14ac:dyDescent="0.2">
      <c r="A1508" s="19" t="s">
        <v>1655</v>
      </c>
      <c r="B1508" s="50">
        <v>79.125500000000002</v>
      </c>
      <c r="C1508" s="50">
        <v>2680.5</v>
      </c>
      <c r="D1508" s="51">
        <v>10671993.797808001</v>
      </c>
      <c r="E1508" s="51">
        <v>1093766667</v>
      </c>
      <c r="F1508" s="52">
        <f t="shared" si="50"/>
        <v>-1.2579682443213073E-3</v>
      </c>
      <c r="G1508" s="52">
        <f t="shared" si="51"/>
        <v>-1.0589429458703716E-3</v>
      </c>
    </row>
    <row r="1509" spans="1:7" ht="15" customHeight="1" x14ac:dyDescent="0.2">
      <c r="A1509" s="19" t="s">
        <v>1656</v>
      </c>
      <c r="B1509" s="50">
        <v>79.411500000000004</v>
      </c>
      <c r="C1509" s="50">
        <v>2682.62</v>
      </c>
      <c r="D1509" s="51">
        <v>15825484.377674</v>
      </c>
      <c r="E1509" s="51">
        <v>1223377778</v>
      </c>
      <c r="F1509" s="52">
        <f t="shared" si="50"/>
        <v>3.6079944776716559E-3</v>
      </c>
      <c r="G1509" s="52">
        <f t="shared" si="51"/>
        <v>7.9058462627016842E-4</v>
      </c>
    </row>
    <row r="1510" spans="1:7" ht="15" customHeight="1" x14ac:dyDescent="0.2">
      <c r="A1510" s="19" t="s">
        <v>1657</v>
      </c>
      <c r="B1510" s="50">
        <v>79.421400000000006</v>
      </c>
      <c r="C1510" s="50">
        <v>2687.54</v>
      </c>
      <c r="D1510" s="51">
        <v>11429124.657065</v>
      </c>
      <c r="E1510" s="51">
        <v>1196294444</v>
      </c>
      <c r="F1510" s="52">
        <f t="shared" si="50"/>
        <v>1.2465931192879326E-4</v>
      </c>
      <c r="G1510" s="52">
        <f t="shared" si="51"/>
        <v>1.8323481522244368E-3</v>
      </c>
    </row>
    <row r="1511" spans="1:7" ht="15" customHeight="1" x14ac:dyDescent="0.2">
      <c r="A1511" s="19" t="s">
        <v>1658</v>
      </c>
      <c r="B1511" s="50">
        <v>79.253299999999996</v>
      </c>
      <c r="C1511" s="50">
        <v>2673.61</v>
      </c>
      <c r="D1511" s="51">
        <v>20019366.672285002</v>
      </c>
      <c r="E1511" s="51">
        <v>1357494444</v>
      </c>
      <c r="F1511" s="52">
        <f t="shared" si="50"/>
        <v>-2.1188010802966071E-3</v>
      </c>
      <c r="G1511" s="52">
        <f t="shared" si="51"/>
        <v>-5.1966579366681887E-3</v>
      </c>
    </row>
    <row r="1512" spans="1:7" ht="15" customHeight="1" x14ac:dyDescent="0.2">
      <c r="A1512" s="19" t="s">
        <v>1659</v>
      </c>
      <c r="B1512" s="50">
        <v>79.633399999999995</v>
      </c>
      <c r="C1512" s="50">
        <v>2695.81</v>
      </c>
      <c r="D1512" s="51">
        <v>24258566.225623999</v>
      </c>
      <c r="E1512" s="51">
        <v>1870694444</v>
      </c>
      <c r="F1512" s="52">
        <f t="shared" si="50"/>
        <v>4.7845505646655836E-3</v>
      </c>
      <c r="G1512" s="52">
        <f t="shared" si="51"/>
        <v>8.2690966618669728E-3</v>
      </c>
    </row>
    <row r="1513" spans="1:7" ht="15" customHeight="1" x14ac:dyDescent="0.2">
      <c r="A1513" s="19" t="s">
        <v>1660</v>
      </c>
      <c r="B1513" s="50">
        <v>80.003399999999999</v>
      </c>
      <c r="C1513" s="50">
        <v>2713.06</v>
      </c>
      <c r="D1513" s="51">
        <v>28041768.477653999</v>
      </c>
      <c r="E1513" s="51">
        <v>1965922222</v>
      </c>
      <c r="F1513" s="52">
        <f t="shared" si="50"/>
        <v>4.6355309371143606E-3</v>
      </c>
      <c r="G1513" s="52">
        <f t="shared" si="51"/>
        <v>6.3784333821309434E-3</v>
      </c>
    </row>
    <row r="1514" spans="1:7" ht="15" customHeight="1" x14ac:dyDescent="0.2">
      <c r="A1514" s="19" t="s">
        <v>1661</v>
      </c>
      <c r="B1514" s="50">
        <v>80.708699999999993</v>
      </c>
      <c r="C1514" s="50">
        <v>2723.99</v>
      </c>
      <c r="D1514" s="51">
        <v>23643525.955633</v>
      </c>
      <c r="E1514" s="51">
        <v>2052922222</v>
      </c>
      <c r="F1514" s="52">
        <f t="shared" si="50"/>
        <v>8.7772423858470169E-3</v>
      </c>
      <c r="G1514" s="52">
        <f t="shared" si="51"/>
        <v>4.0205680372948248E-3</v>
      </c>
    </row>
    <row r="1515" spans="1:7" ht="15" customHeight="1" x14ac:dyDescent="0.2">
      <c r="A1515" s="19" t="s">
        <v>1662</v>
      </c>
      <c r="B1515" s="50">
        <v>81.7089</v>
      </c>
      <c r="C1515" s="50">
        <v>2743.15</v>
      </c>
      <c r="D1515" s="51">
        <v>25259234.73412</v>
      </c>
      <c r="E1515" s="51">
        <v>1798122222</v>
      </c>
      <c r="F1515" s="52">
        <f t="shared" si="50"/>
        <v>1.2316554904846858E-2</v>
      </c>
      <c r="G1515" s="52">
        <f t="shared" si="51"/>
        <v>7.0091779035817607E-3</v>
      </c>
    </row>
    <row r="1516" spans="1:7" ht="15" customHeight="1" x14ac:dyDescent="0.2">
      <c r="A1516" s="19" t="s">
        <v>1663</v>
      </c>
      <c r="B1516" s="50">
        <v>81.791799999999995</v>
      </c>
      <c r="C1516" s="50">
        <v>2747.71</v>
      </c>
      <c r="D1516" s="51">
        <v>23864696.251747001</v>
      </c>
      <c r="E1516" s="51">
        <v>1801472222</v>
      </c>
      <c r="F1516" s="52">
        <f t="shared" si="50"/>
        <v>1.0140630236323846E-3</v>
      </c>
      <c r="G1516" s="52">
        <f t="shared" si="51"/>
        <v>1.6609423836402202E-3</v>
      </c>
    </row>
    <row r="1517" spans="1:7" ht="15" customHeight="1" x14ac:dyDescent="0.2">
      <c r="A1517" s="19" t="s">
        <v>1664</v>
      </c>
      <c r="B1517" s="50">
        <v>81.737200000000001</v>
      </c>
      <c r="C1517" s="50">
        <v>2751.29</v>
      </c>
      <c r="D1517" s="51">
        <v>21010317.099768002</v>
      </c>
      <c r="E1517" s="51">
        <v>1918600000</v>
      </c>
      <c r="F1517" s="52">
        <f t="shared" si="50"/>
        <v>-6.6777149042589158E-4</v>
      </c>
      <c r="G1517" s="52">
        <f t="shared" si="51"/>
        <v>1.3020551030292105E-3</v>
      </c>
    </row>
    <row r="1518" spans="1:7" ht="15" customHeight="1" x14ac:dyDescent="0.2">
      <c r="A1518" s="19" t="s">
        <v>1665</v>
      </c>
      <c r="B1518" s="50">
        <v>81.367000000000004</v>
      </c>
      <c r="C1518" s="50">
        <v>2748.23</v>
      </c>
      <c r="D1518" s="51">
        <v>20118227.567843001</v>
      </c>
      <c r="E1518" s="51">
        <v>1986861111</v>
      </c>
      <c r="F1518" s="52">
        <f t="shared" si="50"/>
        <v>-4.5394371905812291E-3</v>
      </c>
      <c r="G1518" s="52">
        <f t="shared" si="51"/>
        <v>-1.112824506788398E-3</v>
      </c>
    </row>
    <row r="1519" spans="1:7" ht="15" customHeight="1" x14ac:dyDescent="0.2">
      <c r="A1519" s="19" t="s">
        <v>1666</v>
      </c>
      <c r="B1519" s="50">
        <v>81.607200000000006</v>
      </c>
      <c r="C1519" s="50">
        <v>2767.56</v>
      </c>
      <c r="D1519" s="51">
        <v>19196430.931129001</v>
      </c>
      <c r="E1519" s="51">
        <v>2022955556</v>
      </c>
      <c r="F1519" s="52">
        <f t="shared" si="50"/>
        <v>2.9477079675732268E-3</v>
      </c>
      <c r="G1519" s="52">
        <f t="shared" si="51"/>
        <v>7.0089974904075066E-3</v>
      </c>
    </row>
    <row r="1520" spans="1:7" ht="15" customHeight="1" x14ac:dyDescent="0.2">
      <c r="A1520" s="19" t="s">
        <v>1667</v>
      </c>
      <c r="B1520" s="50">
        <v>83.017700000000005</v>
      </c>
      <c r="C1520" s="50">
        <v>2786.24</v>
      </c>
      <c r="D1520" s="51">
        <v>26186953.134486001</v>
      </c>
      <c r="E1520" s="51">
        <v>1985538889</v>
      </c>
      <c r="F1520" s="52">
        <f t="shared" si="50"/>
        <v>1.7136344701780267E-2</v>
      </c>
      <c r="G1520" s="52">
        <f t="shared" si="51"/>
        <v>6.726951075669084E-3</v>
      </c>
    </row>
    <row r="1521" spans="1:7" ht="15" customHeight="1" x14ac:dyDescent="0.2">
      <c r="A1521" s="19" t="s">
        <v>1668</v>
      </c>
      <c r="B1521" s="50">
        <v>81.856399999999994</v>
      </c>
      <c r="C1521" s="50">
        <v>2776.42</v>
      </c>
      <c r="D1521" s="51">
        <v>39487177.984759003</v>
      </c>
      <c r="E1521" s="51">
        <v>2403316667</v>
      </c>
      <c r="F1521" s="52">
        <f t="shared" si="50"/>
        <v>-1.4087345498837124E-2</v>
      </c>
      <c r="G1521" s="52">
        <f t="shared" si="51"/>
        <v>-3.5306886277954239E-3</v>
      </c>
    </row>
    <row r="1522" spans="1:7" ht="15" customHeight="1" x14ac:dyDescent="0.2">
      <c r="A1522" s="19" t="s">
        <v>1669</v>
      </c>
      <c r="B1522" s="50">
        <v>83.515799999999999</v>
      </c>
      <c r="C1522" s="50">
        <v>2802.56</v>
      </c>
      <c r="D1522" s="51">
        <v>27649472.112133</v>
      </c>
      <c r="E1522" s="51">
        <v>2098916667</v>
      </c>
      <c r="F1522" s="52">
        <f t="shared" si="50"/>
        <v>2.0069342938937619E-2</v>
      </c>
      <c r="G1522" s="52">
        <f t="shared" si="51"/>
        <v>9.3709571605236092E-3</v>
      </c>
    </row>
    <row r="1523" spans="1:7" ht="15" customHeight="1" x14ac:dyDescent="0.2">
      <c r="A1523" s="19" t="s">
        <v>1670</v>
      </c>
      <c r="B1523" s="50">
        <v>83.478800000000007</v>
      </c>
      <c r="C1523" s="50">
        <v>2798.03</v>
      </c>
      <c r="D1523" s="51">
        <v>26063301.508455999</v>
      </c>
      <c r="E1523" s="51">
        <v>2045261111</v>
      </c>
      <c r="F1523" s="52">
        <f t="shared" si="50"/>
        <v>-4.4312810839923549E-4</v>
      </c>
      <c r="G1523" s="52">
        <f t="shared" si="51"/>
        <v>-1.6176870607860264E-3</v>
      </c>
    </row>
    <row r="1524" spans="1:7" ht="15" customHeight="1" x14ac:dyDescent="0.2">
      <c r="A1524" s="19" t="s">
        <v>1671</v>
      </c>
      <c r="B1524" s="50">
        <v>83.385800000000003</v>
      </c>
      <c r="C1524" s="50">
        <v>2810.3</v>
      </c>
      <c r="D1524" s="51">
        <v>38439014.556524001</v>
      </c>
      <c r="E1524" s="51">
        <v>2021905556</v>
      </c>
      <c r="F1524" s="52">
        <f t="shared" si="50"/>
        <v>-1.1146763259481018E-3</v>
      </c>
      <c r="G1524" s="52">
        <f t="shared" si="51"/>
        <v>4.3756410828246122E-3</v>
      </c>
    </row>
    <row r="1525" spans="1:7" ht="15" customHeight="1" x14ac:dyDescent="0.2">
      <c r="A1525" s="19" t="s">
        <v>1672</v>
      </c>
      <c r="B1525" s="50">
        <v>84.875500000000002</v>
      </c>
      <c r="C1525" s="50">
        <v>2832.97</v>
      </c>
      <c r="D1525" s="51">
        <v>25378203.416349001</v>
      </c>
      <c r="E1525" s="51">
        <v>1928766667</v>
      </c>
      <c r="F1525" s="52">
        <f t="shared" si="50"/>
        <v>1.7707445798500771E-2</v>
      </c>
      <c r="G1525" s="52">
        <f t="shared" si="51"/>
        <v>8.0343920983147674E-3</v>
      </c>
    </row>
    <row r="1526" spans="1:7" ht="15" customHeight="1" x14ac:dyDescent="0.2">
      <c r="A1526" s="19" t="s">
        <v>1673</v>
      </c>
      <c r="B1526" s="50">
        <v>85.147000000000006</v>
      </c>
      <c r="C1526" s="50">
        <v>2839.13</v>
      </c>
      <c r="D1526" s="51">
        <v>25068148.307842001</v>
      </c>
      <c r="E1526" s="51">
        <v>1955361111</v>
      </c>
      <c r="F1526" s="52">
        <f t="shared" si="50"/>
        <v>3.1936976667004719E-3</v>
      </c>
      <c r="G1526" s="52">
        <f t="shared" si="51"/>
        <v>2.1720359026722361E-3</v>
      </c>
    </row>
    <row r="1527" spans="1:7" ht="15" customHeight="1" x14ac:dyDescent="0.2">
      <c r="A1527" s="19" t="s">
        <v>1674</v>
      </c>
      <c r="B1527" s="50">
        <v>85.074799999999996</v>
      </c>
      <c r="C1527" s="50">
        <v>2837.54</v>
      </c>
      <c r="D1527" s="51">
        <v>35332999.354460999</v>
      </c>
      <c r="E1527" s="51">
        <v>2230038889</v>
      </c>
      <c r="F1527" s="52">
        <f t="shared" si="50"/>
        <v>-8.4830502708504996E-4</v>
      </c>
      <c r="G1527" s="52">
        <f t="shared" si="51"/>
        <v>-5.6018758940720487E-4</v>
      </c>
    </row>
    <row r="1528" spans="1:7" ht="15" customHeight="1" x14ac:dyDescent="0.2">
      <c r="A1528" s="19" t="s">
        <v>1675</v>
      </c>
      <c r="B1528" s="50">
        <v>85.544600000000003</v>
      </c>
      <c r="C1528" s="50">
        <v>2839.25</v>
      </c>
      <c r="D1528" s="51">
        <v>28171597.821849</v>
      </c>
      <c r="E1528" s="51">
        <v>2130638889</v>
      </c>
      <c r="F1528" s="52">
        <f t="shared" si="50"/>
        <v>5.5070078467837321E-3</v>
      </c>
      <c r="G1528" s="52">
        <f t="shared" si="51"/>
        <v>6.024531651585847E-4</v>
      </c>
    </row>
    <row r="1529" spans="1:7" ht="15" customHeight="1" x14ac:dyDescent="0.2">
      <c r="A1529" s="19" t="s">
        <v>1676</v>
      </c>
      <c r="B1529" s="50">
        <v>87.149299999999997</v>
      </c>
      <c r="C1529" s="50">
        <v>2872.87</v>
      </c>
      <c r="D1529" s="51">
        <v>31263660.43141</v>
      </c>
      <c r="E1529" s="51">
        <v>1912905556</v>
      </c>
      <c r="F1529" s="52">
        <f t="shared" si="50"/>
        <v>1.8584862441150461E-2</v>
      </c>
      <c r="G1529" s="52">
        <f t="shared" si="51"/>
        <v>1.1771597314994501E-2</v>
      </c>
    </row>
    <row r="1530" spans="1:7" ht="15" customHeight="1" x14ac:dyDescent="0.2">
      <c r="A1530" s="19" t="s">
        <v>1677</v>
      </c>
      <c r="B1530" s="50">
        <v>87.017300000000006</v>
      </c>
      <c r="C1530" s="50">
        <v>2853.53</v>
      </c>
      <c r="D1530" s="51">
        <v>34022867.504294001</v>
      </c>
      <c r="E1530" s="51">
        <v>1985461111</v>
      </c>
      <c r="F1530" s="52">
        <f t="shared" si="50"/>
        <v>-1.515790344116613E-3</v>
      </c>
      <c r="G1530" s="52">
        <f t="shared" si="51"/>
        <v>-6.7547057606620409E-3</v>
      </c>
    </row>
    <row r="1531" spans="1:7" ht="15" customHeight="1" x14ac:dyDescent="0.2">
      <c r="A1531" s="19" t="s">
        <v>1678</v>
      </c>
      <c r="B1531" s="50">
        <v>85.924400000000006</v>
      </c>
      <c r="C1531" s="50">
        <v>2822.43</v>
      </c>
      <c r="D1531" s="51">
        <v>40373391.824845001</v>
      </c>
      <c r="E1531" s="51">
        <v>2217027778</v>
      </c>
      <c r="F1531" s="52">
        <f t="shared" si="50"/>
        <v>-1.2639109583490708E-2</v>
      </c>
      <c r="G1531" s="52">
        <f t="shared" si="51"/>
        <v>-1.0958608318405548E-2</v>
      </c>
    </row>
    <row r="1532" spans="1:7" ht="15" customHeight="1" x14ac:dyDescent="0.2">
      <c r="A1532" s="19" t="s">
        <v>1679</v>
      </c>
      <c r="B1532" s="50">
        <v>88.029300000000006</v>
      </c>
      <c r="C1532" s="50">
        <v>2823.81</v>
      </c>
      <c r="D1532" s="51">
        <v>51532303.253151998</v>
      </c>
      <c r="E1532" s="51">
        <v>2367377778</v>
      </c>
      <c r="F1532" s="52">
        <f t="shared" si="50"/>
        <v>2.4201873728946281E-2</v>
      </c>
      <c r="G1532" s="52">
        <f t="shared" si="51"/>
        <v>4.8882088876100647E-4</v>
      </c>
    </row>
    <row r="1533" spans="1:7" ht="15" customHeight="1" x14ac:dyDescent="0.2">
      <c r="A1533" s="19" t="s">
        <v>1680</v>
      </c>
      <c r="B1533" s="50">
        <v>87.3309</v>
      </c>
      <c r="C1533" s="50">
        <v>2821.98</v>
      </c>
      <c r="D1533" s="51">
        <v>50617091.814191997</v>
      </c>
      <c r="E1533" s="51">
        <v>2188027778</v>
      </c>
      <c r="F1533" s="52">
        <f t="shared" si="50"/>
        <v>-7.9653614971989979E-3</v>
      </c>
      <c r="G1533" s="52">
        <f t="shared" si="51"/>
        <v>-6.4827068101673384E-4</v>
      </c>
    </row>
    <row r="1534" spans="1:7" ht="15" customHeight="1" x14ac:dyDescent="0.2">
      <c r="A1534" s="19" t="s">
        <v>1681</v>
      </c>
      <c r="B1534" s="50">
        <v>85.035499999999999</v>
      </c>
      <c r="C1534" s="50">
        <v>2762.13</v>
      </c>
      <c r="D1534" s="51">
        <v>51252647.350440003</v>
      </c>
      <c r="E1534" s="51">
        <v>2389516667</v>
      </c>
      <c r="F1534" s="52">
        <f t="shared" si="50"/>
        <v>-2.6635535750515207E-2</v>
      </c>
      <c r="G1534" s="52">
        <f t="shared" si="51"/>
        <v>-2.1436645011316622E-2</v>
      </c>
    </row>
    <row r="1535" spans="1:7" ht="15" customHeight="1" x14ac:dyDescent="0.2">
      <c r="A1535" s="19" t="s">
        <v>1682</v>
      </c>
      <c r="B1535" s="50">
        <v>81.533100000000005</v>
      </c>
      <c r="C1535" s="50">
        <v>2648.94</v>
      </c>
      <c r="D1535" s="51">
        <v>54623527.355722003</v>
      </c>
      <c r="E1535" s="51">
        <v>2935255556</v>
      </c>
      <c r="F1535" s="52">
        <f t="shared" si="50"/>
        <v>-4.2059743593223974E-2</v>
      </c>
      <c r="G1535" s="52">
        <f t="shared" si="51"/>
        <v>-4.1842561245182139E-2</v>
      </c>
    </row>
    <row r="1536" spans="1:7" ht="15" customHeight="1" x14ac:dyDescent="0.2">
      <c r="A1536" s="19" t="s">
        <v>1683</v>
      </c>
      <c r="B1536" s="50">
        <v>84.618499999999997</v>
      </c>
      <c r="C1536" s="50">
        <v>2695.14</v>
      </c>
      <c r="D1536" s="51">
        <v>73392158.982511997</v>
      </c>
      <c r="E1536" s="51">
        <v>3273144444</v>
      </c>
      <c r="F1536" s="52">
        <f t="shared" si="50"/>
        <v>3.714384606331194E-2</v>
      </c>
      <c r="G1536" s="52">
        <f t="shared" si="51"/>
        <v>1.7290591086863923E-2</v>
      </c>
    </row>
    <row r="1537" spans="1:7" ht="15" customHeight="1" x14ac:dyDescent="0.2">
      <c r="A1537" s="19" t="s">
        <v>1684</v>
      </c>
      <c r="B1537" s="50">
        <v>83.026600000000002</v>
      </c>
      <c r="C1537" s="50">
        <v>2681.66</v>
      </c>
      <c r="D1537" s="51">
        <v>44341523.261348002</v>
      </c>
      <c r="E1537" s="51">
        <v>2570316667</v>
      </c>
      <c r="F1537" s="52">
        <f t="shared" si="50"/>
        <v>-1.8991880448025435E-2</v>
      </c>
      <c r="G1537" s="52">
        <f t="shared" si="51"/>
        <v>-5.0141453066676256E-3</v>
      </c>
    </row>
    <row r="1538" spans="1:7" ht="15" customHeight="1" x14ac:dyDescent="0.2">
      <c r="A1538" s="19" t="s">
        <v>1685</v>
      </c>
      <c r="B1538" s="50">
        <v>78.764899999999997</v>
      </c>
      <c r="C1538" s="50">
        <v>2581</v>
      </c>
      <c r="D1538" s="51">
        <v>59639462.860321999</v>
      </c>
      <c r="E1538" s="51">
        <v>2947466667</v>
      </c>
      <c r="F1538" s="52">
        <f t="shared" si="50"/>
        <v>-5.2693572223260321E-2</v>
      </c>
      <c r="G1538" s="52">
        <f t="shared" si="51"/>
        <v>-3.8259085020510716E-2</v>
      </c>
    </row>
    <row r="1539" spans="1:7" ht="15" customHeight="1" x14ac:dyDescent="0.2">
      <c r="A1539" s="19" t="s">
        <v>1686</v>
      </c>
      <c r="B1539" s="50">
        <v>81.7</v>
      </c>
      <c r="C1539" s="50">
        <v>2619.5500000000002</v>
      </c>
      <c r="D1539" s="51">
        <v>68507199.498333007</v>
      </c>
      <c r="E1539" s="51">
        <v>3155594444</v>
      </c>
      <c r="F1539" s="52">
        <f t="shared" si="50"/>
        <v>3.6586535708272284E-2</v>
      </c>
      <c r="G1539" s="52">
        <f t="shared" si="51"/>
        <v>1.4825626559634099E-2</v>
      </c>
    </row>
    <row r="1540" spans="1:7" ht="15" customHeight="1" x14ac:dyDescent="0.2">
      <c r="A1540" s="19" t="s">
        <v>1687</v>
      </c>
      <c r="B1540" s="50">
        <v>82.596800000000002</v>
      </c>
      <c r="C1540" s="50">
        <v>2656</v>
      </c>
      <c r="D1540" s="51">
        <v>38543912.907173999</v>
      </c>
      <c r="E1540" s="51">
        <v>2253216667</v>
      </c>
      <c r="F1540" s="52">
        <f t="shared" si="50"/>
        <v>1.091693699042943E-2</v>
      </c>
      <c r="G1540" s="52">
        <f t="shared" si="51"/>
        <v>1.3818684318076369E-2</v>
      </c>
    </row>
    <row r="1541" spans="1:7" ht="15" customHeight="1" x14ac:dyDescent="0.2">
      <c r="A1541" s="19" t="s">
        <v>1688</v>
      </c>
      <c r="B1541" s="50">
        <v>83.228499999999997</v>
      </c>
      <c r="C1541" s="50">
        <v>2662.94</v>
      </c>
      <c r="D1541" s="51">
        <v>28408037.340489</v>
      </c>
      <c r="E1541" s="51">
        <v>1929372222</v>
      </c>
      <c r="F1541" s="52">
        <f t="shared" si="50"/>
        <v>7.6188983915013208E-3</v>
      </c>
      <c r="G1541" s="52">
        <f t="shared" si="51"/>
        <v>2.6095439836837349E-3</v>
      </c>
    </row>
    <row r="1542" spans="1:7" ht="15" customHeight="1" x14ac:dyDescent="0.2">
      <c r="A1542" s="19" t="s">
        <v>1689</v>
      </c>
      <c r="B1542" s="50">
        <v>84.531499999999994</v>
      </c>
      <c r="C1542" s="50">
        <v>2698.63</v>
      </c>
      <c r="D1542" s="51">
        <v>37547874.103937998</v>
      </c>
      <c r="E1542" s="51">
        <v>2224300000</v>
      </c>
      <c r="F1542" s="52">
        <f t="shared" ref="F1542:F1605" si="52">LN(B1542/B1541)</f>
        <v>1.5534408714730637E-2</v>
      </c>
      <c r="G1542" s="52">
        <f t="shared" ref="G1542:G1605" si="53">LN(C1542/C1541)</f>
        <v>1.3313461230303598E-2</v>
      </c>
    </row>
    <row r="1543" spans="1:7" ht="15" customHeight="1" x14ac:dyDescent="0.2">
      <c r="A1543" s="19" t="s">
        <v>1690</v>
      </c>
      <c r="B1543" s="50">
        <v>86.252499999999998</v>
      </c>
      <c r="C1543" s="50">
        <v>2731.2</v>
      </c>
      <c r="D1543" s="51">
        <v>29567930.033461001</v>
      </c>
      <c r="E1543" s="51">
        <v>2047172222</v>
      </c>
      <c r="F1543" s="52">
        <f t="shared" si="52"/>
        <v>2.0154795036025078E-2</v>
      </c>
      <c r="G1543" s="52">
        <f t="shared" si="53"/>
        <v>1.1996836229864197E-2</v>
      </c>
    </row>
    <row r="1544" spans="1:7" ht="15" customHeight="1" x14ac:dyDescent="0.2">
      <c r="A1544" s="19" t="s">
        <v>1691</v>
      </c>
      <c r="B1544" s="50">
        <v>85.637200000000007</v>
      </c>
      <c r="C1544" s="50">
        <v>2732.22</v>
      </c>
      <c r="D1544" s="51">
        <v>32852131.554264002</v>
      </c>
      <c r="E1544" s="51">
        <v>2020811111</v>
      </c>
      <c r="F1544" s="52">
        <f t="shared" si="52"/>
        <v>-7.159272813990235E-3</v>
      </c>
      <c r="G1544" s="52">
        <f t="shared" si="53"/>
        <v>3.733924947562478E-4</v>
      </c>
    </row>
    <row r="1545" spans="1:7" ht="15" customHeight="1" x14ac:dyDescent="0.2">
      <c r="A1545" s="19" t="s">
        <v>1692</v>
      </c>
      <c r="B1545" s="50">
        <v>86.309200000000004</v>
      </c>
      <c r="C1545" s="50">
        <v>2716.26</v>
      </c>
      <c r="D1545" s="51">
        <v>33157843.626568001</v>
      </c>
      <c r="E1545" s="51">
        <v>2015338889</v>
      </c>
      <c r="F1545" s="52">
        <f t="shared" si="52"/>
        <v>7.816429089577746E-3</v>
      </c>
      <c r="G1545" s="52">
        <f t="shared" si="53"/>
        <v>-5.8585314248203952E-3</v>
      </c>
    </row>
    <row r="1546" spans="1:7" ht="15" customHeight="1" x14ac:dyDescent="0.2">
      <c r="A1546" s="19" t="s">
        <v>1693</v>
      </c>
      <c r="B1546" s="50">
        <v>85.162599999999998</v>
      </c>
      <c r="C1546" s="50">
        <v>2701.33</v>
      </c>
      <c r="D1546" s="51">
        <v>28670128.620586999</v>
      </c>
      <c r="E1546" s="51">
        <v>2099666667</v>
      </c>
      <c r="F1546" s="52">
        <f t="shared" si="52"/>
        <v>-1.3373826949389205E-2</v>
      </c>
      <c r="G1546" s="52">
        <f t="shared" si="53"/>
        <v>-5.5116898090027547E-3</v>
      </c>
    </row>
    <row r="1547" spans="1:7" ht="15" customHeight="1" x14ac:dyDescent="0.2">
      <c r="A1547" s="19" t="s">
        <v>1694</v>
      </c>
      <c r="B1547" s="50">
        <v>85.389399999999995</v>
      </c>
      <c r="C1547" s="50">
        <v>2703.96</v>
      </c>
      <c r="D1547" s="51">
        <v>25371309.025543001</v>
      </c>
      <c r="E1547" s="51">
        <v>2056261111</v>
      </c>
      <c r="F1547" s="52">
        <f t="shared" si="52"/>
        <v>2.6596009860771117E-3</v>
      </c>
      <c r="G1547" s="52">
        <f t="shared" si="53"/>
        <v>9.7312085292120475E-4</v>
      </c>
    </row>
    <row r="1548" spans="1:7" ht="15" customHeight="1" x14ac:dyDescent="0.2">
      <c r="A1548" s="19" t="s">
        <v>1695</v>
      </c>
      <c r="B1548" s="50">
        <v>87.558800000000005</v>
      </c>
      <c r="C1548" s="50">
        <v>2747.3</v>
      </c>
      <c r="D1548" s="51">
        <v>28259691.222883999</v>
      </c>
      <c r="E1548" s="51">
        <v>1771772222</v>
      </c>
      <c r="F1548" s="52">
        <f t="shared" si="52"/>
        <v>2.5088596361753718E-2</v>
      </c>
      <c r="G1548" s="52">
        <f t="shared" si="53"/>
        <v>1.590124602558474E-2</v>
      </c>
    </row>
    <row r="1549" spans="1:7" ht="15" customHeight="1" x14ac:dyDescent="0.2">
      <c r="A1549" s="19" t="s">
        <v>1696</v>
      </c>
      <c r="B1549" s="50">
        <v>88.822500000000005</v>
      </c>
      <c r="C1549" s="50">
        <v>2779.6</v>
      </c>
      <c r="D1549" s="51">
        <v>32411472.071290001</v>
      </c>
      <c r="E1549" s="51">
        <v>1902583333</v>
      </c>
      <c r="F1549" s="52">
        <f t="shared" si="52"/>
        <v>1.4329428608950139E-2</v>
      </c>
      <c r="G1549" s="52">
        <f t="shared" si="53"/>
        <v>1.1688421260557077E-2</v>
      </c>
    </row>
    <row r="1550" spans="1:7" ht="15" customHeight="1" x14ac:dyDescent="0.2">
      <c r="A1550" s="19" t="s">
        <v>1697</v>
      </c>
      <c r="B1550" s="50">
        <v>87.684399999999997</v>
      </c>
      <c r="C1550" s="50">
        <v>2744.28</v>
      </c>
      <c r="D1550" s="51">
        <v>27790490.763891</v>
      </c>
      <c r="E1550" s="51">
        <v>2080600000</v>
      </c>
      <c r="F1550" s="52">
        <f t="shared" si="52"/>
        <v>-1.2895991859264285E-2</v>
      </c>
      <c r="G1550" s="52">
        <f t="shared" si="53"/>
        <v>-1.2788286983879777E-2</v>
      </c>
    </row>
    <row r="1551" spans="1:7" ht="15" customHeight="1" x14ac:dyDescent="0.2">
      <c r="A1551" s="19" t="s">
        <v>1698</v>
      </c>
      <c r="B1551" s="50">
        <v>87.284199999999998</v>
      </c>
      <c r="C1551" s="50">
        <v>2713.83</v>
      </c>
      <c r="D1551" s="51">
        <v>33482227.068805002</v>
      </c>
      <c r="E1551" s="51">
        <v>2350366667</v>
      </c>
      <c r="F1551" s="52">
        <f t="shared" si="52"/>
        <v>-4.5745430654034122E-3</v>
      </c>
      <c r="G1551" s="52">
        <f t="shared" si="53"/>
        <v>-1.1157824195769547E-2</v>
      </c>
    </row>
    <row r="1552" spans="1:7" ht="15" customHeight="1" x14ac:dyDescent="0.2">
      <c r="A1552" s="19" t="s">
        <v>1699</v>
      </c>
      <c r="B1552" s="50">
        <v>86.4315</v>
      </c>
      <c r="C1552" s="50">
        <v>2677.67</v>
      </c>
      <c r="D1552" s="51">
        <v>39893724.873838</v>
      </c>
      <c r="E1552" s="51">
        <v>2502205556</v>
      </c>
      <c r="F1552" s="52">
        <f t="shared" si="52"/>
        <v>-9.817268657966163E-3</v>
      </c>
      <c r="G1552" s="52">
        <f t="shared" si="53"/>
        <v>-1.3413907890662753E-2</v>
      </c>
    </row>
    <row r="1553" spans="1:7" ht="15" customHeight="1" x14ac:dyDescent="0.2">
      <c r="A1553" s="19" t="s">
        <v>1700</v>
      </c>
      <c r="B1553" s="50">
        <v>86.615899999999996</v>
      </c>
      <c r="C1553" s="50">
        <v>2691.25</v>
      </c>
      <c r="D1553" s="51">
        <v>35268795.724004999</v>
      </c>
      <c r="E1553" s="51">
        <v>2156916667</v>
      </c>
      <c r="F1553" s="52">
        <f t="shared" si="52"/>
        <v>2.1312087878369366E-3</v>
      </c>
      <c r="G1553" s="52">
        <f t="shared" si="53"/>
        <v>5.0587563087125835E-3</v>
      </c>
    </row>
    <row r="1554" spans="1:7" ht="15" customHeight="1" x14ac:dyDescent="0.2">
      <c r="A1554" s="19" t="s">
        <v>1701</v>
      </c>
      <c r="B1554" s="50">
        <v>87.165800000000004</v>
      </c>
      <c r="C1554" s="50">
        <v>2720.94</v>
      </c>
      <c r="D1554" s="51">
        <v>25676816.334235001</v>
      </c>
      <c r="E1554" s="51">
        <v>2061561111</v>
      </c>
      <c r="F1554" s="52">
        <f t="shared" si="52"/>
        <v>6.3286506619903461E-3</v>
      </c>
      <c r="G1554" s="52">
        <f t="shared" si="53"/>
        <v>1.0971639144904529E-2</v>
      </c>
    </row>
    <row r="1555" spans="1:7" ht="15" customHeight="1" x14ac:dyDescent="0.2">
      <c r="A1555" s="19" t="s">
        <v>1702</v>
      </c>
      <c r="B1555" s="50">
        <v>86.867999999999995</v>
      </c>
      <c r="C1555" s="50">
        <v>2728.12</v>
      </c>
      <c r="D1555" s="51">
        <v>23822834.378966998</v>
      </c>
      <c r="E1555" s="51">
        <v>1872605556</v>
      </c>
      <c r="F1555" s="52">
        <f t="shared" si="52"/>
        <v>-3.4223270498116884E-3</v>
      </c>
      <c r="G1555" s="52">
        <f t="shared" si="53"/>
        <v>2.6353184422145334E-3</v>
      </c>
    </row>
    <row r="1556" spans="1:7" ht="15" customHeight="1" x14ac:dyDescent="0.2">
      <c r="A1556" s="19" t="s">
        <v>1703</v>
      </c>
      <c r="B1556" s="50">
        <v>87.370900000000006</v>
      </c>
      <c r="C1556" s="50">
        <v>2726.8</v>
      </c>
      <c r="D1556" s="51">
        <v>28700410.087306999</v>
      </c>
      <c r="E1556" s="51">
        <v>1885150000</v>
      </c>
      <c r="F1556" s="52">
        <f t="shared" si="52"/>
        <v>5.7725501765998975E-3</v>
      </c>
      <c r="G1556" s="52">
        <f t="shared" si="53"/>
        <v>-4.8396677706154348E-4</v>
      </c>
    </row>
    <row r="1557" spans="1:7" ht="15" customHeight="1" x14ac:dyDescent="0.2">
      <c r="A1557" s="19" t="s">
        <v>1704</v>
      </c>
      <c r="B1557" s="50">
        <v>87.901300000000006</v>
      </c>
      <c r="C1557" s="50">
        <v>2738.97</v>
      </c>
      <c r="D1557" s="51">
        <v>27810589.336201001</v>
      </c>
      <c r="E1557" s="51">
        <v>1784622222</v>
      </c>
      <c r="F1557" s="52">
        <f t="shared" si="52"/>
        <v>6.0523188397236709E-3</v>
      </c>
      <c r="G1557" s="52">
        <f t="shared" si="53"/>
        <v>4.453176811945213E-3</v>
      </c>
    </row>
    <row r="1558" spans="1:7" ht="15" customHeight="1" x14ac:dyDescent="0.2">
      <c r="A1558" s="19" t="s">
        <v>1705</v>
      </c>
      <c r="B1558" s="50">
        <v>89.865600000000001</v>
      </c>
      <c r="C1558" s="50">
        <v>2786.57</v>
      </c>
      <c r="D1558" s="51">
        <v>39680692.907472</v>
      </c>
      <c r="E1558" s="51">
        <v>1868944444</v>
      </c>
      <c r="F1558" s="52">
        <f t="shared" si="52"/>
        <v>2.2100626748069938E-2</v>
      </c>
      <c r="G1558" s="52">
        <f t="shared" si="53"/>
        <v>1.7229511513169881E-2</v>
      </c>
    </row>
    <row r="1559" spans="1:7" ht="15" customHeight="1" x14ac:dyDescent="0.2">
      <c r="A1559" s="19" t="s">
        <v>1706</v>
      </c>
      <c r="B1559" s="50">
        <v>90.079499999999996</v>
      </c>
      <c r="C1559" s="50">
        <v>2783.02</v>
      </c>
      <c r="D1559" s="51">
        <v>28010314.739255998</v>
      </c>
      <c r="E1559" s="51">
        <v>1769455556</v>
      </c>
      <c r="F1559" s="52">
        <f t="shared" si="52"/>
        <v>2.3773928909076275E-3</v>
      </c>
      <c r="G1559" s="52">
        <f t="shared" si="53"/>
        <v>-1.2747798242772499E-3</v>
      </c>
    </row>
    <row r="1560" spans="1:7" ht="15" customHeight="1" x14ac:dyDescent="0.2">
      <c r="A1560" s="19" t="s">
        <v>1707</v>
      </c>
      <c r="B1560" s="50">
        <v>87.883899999999997</v>
      </c>
      <c r="C1560" s="50">
        <v>2765.31</v>
      </c>
      <c r="D1560" s="51">
        <v>38016171.555404998</v>
      </c>
      <c r="E1560" s="51">
        <v>1834250000</v>
      </c>
      <c r="F1560" s="52">
        <f t="shared" si="52"/>
        <v>-2.467598852437683E-2</v>
      </c>
      <c r="G1560" s="52">
        <f t="shared" si="53"/>
        <v>-6.3839245851629312E-3</v>
      </c>
    </row>
    <row r="1561" spans="1:7" ht="15" customHeight="1" x14ac:dyDescent="0.2">
      <c r="A1561" s="19" t="s">
        <v>1708</v>
      </c>
      <c r="B1561" s="50">
        <v>87.3613</v>
      </c>
      <c r="C1561" s="50">
        <v>2749.48</v>
      </c>
      <c r="D1561" s="51">
        <v>34518515.231379002</v>
      </c>
      <c r="E1561" s="51">
        <v>1884088889</v>
      </c>
      <c r="F1561" s="52">
        <f t="shared" si="52"/>
        <v>-5.9642323916734392E-3</v>
      </c>
      <c r="G1561" s="52">
        <f t="shared" si="53"/>
        <v>-5.7409415327189526E-3</v>
      </c>
    </row>
    <row r="1562" spans="1:7" ht="15" customHeight="1" x14ac:dyDescent="0.2">
      <c r="A1562" s="19" t="s">
        <v>1709</v>
      </c>
      <c r="B1562" s="50">
        <v>87.667900000000003</v>
      </c>
      <c r="C1562" s="50">
        <v>2747.33</v>
      </c>
      <c r="D1562" s="51">
        <v>29661744.529809002</v>
      </c>
      <c r="E1562" s="51">
        <v>1944627778</v>
      </c>
      <c r="F1562" s="52">
        <f t="shared" si="52"/>
        <v>3.5034190135043975E-3</v>
      </c>
      <c r="G1562" s="52">
        <f t="shared" si="53"/>
        <v>-7.8227193941249383E-4</v>
      </c>
    </row>
    <row r="1563" spans="1:7" ht="15" customHeight="1" x14ac:dyDescent="0.2">
      <c r="A1563" s="19" t="s">
        <v>1710</v>
      </c>
      <c r="B1563" s="50">
        <v>88.060599999999994</v>
      </c>
      <c r="C1563" s="50">
        <v>2752.01</v>
      </c>
      <c r="D1563" s="51">
        <v>52726685.305064</v>
      </c>
      <c r="E1563" s="51">
        <v>2984633333</v>
      </c>
      <c r="F1563" s="52">
        <f t="shared" si="52"/>
        <v>4.4694019888609987E-3</v>
      </c>
      <c r="G1563" s="52">
        <f t="shared" si="53"/>
        <v>1.7020228353889482E-3</v>
      </c>
    </row>
    <row r="1564" spans="1:7" ht="15" customHeight="1" x14ac:dyDescent="0.2">
      <c r="A1564" s="19" t="s">
        <v>1711</v>
      </c>
      <c r="B1564" s="50">
        <v>86.467399999999998</v>
      </c>
      <c r="C1564" s="50">
        <v>2712.92</v>
      </c>
      <c r="D1564" s="51">
        <v>35820644.919598997</v>
      </c>
      <c r="E1564" s="51">
        <v>1834516667</v>
      </c>
      <c r="F1564" s="52">
        <f t="shared" si="52"/>
        <v>-1.8257749552097201E-2</v>
      </c>
      <c r="G1564" s="52">
        <f t="shared" si="53"/>
        <v>-1.4306008195445936E-2</v>
      </c>
    </row>
    <row r="1565" spans="1:7" ht="15" customHeight="1" x14ac:dyDescent="0.2">
      <c r="A1565" s="19" t="s">
        <v>1712</v>
      </c>
      <c r="B1565" s="50">
        <v>86.691199999999995</v>
      </c>
      <c r="C1565" s="50">
        <v>2716.94</v>
      </c>
      <c r="D1565" s="51">
        <v>24789105.672146998</v>
      </c>
      <c r="E1565" s="51">
        <v>1811683333</v>
      </c>
      <c r="F1565" s="52">
        <f t="shared" si="52"/>
        <v>2.5849149232585562E-3</v>
      </c>
      <c r="G1565" s="52">
        <f t="shared" si="53"/>
        <v>1.4807014304161871E-3</v>
      </c>
    </row>
    <row r="1566" spans="1:7" ht="15" customHeight="1" x14ac:dyDescent="0.2">
      <c r="A1566" s="19" t="s">
        <v>1713</v>
      </c>
      <c r="B1566" s="50">
        <v>86.086500000000001</v>
      </c>
      <c r="C1566" s="50">
        <v>2711.93</v>
      </c>
      <c r="D1566" s="51">
        <v>26273580.428061999</v>
      </c>
      <c r="E1566" s="51">
        <v>1897505556</v>
      </c>
      <c r="F1566" s="52">
        <f t="shared" si="52"/>
        <v>-6.9997744967152439E-3</v>
      </c>
      <c r="G1566" s="52">
        <f t="shared" si="53"/>
        <v>-1.8456884848011977E-3</v>
      </c>
    </row>
    <row r="1567" spans="1:7" ht="15" customHeight="1" x14ac:dyDescent="0.2">
      <c r="A1567" s="19" t="s">
        <v>1714</v>
      </c>
      <c r="B1567" s="50">
        <v>83.581599999999995</v>
      </c>
      <c r="C1567" s="50">
        <v>2643.69</v>
      </c>
      <c r="D1567" s="51">
        <v>41471997.745011002</v>
      </c>
      <c r="E1567" s="51">
        <v>2077666667</v>
      </c>
      <c r="F1567" s="52">
        <f t="shared" si="52"/>
        <v>-2.95292045428029E-2</v>
      </c>
      <c r="G1567" s="52">
        <f t="shared" si="53"/>
        <v>-2.5484890016140731E-2</v>
      </c>
    </row>
    <row r="1568" spans="1:7" ht="15" customHeight="1" x14ac:dyDescent="0.2">
      <c r="A1568" s="19" t="s">
        <v>1715</v>
      </c>
      <c r="B1568" s="50">
        <v>81.153000000000006</v>
      </c>
      <c r="C1568" s="50">
        <v>2588.2600000000002</v>
      </c>
      <c r="D1568" s="51">
        <v>47342075.989010997</v>
      </c>
      <c r="E1568" s="51">
        <v>2119488889</v>
      </c>
      <c r="F1568" s="52">
        <f t="shared" si="52"/>
        <v>-2.9487138318275073E-2</v>
      </c>
      <c r="G1568" s="52">
        <f t="shared" si="53"/>
        <v>-2.1189833248420765E-2</v>
      </c>
    </row>
    <row r="1569" spans="1:7" ht="15" customHeight="1" x14ac:dyDescent="0.2">
      <c r="A1569" s="19" t="s">
        <v>1716</v>
      </c>
      <c r="B1569" s="50">
        <v>87.293700000000001</v>
      </c>
      <c r="C1569" s="50">
        <v>2658.55</v>
      </c>
      <c r="D1569" s="51">
        <v>60585530.127934001</v>
      </c>
      <c r="E1569" s="51">
        <v>1950611111</v>
      </c>
      <c r="F1569" s="52">
        <f t="shared" si="52"/>
        <v>7.2942033439098594E-2</v>
      </c>
      <c r="G1569" s="52">
        <f t="shared" si="53"/>
        <v>2.6795026112632157E-2</v>
      </c>
    </row>
    <row r="1570" spans="1:7" ht="15" customHeight="1" x14ac:dyDescent="0.2">
      <c r="A1570" s="19" t="s">
        <v>1717</v>
      </c>
      <c r="B1570" s="50">
        <v>83.284300000000002</v>
      </c>
      <c r="C1570" s="50">
        <v>2612.62</v>
      </c>
      <c r="D1570" s="51">
        <v>60770552.479851</v>
      </c>
      <c r="E1570" s="51">
        <v>2059083333</v>
      </c>
      <c r="F1570" s="52">
        <f t="shared" si="52"/>
        <v>-4.7018239274165145E-2</v>
      </c>
      <c r="G1570" s="52">
        <f t="shared" si="53"/>
        <v>-1.7427312133270447E-2</v>
      </c>
    </row>
    <row r="1571" spans="1:7" ht="15" customHeight="1" x14ac:dyDescent="0.2">
      <c r="A1571" s="19" t="s">
        <v>1718</v>
      </c>
      <c r="B1571" s="50">
        <v>83.210099999999997</v>
      </c>
      <c r="C1571" s="50">
        <v>2605</v>
      </c>
      <c r="D1571" s="51">
        <v>56400554.026615001</v>
      </c>
      <c r="E1571" s="51">
        <v>2146944444</v>
      </c>
      <c r="F1571" s="52">
        <f t="shared" si="52"/>
        <v>-8.9132132867380739E-4</v>
      </c>
      <c r="G1571" s="52">
        <f t="shared" si="53"/>
        <v>-2.9208740450646013E-3</v>
      </c>
    </row>
    <row r="1572" spans="1:7" ht="15" customHeight="1" x14ac:dyDescent="0.2">
      <c r="A1572" s="19" t="s">
        <v>1719</v>
      </c>
      <c r="B1572" s="50">
        <v>84.961399999999998</v>
      </c>
      <c r="C1572" s="50">
        <v>2640.87</v>
      </c>
      <c r="D1572" s="51">
        <v>49274263.310505003</v>
      </c>
      <c r="E1572" s="51">
        <v>1981105556</v>
      </c>
      <c r="F1572" s="52">
        <f t="shared" si="52"/>
        <v>2.0828301010362978E-2</v>
      </c>
      <c r="G1572" s="52">
        <f t="shared" si="53"/>
        <v>1.3675733119263357E-2</v>
      </c>
    </row>
    <row r="1573" spans="1:7" ht="15" customHeight="1" x14ac:dyDescent="0.2">
      <c r="A1573" s="19" t="s">
        <v>1720</v>
      </c>
      <c r="B1573" s="50">
        <v>82.398600000000002</v>
      </c>
      <c r="C1573" s="50">
        <v>2581.88</v>
      </c>
      <c r="D1573" s="51">
        <v>52118796.404214002</v>
      </c>
      <c r="E1573" s="51">
        <v>1999177778</v>
      </c>
      <c r="F1573" s="52">
        <f t="shared" si="52"/>
        <v>-3.0628589220784541E-2</v>
      </c>
      <c r="G1573" s="52">
        <f t="shared" si="53"/>
        <v>-2.2590592580476767E-2</v>
      </c>
    </row>
    <row r="1574" spans="1:7" ht="15" customHeight="1" x14ac:dyDescent="0.2">
      <c r="A1574" s="19" t="s">
        <v>1721</v>
      </c>
      <c r="B1574" s="50">
        <v>83.506799999999998</v>
      </c>
      <c r="C1574" s="50">
        <v>2614.4499999999998</v>
      </c>
      <c r="D1574" s="51">
        <v>39977814.122446001</v>
      </c>
      <c r="E1574" s="51">
        <v>1884894444</v>
      </c>
      <c r="F1574" s="52">
        <f t="shared" si="52"/>
        <v>1.3359619186908388E-2</v>
      </c>
      <c r="G1574" s="52">
        <f t="shared" si="53"/>
        <v>1.2535934603553565E-2</v>
      </c>
    </row>
    <row r="1575" spans="1:7" ht="15" customHeight="1" x14ac:dyDescent="0.2">
      <c r="A1575" s="19" t="s">
        <v>1722</v>
      </c>
      <c r="B1575" s="50">
        <v>85.947900000000004</v>
      </c>
      <c r="C1575" s="50">
        <v>2644.69</v>
      </c>
      <c r="D1575" s="51">
        <v>38201096.644606002</v>
      </c>
      <c r="E1575" s="51">
        <v>1861300000</v>
      </c>
      <c r="F1575" s="52">
        <f t="shared" si="52"/>
        <v>2.8813233053863612E-2</v>
      </c>
      <c r="G1575" s="52">
        <f t="shared" si="53"/>
        <v>1.1500105825438875E-2</v>
      </c>
    </row>
    <row r="1576" spans="1:7" ht="15" customHeight="1" x14ac:dyDescent="0.2">
      <c r="A1576" s="19" t="s">
        <v>1723</v>
      </c>
      <c r="B1576" s="50">
        <v>85.993799999999993</v>
      </c>
      <c r="C1576" s="50">
        <v>2662.84</v>
      </c>
      <c r="D1576" s="51">
        <v>31983125.024287999</v>
      </c>
      <c r="E1576" s="51">
        <v>1766094444</v>
      </c>
      <c r="F1576" s="52">
        <f t="shared" si="52"/>
        <v>5.33901910825671E-4</v>
      </c>
      <c r="G1576" s="52">
        <f t="shared" si="53"/>
        <v>6.8393662400598977E-3</v>
      </c>
    </row>
    <row r="1577" spans="1:7" ht="15" customHeight="1" x14ac:dyDescent="0.2">
      <c r="A1577" s="19" t="s">
        <v>1724</v>
      </c>
      <c r="B1577" s="50">
        <v>83.992400000000004</v>
      </c>
      <c r="C1577" s="50">
        <v>2604.4699999999998</v>
      </c>
      <c r="D1577" s="51">
        <v>40850302.657638997</v>
      </c>
      <c r="E1577" s="51">
        <v>1833166667</v>
      </c>
      <c r="F1577" s="52">
        <f t="shared" si="52"/>
        <v>-2.354888207180492E-2</v>
      </c>
      <c r="G1577" s="52">
        <f t="shared" si="53"/>
        <v>-2.2164022802027339E-2</v>
      </c>
    </row>
    <row r="1578" spans="1:7" ht="15" customHeight="1" x14ac:dyDescent="0.2">
      <c r="A1578" s="19" t="s">
        <v>1725</v>
      </c>
      <c r="B1578" s="50">
        <v>84.493499999999997</v>
      </c>
      <c r="C1578" s="50">
        <v>2613.16</v>
      </c>
      <c r="D1578" s="51">
        <v>33876062.232868999</v>
      </c>
      <c r="E1578" s="51">
        <v>1701644444</v>
      </c>
      <c r="F1578" s="52">
        <f t="shared" si="52"/>
        <v>5.9482897678533354E-3</v>
      </c>
      <c r="G1578" s="52">
        <f t="shared" si="53"/>
        <v>3.3310173527511624E-3</v>
      </c>
    </row>
    <row r="1579" spans="1:7" ht="15" customHeight="1" x14ac:dyDescent="0.2">
      <c r="A1579" s="19" t="s">
        <v>1726</v>
      </c>
      <c r="B1579" s="50">
        <v>86.457599999999999</v>
      </c>
      <c r="C1579" s="50">
        <v>2656.87</v>
      </c>
      <c r="D1579" s="51">
        <v>28940784.138744999</v>
      </c>
      <c r="E1579" s="51">
        <v>1968850000</v>
      </c>
      <c r="F1579" s="52">
        <f t="shared" si="52"/>
        <v>2.297951202569707E-2</v>
      </c>
      <c r="G1579" s="52">
        <f t="shared" si="53"/>
        <v>1.6588521255114928E-2</v>
      </c>
    </row>
    <row r="1580" spans="1:7" ht="15" customHeight="1" x14ac:dyDescent="0.2">
      <c r="A1580" s="19" t="s">
        <v>1727</v>
      </c>
      <c r="B1580" s="50">
        <v>85.509399999999999</v>
      </c>
      <c r="C1580" s="50">
        <v>2642.19</v>
      </c>
      <c r="D1580" s="51">
        <v>26719432.716228999</v>
      </c>
      <c r="E1580" s="51">
        <v>1678200000</v>
      </c>
      <c r="F1580" s="52">
        <f t="shared" si="52"/>
        <v>-1.1027808933114161E-2</v>
      </c>
      <c r="G1580" s="52">
        <f t="shared" si="53"/>
        <v>-5.540619488903829E-3</v>
      </c>
    </row>
    <row r="1581" spans="1:7" ht="15" customHeight="1" x14ac:dyDescent="0.2">
      <c r="A1581" s="19" t="s">
        <v>1728</v>
      </c>
      <c r="B1581" s="50">
        <v>87.112200000000001</v>
      </c>
      <c r="C1581" s="50">
        <v>2663.99</v>
      </c>
      <c r="D1581" s="51">
        <v>28746338.565416999</v>
      </c>
      <c r="E1581" s="51">
        <v>1678511111</v>
      </c>
      <c r="F1581" s="52">
        <f t="shared" si="52"/>
        <v>1.8570631516007838E-2</v>
      </c>
      <c r="G1581" s="52">
        <f t="shared" si="53"/>
        <v>8.2168801872393362E-3</v>
      </c>
    </row>
    <row r="1582" spans="1:7" ht="15" customHeight="1" x14ac:dyDescent="0.2">
      <c r="A1582" s="19" t="s">
        <v>1729</v>
      </c>
      <c r="B1582" s="50">
        <v>86.644300000000001</v>
      </c>
      <c r="C1582" s="50">
        <v>2656.3</v>
      </c>
      <c r="D1582" s="51">
        <v>25080039.954592999</v>
      </c>
      <c r="E1582" s="51">
        <v>1644950000</v>
      </c>
      <c r="F1582" s="52">
        <f t="shared" si="52"/>
        <v>-5.3857108193028011E-3</v>
      </c>
      <c r="G1582" s="52">
        <f t="shared" si="53"/>
        <v>-2.8908218745022159E-3</v>
      </c>
    </row>
    <row r="1583" spans="1:7" ht="15" customHeight="1" x14ac:dyDescent="0.2">
      <c r="A1583" s="19" t="s">
        <v>1730</v>
      </c>
      <c r="B1583" s="50">
        <v>87.659099999999995</v>
      </c>
      <c r="C1583" s="50">
        <v>2677.84</v>
      </c>
      <c r="D1583" s="51">
        <v>21794934.402444001</v>
      </c>
      <c r="E1583" s="51">
        <v>1677611111</v>
      </c>
      <c r="F1583" s="52">
        <f t="shared" si="52"/>
        <v>1.1644195880744598E-2</v>
      </c>
      <c r="G1583" s="52">
        <f t="shared" si="53"/>
        <v>8.0763223621077573E-3</v>
      </c>
    </row>
    <row r="1584" spans="1:7" ht="15" customHeight="1" x14ac:dyDescent="0.2">
      <c r="A1584" s="19" t="s">
        <v>1731</v>
      </c>
      <c r="B1584" s="50">
        <v>89.427899999999994</v>
      </c>
      <c r="C1584" s="50">
        <v>2706.39</v>
      </c>
      <c r="D1584" s="51">
        <v>28759358.459667001</v>
      </c>
      <c r="E1584" s="51">
        <v>1796866667</v>
      </c>
      <c r="F1584" s="52">
        <f t="shared" si="52"/>
        <v>1.9977286031873723E-2</v>
      </c>
      <c r="G1584" s="52">
        <f t="shared" si="53"/>
        <v>1.0605144127271393E-2</v>
      </c>
    </row>
    <row r="1585" spans="1:7" ht="15" customHeight="1" x14ac:dyDescent="0.2">
      <c r="A1585" s="19" t="s">
        <v>1732</v>
      </c>
      <c r="B1585" s="50">
        <v>89.773799999999994</v>
      </c>
      <c r="C1585" s="50">
        <v>2708.64</v>
      </c>
      <c r="D1585" s="51">
        <v>22606232.403726</v>
      </c>
      <c r="E1585" s="51">
        <v>1879672222</v>
      </c>
      <c r="F1585" s="52">
        <f t="shared" si="52"/>
        <v>3.8604592432222289E-3</v>
      </c>
      <c r="G1585" s="52">
        <f t="shared" si="53"/>
        <v>8.310203745819628E-4</v>
      </c>
    </row>
    <row r="1586" spans="1:7" ht="15" customHeight="1" x14ac:dyDescent="0.2">
      <c r="A1586" s="19" t="s">
        <v>1733</v>
      </c>
      <c r="B1586" s="50">
        <v>89.463999999999999</v>
      </c>
      <c r="C1586" s="50">
        <v>2693.13</v>
      </c>
      <c r="D1586" s="51">
        <v>25301855.256081</v>
      </c>
      <c r="E1586" s="51">
        <v>1860761111</v>
      </c>
      <c r="F1586" s="52">
        <f t="shared" si="52"/>
        <v>-3.4568635467146433E-3</v>
      </c>
      <c r="G1586" s="52">
        <f t="shared" si="53"/>
        <v>-5.7425779413078446E-3</v>
      </c>
    </row>
    <row r="1587" spans="1:7" ht="15" customHeight="1" x14ac:dyDescent="0.2">
      <c r="A1587" s="19" t="s">
        <v>1734</v>
      </c>
      <c r="B1587" s="50">
        <v>88.430800000000005</v>
      </c>
      <c r="C1587" s="50">
        <v>2670.14</v>
      </c>
      <c r="D1587" s="51">
        <v>33468300.071754999</v>
      </c>
      <c r="E1587" s="51">
        <v>1882550000</v>
      </c>
      <c r="F1587" s="52">
        <f t="shared" si="52"/>
        <v>-1.1615984475557161E-2</v>
      </c>
      <c r="G1587" s="52">
        <f t="shared" si="53"/>
        <v>-8.5731804710458409E-3</v>
      </c>
    </row>
    <row r="1588" spans="1:7" ht="15" customHeight="1" x14ac:dyDescent="0.2">
      <c r="A1588" s="19" t="s">
        <v>1735</v>
      </c>
      <c r="B1588" s="50">
        <v>88.756900000000002</v>
      </c>
      <c r="C1588" s="50">
        <v>2670.29</v>
      </c>
      <c r="D1588" s="51">
        <v>23990476.395521</v>
      </c>
      <c r="E1588" s="51">
        <v>1676377778</v>
      </c>
      <c r="F1588" s="52">
        <f t="shared" si="52"/>
        <v>3.6808465619676506E-3</v>
      </c>
      <c r="G1588" s="52">
        <f t="shared" si="53"/>
        <v>5.6175251820395682E-5</v>
      </c>
    </row>
    <row r="1589" spans="1:7" ht="15" customHeight="1" x14ac:dyDescent="0.2">
      <c r="A1589" s="19" t="s">
        <v>1736</v>
      </c>
      <c r="B1589" s="50">
        <v>86.681600000000003</v>
      </c>
      <c r="C1589" s="50">
        <v>2634.56</v>
      </c>
      <c r="D1589" s="51">
        <v>37089053.112423003</v>
      </c>
      <c r="E1589" s="51">
        <v>2059300000</v>
      </c>
      <c r="F1589" s="52">
        <f t="shared" si="52"/>
        <v>-2.3659536615837147E-2</v>
      </c>
      <c r="G1589" s="52">
        <f t="shared" si="53"/>
        <v>-1.3470895618345118E-2</v>
      </c>
    </row>
    <row r="1590" spans="1:7" ht="15" customHeight="1" x14ac:dyDescent="0.2">
      <c r="A1590" s="19" t="s">
        <v>1737</v>
      </c>
      <c r="B1590" s="50">
        <v>85.928399999999996</v>
      </c>
      <c r="C1590" s="50">
        <v>2639.4</v>
      </c>
      <c r="D1590" s="51">
        <v>36234425.083260998</v>
      </c>
      <c r="E1590" s="51">
        <v>1944133333</v>
      </c>
      <c r="F1590" s="52">
        <f t="shared" si="52"/>
        <v>-8.727243851499103E-3</v>
      </c>
      <c r="G1590" s="52">
        <f t="shared" si="53"/>
        <v>1.8354334726678417E-3</v>
      </c>
    </row>
    <row r="1591" spans="1:7" ht="15" customHeight="1" x14ac:dyDescent="0.2">
      <c r="A1591" s="19" t="s">
        <v>1738</v>
      </c>
      <c r="B1591" s="50">
        <v>87.740300000000005</v>
      </c>
      <c r="C1591" s="50">
        <v>2666.94</v>
      </c>
      <c r="D1591" s="51">
        <v>45687794.865165003</v>
      </c>
      <c r="E1591" s="51">
        <v>2036511111</v>
      </c>
      <c r="F1591" s="52">
        <f t="shared" si="52"/>
        <v>2.0866923580331678E-2</v>
      </c>
      <c r="G1591" s="52">
        <f t="shared" si="53"/>
        <v>1.0380129158368218E-2</v>
      </c>
    </row>
    <row r="1592" spans="1:7" ht="15" customHeight="1" x14ac:dyDescent="0.2">
      <c r="A1592" s="19" t="s">
        <v>1739</v>
      </c>
      <c r="B1592" s="50">
        <v>89.1935</v>
      </c>
      <c r="C1592" s="50">
        <v>2669.91</v>
      </c>
      <c r="D1592" s="51">
        <v>51858137.445579998</v>
      </c>
      <c r="E1592" s="51">
        <v>1788350000</v>
      </c>
      <c r="F1592" s="52">
        <f t="shared" si="52"/>
        <v>1.6426852050369548E-2</v>
      </c>
      <c r="G1592" s="52">
        <f t="shared" si="53"/>
        <v>1.1130162199066156E-3</v>
      </c>
    </row>
    <row r="1593" spans="1:7" ht="15" customHeight="1" x14ac:dyDescent="0.2">
      <c r="A1593" s="19" t="s">
        <v>1740</v>
      </c>
      <c r="B1593" s="50">
        <v>87.054500000000004</v>
      </c>
      <c r="C1593" s="50">
        <v>2648.05</v>
      </c>
      <c r="D1593" s="51">
        <v>44607682.170593999</v>
      </c>
      <c r="E1593" s="51">
        <v>2074738889</v>
      </c>
      <c r="F1593" s="52">
        <f t="shared" si="52"/>
        <v>-2.4273807669086014E-2</v>
      </c>
      <c r="G1593" s="52">
        <f t="shared" si="53"/>
        <v>-8.2212439071443575E-3</v>
      </c>
    </row>
    <row r="1594" spans="1:7" ht="15" customHeight="1" x14ac:dyDescent="0.2">
      <c r="A1594" s="19" t="s">
        <v>1741</v>
      </c>
      <c r="B1594" s="50">
        <v>88.430800000000005</v>
      </c>
      <c r="C1594" s="50">
        <v>2654.8</v>
      </c>
      <c r="D1594" s="51">
        <v>33741756.756121002</v>
      </c>
      <c r="E1594" s="51">
        <v>1977694444</v>
      </c>
      <c r="F1594" s="52">
        <f t="shared" si="52"/>
        <v>1.568596594375345E-2</v>
      </c>
      <c r="G1594" s="52">
        <f t="shared" si="53"/>
        <v>2.5458022179105093E-3</v>
      </c>
    </row>
    <row r="1595" spans="1:7" ht="15" customHeight="1" x14ac:dyDescent="0.2">
      <c r="A1595" s="19" t="s">
        <v>1742</v>
      </c>
      <c r="B1595" s="50">
        <v>87.044899999999998</v>
      </c>
      <c r="C1595" s="50">
        <v>2635.67</v>
      </c>
      <c r="D1595" s="51">
        <v>29511352.823723</v>
      </c>
      <c r="E1595" s="51">
        <v>2228205556</v>
      </c>
      <c r="F1595" s="52">
        <f t="shared" si="52"/>
        <v>-1.579624777137302E-2</v>
      </c>
      <c r="G1595" s="52">
        <f t="shared" si="53"/>
        <v>-7.2319031675897134E-3</v>
      </c>
    </row>
    <row r="1596" spans="1:7" ht="15" customHeight="1" x14ac:dyDescent="0.2">
      <c r="A1596" s="19" t="s">
        <v>1743</v>
      </c>
      <c r="B1596" s="50">
        <v>87.567300000000003</v>
      </c>
      <c r="C1596" s="50">
        <v>2629.73</v>
      </c>
      <c r="D1596" s="51">
        <v>33455540.227290001</v>
      </c>
      <c r="E1596" s="51">
        <v>2139705556</v>
      </c>
      <c r="F1596" s="52">
        <f t="shared" si="52"/>
        <v>5.9835631029698079E-3</v>
      </c>
      <c r="G1596" s="52">
        <f t="shared" si="53"/>
        <v>-2.2562397993906034E-3</v>
      </c>
    </row>
    <row r="1597" spans="1:7" ht="15" customHeight="1" x14ac:dyDescent="0.2">
      <c r="A1597" s="19" t="s">
        <v>1744</v>
      </c>
      <c r="B1597" s="50">
        <v>88.580399999999997</v>
      </c>
      <c r="C1597" s="50">
        <v>2663.42</v>
      </c>
      <c r="D1597" s="51">
        <v>24204789.158278</v>
      </c>
      <c r="E1597" s="51">
        <v>1848455556</v>
      </c>
      <c r="F1597" s="52">
        <f t="shared" si="52"/>
        <v>1.1502973594959321E-2</v>
      </c>
      <c r="G1597" s="52">
        <f t="shared" si="53"/>
        <v>1.2729831933829549E-2</v>
      </c>
    </row>
    <row r="1598" spans="1:7" ht="15" customHeight="1" x14ac:dyDescent="0.2">
      <c r="A1598" s="19" t="s">
        <v>1745</v>
      </c>
      <c r="B1598" s="50">
        <v>89.566599999999994</v>
      </c>
      <c r="C1598" s="50">
        <v>2672.63</v>
      </c>
      <c r="D1598" s="51">
        <v>26042542.573499002</v>
      </c>
      <c r="E1598" s="51">
        <v>1798866667</v>
      </c>
      <c r="F1598" s="52">
        <f t="shared" si="52"/>
        <v>1.1071868451647062E-2</v>
      </c>
      <c r="G1598" s="52">
        <f t="shared" si="53"/>
        <v>3.451995069662222E-3</v>
      </c>
    </row>
    <row r="1599" spans="1:7" ht="15" customHeight="1" x14ac:dyDescent="0.2">
      <c r="A1599" s="19" t="s">
        <v>1746</v>
      </c>
      <c r="B1599" s="50">
        <v>89.186599999999999</v>
      </c>
      <c r="C1599" s="50">
        <v>2671.92</v>
      </c>
      <c r="D1599" s="51">
        <v>25228857.028503001</v>
      </c>
      <c r="E1599" s="51">
        <v>2065316667</v>
      </c>
      <c r="F1599" s="52">
        <f t="shared" si="52"/>
        <v>-4.2516785426038404E-3</v>
      </c>
      <c r="G1599" s="52">
        <f t="shared" si="53"/>
        <v>-2.6569121971978244E-4</v>
      </c>
    </row>
    <row r="1600" spans="1:7" ht="15" customHeight="1" x14ac:dyDescent="0.2">
      <c r="A1600" s="19" t="s">
        <v>1747</v>
      </c>
      <c r="B1600" s="50">
        <v>90.2376</v>
      </c>
      <c r="C1600" s="50">
        <v>2697.79</v>
      </c>
      <c r="D1600" s="51">
        <v>29357096.204468001</v>
      </c>
      <c r="E1600" s="51">
        <v>2171944444</v>
      </c>
      <c r="F1600" s="52">
        <f t="shared" si="52"/>
        <v>1.1715387565465455E-2</v>
      </c>
      <c r="G1600" s="52">
        <f t="shared" si="53"/>
        <v>9.6356042161504785E-3</v>
      </c>
    </row>
    <row r="1601" spans="1:7" ht="15" customHeight="1" x14ac:dyDescent="0.2">
      <c r="A1601" s="19" t="s">
        <v>1748</v>
      </c>
      <c r="B1601" s="50">
        <v>91.139200000000002</v>
      </c>
      <c r="C1601" s="50">
        <v>2723.07</v>
      </c>
      <c r="D1601" s="51">
        <v>24050949.232971001</v>
      </c>
      <c r="E1601" s="51">
        <v>1851694444</v>
      </c>
      <c r="F1601" s="52">
        <f t="shared" si="52"/>
        <v>9.941816441187197E-3</v>
      </c>
      <c r="G1601" s="52">
        <f t="shared" si="53"/>
        <v>9.3270009795039417E-3</v>
      </c>
    </row>
    <row r="1602" spans="1:7" ht="15" customHeight="1" x14ac:dyDescent="0.2">
      <c r="A1602" s="19" t="s">
        <v>1749</v>
      </c>
      <c r="B1602" s="50">
        <v>90.944900000000004</v>
      </c>
      <c r="C1602" s="50">
        <v>2727.72</v>
      </c>
      <c r="D1602" s="51">
        <v>18024488.923425</v>
      </c>
      <c r="E1602" s="51">
        <v>1590388889</v>
      </c>
      <c r="F1602" s="52">
        <f t="shared" si="52"/>
        <v>-2.1341794670542819E-3</v>
      </c>
      <c r="G1602" s="52">
        <f t="shared" si="53"/>
        <v>1.7061751151760478E-3</v>
      </c>
    </row>
    <row r="1603" spans="1:7" ht="15" customHeight="1" x14ac:dyDescent="0.2">
      <c r="A1603" s="19" t="s">
        <v>1750</v>
      </c>
      <c r="B1603" s="50">
        <v>91.251599999999996</v>
      </c>
      <c r="C1603" s="50">
        <v>2730.13</v>
      </c>
      <c r="D1603" s="51">
        <v>20899036.267340999</v>
      </c>
      <c r="E1603" s="51">
        <v>1651477778</v>
      </c>
      <c r="F1603" s="52">
        <f t="shared" si="52"/>
        <v>3.3666979299255E-3</v>
      </c>
      <c r="G1603" s="52">
        <f t="shared" si="53"/>
        <v>8.8313169348161837E-4</v>
      </c>
    </row>
    <row r="1604" spans="1:7" ht="15" customHeight="1" x14ac:dyDescent="0.2">
      <c r="A1604" s="19" t="s">
        <v>1751</v>
      </c>
      <c r="B1604" s="50">
        <v>90.594200000000001</v>
      </c>
      <c r="C1604" s="50">
        <v>2711.45</v>
      </c>
      <c r="D1604" s="51">
        <v>26420678.511452999</v>
      </c>
      <c r="E1604" s="51">
        <v>1828155556</v>
      </c>
      <c r="F1604" s="52">
        <f t="shared" si="52"/>
        <v>-7.2303332157814468E-3</v>
      </c>
      <c r="G1604" s="52">
        <f t="shared" si="53"/>
        <v>-6.8656799596488963E-3</v>
      </c>
    </row>
    <row r="1605" spans="1:7" ht="15" customHeight="1" x14ac:dyDescent="0.2">
      <c r="A1605" s="19" t="s">
        <v>1752</v>
      </c>
      <c r="B1605" s="50">
        <v>90.825800000000001</v>
      </c>
      <c r="C1605" s="50">
        <v>2722.46</v>
      </c>
      <c r="D1605" s="51">
        <v>18595356.563276999</v>
      </c>
      <c r="E1605" s="51">
        <v>1779261111</v>
      </c>
      <c r="F1605" s="52">
        <f t="shared" si="52"/>
        <v>2.5531928763389547E-3</v>
      </c>
      <c r="G1605" s="52">
        <f t="shared" si="53"/>
        <v>4.0523361876279775E-3</v>
      </c>
    </row>
    <row r="1606" spans="1:7" ht="15" customHeight="1" x14ac:dyDescent="0.2">
      <c r="A1606" s="19" t="s">
        <v>1753</v>
      </c>
      <c r="B1606" s="50">
        <v>89.918300000000002</v>
      </c>
      <c r="C1606" s="50">
        <v>2720.13</v>
      </c>
      <c r="D1606" s="51">
        <v>18447719.951586999</v>
      </c>
      <c r="E1606" s="51">
        <v>1930777778</v>
      </c>
      <c r="F1606" s="52">
        <f t="shared" ref="F1606:F1669" si="54">LN(B1606/B1605)</f>
        <v>-1.0041905943294698E-2</v>
      </c>
      <c r="G1606" s="52">
        <f t="shared" ref="G1606:G1669" si="55">LN(C1606/C1605)</f>
        <v>-8.562100552650634E-4</v>
      </c>
    </row>
    <row r="1607" spans="1:7" ht="15" customHeight="1" x14ac:dyDescent="0.2">
      <c r="A1607" s="19" t="s">
        <v>1754</v>
      </c>
      <c r="B1607" s="50">
        <v>90.087500000000006</v>
      </c>
      <c r="C1607" s="50">
        <v>2712.97</v>
      </c>
      <c r="D1607" s="51">
        <v>19109959.257897999</v>
      </c>
      <c r="E1607" s="51">
        <v>1871494444</v>
      </c>
      <c r="F1607" s="52">
        <f t="shared" si="54"/>
        <v>1.8799399778436636E-3</v>
      </c>
      <c r="G1607" s="52">
        <f t="shared" si="55"/>
        <v>-2.6356975373117938E-3</v>
      </c>
    </row>
    <row r="1608" spans="1:7" ht="15" customHeight="1" x14ac:dyDescent="0.2">
      <c r="A1608" s="19" t="s">
        <v>1755</v>
      </c>
      <c r="B1608" s="50">
        <v>91.244699999999995</v>
      </c>
      <c r="C1608" s="50">
        <v>2733.01</v>
      </c>
      <c r="D1608" s="51">
        <v>20774983.304632001</v>
      </c>
      <c r="E1608" s="51">
        <v>1677716667</v>
      </c>
      <c r="F1608" s="52">
        <f t="shared" si="54"/>
        <v>1.2763488333424791E-2</v>
      </c>
      <c r="G1608" s="52">
        <f t="shared" si="55"/>
        <v>7.3595901759010559E-3</v>
      </c>
    </row>
    <row r="1609" spans="1:7" ht="15" customHeight="1" x14ac:dyDescent="0.2">
      <c r="A1609" s="19" t="s">
        <v>1756</v>
      </c>
      <c r="B1609" s="50">
        <v>91.151899999999998</v>
      </c>
      <c r="C1609" s="50">
        <v>2724.44</v>
      </c>
      <c r="D1609" s="51">
        <v>16516462.256890999</v>
      </c>
      <c r="E1609" s="51">
        <v>1870172222</v>
      </c>
      <c r="F1609" s="52">
        <f t="shared" si="54"/>
        <v>-1.0175629151788421E-3</v>
      </c>
      <c r="G1609" s="52">
        <f t="shared" si="55"/>
        <v>-3.1406635129493403E-3</v>
      </c>
    </row>
    <row r="1610" spans="1:7" ht="15" customHeight="1" x14ac:dyDescent="0.2">
      <c r="A1610" s="19" t="s">
        <v>1757</v>
      </c>
      <c r="B1610" s="50">
        <v>92.239199999999997</v>
      </c>
      <c r="C1610" s="50">
        <v>2733.29</v>
      </c>
      <c r="D1610" s="51">
        <v>22731085.992157001</v>
      </c>
      <c r="E1610" s="51">
        <v>1847938889</v>
      </c>
      <c r="F1610" s="52">
        <f t="shared" si="54"/>
        <v>1.1857857227501005E-2</v>
      </c>
      <c r="G1610" s="52">
        <f t="shared" si="55"/>
        <v>3.2431094088002069E-3</v>
      </c>
    </row>
    <row r="1611" spans="1:7" ht="15" customHeight="1" x14ac:dyDescent="0.2">
      <c r="A1611" s="19" t="s">
        <v>1758</v>
      </c>
      <c r="B1611" s="50">
        <v>91.908900000000003</v>
      </c>
      <c r="C1611" s="50">
        <v>2727.76</v>
      </c>
      <c r="D1611" s="51">
        <v>28505055.363542002</v>
      </c>
      <c r="E1611" s="51">
        <v>1808905556</v>
      </c>
      <c r="F1611" s="52">
        <f t="shared" si="54"/>
        <v>-3.587333827697897E-3</v>
      </c>
      <c r="G1611" s="52">
        <f t="shared" si="55"/>
        <v>-2.0252522464269634E-3</v>
      </c>
    </row>
    <row r="1612" spans="1:7" ht="15" customHeight="1" x14ac:dyDescent="0.2">
      <c r="A1612" s="19" t="s">
        <v>1759</v>
      </c>
      <c r="B1612" s="50">
        <v>91.955699999999993</v>
      </c>
      <c r="C1612" s="50">
        <v>2721.33</v>
      </c>
      <c r="D1612" s="51">
        <v>19642721.413426999</v>
      </c>
      <c r="E1612" s="51">
        <v>1664033333</v>
      </c>
      <c r="F1612" s="52">
        <f t="shared" si="54"/>
        <v>5.0907027247961453E-4</v>
      </c>
      <c r="G1612" s="52">
        <f t="shared" si="55"/>
        <v>-2.3600281824850003E-3</v>
      </c>
    </row>
    <row r="1613" spans="1:7" ht="15" customHeight="1" x14ac:dyDescent="0.2">
      <c r="A1613" s="19" t="s">
        <v>1760</v>
      </c>
      <c r="B1613" s="50">
        <v>91.629599999999996</v>
      </c>
      <c r="C1613" s="50">
        <v>2689.86</v>
      </c>
      <c r="D1613" s="51">
        <v>30667532.128596</v>
      </c>
      <c r="E1613" s="51">
        <v>2076050000</v>
      </c>
      <c r="F1613" s="52">
        <f t="shared" si="54"/>
        <v>-3.5525757560111271E-3</v>
      </c>
      <c r="G1613" s="52">
        <f t="shared" si="55"/>
        <v>-1.1631583739263906E-2</v>
      </c>
    </row>
    <row r="1614" spans="1:7" ht="15" customHeight="1" x14ac:dyDescent="0.2">
      <c r="A1614" s="19" t="s">
        <v>1761</v>
      </c>
      <c r="B1614" s="50">
        <v>92.508600000000001</v>
      </c>
      <c r="C1614" s="50">
        <v>2724.01</v>
      </c>
      <c r="D1614" s="51">
        <v>23701575.415741</v>
      </c>
      <c r="E1614" s="51">
        <v>1978361111</v>
      </c>
      <c r="F1614" s="52">
        <f t="shared" si="54"/>
        <v>9.5472495845567284E-3</v>
      </c>
      <c r="G1614" s="52">
        <f t="shared" si="55"/>
        <v>1.2615911702766044E-2</v>
      </c>
    </row>
    <row r="1615" spans="1:7" ht="15" customHeight="1" x14ac:dyDescent="0.2">
      <c r="A1615" s="19" t="s">
        <v>1762</v>
      </c>
      <c r="B1615" s="50">
        <v>92.403099999999995</v>
      </c>
      <c r="C1615" s="50">
        <v>2705.27</v>
      </c>
      <c r="D1615" s="51">
        <v>36518350.307278</v>
      </c>
      <c r="E1615" s="51">
        <v>2352983333</v>
      </c>
      <c r="F1615" s="52">
        <f t="shared" si="54"/>
        <v>-1.1410853012267549E-3</v>
      </c>
      <c r="G1615" s="52">
        <f t="shared" si="55"/>
        <v>-6.9033368781207007E-3</v>
      </c>
    </row>
    <row r="1616" spans="1:7" ht="15" customHeight="1" x14ac:dyDescent="0.2">
      <c r="A1616" s="19" t="s">
        <v>1763</v>
      </c>
      <c r="B1616" s="50">
        <v>94.223600000000005</v>
      </c>
      <c r="C1616" s="50">
        <v>2734.62</v>
      </c>
      <c r="D1616" s="51">
        <v>30651105.991664</v>
      </c>
      <c r="E1616" s="51">
        <v>2046738889</v>
      </c>
      <c r="F1616" s="52">
        <f t="shared" si="54"/>
        <v>1.9510153121876535E-2</v>
      </c>
      <c r="G1616" s="52">
        <f t="shared" si="55"/>
        <v>1.079076407564197E-2</v>
      </c>
    </row>
    <row r="1617" spans="1:7" ht="15" customHeight="1" x14ac:dyDescent="0.2">
      <c r="A1617" s="19" t="s">
        <v>1764</v>
      </c>
      <c r="B1617" s="50">
        <v>95.048900000000003</v>
      </c>
      <c r="C1617" s="50">
        <v>2746.87</v>
      </c>
      <c r="D1617" s="51">
        <v>29181424.382879</v>
      </c>
      <c r="E1617" s="51">
        <v>1875838889</v>
      </c>
      <c r="F1617" s="52">
        <f t="shared" si="54"/>
        <v>8.7208150207973741E-3</v>
      </c>
      <c r="G1617" s="52">
        <f t="shared" si="55"/>
        <v>4.4695950894616818E-3</v>
      </c>
    </row>
    <row r="1618" spans="1:7" ht="15" customHeight="1" x14ac:dyDescent="0.2">
      <c r="A1618" s="19" t="s">
        <v>1765</v>
      </c>
      <c r="B1618" s="50">
        <v>95.545299999999997</v>
      </c>
      <c r="C1618" s="50">
        <v>2748.8</v>
      </c>
      <c r="D1618" s="51">
        <v>25151865.910494</v>
      </c>
      <c r="E1618" s="51">
        <v>1954327778</v>
      </c>
      <c r="F1618" s="52">
        <f t="shared" si="54"/>
        <v>5.2089845590555404E-3</v>
      </c>
      <c r="G1618" s="52">
        <f t="shared" si="55"/>
        <v>7.0237116833561891E-4</v>
      </c>
    </row>
    <row r="1619" spans="1:7" ht="15" customHeight="1" x14ac:dyDescent="0.2">
      <c r="A1619" s="19" t="s">
        <v>1766</v>
      </c>
      <c r="B1619" s="50">
        <v>95.829499999999996</v>
      </c>
      <c r="C1619" s="50">
        <v>2772.35</v>
      </c>
      <c r="D1619" s="51">
        <v>22593848.300491001</v>
      </c>
      <c r="E1619" s="51">
        <v>2028688889</v>
      </c>
      <c r="F1619" s="52">
        <f t="shared" si="54"/>
        <v>2.970090199137753E-3</v>
      </c>
      <c r="G1619" s="52">
        <f t="shared" si="55"/>
        <v>8.5308831756656898E-3</v>
      </c>
    </row>
    <row r="1620" spans="1:7" ht="15" customHeight="1" x14ac:dyDescent="0.2">
      <c r="A1620" s="19" t="s">
        <v>1767</v>
      </c>
      <c r="B1620" s="50">
        <v>94.307699999999997</v>
      </c>
      <c r="C1620" s="50">
        <v>2770.37</v>
      </c>
      <c r="D1620" s="51">
        <v>30198194.477983002</v>
      </c>
      <c r="E1620" s="51">
        <v>2061850000</v>
      </c>
      <c r="F1620" s="52">
        <f t="shared" si="54"/>
        <v>-1.600773016858896E-2</v>
      </c>
      <c r="G1620" s="52">
        <f t="shared" si="55"/>
        <v>-7.1445069721093465E-4</v>
      </c>
    </row>
    <row r="1621" spans="1:7" ht="15" customHeight="1" x14ac:dyDescent="0.2">
      <c r="A1621" s="19" t="s">
        <v>1768</v>
      </c>
      <c r="B1621" s="50">
        <v>95.009900000000002</v>
      </c>
      <c r="C1621" s="50">
        <v>2779.03</v>
      </c>
      <c r="D1621" s="51">
        <v>23708633.617437001</v>
      </c>
      <c r="E1621" s="51">
        <v>1735116667</v>
      </c>
      <c r="F1621" s="52">
        <f t="shared" si="54"/>
        <v>7.418256096631928E-3</v>
      </c>
      <c r="G1621" s="52">
        <f t="shared" si="55"/>
        <v>3.1210606659344705E-3</v>
      </c>
    </row>
    <row r="1622" spans="1:7" ht="15" customHeight="1" x14ac:dyDescent="0.2">
      <c r="A1622" s="19" t="s">
        <v>1769</v>
      </c>
      <c r="B1622" s="50">
        <v>94.466999999999999</v>
      </c>
      <c r="C1622" s="50">
        <v>2782</v>
      </c>
      <c r="D1622" s="51">
        <v>25126720.938974999</v>
      </c>
      <c r="E1622" s="51">
        <v>1795738889</v>
      </c>
      <c r="F1622" s="52">
        <f t="shared" si="54"/>
        <v>-5.7305295335617944E-3</v>
      </c>
      <c r="G1622" s="52">
        <f t="shared" si="55"/>
        <v>1.0681475490628696E-3</v>
      </c>
    </row>
    <row r="1623" spans="1:7" ht="15" customHeight="1" x14ac:dyDescent="0.2">
      <c r="A1623" s="19" t="s">
        <v>1770</v>
      </c>
      <c r="B1623" s="50">
        <v>94.713099999999997</v>
      </c>
      <c r="C1623" s="50">
        <v>2786.85</v>
      </c>
      <c r="D1623" s="51">
        <v>19601336.639860999</v>
      </c>
      <c r="E1623" s="51">
        <v>1889450000</v>
      </c>
      <c r="F1623" s="52">
        <f t="shared" si="54"/>
        <v>2.6017550347372472E-3</v>
      </c>
      <c r="G1623" s="52">
        <f t="shared" si="55"/>
        <v>1.7418322369011133E-3</v>
      </c>
    </row>
    <row r="1624" spans="1:7" ht="15" customHeight="1" x14ac:dyDescent="0.2">
      <c r="A1624" s="19" t="s">
        <v>1771</v>
      </c>
      <c r="B1624" s="50">
        <v>94.2804</v>
      </c>
      <c r="C1624" s="50">
        <v>2775.63</v>
      </c>
      <c r="D1624" s="51">
        <v>31546660.1239</v>
      </c>
      <c r="E1624" s="51">
        <v>2099572222</v>
      </c>
      <c r="F1624" s="52">
        <f t="shared" si="54"/>
        <v>-4.579001458187482E-3</v>
      </c>
      <c r="G1624" s="52">
        <f t="shared" si="55"/>
        <v>-4.0341772794630594E-3</v>
      </c>
    </row>
    <row r="1625" spans="1:7" ht="15" customHeight="1" x14ac:dyDescent="0.2">
      <c r="A1625" s="19" t="s">
        <v>1772</v>
      </c>
      <c r="B1625" s="50">
        <v>94.817599999999999</v>
      </c>
      <c r="C1625" s="50">
        <v>2782.49</v>
      </c>
      <c r="D1625" s="51">
        <v>27480903.540235002</v>
      </c>
      <c r="E1625" s="51">
        <v>1959383333</v>
      </c>
      <c r="F1625" s="52">
        <f t="shared" si="54"/>
        <v>5.6817252975374108E-3</v>
      </c>
      <c r="G1625" s="52">
        <f t="shared" si="55"/>
        <v>2.4684618120292836E-3</v>
      </c>
    </row>
    <row r="1626" spans="1:7" ht="15" customHeight="1" x14ac:dyDescent="0.2">
      <c r="A1626" s="19" t="s">
        <v>1773</v>
      </c>
      <c r="B1626" s="50">
        <v>93.613399999999999</v>
      </c>
      <c r="C1626" s="50">
        <v>2779.66</v>
      </c>
      <c r="D1626" s="51">
        <v>70316401.699353993</v>
      </c>
      <c r="E1626" s="51">
        <v>3015994444</v>
      </c>
      <c r="F1626" s="52">
        <f t="shared" si="54"/>
        <v>-1.278151040789092E-2</v>
      </c>
      <c r="G1626" s="52">
        <f t="shared" si="55"/>
        <v>-1.0175922059649557E-3</v>
      </c>
    </row>
    <row r="1627" spans="1:7" ht="15" customHeight="1" x14ac:dyDescent="0.2">
      <c r="A1627" s="19" t="s">
        <v>1774</v>
      </c>
      <c r="B1627" s="50">
        <v>94.289400000000001</v>
      </c>
      <c r="C1627" s="50">
        <v>2773.75</v>
      </c>
      <c r="D1627" s="51">
        <v>25228491.525456998</v>
      </c>
      <c r="E1627" s="51">
        <v>1826194444</v>
      </c>
      <c r="F1627" s="52">
        <f t="shared" si="54"/>
        <v>7.1952404802677651E-3</v>
      </c>
      <c r="G1627" s="52">
        <f t="shared" si="55"/>
        <v>-2.1284228000868419E-3</v>
      </c>
    </row>
    <row r="1628" spans="1:7" ht="15" customHeight="1" x14ac:dyDescent="0.2">
      <c r="A1628" s="19" t="s">
        <v>1775</v>
      </c>
      <c r="B1628" s="50">
        <v>94.289400000000001</v>
      </c>
      <c r="C1628" s="50">
        <v>2762.59</v>
      </c>
      <c r="D1628" s="51">
        <v>30648393.897627</v>
      </c>
      <c r="E1628" s="51">
        <v>2034150000</v>
      </c>
      <c r="F1628" s="52">
        <f t="shared" si="54"/>
        <v>0</v>
      </c>
      <c r="G1628" s="52">
        <f t="shared" si="55"/>
        <v>-4.0315497659651062E-3</v>
      </c>
    </row>
    <row r="1629" spans="1:7" ht="15" customHeight="1" x14ac:dyDescent="0.2">
      <c r="A1629" s="19" t="s">
        <v>1776</v>
      </c>
      <c r="B1629" s="50">
        <v>95.2376</v>
      </c>
      <c r="C1629" s="50">
        <v>2767.32</v>
      </c>
      <c r="D1629" s="51">
        <v>28003937.376568999</v>
      </c>
      <c r="E1629" s="51">
        <v>1848666667</v>
      </c>
      <c r="F1629" s="52">
        <f t="shared" si="54"/>
        <v>1.0006045694920087E-2</v>
      </c>
      <c r="G1629" s="52">
        <f t="shared" si="55"/>
        <v>1.7106973363122029E-3</v>
      </c>
    </row>
    <row r="1630" spans="1:7" ht="15" customHeight="1" x14ac:dyDescent="0.2">
      <c r="A1630" s="19" t="s">
        <v>1777</v>
      </c>
      <c r="B1630" s="50">
        <v>94.552999999999997</v>
      </c>
      <c r="C1630" s="50">
        <v>2749.76</v>
      </c>
      <c r="D1630" s="51">
        <v>24813632.257557999</v>
      </c>
      <c r="E1630" s="51">
        <v>1833366667</v>
      </c>
      <c r="F1630" s="52">
        <f t="shared" si="54"/>
        <v>-7.2142979602483224E-3</v>
      </c>
      <c r="G1630" s="52">
        <f t="shared" si="55"/>
        <v>-6.3657076922923536E-3</v>
      </c>
    </row>
    <row r="1631" spans="1:7" ht="15" customHeight="1" x14ac:dyDescent="0.2">
      <c r="A1631" s="19" t="s">
        <v>1778</v>
      </c>
      <c r="B1631" s="50">
        <v>93.878</v>
      </c>
      <c r="C1631" s="50">
        <v>2754.88</v>
      </c>
      <c r="D1631" s="51">
        <v>41633579.782476</v>
      </c>
      <c r="E1631" s="51">
        <v>3028083333</v>
      </c>
      <c r="F1631" s="52">
        <f t="shared" si="54"/>
        <v>-7.1644568810722044E-3</v>
      </c>
      <c r="G1631" s="52">
        <f t="shared" si="55"/>
        <v>1.8602493447316098E-3</v>
      </c>
    </row>
    <row r="1632" spans="1:7" ht="15" customHeight="1" x14ac:dyDescent="0.2">
      <c r="A1632" s="19" t="s">
        <v>1779</v>
      </c>
      <c r="B1632" s="50">
        <v>91.984200000000001</v>
      </c>
      <c r="C1632" s="50">
        <v>2717.07</v>
      </c>
      <c r="D1632" s="51">
        <v>37900791.355471</v>
      </c>
      <c r="E1632" s="51">
        <v>2030600000</v>
      </c>
      <c r="F1632" s="52">
        <f t="shared" si="54"/>
        <v>-2.0379243794066353E-2</v>
      </c>
      <c r="G1632" s="52">
        <f t="shared" si="55"/>
        <v>-1.3819790665146471E-2</v>
      </c>
    </row>
    <row r="1633" spans="1:7" ht="15" customHeight="1" x14ac:dyDescent="0.2">
      <c r="A1633" s="19" t="s">
        <v>1780</v>
      </c>
      <c r="B1633" s="50">
        <v>92.628699999999995</v>
      </c>
      <c r="C1633" s="50">
        <v>2723.06</v>
      </c>
      <c r="D1633" s="51">
        <v>28770278.503079999</v>
      </c>
      <c r="E1633" s="51">
        <v>1975050000</v>
      </c>
      <c r="F1633" s="52">
        <f t="shared" si="54"/>
        <v>6.9822056675708701E-3</v>
      </c>
      <c r="G1633" s="52">
        <f t="shared" si="55"/>
        <v>2.2021541473088704E-3</v>
      </c>
    </row>
    <row r="1634" spans="1:7" ht="15" customHeight="1" x14ac:dyDescent="0.2">
      <c r="A1634" s="19" t="s">
        <v>1781</v>
      </c>
      <c r="B1634" s="50">
        <v>91.19</v>
      </c>
      <c r="C1634" s="50">
        <v>2699.63</v>
      </c>
      <c r="D1634" s="51">
        <v>33477902.461325999</v>
      </c>
      <c r="E1634" s="51">
        <v>2097827778</v>
      </c>
      <c r="F1634" s="52">
        <f t="shared" si="54"/>
        <v>-1.5653786891749226E-2</v>
      </c>
      <c r="G1634" s="52">
        <f t="shared" si="55"/>
        <v>-8.6415213868015241E-3</v>
      </c>
    </row>
    <row r="1635" spans="1:7" ht="15" customHeight="1" x14ac:dyDescent="0.2">
      <c r="A1635" s="19" t="s">
        <v>1782</v>
      </c>
      <c r="B1635" s="50">
        <v>92.209599999999995</v>
      </c>
      <c r="C1635" s="50">
        <v>2716.31</v>
      </c>
      <c r="D1635" s="51">
        <v>28506536.828272</v>
      </c>
      <c r="E1635" s="51">
        <v>1904522222</v>
      </c>
      <c r="F1635" s="52">
        <f t="shared" si="54"/>
        <v>1.1119004671763705E-2</v>
      </c>
      <c r="G1635" s="52">
        <f t="shared" si="55"/>
        <v>6.1596150392206625E-3</v>
      </c>
    </row>
    <row r="1636" spans="1:7" ht="15" customHeight="1" x14ac:dyDescent="0.2">
      <c r="A1636" s="19" t="s">
        <v>1783</v>
      </c>
      <c r="B1636" s="50">
        <v>92.190299999999993</v>
      </c>
      <c r="C1636" s="50">
        <v>2718.37</v>
      </c>
      <c r="D1636" s="51">
        <v>30006744.596292999</v>
      </c>
      <c r="E1636" s="51">
        <v>1980900000</v>
      </c>
      <c r="F1636" s="52">
        <f t="shared" si="54"/>
        <v>-2.0932766308960293E-4</v>
      </c>
      <c r="G1636" s="52">
        <f t="shared" si="55"/>
        <v>7.5809434912754855E-4</v>
      </c>
    </row>
    <row r="1637" spans="1:7" ht="15" customHeight="1" x14ac:dyDescent="0.2">
      <c r="A1637" s="19" t="s">
        <v>1784</v>
      </c>
      <c r="B1637" s="50">
        <v>93.503</v>
      </c>
      <c r="C1637" s="50">
        <v>2726.71</v>
      </c>
      <c r="D1637" s="51">
        <v>20926931.214166</v>
      </c>
      <c r="E1637" s="51">
        <v>1707583333</v>
      </c>
      <c r="F1637" s="52">
        <f t="shared" si="54"/>
        <v>1.413860238715986E-2</v>
      </c>
      <c r="G1637" s="52">
        <f t="shared" si="55"/>
        <v>3.0633182696388058E-3</v>
      </c>
    </row>
    <row r="1638" spans="1:7" ht="15" customHeight="1" x14ac:dyDescent="0.2">
      <c r="A1638" s="19" t="s">
        <v>1785</v>
      </c>
      <c r="B1638" s="50">
        <v>92.6023</v>
      </c>
      <c r="C1638" s="50">
        <v>2713.22</v>
      </c>
      <c r="D1638" s="51">
        <v>15691863.835208001</v>
      </c>
      <c r="E1638" s="51">
        <v>1061927778</v>
      </c>
      <c r="F1638" s="52">
        <f t="shared" si="54"/>
        <v>-9.6795419847737554E-3</v>
      </c>
      <c r="G1638" s="52">
        <f t="shared" si="55"/>
        <v>-4.959632808581322E-3</v>
      </c>
    </row>
    <row r="1639" spans="1:7" ht="15" customHeight="1" x14ac:dyDescent="0.2">
      <c r="A1639" s="19" t="s">
        <v>1786</v>
      </c>
      <c r="B1639" s="50">
        <v>93.264600000000002</v>
      </c>
      <c r="C1639" s="50">
        <v>2736.61</v>
      </c>
      <c r="D1639" s="51">
        <v>20298924.288463</v>
      </c>
      <c r="E1639" s="51">
        <v>1640788889</v>
      </c>
      <c r="F1639" s="52">
        <f t="shared" si="54"/>
        <v>7.1266352763546606E-3</v>
      </c>
      <c r="G1639" s="52">
        <f t="shared" si="55"/>
        <v>8.5838066940842651E-3</v>
      </c>
    </row>
    <row r="1640" spans="1:7" ht="15" customHeight="1" x14ac:dyDescent="0.2">
      <c r="A1640" s="19" t="s">
        <v>1787</v>
      </c>
      <c r="B1640" s="50">
        <v>94.571399999999997</v>
      </c>
      <c r="C1640" s="50">
        <v>2759.82</v>
      </c>
      <c r="D1640" s="51">
        <v>20574063.105900001</v>
      </c>
      <c r="E1640" s="51">
        <v>1419322222</v>
      </c>
      <c r="F1640" s="52">
        <f t="shared" si="54"/>
        <v>1.3914490133856684E-2</v>
      </c>
      <c r="G1640" s="52">
        <f t="shared" si="55"/>
        <v>8.4455320847041989E-3</v>
      </c>
    </row>
    <row r="1641" spans="1:7" ht="15" customHeight="1" x14ac:dyDescent="0.2">
      <c r="A1641" s="19" t="s">
        <v>1788</v>
      </c>
      <c r="B1641" s="50">
        <v>95.218100000000007</v>
      </c>
      <c r="C1641" s="50">
        <v>2784.17</v>
      </c>
      <c r="D1641" s="51">
        <v>19480201.558618002</v>
      </c>
      <c r="E1641" s="51">
        <v>1694466667</v>
      </c>
      <c r="F1641" s="52">
        <f t="shared" si="54"/>
        <v>6.8149450092273144E-3</v>
      </c>
      <c r="G1641" s="52">
        <f t="shared" si="55"/>
        <v>8.7843436152737018E-3</v>
      </c>
    </row>
    <row r="1642" spans="1:7" ht="15" customHeight="1" x14ac:dyDescent="0.2">
      <c r="A1642" s="19" t="s">
        <v>1789</v>
      </c>
      <c r="B1642" s="50">
        <v>95.478800000000007</v>
      </c>
      <c r="C1642" s="50">
        <v>2793.84</v>
      </c>
      <c r="D1642" s="51">
        <v>20636649.103824001</v>
      </c>
      <c r="E1642" s="51">
        <v>1702138889</v>
      </c>
      <c r="F1642" s="52">
        <f t="shared" si="54"/>
        <v>2.7341835384932524E-3</v>
      </c>
      <c r="G1642" s="52">
        <f t="shared" si="55"/>
        <v>3.4671897996766143E-3</v>
      </c>
    </row>
    <row r="1643" spans="1:7" ht="15" customHeight="1" x14ac:dyDescent="0.2">
      <c r="A1643" s="19" t="s">
        <v>1790</v>
      </c>
      <c r="B1643" s="50">
        <v>95.341099999999997</v>
      </c>
      <c r="C1643" s="50">
        <v>2774.02</v>
      </c>
      <c r="D1643" s="51">
        <v>21012637.071488999</v>
      </c>
      <c r="E1643" s="51">
        <v>1647077778</v>
      </c>
      <c r="F1643" s="52">
        <f t="shared" si="54"/>
        <v>-1.4432459497354406E-3</v>
      </c>
      <c r="G1643" s="52">
        <f t="shared" si="55"/>
        <v>-7.1194619539736125E-3</v>
      </c>
    </row>
    <row r="1644" spans="1:7" ht="15" customHeight="1" x14ac:dyDescent="0.2">
      <c r="A1644" s="19" t="s">
        <v>1791</v>
      </c>
      <c r="B1644" s="50">
        <v>97.409899999999993</v>
      </c>
      <c r="C1644" s="50">
        <v>2798.29</v>
      </c>
      <c r="D1644" s="51">
        <v>26030598.712026998</v>
      </c>
      <c r="E1644" s="51">
        <v>1567605556</v>
      </c>
      <c r="F1644" s="52">
        <f t="shared" si="54"/>
        <v>2.1466860828860429E-2</v>
      </c>
      <c r="G1644" s="52">
        <f t="shared" si="55"/>
        <v>8.7109846615288089E-3</v>
      </c>
    </row>
    <row r="1645" spans="1:7" ht="15" customHeight="1" x14ac:dyDescent="0.2">
      <c r="A1645" s="19" t="s">
        <v>1792</v>
      </c>
      <c r="B1645" s="50">
        <v>98.582300000000004</v>
      </c>
      <c r="C1645" s="50">
        <v>2801.31</v>
      </c>
      <c r="D1645" s="51">
        <v>26370287.210425001</v>
      </c>
      <c r="E1645" s="51">
        <v>1452222222</v>
      </c>
      <c r="F1645" s="52">
        <f t="shared" si="54"/>
        <v>1.1963884115894092E-2</v>
      </c>
      <c r="G1645" s="52">
        <f t="shared" si="55"/>
        <v>1.0786485794734959E-3</v>
      </c>
    </row>
    <row r="1646" spans="1:7" ht="15" customHeight="1" x14ac:dyDescent="0.2">
      <c r="A1646" s="19" t="s">
        <v>1793</v>
      </c>
      <c r="B1646" s="50">
        <v>98.093999999999994</v>
      </c>
      <c r="C1646" s="50">
        <v>2798.43</v>
      </c>
      <c r="D1646" s="51">
        <v>23304081.125934999</v>
      </c>
      <c r="E1646" s="51">
        <v>1562350000</v>
      </c>
      <c r="F1646" s="52">
        <f t="shared" si="54"/>
        <v>-4.9655296882549511E-3</v>
      </c>
      <c r="G1646" s="52">
        <f t="shared" si="55"/>
        <v>-1.0286192765856391E-3</v>
      </c>
    </row>
    <row r="1647" spans="1:7" ht="15" customHeight="1" x14ac:dyDescent="0.2">
      <c r="A1647" s="19" t="s">
        <v>1794</v>
      </c>
      <c r="B1647" s="50">
        <v>99.031199999999998</v>
      </c>
      <c r="C1647" s="50">
        <v>2809.55</v>
      </c>
      <c r="D1647" s="51">
        <v>27705437.078671001</v>
      </c>
      <c r="E1647" s="51">
        <v>1694850000</v>
      </c>
      <c r="F1647" s="52">
        <f t="shared" si="54"/>
        <v>9.5087493786034372E-3</v>
      </c>
      <c r="G1647" s="52">
        <f t="shared" si="55"/>
        <v>3.9657825363438081E-3</v>
      </c>
    </row>
    <row r="1648" spans="1:7" ht="15" customHeight="1" x14ac:dyDescent="0.2">
      <c r="A1648" s="19" t="s">
        <v>1795</v>
      </c>
      <c r="B1648" s="50">
        <v>98.298199999999994</v>
      </c>
      <c r="C1648" s="50">
        <v>2815.62</v>
      </c>
      <c r="D1648" s="51">
        <v>31547786.323764</v>
      </c>
      <c r="E1648" s="51">
        <v>1716544444</v>
      </c>
      <c r="F1648" s="52">
        <f t="shared" si="54"/>
        <v>-7.429236306430183E-3</v>
      </c>
      <c r="G1648" s="52">
        <f t="shared" si="55"/>
        <v>2.1581578355824118E-3</v>
      </c>
    </row>
    <row r="1649" spans="1:7" ht="15" customHeight="1" x14ac:dyDescent="0.2">
      <c r="A1649" s="19" t="s">
        <v>1796</v>
      </c>
      <c r="B1649" s="50">
        <v>97.615099999999998</v>
      </c>
      <c r="C1649" s="50">
        <v>2804.49</v>
      </c>
      <c r="D1649" s="51">
        <v>42969065.463045001</v>
      </c>
      <c r="E1649" s="51">
        <v>1814833333</v>
      </c>
      <c r="F1649" s="52">
        <f t="shared" si="54"/>
        <v>-6.9735211265425099E-3</v>
      </c>
      <c r="G1649" s="52">
        <f t="shared" si="55"/>
        <v>-3.9607817464154278E-3</v>
      </c>
    </row>
    <row r="1650" spans="1:7" ht="15" customHeight="1" x14ac:dyDescent="0.2">
      <c r="A1650" s="19" t="s">
        <v>1797</v>
      </c>
      <c r="B1650" s="50">
        <v>99.324299999999994</v>
      </c>
      <c r="C1650" s="50">
        <v>2801.83</v>
      </c>
      <c r="D1650" s="51">
        <v>59941183.066014998</v>
      </c>
      <c r="E1650" s="51">
        <v>1794561111</v>
      </c>
      <c r="F1650" s="52">
        <f t="shared" si="54"/>
        <v>1.735805953776217E-2</v>
      </c>
      <c r="G1650" s="52">
        <f t="shared" si="55"/>
        <v>-9.489291369751974E-4</v>
      </c>
    </row>
    <row r="1651" spans="1:7" ht="15" customHeight="1" x14ac:dyDescent="0.2">
      <c r="A1651" s="19" t="s">
        <v>1798</v>
      </c>
      <c r="B1651" s="50">
        <v>100.95699999999999</v>
      </c>
      <c r="C1651" s="50">
        <v>2806.98</v>
      </c>
      <c r="D1651" s="51">
        <v>31775648.294707999</v>
      </c>
      <c r="E1651" s="51">
        <v>1615238889</v>
      </c>
      <c r="F1651" s="52">
        <f t="shared" si="54"/>
        <v>1.6304429508177704E-2</v>
      </c>
      <c r="G1651" s="52">
        <f t="shared" si="55"/>
        <v>1.8363971848938719E-3</v>
      </c>
    </row>
    <row r="1652" spans="1:7" ht="15" customHeight="1" x14ac:dyDescent="0.2">
      <c r="A1652" s="19" t="s">
        <v>1799</v>
      </c>
      <c r="B1652" s="50">
        <v>100.663</v>
      </c>
      <c r="C1652" s="50">
        <v>2820.4</v>
      </c>
      <c r="D1652" s="51">
        <v>28149220.230542999</v>
      </c>
      <c r="E1652" s="51">
        <v>1898627778</v>
      </c>
      <c r="F1652" s="52">
        <f t="shared" si="54"/>
        <v>-2.9163794105649451E-3</v>
      </c>
      <c r="G1652" s="52">
        <f t="shared" si="55"/>
        <v>4.7695465529177935E-3</v>
      </c>
    </row>
    <row r="1653" spans="1:7" ht="15" customHeight="1" x14ac:dyDescent="0.2">
      <c r="A1653" s="19" t="s">
        <v>1800</v>
      </c>
      <c r="B1653" s="50">
        <v>103.622</v>
      </c>
      <c r="C1653" s="50">
        <v>2846.07</v>
      </c>
      <c r="D1653" s="51">
        <v>32942734.333361</v>
      </c>
      <c r="E1653" s="51">
        <v>1973894444</v>
      </c>
      <c r="F1653" s="52">
        <f t="shared" si="54"/>
        <v>2.8971358291225133E-2</v>
      </c>
      <c r="G1653" s="52">
        <f t="shared" si="55"/>
        <v>9.060376426541358E-3</v>
      </c>
    </row>
    <row r="1654" spans="1:7" ht="15" customHeight="1" x14ac:dyDescent="0.2">
      <c r="A1654" s="19" t="s">
        <v>1801</v>
      </c>
      <c r="B1654" s="50">
        <v>102.48699999999999</v>
      </c>
      <c r="C1654" s="50">
        <v>2837.44</v>
      </c>
      <c r="D1654" s="51">
        <v>33556756.928200997</v>
      </c>
      <c r="E1654" s="51">
        <v>2029627778</v>
      </c>
      <c r="F1654" s="52">
        <f t="shared" si="54"/>
        <v>-1.1013701226902912E-2</v>
      </c>
      <c r="G1654" s="52">
        <f t="shared" si="55"/>
        <v>-3.0368580797846918E-3</v>
      </c>
    </row>
    <row r="1655" spans="1:7" ht="15" customHeight="1" x14ac:dyDescent="0.2">
      <c r="A1655" s="19" t="s">
        <v>1802</v>
      </c>
      <c r="B1655" s="50">
        <v>100.681</v>
      </c>
      <c r="C1655" s="50">
        <v>2818.82</v>
      </c>
      <c r="D1655" s="51">
        <v>39582215.943686999</v>
      </c>
      <c r="E1655" s="51">
        <v>1897616667</v>
      </c>
      <c r="F1655" s="52">
        <f t="shared" si="54"/>
        <v>-1.7778858589592914E-2</v>
      </c>
      <c r="G1655" s="52">
        <f t="shared" si="55"/>
        <v>-6.5838795461225143E-3</v>
      </c>
    </row>
    <row r="1656" spans="1:7" ht="15" customHeight="1" x14ac:dyDescent="0.2">
      <c r="A1656" s="19" t="s">
        <v>1803</v>
      </c>
      <c r="B1656" s="50">
        <v>98.534000000000006</v>
      </c>
      <c r="C1656" s="50">
        <v>2802.6</v>
      </c>
      <c r="D1656" s="51">
        <v>37082513.986483</v>
      </c>
      <c r="E1656" s="51">
        <v>1803205556</v>
      </c>
      <c r="F1656" s="52">
        <f t="shared" si="54"/>
        <v>-2.1555436394152291E-2</v>
      </c>
      <c r="G1656" s="52">
        <f t="shared" si="55"/>
        <v>-5.7707999094024024E-3</v>
      </c>
    </row>
    <row r="1657" spans="1:7" ht="15" customHeight="1" x14ac:dyDescent="0.2">
      <c r="A1657" s="19" t="s">
        <v>1804</v>
      </c>
      <c r="B1657" s="50">
        <v>99.147800000000004</v>
      </c>
      <c r="C1657" s="50">
        <v>2816.29</v>
      </c>
      <c r="D1657" s="51">
        <v>29580964.261165</v>
      </c>
      <c r="E1657" s="51">
        <v>2162277778</v>
      </c>
      <c r="F1657" s="52">
        <f t="shared" si="54"/>
        <v>6.2099998335946342E-3</v>
      </c>
      <c r="G1657" s="52">
        <f t="shared" si="55"/>
        <v>4.8728581939806326E-3</v>
      </c>
    </row>
    <row r="1658" spans="1:7" ht="15" customHeight="1" x14ac:dyDescent="0.2">
      <c r="A1658" s="19" t="s">
        <v>1805</v>
      </c>
      <c r="B1658" s="50">
        <v>99.334199999999996</v>
      </c>
      <c r="C1658" s="50">
        <v>2813.36</v>
      </c>
      <c r="D1658" s="51">
        <v>25274124.120147001</v>
      </c>
      <c r="E1658" s="51">
        <v>1942772222</v>
      </c>
      <c r="F1658" s="52">
        <f t="shared" si="54"/>
        <v>1.8782565149405184E-3</v>
      </c>
      <c r="G1658" s="52">
        <f t="shared" si="55"/>
        <v>-1.0409173801414606E-3</v>
      </c>
    </row>
    <row r="1659" spans="1:7" ht="15" customHeight="1" x14ac:dyDescent="0.2">
      <c r="A1659" s="19" t="s">
        <v>1806</v>
      </c>
      <c r="B1659" s="50">
        <v>100.575</v>
      </c>
      <c r="C1659" s="50">
        <v>2827.22</v>
      </c>
      <c r="D1659" s="51">
        <v>27922071.860785</v>
      </c>
      <c r="E1659" s="51">
        <v>1926322222</v>
      </c>
      <c r="F1659" s="52">
        <f t="shared" si="54"/>
        <v>1.2413795204403631E-2</v>
      </c>
      <c r="G1659" s="52">
        <f t="shared" si="55"/>
        <v>4.914398127409042E-3</v>
      </c>
    </row>
    <row r="1660" spans="1:7" ht="15" customHeight="1" x14ac:dyDescent="0.2">
      <c r="A1660" s="19" t="s">
        <v>1807</v>
      </c>
      <c r="B1660" s="50">
        <v>101.024</v>
      </c>
      <c r="C1660" s="50">
        <v>2840.35</v>
      </c>
      <c r="D1660" s="51">
        <v>19958990.073732998</v>
      </c>
      <c r="E1660" s="51">
        <v>1683550000</v>
      </c>
      <c r="F1660" s="52">
        <f t="shared" si="54"/>
        <v>4.4543945397292903E-3</v>
      </c>
      <c r="G1660" s="52">
        <f t="shared" si="55"/>
        <v>4.6333873211502116E-3</v>
      </c>
    </row>
    <row r="1661" spans="1:7" ht="15" customHeight="1" x14ac:dyDescent="0.2">
      <c r="A1661" s="19" t="s">
        <v>1808</v>
      </c>
      <c r="B1661" s="50">
        <v>101.11</v>
      </c>
      <c r="C1661" s="50">
        <v>2850.4</v>
      </c>
      <c r="D1661" s="51">
        <v>21677201.468610998</v>
      </c>
      <c r="E1661" s="51">
        <v>1596966667</v>
      </c>
      <c r="F1661" s="52">
        <f t="shared" si="54"/>
        <v>8.5092072772648337E-4</v>
      </c>
      <c r="G1661" s="52">
        <f t="shared" si="55"/>
        <v>3.5320512931104955E-3</v>
      </c>
    </row>
    <row r="1662" spans="1:7" ht="15" customHeight="1" x14ac:dyDescent="0.2">
      <c r="A1662" s="19" t="s">
        <v>1809</v>
      </c>
      <c r="B1662" s="50">
        <v>101.776</v>
      </c>
      <c r="C1662" s="50">
        <v>2858.45</v>
      </c>
      <c r="D1662" s="51">
        <v>17199985.716821</v>
      </c>
      <c r="E1662" s="51">
        <v>1757094444</v>
      </c>
      <c r="F1662" s="52">
        <f t="shared" si="54"/>
        <v>6.5652868331407847E-3</v>
      </c>
      <c r="G1662" s="52">
        <f t="shared" si="55"/>
        <v>2.8201845679715165E-3</v>
      </c>
    </row>
    <row r="1663" spans="1:7" ht="15" customHeight="1" x14ac:dyDescent="0.2">
      <c r="A1663" s="19" t="s">
        <v>1810</v>
      </c>
      <c r="B1663" s="50">
        <v>102.363</v>
      </c>
      <c r="C1663" s="50">
        <v>2857.7</v>
      </c>
      <c r="D1663" s="51">
        <v>16565999.693657</v>
      </c>
      <c r="E1663" s="51">
        <v>1651222222</v>
      </c>
      <c r="F1663" s="52">
        <f t="shared" si="54"/>
        <v>5.7509992492230299E-3</v>
      </c>
      <c r="G1663" s="52">
        <f t="shared" si="55"/>
        <v>-2.6241438881196129E-4</v>
      </c>
    </row>
    <row r="1664" spans="1:7" ht="15" customHeight="1" x14ac:dyDescent="0.2">
      <c r="A1664" s="19" t="s">
        <v>1811</v>
      </c>
      <c r="B1664" s="50">
        <v>102.53700000000001</v>
      </c>
      <c r="C1664" s="50">
        <v>2853.58</v>
      </c>
      <c r="D1664" s="51">
        <v>14629647.480299</v>
      </c>
      <c r="E1664" s="51">
        <v>1692805556</v>
      </c>
      <c r="F1664" s="52">
        <f t="shared" si="54"/>
        <v>1.6983898665267367E-3</v>
      </c>
      <c r="G1664" s="52">
        <f t="shared" si="55"/>
        <v>-1.4427591414417902E-3</v>
      </c>
    </row>
    <row r="1665" spans="1:7" ht="15" customHeight="1" x14ac:dyDescent="0.2">
      <c r="A1665" s="19" t="s">
        <v>1812</v>
      </c>
      <c r="B1665" s="50">
        <v>101.88500000000001</v>
      </c>
      <c r="C1665" s="50">
        <v>2833.28</v>
      </c>
      <c r="D1665" s="51">
        <v>19449977.42571</v>
      </c>
      <c r="E1665" s="51">
        <v>1808911111</v>
      </c>
      <c r="F1665" s="52">
        <f t="shared" si="54"/>
        <v>-6.3789827992982032E-3</v>
      </c>
      <c r="G1665" s="52">
        <f t="shared" si="55"/>
        <v>-7.1392952256226182E-3</v>
      </c>
    </row>
    <row r="1666" spans="1:7" ht="15" customHeight="1" x14ac:dyDescent="0.2">
      <c r="A1666" s="19" t="s">
        <v>1813</v>
      </c>
      <c r="B1666" s="50">
        <v>101.18899999999999</v>
      </c>
      <c r="C1666" s="50">
        <v>2821.93</v>
      </c>
      <c r="D1666" s="51">
        <v>19761413.664779</v>
      </c>
      <c r="E1666" s="51">
        <v>1754694444</v>
      </c>
      <c r="F1666" s="52">
        <f t="shared" si="54"/>
        <v>-6.8546709595092604E-3</v>
      </c>
      <c r="G1666" s="52">
        <f t="shared" si="55"/>
        <v>-4.0140031013779489E-3</v>
      </c>
    </row>
    <row r="1667" spans="1:7" ht="15" customHeight="1" x14ac:dyDescent="0.2">
      <c r="A1667" s="19" t="s">
        <v>1814</v>
      </c>
      <c r="B1667" s="50">
        <v>102.431</v>
      </c>
      <c r="C1667" s="50">
        <v>2839.96</v>
      </c>
      <c r="D1667" s="51">
        <v>17957396.078407001</v>
      </c>
      <c r="E1667" s="51">
        <v>1653872222</v>
      </c>
      <c r="F1667" s="52">
        <f t="shared" si="54"/>
        <v>1.2199345872212074E-2</v>
      </c>
      <c r="G1667" s="52">
        <f t="shared" si="55"/>
        <v>6.3689195466782979E-3</v>
      </c>
    </row>
    <row r="1668" spans="1:7" ht="15" customHeight="1" x14ac:dyDescent="0.2">
      <c r="A1668" s="19" t="s">
        <v>1815</v>
      </c>
      <c r="B1668" s="50">
        <v>101.053</v>
      </c>
      <c r="C1668" s="50">
        <v>2818.37</v>
      </c>
      <c r="D1668" s="51">
        <v>31947766.443815999</v>
      </c>
      <c r="E1668" s="51">
        <v>2025038889</v>
      </c>
      <c r="F1668" s="52">
        <f t="shared" si="54"/>
        <v>-1.3544269483528631E-2</v>
      </c>
      <c r="G1668" s="52">
        <f t="shared" si="55"/>
        <v>-7.6312639158579937E-3</v>
      </c>
    </row>
    <row r="1669" spans="1:7" ht="15" customHeight="1" x14ac:dyDescent="0.2">
      <c r="A1669" s="19" t="s">
        <v>1816</v>
      </c>
      <c r="B1669" s="50">
        <v>101.03400000000001</v>
      </c>
      <c r="C1669" s="50">
        <v>2840.69</v>
      </c>
      <c r="D1669" s="51">
        <v>22785734.328674</v>
      </c>
      <c r="E1669" s="51">
        <v>1788822222</v>
      </c>
      <c r="F1669" s="52">
        <f t="shared" si="54"/>
        <v>-1.8803782584705039E-4</v>
      </c>
      <c r="G1669" s="52">
        <f t="shared" si="55"/>
        <v>7.8882767591131279E-3</v>
      </c>
    </row>
    <row r="1670" spans="1:7" ht="15" customHeight="1" x14ac:dyDescent="0.2">
      <c r="A1670" s="19" t="s">
        <v>1817</v>
      </c>
      <c r="B1670" s="50">
        <v>100.977</v>
      </c>
      <c r="C1670" s="50">
        <v>2850.13</v>
      </c>
      <c r="D1670" s="51">
        <v>19245194.361443002</v>
      </c>
      <c r="E1670" s="51">
        <v>1680055556</v>
      </c>
      <c r="F1670" s="52">
        <f t="shared" ref="F1670:F1733" si="56">LN(B1670/B1669)</f>
        <v>-5.6432572001229183E-4</v>
      </c>
      <c r="G1670" s="52">
        <f t="shared" ref="G1670:G1733" si="57">LN(C1670/C1669)</f>
        <v>3.3176268652185398E-3</v>
      </c>
    </row>
    <row r="1671" spans="1:7" ht="15" customHeight="1" x14ac:dyDescent="0.2">
      <c r="A1671" s="19" t="s">
        <v>1818</v>
      </c>
      <c r="B1671" s="50">
        <v>100.29</v>
      </c>
      <c r="C1671" s="50">
        <v>2857.05</v>
      </c>
      <c r="D1671" s="51">
        <v>19088227.695787001</v>
      </c>
      <c r="E1671" s="51">
        <v>1526677778</v>
      </c>
      <c r="F1671" s="52">
        <f t="shared" si="56"/>
        <v>-6.8267790360976759E-3</v>
      </c>
      <c r="G1671" s="52">
        <f t="shared" si="57"/>
        <v>2.4250166951827559E-3</v>
      </c>
    </row>
    <row r="1672" spans="1:7" ht="15" customHeight="1" x14ac:dyDescent="0.2">
      <c r="A1672" s="19" t="s">
        <v>1819</v>
      </c>
      <c r="B1672" s="50">
        <v>99.4405</v>
      </c>
      <c r="C1672" s="50">
        <v>2862.96</v>
      </c>
      <c r="D1672" s="51">
        <v>24381451.011929002</v>
      </c>
      <c r="E1672" s="51">
        <v>1748411111</v>
      </c>
      <c r="F1672" s="52">
        <f t="shared" si="56"/>
        <v>-8.5065137526194705E-3</v>
      </c>
      <c r="G1672" s="52">
        <f t="shared" si="57"/>
        <v>2.0664306891217009E-3</v>
      </c>
    </row>
    <row r="1673" spans="1:7" ht="15" customHeight="1" x14ac:dyDescent="0.2">
      <c r="A1673" s="19" t="s">
        <v>1820</v>
      </c>
      <c r="B1673" s="50">
        <v>100.47799999999999</v>
      </c>
      <c r="C1673" s="50">
        <v>2861.82</v>
      </c>
      <c r="D1673" s="51">
        <v>19180332.415975999</v>
      </c>
      <c r="E1673" s="51">
        <v>1494200000</v>
      </c>
      <c r="F1673" s="52">
        <f t="shared" si="56"/>
        <v>1.0379322715695891E-2</v>
      </c>
      <c r="G1673" s="52">
        <f t="shared" si="57"/>
        <v>-3.9826858501759574E-4</v>
      </c>
    </row>
    <row r="1674" spans="1:7" ht="15" customHeight="1" x14ac:dyDescent="0.2">
      <c r="A1674" s="19" t="s">
        <v>1821</v>
      </c>
      <c r="B1674" s="50">
        <v>100.95699999999999</v>
      </c>
      <c r="C1674" s="50">
        <v>2856.98</v>
      </c>
      <c r="D1674" s="51">
        <v>19358367.209642999</v>
      </c>
      <c r="E1674" s="51">
        <v>1507727778</v>
      </c>
      <c r="F1674" s="52">
        <f t="shared" si="56"/>
        <v>4.7558855497077538E-3</v>
      </c>
      <c r="G1674" s="52">
        <f t="shared" si="57"/>
        <v>-1.6926632005294403E-3</v>
      </c>
    </row>
    <row r="1675" spans="1:7" ht="15" customHeight="1" x14ac:dyDescent="0.2">
      <c r="A1675" s="19" t="s">
        <v>1822</v>
      </c>
      <c r="B1675" s="50">
        <v>101.718</v>
      </c>
      <c r="C1675" s="50">
        <v>2874.69</v>
      </c>
      <c r="D1675" s="51">
        <v>18363472.011179999</v>
      </c>
      <c r="E1675" s="51">
        <v>1442327778</v>
      </c>
      <c r="F1675" s="52">
        <f t="shared" si="56"/>
        <v>7.5095949309700082E-3</v>
      </c>
      <c r="G1675" s="52">
        <f t="shared" si="57"/>
        <v>6.1797194745907722E-3</v>
      </c>
    </row>
    <row r="1676" spans="1:7" ht="15" customHeight="1" x14ac:dyDescent="0.2">
      <c r="A1676" s="19" t="s">
        <v>1823</v>
      </c>
      <c r="B1676" s="50">
        <v>102.869</v>
      </c>
      <c r="C1676" s="50">
        <v>2896.74</v>
      </c>
      <c r="D1676" s="51">
        <v>20950924.390369002</v>
      </c>
      <c r="E1676" s="51">
        <v>1585600000</v>
      </c>
      <c r="F1676" s="52">
        <f t="shared" si="56"/>
        <v>1.1252055544722042E-2</v>
      </c>
      <c r="G1676" s="52">
        <f t="shared" si="57"/>
        <v>7.6411243957242277E-3</v>
      </c>
    </row>
    <row r="1677" spans="1:7" ht="15" customHeight="1" x14ac:dyDescent="0.2">
      <c r="A1677" s="19" t="s">
        <v>1824</v>
      </c>
      <c r="B1677" s="50">
        <v>103.486</v>
      </c>
      <c r="C1677" s="50">
        <v>2897.52</v>
      </c>
      <c r="D1677" s="51">
        <v>20406647.353137001</v>
      </c>
      <c r="E1677" s="51">
        <v>1490661111</v>
      </c>
      <c r="F1677" s="52">
        <f t="shared" si="56"/>
        <v>5.9800037671176457E-3</v>
      </c>
      <c r="G1677" s="52">
        <f t="shared" si="57"/>
        <v>2.6923196567344023E-4</v>
      </c>
    </row>
    <row r="1678" spans="1:7" ht="15" customHeight="1" x14ac:dyDescent="0.2">
      <c r="A1678" s="19" t="s">
        <v>1825</v>
      </c>
      <c r="B1678" s="50">
        <v>105.146</v>
      </c>
      <c r="C1678" s="50">
        <v>2914.04</v>
      </c>
      <c r="D1678" s="51">
        <v>22182378.894184999</v>
      </c>
      <c r="E1678" s="51">
        <v>1551033333</v>
      </c>
      <c r="F1678" s="52">
        <f t="shared" si="56"/>
        <v>1.591352267546382E-2</v>
      </c>
      <c r="G1678" s="52">
        <f t="shared" si="57"/>
        <v>5.6852358046606769E-3</v>
      </c>
    </row>
    <row r="1679" spans="1:7" ht="15" customHeight="1" x14ac:dyDescent="0.2">
      <c r="A1679" s="19" t="s">
        <v>1826</v>
      </c>
      <c r="B1679" s="50">
        <v>105.078</v>
      </c>
      <c r="C1679" s="50">
        <v>2901.13</v>
      </c>
      <c r="D1679" s="51">
        <v>24292844.678045999</v>
      </c>
      <c r="E1679" s="51">
        <v>1556766667</v>
      </c>
      <c r="F1679" s="52">
        <f t="shared" si="56"/>
        <v>-6.4692901259225805E-4</v>
      </c>
      <c r="G1679" s="52">
        <f t="shared" si="57"/>
        <v>-4.4401182457849643E-3</v>
      </c>
    </row>
    <row r="1680" spans="1:7" ht="15" customHeight="1" x14ac:dyDescent="0.2">
      <c r="A1680" s="19" t="s">
        <v>1827</v>
      </c>
      <c r="B1680" s="50">
        <v>105.40900000000001</v>
      </c>
      <c r="C1680" s="50">
        <v>2901.52</v>
      </c>
      <c r="D1680" s="51">
        <v>24744641.253860999</v>
      </c>
      <c r="E1680" s="51">
        <v>1600144444</v>
      </c>
      <c r="F1680" s="52">
        <f t="shared" si="56"/>
        <v>3.1450899375543512E-3</v>
      </c>
      <c r="G1680" s="52">
        <f t="shared" si="57"/>
        <v>1.3442134217546059E-4</v>
      </c>
    </row>
    <row r="1681" spans="1:7" ht="15" customHeight="1" x14ac:dyDescent="0.2">
      <c r="A1681" s="19" t="s">
        <v>1828</v>
      </c>
      <c r="B1681" s="50">
        <v>104.84399999999999</v>
      </c>
      <c r="C1681" s="50">
        <v>2896.72</v>
      </c>
      <c r="D1681" s="51">
        <v>24118029.792171001</v>
      </c>
      <c r="E1681" s="51">
        <v>1709477778</v>
      </c>
      <c r="F1681" s="52">
        <f t="shared" si="56"/>
        <v>-5.3744903521789717E-3</v>
      </c>
      <c r="G1681" s="52">
        <f t="shared" si="57"/>
        <v>-1.6556752036839839E-3</v>
      </c>
    </row>
    <row r="1682" spans="1:7" ht="15" customHeight="1" x14ac:dyDescent="0.2">
      <c r="A1682" s="19" t="s">
        <v>1829</v>
      </c>
      <c r="B1682" s="50">
        <v>101.80500000000001</v>
      </c>
      <c r="C1682" s="50">
        <v>2888.6</v>
      </c>
      <c r="D1682" s="51">
        <v>35026681.181865998</v>
      </c>
      <c r="E1682" s="51">
        <v>1800694444</v>
      </c>
      <c r="F1682" s="52">
        <f t="shared" si="56"/>
        <v>-2.9414312280126417E-2</v>
      </c>
      <c r="G1682" s="52">
        <f t="shared" si="57"/>
        <v>-2.8071067225424913E-3</v>
      </c>
    </row>
    <row r="1683" spans="1:7" ht="15" customHeight="1" x14ac:dyDescent="0.2">
      <c r="A1683" s="19" t="s">
        <v>1830</v>
      </c>
      <c r="B1683" s="50">
        <v>102.039</v>
      </c>
      <c r="C1683" s="50">
        <v>2878.05</v>
      </c>
      <c r="D1683" s="51">
        <v>25016258.137176</v>
      </c>
      <c r="E1683" s="51">
        <v>1744216667</v>
      </c>
      <c r="F1683" s="52">
        <f t="shared" si="56"/>
        <v>2.2958743233574574E-3</v>
      </c>
      <c r="G1683" s="52">
        <f t="shared" si="57"/>
        <v>-3.6589741948485021E-3</v>
      </c>
    </row>
    <row r="1684" spans="1:7" ht="15" customHeight="1" x14ac:dyDescent="0.2">
      <c r="A1684" s="19" t="s">
        <v>1831</v>
      </c>
      <c r="B1684" s="50">
        <v>101.56</v>
      </c>
      <c r="C1684" s="50">
        <v>2871.68</v>
      </c>
      <c r="D1684" s="51">
        <v>23973122.679428</v>
      </c>
      <c r="E1684" s="51">
        <v>1636816667</v>
      </c>
      <c r="F1684" s="52">
        <f t="shared" si="56"/>
        <v>-4.7053363107112164E-3</v>
      </c>
      <c r="G1684" s="52">
        <f t="shared" si="57"/>
        <v>-2.2157571246540649E-3</v>
      </c>
    </row>
    <row r="1685" spans="1:7" ht="15" customHeight="1" x14ac:dyDescent="0.2">
      <c r="A1685" s="19" t="s">
        <v>1832</v>
      </c>
      <c r="B1685" s="50">
        <v>102.65600000000001</v>
      </c>
      <c r="C1685" s="50">
        <v>2877.13</v>
      </c>
      <c r="D1685" s="51">
        <v>22086334.522105001</v>
      </c>
      <c r="E1685" s="51">
        <v>1517444444</v>
      </c>
      <c r="F1685" s="52">
        <f t="shared" si="56"/>
        <v>1.0733835967516989E-2</v>
      </c>
      <c r="G1685" s="52">
        <f t="shared" si="57"/>
        <v>1.8960451407243311E-3</v>
      </c>
    </row>
    <row r="1686" spans="1:7" ht="15" customHeight="1" x14ac:dyDescent="0.2">
      <c r="A1686" s="19" t="s">
        <v>1833</v>
      </c>
      <c r="B1686" s="50">
        <v>104.39400000000001</v>
      </c>
      <c r="C1686" s="50">
        <v>2887.89</v>
      </c>
      <c r="D1686" s="51">
        <v>25894420.672049999</v>
      </c>
      <c r="E1686" s="51">
        <v>1610922222</v>
      </c>
      <c r="F1686" s="52">
        <f t="shared" si="56"/>
        <v>1.6788609728639478E-2</v>
      </c>
      <c r="G1686" s="52">
        <f t="shared" si="57"/>
        <v>3.7328621563787081E-3</v>
      </c>
    </row>
    <row r="1687" spans="1:7" ht="15" customHeight="1" x14ac:dyDescent="0.2">
      <c r="A1687" s="19" t="s">
        <v>1834</v>
      </c>
      <c r="B1687" s="50">
        <v>104.84399999999999</v>
      </c>
      <c r="C1687" s="50">
        <v>2888.92</v>
      </c>
      <c r="D1687" s="51">
        <v>20129114.849079002</v>
      </c>
      <c r="E1687" s="51">
        <v>1813850000</v>
      </c>
      <c r="F1687" s="52">
        <f t="shared" si="56"/>
        <v>4.3013285713236291E-3</v>
      </c>
      <c r="G1687" s="52">
        <f t="shared" si="57"/>
        <v>3.5659819551439804E-4</v>
      </c>
    </row>
    <row r="1688" spans="1:7" ht="15" customHeight="1" x14ac:dyDescent="0.2">
      <c r="A1688" s="19" t="s">
        <v>1835</v>
      </c>
      <c r="B1688" s="50">
        <v>105.95699999999999</v>
      </c>
      <c r="C1688" s="50">
        <v>2904.18</v>
      </c>
      <c r="D1688" s="51">
        <v>27763207.036446001</v>
      </c>
      <c r="E1688" s="51">
        <v>1808294444</v>
      </c>
      <c r="F1688" s="52">
        <f t="shared" si="56"/>
        <v>1.0559820328321314E-2</v>
      </c>
      <c r="G1688" s="52">
        <f t="shared" si="57"/>
        <v>5.2683486546839242E-3</v>
      </c>
    </row>
    <row r="1689" spans="1:7" ht="15" customHeight="1" x14ac:dyDescent="0.2">
      <c r="A1689" s="19" t="s">
        <v>1836</v>
      </c>
      <c r="B1689" s="50">
        <v>106.396</v>
      </c>
      <c r="C1689" s="50">
        <v>2904.98</v>
      </c>
      <c r="D1689" s="51">
        <v>20375556.046333</v>
      </c>
      <c r="E1689" s="51">
        <v>1749888889</v>
      </c>
      <c r="F1689" s="52">
        <f t="shared" si="56"/>
        <v>4.1346307836310457E-3</v>
      </c>
      <c r="G1689" s="52">
        <f t="shared" si="57"/>
        <v>2.7542708586353852E-4</v>
      </c>
    </row>
    <row r="1690" spans="1:7" ht="15" customHeight="1" x14ac:dyDescent="0.2">
      <c r="A1690" s="19" t="s">
        <v>1837</v>
      </c>
      <c r="B1690" s="50">
        <v>105.253</v>
      </c>
      <c r="C1690" s="50">
        <v>2888.8</v>
      </c>
      <c r="D1690" s="51">
        <v>22095507.931910999</v>
      </c>
      <c r="E1690" s="51">
        <v>1637644444</v>
      </c>
      <c r="F1690" s="52">
        <f t="shared" si="56"/>
        <v>-1.080100649669267E-2</v>
      </c>
      <c r="G1690" s="52">
        <f t="shared" si="57"/>
        <v>-5.5853146174804991E-3</v>
      </c>
    </row>
    <row r="1691" spans="1:7" ht="15" customHeight="1" x14ac:dyDescent="0.2">
      <c r="A1691" s="19" t="s">
        <v>1838</v>
      </c>
      <c r="B1691" s="50">
        <v>106.249</v>
      </c>
      <c r="C1691" s="50">
        <v>2904.31</v>
      </c>
      <c r="D1691" s="51">
        <v>23623933.149447002</v>
      </c>
      <c r="E1691" s="51">
        <v>1708116667</v>
      </c>
      <c r="F1691" s="52">
        <f t="shared" si="56"/>
        <v>9.4184202763120672E-3</v>
      </c>
      <c r="G1691" s="52">
        <f t="shared" si="57"/>
        <v>5.354649595431229E-3</v>
      </c>
    </row>
    <row r="1692" spans="1:7" ht="15" customHeight="1" x14ac:dyDescent="0.2">
      <c r="A1692" s="19" t="s">
        <v>1839</v>
      </c>
      <c r="B1692" s="50">
        <v>104.834</v>
      </c>
      <c r="C1692" s="50">
        <v>2907.95</v>
      </c>
      <c r="D1692" s="51">
        <v>23152428.076002002</v>
      </c>
      <c r="E1692" s="51">
        <v>1822233333</v>
      </c>
      <c r="F1692" s="52">
        <f t="shared" si="56"/>
        <v>-1.3407249242887108E-2</v>
      </c>
      <c r="G1692" s="52">
        <f t="shared" si="57"/>
        <v>1.2525249991826694E-3</v>
      </c>
    </row>
    <row r="1693" spans="1:7" ht="15" customHeight="1" x14ac:dyDescent="0.2">
      <c r="A1693" s="19" t="s">
        <v>1840</v>
      </c>
      <c r="B1693" s="50">
        <v>106.581</v>
      </c>
      <c r="C1693" s="50">
        <v>2930.75</v>
      </c>
      <c r="D1693" s="51">
        <v>25268671.265166</v>
      </c>
      <c r="E1693" s="51">
        <v>1854294444</v>
      </c>
      <c r="F1693" s="52">
        <f t="shared" si="56"/>
        <v>1.6527112695358843E-2</v>
      </c>
      <c r="G1693" s="52">
        <f t="shared" si="57"/>
        <v>7.8099973940756514E-3</v>
      </c>
    </row>
    <row r="1694" spans="1:7" ht="15" customHeight="1" x14ac:dyDescent="0.2">
      <c r="A1694" s="19" t="s">
        <v>1841</v>
      </c>
      <c r="B1694" s="50">
        <v>107.23699999999999</v>
      </c>
      <c r="C1694" s="50">
        <v>2929.67</v>
      </c>
      <c r="D1694" s="51">
        <v>75897822.632269993</v>
      </c>
      <c r="E1694" s="51">
        <v>3115338889</v>
      </c>
      <c r="F1694" s="52">
        <f t="shared" si="56"/>
        <v>6.1360788921301862E-3</v>
      </c>
      <c r="G1694" s="52">
        <f t="shared" si="57"/>
        <v>-3.6857427018063469E-4</v>
      </c>
    </row>
    <row r="1695" spans="1:7" ht="15" customHeight="1" x14ac:dyDescent="0.2">
      <c r="A1695" s="19" t="s">
        <v>1842</v>
      </c>
      <c r="B1695" s="50">
        <v>107.608</v>
      </c>
      <c r="C1695" s="50">
        <v>2919.37</v>
      </c>
      <c r="D1695" s="51">
        <v>29125856.657747999</v>
      </c>
      <c r="E1695" s="51">
        <v>1873450000</v>
      </c>
      <c r="F1695" s="52">
        <f t="shared" si="56"/>
        <v>3.4536560661490448E-3</v>
      </c>
      <c r="G1695" s="52">
        <f t="shared" si="57"/>
        <v>-3.5219491222055663E-3</v>
      </c>
    </row>
    <row r="1696" spans="1:7" ht="15" customHeight="1" x14ac:dyDescent="0.2">
      <c r="A1696" s="19" t="s">
        <v>1843</v>
      </c>
      <c r="B1696" s="50">
        <v>107.4</v>
      </c>
      <c r="C1696" s="50">
        <v>2915.56</v>
      </c>
      <c r="D1696" s="51">
        <v>24153588.017166998</v>
      </c>
      <c r="E1696" s="51">
        <v>1825266667</v>
      </c>
      <c r="F1696" s="52">
        <f t="shared" si="56"/>
        <v>-1.93481233151613E-3</v>
      </c>
      <c r="G1696" s="52">
        <f t="shared" si="57"/>
        <v>-1.3059284486635185E-3</v>
      </c>
    </row>
    <row r="1697" spans="1:7" ht="15" customHeight="1" x14ac:dyDescent="0.2">
      <c r="A1697" s="19" t="s">
        <v>1844</v>
      </c>
      <c r="B1697" s="50">
        <v>106.98099999999999</v>
      </c>
      <c r="C1697" s="50">
        <v>2905.97</v>
      </c>
      <c r="D1697" s="51">
        <v>20620284.395975001</v>
      </c>
      <c r="E1697" s="51">
        <v>1882566667</v>
      </c>
      <c r="F1697" s="52">
        <f t="shared" si="56"/>
        <v>-3.9089334737518544E-3</v>
      </c>
      <c r="G1697" s="52">
        <f t="shared" si="57"/>
        <v>-3.2946695026326335E-3</v>
      </c>
    </row>
    <row r="1698" spans="1:7" ht="15" customHeight="1" x14ac:dyDescent="0.2">
      <c r="A1698" s="19" t="s">
        <v>1845</v>
      </c>
      <c r="B1698" s="50">
        <v>107.363</v>
      </c>
      <c r="C1698" s="50">
        <v>2914</v>
      </c>
      <c r="D1698" s="51">
        <v>20342471.365768999</v>
      </c>
      <c r="E1698" s="51">
        <v>1700472222</v>
      </c>
      <c r="F1698" s="52">
        <f t="shared" si="56"/>
        <v>3.5643676000576946E-3</v>
      </c>
      <c r="G1698" s="52">
        <f t="shared" si="57"/>
        <v>2.7594661468949336E-3</v>
      </c>
    </row>
    <row r="1699" spans="1:7" ht="15" customHeight="1" x14ac:dyDescent="0.2">
      <c r="A1699" s="19" t="s">
        <v>1846</v>
      </c>
      <c r="B1699" s="50">
        <v>107.33499999999999</v>
      </c>
      <c r="C1699" s="50">
        <v>2913.98</v>
      </c>
      <c r="D1699" s="51">
        <v>23066526.669429999</v>
      </c>
      <c r="E1699" s="51">
        <v>1906833333</v>
      </c>
      <c r="F1699" s="52">
        <f t="shared" si="56"/>
        <v>-2.6083149501853891E-4</v>
      </c>
      <c r="G1699" s="52">
        <f t="shared" si="57"/>
        <v>-6.8634415355334628E-6</v>
      </c>
    </row>
    <row r="1700" spans="1:7" ht="15" customHeight="1" x14ac:dyDescent="0.2">
      <c r="A1700" s="19" t="s">
        <v>1847</v>
      </c>
      <c r="B1700" s="50">
        <v>108.505</v>
      </c>
      <c r="C1700" s="50">
        <v>2924.59</v>
      </c>
      <c r="D1700" s="51">
        <v>20120605.897193</v>
      </c>
      <c r="E1700" s="51">
        <v>1868994444</v>
      </c>
      <c r="F1700" s="52">
        <f t="shared" si="56"/>
        <v>1.0841470161984664E-2</v>
      </c>
      <c r="G1700" s="52">
        <f t="shared" si="57"/>
        <v>3.6344555873070567E-3</v>
      </c>
    </row>
    <row r="1701" spans="1:7" ht="15" customHeight="1" x14ac:dyDescent="0.2">
      <c r="A1701" s="19" t="s">
        <v>1848</v>
      </c>
      <c r="B1701" s="50">
        <v>108.066</v>
      </c>
      <c r="C1701" s="50">
        <v>2923.43</v>
      </c>
      <c r="D1701" s="51">
        <v>22149556.311044998</v>
      </c>
      <c r="E1701" s="51">
        <v>1889933333</v>
      </c>
      <c r="F1701" s="52">
        <f t="shared" si="56"/>
        <v>-4.0541032850609903E-3</v>
      </c>
      <c r="G1701" s="52">
        <f t="shared" si="57"/>
        <v>-3.967154747124362E-4</v>
      </c>
    </row>
    <row r="1702" spans="1:7" ht="15" customHeight="1" x14ac:dyDescent="0.2">
      <c r="A1702" s="19" t="s">
        <v>1849</v>
      </c>
      <c r="B1702" s="50">
        <v>108.086</v>
      </c>
      <c r="C1702" s="50">
        <v>2925.51</v>
      </c>
      <c r="D1702" s="51">
        <v>17739064.829771001</v>
      </c>
      <c r="E1702" s="51">
        <v>1999283333</v>
      </c>
      <c r="F1702" s="52">
        <f t="shared" si="56"/>
        <v>1.8505496185167338E-4</v>
      </c>
      <c r="G1702" s="52">
        <f t="shared" si="57"/>
        <v>7.1124001534755626E-4</v>
      </c>
    </row>
    <row r="1703" spans="1:7" ht="15" customHeight="1" x14ac:dyDescent="0.2">
      <c r="A1703" s="19" t="s">
        <v>1850</v>
      </c>
      <c r="B1703" s="50">
        <v>105.839</v>
      </c>
      <c r="C1703" s="50">
        <v>2901.61</v>
      </c>
      <c r="D1703" s="51">
        <v>37103802.235376</v>
      </c>
      <c r="E1703" s="51">
        <v>1942700000</v>
      </c>
      <c r="F1703" s="52">
        <f t="shared" si="56"/>
        <v>-2.1008135006495465E-2</v>
      </c>
      <c r="G1703" s="52">
        <f t="shared" si="57"/>
        <v>-8.2030691043885728E-3</v>
      </c>
    </row>
    <row r="1704" spans="1:7" ht="15" customHeight="1" x14ac:dyDescent="0.2">
      <c r="A1704" s="19" t="s">
        <v>1851</v>
      </c>
      <c r="B1704" s="50">
        <v>105.24299999999999</v>
      </c>
      <c r="C1704" s="50">
        <v>2885.57</v>
      </c>
      <c r="D1704" s="51">
        <v>30973921.968456</v>
      </c>
      <c r="E1704" s="51">
        <v>1849433333</v>
      </c>
      <c r="F1704" s="52">
        <f t="shared" si="56"/>
        <v>-5.6471095011559501E-3</v>
      </c>
      <c r="G1704" s="52">
        <f t="shared" si="57"/>
        <v>-5.543301253226848E-3</v>
      </c>
    </row>
    <row r="1705" spans="1:7" ht="15" customHeight="1" x14ac:dyDescent="0.2">
      <c r="A1705" s="19" t="s">
        <v>1852</v>
      </c>
      <c r="B1705" s="50">
        <v>104.024</v>
      </c>
      <c r="C1705" s="50">
        <v>2884.43</v>
      </c>
      <c r="D1705" s="51">
        <v>31583120.332602002</v>
      </c>
      <c r="E1705" s="51">
        <v>1850177778</v>
      </c>
      <c r="F1705" s="52">
        <f t="shared" si="56"/>
        <v>-1.1650320288156827E-2</v>
      </c>
      <c r="G1705" s="52">
        <f t="shared" si="57"/>
        <v>-3.951473188331464E-4</v>
      </c>
    </row>
    <row r="1706" spans="1:7" ht="15" customHeight="1" x14ac:dyDescent="0.2">
      <c r="A1706" s="19" t="s">
        <v>1853</v>
      </c>
      <c r="B1706" s="50">
        <v>105.35</v>
      </c>
      <c r="C1706" s="50">
        <v>2880.34</v>
      </c>
      <c r="D1706" s="51">
        <v>27915550.139752001</v>
      </c>
      <c r="E1706" s="51">
        <v>1955833333</v>
      </c>
      <c r="F1706" s="52">
        <f t="shared" si="56"/>
        <v>1.2666498501179266E-2</v>
      </c>
      <c r="G1706" s="52">
        <f t="shared" si="57"/>
        <v>-1.4189640475695234E-3</v>
      </c>
    </row>
    <row r="1707" spans="1:7" ht="15" customHeight="1" x14ac:dyDescent="0.2">
      <c r="A1707" s="19" t="s">
        <v>1854</v>
      </c>
      <c r="B1707" s="50">
        <v>99.6173</v>
      </c>
      <c r="C1707" s="50">
        <v>2785.68</v>
      </c>
      <c r="D1707" s="51">
        <v>65398684.132570997</v>
      </c>
      <c r="E1707" s="51">
        <v>2500694444</v>
      </c>
      <c r="F1707" s="52">
        <f t="shared" si="56"/>
        <v>-5.5952295963720519E-2</v>
      </c>
      <c r="G1707" s="52">
        <f t="shared" si="57"/>
        <v>-3.3416333989061714E-2</v>
      </c>
    </row>
    <row r="1708" spans="1:7" ht="15" customHeight="1" x14ac:dyDescent="0.2">
      <c r="A1708" s="19" t="s">
        <v>1855</v>
      </c>
      <c r="B1708" s="50">
        <v>99.373900000000006</v>
      </c>
      <c r="C1708" s="50">
        <v>2728.37</v>
      </c>
      <c r="D1708" s="51">
        <v>68092324.873165995</v>
      </c>
      <c r="E1708" s="51">
        <v>2717016667</v>
      </c>
      <c r="F1708" s="52">
        <f t="shared" si="56"/>
        <v>-2.4463405556351555E-3</v>
      </c>
      <c r="G1708" s="52">
        <f t="shared" si="57"/>
        <v>-2.0787647463574973E-2</v>
      </c>
    </row>
    <row r="1709" spans="1:7" ht="15" customHeight="1" x14ac:dyDescent="0.2">
      <c r="A1709" s="19" t="s">
        <v>1856</v>
      </c>
      <c r="B1709" s="50">
        <v>102.84099999999999</v>
      </c>
      <c r="C1709" s="50">
        <v>2767.13</v>
      </c>
      <c r="D1709" s="51">
        <v>50870945.454190001</v>
      </c>
      <c r="E1709" s="51">
        <v>2203355556</v>
      </c>
      <c r="F1709" s="52">
        <f t="shared" si="56"/>
        <v>3.4294602462432849E-2</v>
      </c>
      <c r="G1709" s="52">
        <f t="shared" si="57"/>
        <v>1.4106320709680948E-2</v>
      </c>
    </row>
    <row r="1710" spans="1:7" ht="15" customHeight="1" x14ac:dyDescent="0.2">
      <c r="A1710" s="19" t="s">
        <v>1857</v>
      </c>
      <c r="B1710" s="50">
        <v>100.995</v>
      </c>
      <c r="C1710" s="50">
        <v>2750.79</v>
      </c>
      <c r="D1710" s="51">
        <v>34169726.014260001</v>
      </c>
      <c r="E1710" s="51">
        <v>1833411111</v>
      </c>
      <c r="F1710" s="52">
        <f t="shared" si="56"/>
        <v>-1.8113095527921182E-2</v>
      </c>
      <c r="G1710" s="52">
        <f t="shared" si="57"/>
        <v>-5.922538841602318E-3</v>
      </c>
    </row>
    <row r="1711" spans="1:7" ht="15" customHeight="1" x14ac:dyDescent="0.2">
      <c r="A1711" s="19" t="s">
        <v>1858</v>
      </c>
      <c r="B1711" s="50">
        <v>104.16800000000001</v>
      </c>
      <c r="C1711" s="50">
        <v>2809.92</v>
      </c>
      <c r="D1711" s="51">
        <v>33681774.327520996</v>
      </c>
      <c r="E1711" s="51">
        <v>1904633333</v>
      </c>
      <c r="F1711" s="52">
        <f t="shared" si="56"/>
        <v>3.0933969761073293E-2</v>
      </c>
      <c r="G1711" s="52">
        <f t="shared" si="57"/>
        <v>2.1267870038650147E-2</v>
      </c>
    </row>
    <row r="1712" spans="1:7" ht="15" customHeight="1" x14ac:dyDescent="0.2">
      <c r="A1712" s="19" t="s">
        <v>1859</v>
      </c>
      <c r="B1712" s="50">
        <v>103.895</v>
      </c>
      <c r="C1712" s="50">
        <v>2809.21</v>
      </c>
      <c r="D1712" s="51">
        <v>28288114.459828999</v>
      </c>
      <c r="E1712" s="51">
        <v>1845394444</v>
      </c>
      <c r="F1712" s="52">
        <f t="shared" si="56"/>
        <v>-2.6242066745839079E-3</v>
      </c>
      <c r="G1712" s="52">
        <f t="shared" si="57"/>
        <v>-2.5270816079308065E-4</v>
      </c>
    </row>
    <row r="1713" spans="1:7" ht="15" customHeight="1" x14ac:dyDescent="0.2">
      <c r="A1713" s="19" t="s">
        <v>1860</v>
      </c>
      <c r="B1713" s="50">
        <v>101.815</v>
      </c>
      <c r="C1713" s="50">
        <v>2768.78</v>
      </c>
      <c r="D1713" s="51">
        <v>34636525.619906001</v>
      </c>
      <c r="E1713" s="51">
        <v>2009133333</v>
      </c>
      <c r="F1713" s="52">
        <f t="shared" si="56"/>
        <v>-2.0223332749365129E-2</v>
      </c>
      <c r="G1713" s="52">
        <f t="shared" si="57"/>
        <v>-1.4496515061645461E-2</v>
      </c>
    </row>
    <row r="1714" spans="1:7" ht="15" customHeight="1" x14ac:dyDescent="0.2">
      <c r="A1714" s="19" t="s">
        <v>1861</v>
      </c>
      <c r="B1714" s="50">
        <v>101.961</v>
      </c>
      <c r="C1714" s="50">
        <v>2767.78</v>
      </c>
      <c r="D1714" s="51">
        <v>34934110.624461003</v>
      </c>
      <c r="E1714" s="51">
        <v>1981383333</v>
      </c>
      <c r="F1714" s="52">
        <f t="shared" si="56"/>
        <v>1.4329462250926692E-3</v>
      </c>
      <c r="G1714" s="52">
        <f t="shared" si="57"/>
        <v>-3.6123513910236955E-4</v>
      </c>
    </row>
    <row r="1715" spans="1:7" ht="15" customHeight="1" x14ac:dyDescent="0.2">
      <c r="A1715" s="19" t="s">
        <v>1862</v>
      </c>
      <c r="B1715" s="50">
        <v>102.899</v>
      </c>
      <c r="C1715" s="50">
        <v>2755.88</v>
      </c>
      <c r="D1715" s="51">
        <v>28285306.126894001</v>
      </c>
      <c r="E1715" s="51">
        <v>1837300000</v>
      </c>
      <c r="F1715" s="52">
        <f t="shared" si="56"/>
        <v>9.1575373922277957E-3</v>
      </c>
      <c r="G1715" s="52">
        <f t="shared" si="57"/>
        <v>-4.3087439887895167E-3</v>
      </c>
    </row>
    <row r="1716" spans="1:7" ht="15" customHeight="1" x14ac:dyDescent="0.2">
      <c r="A1716" s="19" t="s">
        <v>1863</v>
      </c>
      <c r="B1716" s="50">
        <v>101.473</v>
      </c>
      <c r="C1716" s="50">
        <v>2740.69</v>
      </c>
      <c r="D1716" s="51">
        <v>46638977.127798997</v>
      </c>
      <c r="E1716" s="51">
        <v>2415877778</v>
      </c>
      <c r="F1716" s="52">
        <f t="shared" si="56"/>
        <v>-1.3955171377069798E-2</v>
      </c>
      <c r="G1716" s="52">
        <f t="shared" si="57"/>
        <v>-5.5270973242133609E-3</v>
      </c>
    </row>
    <row r="1717" spans="1:7" ht="15" customHeight="1" x14ac:dyDescent="0.2">
      <c r="A1717" s="19" t="s">
        <v>1864</v>
      </c>
      <c r="B1717" s="50">
        <v>96.034499999999994</v>
      </c>
      <c r="C1717" s="50">
        <v>2656.1</v>
      </c>
      <c r="D1717" s="51">
        <v>68085374.172363997</v>
      </c>
      <c r="E1717" s="51">
        <v>2616283333</v>
      </c>
      <c r="F1717" s="52">
        <f t="shared" si="56"/>
        <v>-5.5085251334621006E-2</v>
      </c>
      <c r="G1717" s="52">
        <f t="shared" si="57"/>
        <v>-3.135083200711912E-2</v>
      </c>
    </row>
    <row r="1718" spans="1:7" ht="15" customHeight="1" x14ac:dyDescent="0.2">
      <c r="A1718" s="19" t="s">
        <v>1865</v>
      </c>
      <c r="B1718" s="50">
        <v>101.629</v>
      </c>
      <c r="C1718" s="50">
        <v>2705.57</v>
      </c>
      <c r="D1718" s="51">
        <v>65686917.582978003</v>
      </c>
      <c r="E1718" s="51">
        <v>2574872222</v>
      </c>
      <c r="F1718" s="52">
        <f t="shared" si="56"/>
        <v>5.6621425578870753E-2</v>
      </c>
      <c r="G1718" s="52">
        <f t="shared" si="57"/>
        <v>1.8453729479332191E-2</v>
      </c>
    </row>
    <row r="1719" spans="1:7" ht="15" customHeight="1" x14ac:dyDescent="0.2">
      <c r="A1719" s="19" t="s">
        <v>1866</v>
      </c>
      <c r="B1719" s="50">
        <v>100.378</v>
      </c>
      <c r="C1719" s="50">
        <v>2658.69</v>
      </c>
      <c r="D1719" s="51">
        <v>59161876.307609998</v>
      </c>
      <c r="E1719" s="51">
        <v>2668416667</v>
      </c>
      <c r="F1719" s="52">
        <f t="shared" si="56"/>
        <v>-1.2385867746389079E-2</v>
      </c>
      <c r="G1719" s="52">
        <f t="shared" si="57"/>
        <v>-1.7479090705260276E-2</v>
      </c>
    </row>
    <row r="1720" spans="1:7" ht="15" customHeight="1" x14ac:dyDescent="0.2">
      <c r="A1720" s="19" t="s">
        <v>1867</v>
      </c>
      <c r="B1720" s="50">
        <v>97.468400000000003</v>
      </c>
      <c r="C1720" s="50">
        <v>2641.25</v>
      </c>
      <c r="D1720" s="51">
        <v>58777108.076274</v>
      </c>
      <c r="E1720" s="51">
        <v>2596500000</v>
      </c>
      <c r="F1720" s="52">
        <f t="shared" si="56"/>
        <v>-2.941483683347761E-2</v>
      </c>
      <c r="G1720" s="52">
        <f t="shared" si="57"/>
        <v>-6.5812303337732898E-3</v>
      </c>
    </row>
    <row r="1721" spans="1:7" ht="15" customHeight="1" x14ac:dyDescent="0.2">
      <c r="A1721" s="19" t="s">
        <v>1868</v>
      </c>
      <c r="B1721" s="50">
        <v>97.351200000000006</v>
      </c>
      <c r="C1721" s="50">
        <v>2682.63</v>
      </c>
      <c r="D1721" s="51">
        <v>69633726.984592006</v>
      </c>
      <c r="E1721" s="51">
        <v>2836877778</v>
      </c>
      <c r="F1721" s="52">
        <f t="shared" si="56"/>
        <v>-1.2031645084813912E-3</v>
      </c>
      <c r="G1721" s="52">
        <f t="shared" si="57"/>
        <v>1.5545366655688744E-2</v>
      </c>
    </row>
    <row r="1722" spans="1:7" ht="15" customHeight="1" x14ac:dyDescent="0.2">
      <c r="A1722" s="19" t="s">
        <v>1869</v>
      </c>
      <c r="B1722" s="50">
        <v>100.233</v>
      </c>
      <c r="C1722" s="50">
        <v>2711.74</v>
      </c>
      <c r="D1722" s="51">
        <v>54408819.399195001</v>
      </c>
      <c r="E1722" s="51">
        <v>2840233333</v>
      </c>
      <c r="F1722" s="52">
        <f t="shared" si="56"/>
        <v>2.9172417348551954E-2</v>
      </c>
      <c r="G1722" s="52">
        <f t="shared" si="57"/>
        <v>1.0792838671999127E-2</v>
      </c>
    </row>
    <row r="1723" spans="1:7" ht="15" customHeight="1" x14ac:dyDescent="0.2">
      <c r="A1723" s="19" t="s">
        <v>1870</v>
      </c>
      <c r="B1723" s="50">
        <v>99.383899999999997</v>
      </c>
      <c r="C1723" s="50">
        <v>2740.37</v>
      </c>
      <c r="D1723" s="51">
        <v>35572074.180783004</v>
      </c>
      <c r="E1723" s="51">
        <v>2615788889</v>
      </c>
      <c r="F1723" s="52">
        <f t="shared" si="56"/>
        <v>-8.5073470344937431E-3</v>
      </c>
      <c r="G1723" s="52">
        <f t="shared" si="57"/>
        <v>1.0502452503904892E-2</v>
      </c>
    </row>
    <row r="1724" spans="1:7" ht="15" customHeight="1" x14ac:dyDescent="0.2">
      <c r="A1724" s="19" t="s">
        <v>1871</v>
      </c>
      <c r="B1724" s="50">
        <v>99.6173</v>
      </c>
      <c r="C1724" s="50">
        <v>2723.06</v>
      </c>
      <c r="D1724" s="51">
        <v>40149610.792682998</v>
      </c>
      <c r="E1724" s="51">
        <v>2354405556</v>
      </c>
      <c r="F1724" s="52">
        <f t="shared" si="56"/>
        <v>2.3457155737886841E-3</v>
      </c>
      <c r="G1724" s="52">
        <f t="shared" si="57"/>
        <v>-6.3366998101070391E-3</v>
      </c>
    </row>
    <row r="1725" spans="1:7" ht="15" customHeight="1" x14ac:dyDescent="0.2">
      <c r="A1725" s="19" t="s">
        <v>1872</v>
      </c>
      <c r="B1725" s="50">
        <v>100.907</v>
      </c>
      <c r="C1725" s="50">
        <v>2738.31</v>
      </c>
      <c r="D1725" s="51">
        <v>29752054.496941999</v>
      </c>
      <c r="E1725" s="51">
        <v>2012955556</v>
      </c>
      <c r="F1725" s="52">
        <f t="shared" si="56"/>
        <v>1.2863456286134098E-2</v>
      </c>
      <c r="G1725" s="52">
        <f t="shared" si="57"/>
        <v>5.5846938170283911E-3</v>
      </c>
    </row>
    <row r="1726" spans="1:7" ht="15" customHeight="1" x14ac:dyDescent="0.2">
      <c r="A1726" s="19" t="s">
        <v>1873</v>
      </c>
      <c r="B1726" s="50">
        <v>101.11</v>
      </c>
      <c r="C1726" s="50">
        <v>2755.45</v>
      </c>
      <c r="D1726" s="51">
        <v>25935414.347116999</v>
      </c>
      <c r="E1726" s="51">
        <v>1950477778</v>
      </c>
      <c r="F1726" s="52">
        <f t="shared" si="56"/>
        <v>2.0097325306963768E-3</v>
      </c>
      <c r="G1726" s="52">
        <f t="shared" si="57"/>
        <v>6.2398268627495259E-3</v>
      </c>
    </row>
    <row r="1727" spans="1:7" ht="15" customHeight="1" x14ac:dyDescent="0.2">
      <c r="A1727" s="19" t="s">
        <v>1874</v>
      </c>
      <c r="B1727" s="50">
        <v>105.08799999999999</v>
      </c>
      <c r="C1727" s="50">
        <v>2813.89</v>
      </c>
      <c r="D1727" s="51">
        <v>40385637.712646</v>
      </c>
      <c r="E1727" s="51">
        <v>2174861111</v>
      </c>
      <c r="F1727" s="52">
        <f t="shared" si="56"/>
        <v>3.8589061286600605E-2</v>
      </c>
      <c r="G1727" s="52">
        <f t="shared" si="57"/>
        <v>2.0987099015788779E-2</v>
      </c>
    </row>
    <row r="1728" spans="1:7" ht="15" customHeight="1" x14ac:dyDescent="0.2">
      <c r="A1728" s="19" t="s">
        <v>1875</v>
      </c>
      <c r="B1728" s="50">
        <v>104.883</v>
      </c>
      <c r="C1728" s="50">
        <v>2806.83</v>
      </c>
      <c r="D1728" s="51">
        <v>27324722.143027999</v>
      </c>
      <c r="E1728" s="51">
        <v>2016938889</v>
      </c>
      <c r="F1728" s="52">
        <f t="shared" si="56"/>
        <v>-1.9526512245607737E-3</v>
      </c>
      <c r="G1728" s="52">
        <f t="shared" si="57"/>
        <v>-2.5121349979599032E-3</v>
      </c>
    </row>
    <row r="1729" spans="1:7" ht="15" customHeight="1" x14ac:dyDescent="0.2">
      <c r="A1729" s="19" t="s">
        <v>1876</v>
      </c>
      <c r="B1729" s="50">
        <v>102.84099999999999</v>
      </c>
      <c r="C1729" s="50">
        <v>2781.01</v>
      </c>
      <c r="D1729" s="51">
        <v>34138952.091053002</v>
      </c>
      <c r="E1729" s="51">
        <v>2232827778</v>
      </c>
      <c r="F1729" s="52">
        <f t="shared" si="56"/>
        <v>-1.9661336972072396E-2</v>
      </c>
      <c r="G1729" s="52">
        <f t="shared" si="57"/>
        <v>-9.2415615930208604E-3</v>
      </c>
    </row>
    <row r="1730" spans="1:7" ht="15" customHeight="1" x14ac:dyDescent="0.2">
      <c r="A1730" s="19" t="s">
        <v>1877</v>
      </c>
      <c r="B1730" s="50">
        <v>100.29</v>
      </c>
      <c r="C1730" s="50">
        <v>2726.22</v>
      </c>
      <c r="D1730" s="51">
        <v>35825250.053227998</v>
      </c>
      <c r="E1730" s="51">
        <v>2039405556</v>
      </c>
      <c r="F1730" s="52">
        <f t="shared" si="56"/>
        <v>-2.5118117093158115E-2</v>
      </c>
      <c r="G1730" s="52">
        <f t="shared" si="57"/>
        <v>-1.9898136727593101E-2</v>
      </c>
    </row>
    <row r="1731" spans="1:7" ht="15" customHeight="1" x14ac:dyDescent="0.2">
      <c r="A1731" s="19" t="s">
        <v>1878</v>
      </c>
      <c r="B1731" s="50">
        <v>100.35899999999999</v>
      </c>
      <c r="C1731" s="50">
        <v>2722.18</v>
      </c>
      <c r="D1731" s="51">
        <v>37692896.908124</v>
      </c>
      <c r="E1731" s="51">
        <v>2273022222</v>
      </c>
      <c r="F1731" s="52">
        <f t="shared" si="56"/>
        <v>6.877682193271651E-4</v>
      </c>
      <c r="G1731" s="52">
        <f t="shared" si="57"/>
        <v>-1.4830044565126614E-3</v>
      </c>
    </row>
    <row r="1732" spans="1:7" ht="15" customHeight="1" x14ac:dyDescent="0.2">
      <c r="A1732" s="19" t="s">
        <v>1879</v>
      </c>
      <c r="B1732" s="50">
        <v>98.914699999999996</v>
      </c>
      <c r="C1732" s="50">
        <v>2701.58</v>
      </c>
      <c r="D1732" s="51">
        <v>41902482.524117999</v>
      </c>
      <c r="E1732" s="51">
        <v>2445761111</v>
      </c>
      <c r="F1732" s="52">
        <f t="shared" si="56"/>
        <v>-1.4495894751029484E-2</v>
      </c>
      <c r="G1732" s="52">
        <f t="shared" si="57"/>
        <v>-7.5962428487097063E-3</v>
      </c>
    </row>
    <row r="1733" spans="1:7" ht="15" customHeight="1" x14ac:dyDescent="0.2">
      <c r="A1733" s="19" t="s">
        <v>1880</v>
      </c>
      <c r="B1733" s="50">
        <v>101.13</v>
      </c>
      <c r="C1733" s="50">
        <v>2730.2</v>
      </c>
      <c r="D1733" s="51">
        <v>40852164.982686996</v>
      </c>
      <c r="E1733" s="51">
        <v>2321744444</v>
      </c>
      <c r="F1733" s="52">
        <f t="shared" si="56"/>
        <v>2.2148955345664443E-2</v>
      </c>
      <c r="G1733" s="52">
        <f t="shared" si="57"/>
        <v>1.0538079545354202E-2</v>
      </c>
    </row>
    <row r="1734" spans="1:7" ht="15" customHeight="1" x14ac:dyDescent="0.2">
      <c r="A1734" s="19" t="s">
        <v>1881</v>
      </c>
      <c r="B1734" s="50">
        <v>102.059</v>
      </c>
      <c r="C1734" s="50">
        <v>2736.27</v>
      </c>
      <c r="D1734" s="51">
        <v>35544172.067230999</v>
      </c>
      <c r="E1734" s="51">
        <v>2208433333</v>
      </c>
      <c r="F1734" s="52">
        <f t="shared" ref="F1734:F1797" si="58">LN(B1734/B1733)</f>
        <v>9.1442595157978125E-3</v>
      </c>
      <c r="G1734" s="52">
        <f t="shared" ref="G1734:G1797" si="59">LN(C1734/C1733)</f>
        <v>2.2208125151236689E-3</v>
      </c>
    </row>
    <row r="1735" spans="1:7" ht="15" customHeight="1" x14ac:dyDescent="0.2">
      <c r="A1735" s="19" t="s">
        <v>1882</v>
      </c>
      <c r="B1735" s="50">
        <v>98.621499999999997</v>
      </c>
      <c r="C1735" s="50">
        <v>2690.73</v>
      </c>
      <c r="D1735" s="51">
        <v>47502995.616191998</v>
      </c>
      <c r="E1735" s="51">
        <v>2096055556</v>
      </c>
      <c r="F1735" s="52">
        <f t="shared" si="58"/>
        <v>-3.4261786852993421E-2</v>
      </c>
      <c r="G1735" s="52">
        <f t="shared" si="59"/>
        <v>-1.6783146839093228E-2</v>
      </c>
    </row>
    <row r="1736" spans="1:7" ht="15" customHeight="1" x14ac:dyDescent="0.2">
      <c r="A1736" s="19" t="s">
        <v>1883</v>
      </c>
      <c r="B1736" s="50">
        <v>95.878399999999999</v>
      </c>
      <c r="C1736" s="50">
        <v>2641.89</v>
      </c>
      <c r="D1736" s="51">
        <v>67956635.194400996</v>
      </c>
      <c r="E1736" s="51">
        <v>2421055556</v>
      </c>
      <c r="F1736" s="52">
        <f t="shared" si="58"/>
        <v>-2.8208568676012381E-2</v>
      </c>
      <c r="G1736" s="52">
        <f t="shared" si="59"/>
        <v>-1.8317962154308476E-2</v>
      </c>
    </row>
    <row r="1737" spans="1:7" ht="15" customHeight="1" x14ac:dyDescent="0.2">
      <c r="A1737" s="19" t="s">
        <v>1884</v>
      </c>
      <c r="B1737" s="50">
        <v>97.185299999999998</v>
      </c>
      <c r="C1737" s="50">
        <v>2649.93</v>
      </c>
      <c r="D1737" s="51">
        <v>29845261.869180001</v>
      </c>
      <c r="E1737" s="51">
        <v>1796416667</v>
      </c>
      <c r="F1737" s="52">
        <f t="shared" si="58"/>
        <v>1.353874356052079E-2</v>
      </c>
      <c r="G1737" s="52">
        <f t="shared" si="59"/>
        <v>3.038654446444182E-3</v>
      </c>
    </row>
    <row r="1738" spans="1:7" ht="15" customHeight="1" x14ac:dyDescent="0.2">
      <c r="A1738" s="19" t="s">
        <v>1885</v>
      </c>
      <c r="B1738" s="50">
        <v>97.149900000000002</v>
      </c>
      <c r="C1738" s="50">
        <v>2632.56</v>
      </c>
      <c r="D1738" s="51">
        <v>14665656.185241001</v>
      </c>
      <c r="E1738" s="51">
        <v>917583333</v>
      </c>
      <c r="F1738" s="52">
        <f t="shared" si="58"/>
        <v>-3.6431897455062377E-4</v>
      </c>
      <c r="G1738" s="52">
        <f t="shared" si="59"/>
        <v>-6.5764677658551214E-3</v>
      </c>
    </row>
    <row r="1739" spans="1:7" ht="15" customHeight="1" x14ac:dyDescent="0.2">
      <c r="A1739" s="19" t="s">
        <v>1886</v>
      </c>
      <c r="B1739" s="50">
        <v>100.35</v>
      </c>
      <c r="C1739" s="50">
        <v>2673.45</v>
      </c>
      <c r="D1739" s="51">
        <v>34307144.921723001</v>
      </c>
      <c r="E1739" s="51">
        <v>1913305556</v>
      </c>
      <c r="F1739" s="52">
        <f t="shared" si="58"/>
        <v>3.240892875550587E-2</v>
      </c>
      <c r="G1739" s="52">
        <f t="shared" si="59"/>
        <v>1.5413016366781477E-2</v>
      </c>
    </row>
    <row r="1740" spans="1:7" ht="15" customHeight="1" x14ac:dyDescent="0.2">
      <c r="A1740" s="19" t="s">
        <v>1887</v>
      </c>
      <c r="B1740" s="50">
        <v>100.995</v>
      </c>
      <c r="C1740" s="50">
        <v>2682.17</v>
      </c>
      <c r="D1740" s="51">
        <v>30899705.397386</v>
      </c>
      <c r="E1740" s="51">
        <v>1936233333</v>
      </c>
      <c r="F1740" s="52">
        <f t="shared" si="58"/>
        <v>6.4069354230067745E-3</v>
      </c>
      <c r="G1740" s="52">
        <f t="shared" si="59"/>
        <v>3.2563952280602691E-3</v>
      </c>
    </row>
    <row r="1741" spans="1:7" ht="15" customHeight="1" x14ac:dyDescent="0.2">
      <c r="A1741" s="19" t="s">
        <v>1888</v>
      </c>
      <c r="B1741" s="50">
        <v>104.73399999999999</v>
      </c>
      <c r="C1741" s="50">
        <v>2743.79</v>
      </c>
      <c r="D1741" s="51">
        <v>49640350.957543999</v>
      </c>
      <c r="E1741" s="51">
        <v>2195372222</v>
      </c>
      <c r="F1741" s="52">
        <f t="shared" si="58"/>
        <v>3.6352791840172587E-2</v>
      </c>
      <c r="G1741" s="52">
        <f t="shared" si="59"/>
        <v>2.2714007938884229E-2</v>
      </c>
    </row>
    <row r="1742" spans="1:7" ht="15" customHeight="1" x14ac:dyDescent="0.2">
      <c r="A1742" s="19" t="s">
        <v>1889</v>
      </c>
      <c r="B1742" s="50">
        <v>103.86499999999999</v>
      </c>
      <c r="C1742" s="50">
        <v>2737.8</v>
      </c>
      <c r="D1742" s="51">
        <v>29837381.541583002</v>
      </c>
      <c r="E1742" s="51">
        <v>1978205556</v>
      </c>
      <c r="F1742" s="52">
        <f t="shared" si="58"/>
        <v>-8.3318235188785186E-3</v>
      </c>
      <c r="G1742" s="52">
        <f t="shared" si="59"/>
        <v>-2.1854981435022809E-3</v>
      </c>
    </row>
    <row r="1743" spans="1:7" ht="15" customHeight="1" x14ac:dyDescent="0.2">
      <c r="A1743" s="19" t="s">
        <v>1890</v>
      </c>
      <c r="B1743" s="50">
        <v>104.512</v>
      </c>
      <c r="C1743" s="50">
        <v>2760.17</v>
      </c>
      <c r="D1743" s="51">
        <v>35717638.584720999</v>
      </c>
      <c r="E1743" s="51">
        <v>2588100000</v>
      </c>
      <c r="F1743" s="52">
        <f t="shared" si="58"/>
        <v>6.2099183613520213E-3</v>
      </c>
      <c r="G1743" s="52">
        <f t="shared" si="59"/>
        <v>8.1375938558372295E-3</v>
      </c>
    </row>
    <row r="1744" spans="1:7" ht="15" customHeight="1" x14ac:dyDescent="0.2">
      <c r="A1744" s="19" t="s">
        <v>1891</v>
      </c>
      <c r="B1744" s="50">
        <v>105.64400000000001</v>
      </c>
      <c r="C1744" s="50">
        <v>2790.37</v>
      </c>
      <c r="D1744" s="51">
        <v>36849831.880117998</v>
      </c>
      <c r="E1744" s="51">
        <v>2325588889</v>
      </c>
      <c r="F1744" s="52">
        <f t="shared" si="58"/>
        <v>1.0773053809377523E-2</v>
      </c>
      <c r="G1744" s="52">
        <f t="shared" si="59"/>
        <v>1.0881931492828126E-2</v>
      </c>
    </row>
    <row r="1745" spans="1:7" ht="15" customHeight="1" x14ac:dyDescent="0.2">
      <c r="A1745" s="19" t="s">
        <v>1892</v>
      </c>
      <c r="B1745" s="50">
        <v>102.28400000000001</v>
      </c>
      <c r="C1745" s="50">
        <v>2700.06</v>
      </c>
      <c r="D1745" s="51">
        <v>47951867.143812999</v>
      </c>
      <c r="E1745" s="51">
        <v>2499911111</v>
      </c>
      <c r="F1745" s="52">
        <f t="shared" si="58"/>
        <v>-3.2321693169027943E-2</v>
      </c>
      <c r="G1745" s="52">
        <f t="shared" si="59"/>
        <v>-3.2900208542344787E-2</v>
      </c>
    </row>
    <row r="1746" spans="1:7" ht="15" customHeight="1" x14ac:dyDescent="0.2">
      <c r="A1746" s="19" t="s">
        <v>1893</v>
      </c>
      <c r="B1746" s="50">
        <v>102.929</v>
      </c>
      <c r="C1746" s="50">
        <v>2695.95</v>
      </c>
      <c r="D1746" s="51">
        <v>52100665.610215001</v>
      </c>
      <c r="E1746" s="51">
        <v>2856372222</v>
      </c>
      <c r="F1746" s="52">
        <f t="shared" si="58"/>
        <v>6.286172162401623E-3</v>
      </c>
      <c r="G1746" s="52">
        <f t="shared" si="59"/>
        <v>-1.5233481015795478E-3</v>
      </c>
    </row>
    <row r="1747" spans="1:7" ht="15" customHeight="1" x14ac:dyDescent="0.2">
      <c r="A1747" s="19" t="s">
        <v>1894</v>
      </c>
      <c r="B1747" s="50">
        <v>98.796499999999995</v>
      </c>
      <c r="C1747" s="50">
        <v>2633.08</v>
      </c>
      <c r="D1747" s="51">
        <v>47790551.299043998</v>
      </c>
      <c r="E1747" s="51">
        <v>2342605556</v>
      </c>
      <c r="F1747" s="52">
        <f t="shared" si="58"/>
        <v>-4.0977251125627383E-2</v>
      </c>
      <c r="G1747" s="52">
        <f t="shared" si="59"/>
        <v>-2.3596383238556007E-2</v>
      </c>
    </row>
    <row r="1748" spans="1:7" ht="15" customHeight="1" x14ac:dyDescent="0.2">
      <c r="A1748" s="19" t="s">
        <v>1895</v>
      </c>
      <c r="B1748" s="50">
        <v>101.42400000000001</v>
      </c>
      <c r="C1748" s="50">
        <v>2637.72</v>
      </c>
      <c r="D1748" s="51">
        <v>43288493.625881001</v>
      </c>
      <c r="E1748" s="51">
        <v>2306127778</v>
      </c>
      <c r="F1748" s="52">
        <f t="shared" si="58"/>
        <v>2.6247570516686834E-2</v>
      </c>
      <c r="G1748" s="52">
        <f t="shared" si="59"/>
        <v>1.7606440003852311E-3</v>
      </c>
    </row>
    <row r="1749" spans="1:7" ht="15" customHeight="1" x14ac:dyDescent="0.2">
      <c r="A1749" s="19" t="s">
        <v>1896</v>
      </c>
      <c r="B1749" s="50">
        <v>102.354</v>
      </c>
      <c r="C1749" s="50">
        <v>2636.78</v>
      </c>
      <c r="D1749" s="51">
        <v>44965246.532293998</v>
      </c>
      <c r="E1749" s="51">
        <v>2169927778</v>
      </c>
      <c r="F1749" s="52">
        <f t="shared" si="58"/>
        <v>9.1276433846268264E-3</v>
      </c>
      <c r="G1749" s="52">
        <f t="shared" si="59"/>
        <v>-3.564318930519869E-4</v>
      </c>
    </row>
    <row r="1750" spans="1:7" ht="15" customHeight="1" x14ac:dyDescent="0.2">
      <c r="A1750" s="19" t="s">
        <v>1897</v>
      </c>
      <c r="B1750" s="50">
        <v>102.821</v>
      </c>
      <c r="C1750" s="50">
        <v>2651.07</v>
      </c>
      <c r="D1750" s="51">
        <v>38388476.849514</v>
      </c>
      <c r="E1750" s="51">
        <v>2199383333</v>
      </c>
      <c r="F1750" s="52">
        <f t="shared" si="58"/>
        <v>4.5522193879193153E-3</v>
      </c>
      <c r="G1750" s="52">
        <f t="shared" si="59"/>
        <v>5.4048563356254914E-3</v>
      </c>
    </row>
    <row r="1751" spans="1:7" ht="15" customHeight="1" x14ac:dyDescent="0.2">
      <c r="A1751" s="19" t="s">
        <v>1898</v>
      </c>
      <c r="B1751" s="50">
        <v>103.155</v>
      </c>
      <c r="C1751" s="50">
        <v>2650.54</v>
      </c>
      <c r="D1751" s="51">
        <v>33243215.719202999</v>
      </c>
      <c r="E1751" s="51">
        <v>2182066667</v>
      </c>
      <c r="F1751" s="52">
        <f t="shared" si="58"/>
        <v>3.2430991255522337E-3</v>
      </c>
      <c r="G1751" s="52">
        <f t="shared" si="59"/>
        <v>-1.999392643992198E-4</v>
      </c>
    </row>
    <row r="1752" spans="1:7" ht="15" customHeight="1" x14ac:dyDescent="0.2">
      <c r="A1752" s="19" t="s">
        <v>1899</v>
      </c>
      <c r="B1752" s="50">
        <v>99.93</v>
      </c>
      <c r="C1752" s="50">
        <v>2599.9499999999998</v>
      </c>
      <c r="D1752" s="51">
        <v>49910547.805211999</v>
      </c>
      <c r="E1752" s="51">
        <v>2241677778</v>
      </c>
      <c r="F1752" s="52">
        <f t="shared" si="58"/>
        <v>-3.1762770566211046E-2</v>
      </c>
      <c r="G1752" s="52">
        <f t="shared" si="59"/>
        <v>-1.9271178750727643E-2</v>
      </c>
    </row>
    <row r="1753" spans="1:7" ht="15" customHeight="1" x14ac:dyDescent="0.2">
      <c r="A1753" s="19" t="s">
        <v>1900</v>
      </c>
      <c r="B1753" s="50">
        <v>96.983000000000004</v>
      </c>
      <c r="C1753" s="50">
        <v>2545.94</v>
      </c>
      <c r="D1753" s="51">
        <v>60429022.132766001</v>
      </c>
      <c r="E1753" s="51">
        <v>2564638889</v>
      </c>
      <c r="F1753" s="52">
        <f t="shared" si="58"/>
        <v>-2.9934235461704831E-2</v>
      </c>
      <c r="G1753" s="52">
        <f t="shared" si="59"/>
        <v>-2.0992280594401735E-2</v>
      </c>
    </row>
    <row r="1754" spans="1:7" ht="15" customHeight="1" x14ac:dyDescent="0.2">
      <c r="A1754" s="19" t="s">
        <v>1901</v>
      </c>
      <c r="B1754" s="50">
        <v>98.005899999999997</v>
      </c>
      <c r="C1754" s="50">
        <v>2546.16</v>
      </c>
      <c r="D1754" s="51">
        <v>52325339.411725</v>
      </c>
      <c r="E1754" s="51">
        <v>2483822222</v>
      </c>
      <c r="F1754" s="52">
        <f t="shared" si="58"/>
        <v>1.0491975528018336E-2</v>
      </c>
      <c r="G1754" s="52">
        <f t="shared" si="59"/>
        <v>8.6408358098435416E-5</v>
      </c>
    </row>
    <row r="1755" spans="1:7" ht="15" customHeight="1" x14ac:dyDescent="0.2">
      <c r="A1755" s="19" t="s">
        <v>1902</v>
      </c>
      <c r="B1755" s="50">
        <v>97.741900000000001</v>
      </c>
      <c r="C1755" s="50">
        <v>2506.96</v>
      </c>
      <c r="D1755" s="51">
        <v>72355058.932218</v>
      </c>
      <c r="E1755" s="51">
        <v>2848855556</v>
      </c>
      <c r="F1755" s="52">
        <f t="shared" si="58"/>
        <v>-2.697349958112486E-3</v>
      </c>
      <c r="G1755" s="52">
        <f t="shared" si="59"/>
        <v>-1.5515478113209684E-2</v>
      </c>
    </row>
    <row r="1756" spans="1:7" ht="15" customHeight="1" x14ac:dyDescent="0.2">
      <c r="A1756" s="19" t="s">
        <v>1903</v>
      </c>
      <c r="B1756" s="50">
        <v>95.688999999999993</v>
      </c>
      <c r="C1756" s="50">
        <v>2467.42</v>
      </c>
      <c r="D1756" s="51">
        <v>74621251.538066</v>
      </c>
      <c r="E1756" s="51">
        <v>3103211111</v>
      </c>
      <c r="F1756" s="52">
        <f t="shared" si="58"/>
        <v>-2.1226981658124911E-2</v>
      </c>
      <c r="G1756" s="52">
        <f t="shared" si="59"/>
        <v>-1.5897793403096879E-2</v>
      </c>
    </row>
    <row r="1757" spans="1:7" ht="15" customHeight="1" x14ac:dyDescent="0.2">
      <c r="A1757" s="19" t="s">
        <v>1904</v>
      </c>
      <c r="B1757" s="50">
        <v>92.586799999999997</v>
      </c>
      <c r="C1757" s="50">
        <v>2416.62</v>
      </c>
      <c r="D1757" s="51">
        <v>118022586.29509</v>
      </c>
      <c r="E1757" s="51">
        <v>4227227778</v>
      </c>
      <c r="F1757" s="52">
        <f t="shared" si="58"/>
        <v>-3.2956766428769629E-2</v>
      </c>
      <c r="G1757" s="52">
        <f t="shared" si="59"/>
        <v>-2.0803200653483116E-2</v>
      </c>
    </row>
    <row r="1758" spans="1:7" ht="15" customHeight="1" x14ac:dyDescent="0.2">
      <c r="A1758" s="19" t="s">
        <v>1905</v>
      </c>
      <c r="B1758" s="50">
        <v>88.7209</v>
      </c>
      <c r="C1758" s="50">
        <v>2351.1</v>
      </c>
      <c r="D1758" s="51">
        <v>46613167.698358998</v>
      </c>
      <c r="E1758" s="51">
        <v>1452183333</v>
      </c>
      <c r="F1758" s="52">
        <f t="shared" si="58"/>
        <v>-4.2651095630224942E-2</v>
      </c>
      <c r="G1758" s="52">
        <f t="shared" si="59"/>
        <v>-2.7486565922407408E-2</v>
      </c>
    </row>
    <row r="1759" spans="1:7" ht="15" customHeight="1" x14ac:dyDescent="0.2">
      <c r="A1759" s="19" t="s">
        <v>1906</v>
      </c>
      <c r="B1759" s="50">
        <v>94.7804</v>
      </c>
      <c r="C1759" s="50">
        <v>2467.6999999999998</v>
      </c>
      <c r="D1759" s="51">
        <v>54782079.915551998</v>
      </c>
      <c r="E1759" s="51">
        <v>2352216667</v>
      </c>
      <c r="F1759" s="52">
        <f t="shared" si="58"/>
        <v>6.6067149565398373E-2</v>
      </c>
      <c r="G1759" s="52">
        <f t="shared" si="59"/>
        <v>4.8403238994109442E-2</v>
      </c>
    </row>
    <row r="1760" spans="1:7" ht="15" customHeight="1" x14ac:dyDescent="0.2">
      <c r="A1760" s="19" t="s">
        <v>1907</v>
      </c>
      <c r="B1760" s="50">
        <v>95.370500000000007</v>
      </c>
      <c r="C1760" s="50">
        <v>2488.83</v>
      </c>
      <c r="D1760" s="51">
        <v>52515581.188104004</v>
      </c>
      <c r="E1760" s="51">
        <v>2275894444</v>
      </c>
      <c r="F1760" s="52">
        <f t="shared" si="58"/>
        <v>6.2066694857066049E-3</v>
      </c>
      <c r="G1760" s="52">
        <f t="shared" si="59"/>
        <v>8.5261777916688236E-3</v>
      </c>
    </row>
    <row r="1761" spans="1:7" ht="15" customHeight="1" x14ac:dyDescent="0.2">
      <c r="A1761" s="19" t="s">
        <v>1908</v>
      </c>
      <c r="B1761" s="50">
        <v>94.618300000000005</v>
      </c>
      <c r="C1761" s="50">
        <v>2485.7399999999998</v>
      </c>
      <c r="D1761" s="51">
        <v>40495838.417020001</v>
      </c>
      <c r="E1761" s="51">
        <v>2057011111</v>
      </c>
      <c r="F1761" s="52">
        <f t="shared" si="58"/>
        <v>-7.918402877539206E-3</v>
      </c>
      <c r="G1761" s="52">
        <f t="shared" si="59"/>
        <v>-1.2423185913211249E-3</v>
      </c>
    </row>
    <row r="1762" spans="1:7" ht="15" customHeight="1" x14ac:dyDescent="0.2">
      <c r="A1762" s="19" t="s">
        <v>1909</v>
      </c>
      <c r="B1762" s="50">
        <v>95.743700000000004</v>
      </c>
      <c r="C1762" s="50">
        <v>2506.85</v>
      </c>
      <c r="D1762" s="51">
        <v>35195799.544062003</v>
      </c>
      <c r="E1762" s="51">
        <v>1912705556</v>
      </c>
      <c r="F1762" s="52">
        <f t="shared" si="58"/>
        <v>1.1823926113087826E-2</v>
      </c>
      <c r="G1762" s="52">
        <f t="shared" si="59"/>
        <v>8.4565829777873986E-3</v>
      </c>
    </row>
    <row r="1763" spans="1:7" ht="15" customHeight="1" x14ac:dyDescent="0.2">
      <c r="A1763" s="19" t="s">
        <v>1910</v>
      </c>
      <c r="B1763" s="50">
        <v>95.312899999999999</v>
      </c>
      <c r="C1763" s="50">
        <v>2510.0300000000002</v>
      </c>
      <c r="D1763" s="51">
        <v>37482767.465954997</v>
      </c>
      <c r="E1763" s="51">
        <v>2073977778</v>
      </c>
      <c r="F1763" s="52">
        <f t="shared" si="58"/>
        <v>-4.5096660371974706E-3</v>
      </c>
      <c r="G1763" s="52">
        <f t="shared" si="59"/>
        <v>1.2677203464647186E-3</v>
      </c>
    </row>
    <row r="1764" spans="1:7" ht="15" customHeight="1" x14ac:dyDescent="0.2">
      <c r="A1764" s="19" t="s">
        <v>1911</v>
      </c>
      <c r="B1764" s="50">
        <v>91.804500000000004</v>
      </c>
      <c r="C1764" s="50">
        <v>2447.89</v>
      </c>
      <c r="D1764" s="51">
        <v>45173683.603212997</v>
      </c>
      <c r="E1764" s="51">
        <v>2123811111</v>
      </c>
      <c r="F1764" s="52">
        <f t="shared" si="58"/>
        <v>-3.7503847481369708E-2</v>
      </c>
      <c r="G1764" s="52">
        <f t="shared" si="59"/>
        <v>-2.5068276263535243E-2</v>
      </c>
    </row>
    <row r="1765" spans="1:7" ht="15" customHeight="1" x14ac:dyDescent="0.2">
      <c r="A1765" s="19" t="s">
        <v>1912</v>
      </c>
      <c r="B1765" s="50">
        <v>96.083399999999997</v>
      </c>
      <c r="C1765" s="50">
        <v>2531.94</v>
      </c>
      <c r="D1765" s="51">
        <v>46746238.450528003</v>
      </c>
      <c r="E1765" s="51">
        <v>2340783333</v>
      </c>
      <c r="F1765" s="52">
        <f t="shared" si="58"/>
        <v>4.5555248290102671E-2</v>
      </c>
      <c r="G1765" s="52">
        <f t="shared" si="59"/>
        <v>3.3759378318728883E-2</v>
      </c>
    </row>
    <row r="1766" spans="1:7" ht="15" customHeight="1" x14ac:dyDescent="0.2">
      <c r="A1766" s="19" t="s">
        <v>1913</v>
      </c>
      <c r="B1766" s="50">
        <v>96.206500000000005</v>
      </c>
      <c r="C1766" s="50">
        <v>2549.69</v>
      </c>
      <c r="D1766" s="51">
        <v>37829477.308599003</v>
      </c>
      <c r="E1766" s="51">
        <v>2280394444</v>
      </c>
      <c r="F1766" s="52">
        <f t="shared" si="58"/>
        <v>1.2803586336743032E-3</v>
      </c>
      <c r="G1766" s="52">
        <f t="shared" si="59"/>
        <v>6.9859758341247287E-3</v>
      </c>
    </row>
    <row r="1767" spans="1:7" ht="15" customHeight="1" x14ac:dyDescent="0.2">
      <c r="A1767" s="19" t="s">
        <v>1914</v>
      </c>
      <c r="B1767" s="50">
        <v>96.895300000000006</v>
      </c>
      <c r="C1767" s="50">
        <v>2574.41</v>
      </c>
      <c r="D1767" s="51">
        <v>33435308.558634002</v>
      </c>
      <c r="E1767" s="51">
        <v>2268350000</v>
      </c>
      <c r="F1767" s="52">
        <f t="shared" si="58"/>
        <v>7.1340911517680386E-3</v>
      </c>
      <c r="G1767" s="52">
        <f t="shared" si="59"/>
        <v>9.648598495866724E-3</v>
      </c>
    </row>
    <row r="1768" spans="1:7" ht="15" customHeight="1" x14ac:dyDescent="0.2">
      <c r="A1768" s="19" t="s">
        <v>1915</v>
      </c>
      <c r="B1768" s="50">
        <v>98.298199999999994</v>
      </c>
      <c r="C1768" s="50">
        <v>2584.96</v>
      </c>
      <c r="D1768" s="51">
        <v>34248448.408605002</v>
      </c>
      <c r="E1768" s="51">
        <v>2251377778</v>
      </c>
      <c r="F1768" s="52">
        <f t="shared" si="58"/>
        <v>1.4374701585092348E-2</v>
      </c>
      <c r="G1768" s="52">
        <f t="shared" si="59"/>
        <v>4.0896523041704267E-3</v>
      </c>
    </row>
    <row r="1769" spans="1:7" ht="15" customHeight="1" x14ac:dyDescent="0.2">
      <c r="A1769" s="19" t="s">
        <v>1916</v>
      </c>
      <c r="B1769" s="50">
        <v>97.663899999999998</v>
      </c>
      <c r="C1769" s="50">
        <v>2596.64</v>
      </c>
      <c r="D1769" s="51">
        <v>31900258.214442</v>
      </c>
      <c r="E1769" s="51">
        <v>2058055556</v>
      </c>
      <c r="F1769" s="52">
        <f t="shared" si="58"/>
        <v>-6.4737233908326369E-3</v>
      </c>
      <c r="G1769" s="52">
        <f t="shared" si="59"/>
        <v>4.508267632578381E-3</v>
      </c>
    </row>
    <row r="1770" spans="1:7" ht="15" customHeight="1" x14ac:dyDescent="0.2">
      <c r="A1770" s="19" t="s">
        <v>1917</v>
      </c>
      <c r="B1770" s="50">
        <v>96.895300000000006</v>
      </c>
      <c r="C1770" s="50">
        <v>2596.2600000000002</v>
      </c>
      <c r="D1770" s="51">
        <v>30040031.992834002</v>
      </c>
      <c r="E1770" s="51">
        <v>1908050000</v>
      </c>
      <c r="F1770" s="52">
        <f t="shared" si="58"/>
        <v>-7.9009781942597813E-3</v>
      </c>
      <c r="G1770" s="52">
        <f t="shared" si="59"/>
        <v>-1.4635367547150111E-4</v>
      </c>
    </row>
    <row r="1771" spans="1:7" ht="15" customHeight="1" x14ac:dyDescent="0.2">
      <c r="A1771" s="19" t="s">
        <v>1918</v>
      </c>
      <c r="B1771" s="50">
        <v>96.196799999999996</v>
      </c>
      <c r="C1771" s="50">
        <v>2582.61</v>
      </c>
      <c r="D1771" s="51">
        <v>30170398.841510002</v>
      </c>
      <c r="E1771" s="51">
        <v>2035805556</v>
      </c>
      <c r="F1771" s="52">
        <f t="shared" si="58"/>
        <v>-7.234921023274765E-3</v>
      </c>
      <c r="G1771" s="52">
        <f t="shared" si="59"/>
        <v>-5.2714324201361554E-3</v>
      </c>
    </row>
    <row r="1772" spans="1:7" ht="15" customHeight="1" x14ac:dyDescent="0.2">
      <c r="A1772" s="19" t="s">
        <v>1919</v>
      </c>
      <c r="B1772" s="50">
        <v>98.9542</v>
      </c>
      <c r="C1772" s="50">
        <v>2610.3000000000002</v>
      </c>
      <c r="D1772" s="51">
        <v>33512969.253651999</v>
      </c>
      <c r="E1772" s="51">
        <v>1984627778</v>
      </c>
      <c r="F1772" s="52">
        <f t="shared" si="58"/>
        <v>2.8261023742281965E-2</v>
      </c>
      <c r="G1772" s="52">
        <f t="shared" si="59"/>
        <v>1.06646417681244E-2</v>
      </c>
    </row>
    <row r="1773" spans="1:7" ht="15" customHeight="1" x14ac:dyDescent="0.2">
      <c r="A1773" s="19" t="s">
        <v>1920</v>
      </c>
      <c r="B1773" s="50">
        <v>99.305400000000006</v>
      </c>
      <c r="C1773" s="50">
        <v>2616.1</v>
      </c>
      <c r="D1773" s="51">
        <v>31673541.895904999</v>
      </c>
      <c r="E1773" s="51">
        <v>2146538889</v>
      </c>
      <c r="F1773" s="52">
        <f t="shared" si="58"/>
        <v>3.5428334097862761E-3</v>
      </c>
      <c r="G1773" s="52">
        <f t="shared" si="59"/>
        <v>2.2195019060886282E-3</v>
      </c>
    </row>
    <row r="1774" spans="1:7" ht="15" customHeight="1" x14ac:dyDescent="0.2">
      <c r="A1774" s="19" t="s">
        <v>1921</v>
      </c>
      <c r="B1774" s="50">
        <v>100.018</v>
      </c>
      <c r="C1774" s="50">
        <v>2635.96</v>
      </c>
      <c r="D1774" s="51">
        <v>30123650.285135999</v>
      </c>
      <c r="E1774" s="51">
        <v>2095705556</v>
      </c>
      <c r="F1774" s="52">
        <f t="shared" si="58"/>
        <v>7.1502195528302297E-3</v>
      </c>
      <c r="G1774" s="52">
        <f t="shared" si="59"/>
        <v>7.5627828542582029E-3</v>
      </c>
    </row>
    <row r="1775" spans="1:7" ht="15" customHeight="1" x14ac:dyDescent="0.2">
      <c r="A1775" s="19" t="s">
        <v>1922</v>
      </c>
      <c r="B1775" s="50">
        <v>101.54</v>
      </c>
      <c r="C1775" s="50">
        <v>2670.71</v>
      </c>
      <c r="D1775" s="51">
        <v>39708904.214077003</v>
      </c>
      <c r="E1775" s="51">
        <v>2214850000</v>
      </c>
      <c r="F1775" s="52">
        <f t="shared" si="58"/>
        <v>1.5102639729213121E-2</v>
      </c>
      <c r="G1775" s="52">
        <f t="shared" si="59"/>
        <v>1.3096912647036883E-2</v>
      </c>
    </row>
    <row r="1776" spans="1:7" ht="15" customHeight="1" x14ac:dyDescent="0.2">
      <c r="A1776" s="19" t="s">
        <v>1923</v>
      </c>
      <c r="B1776" s="50">
        <v>99.598399999999998</v>
      </c>
      <c r="C1776" s="50">
        <v>2632.9</v>
      </c>
      <c r="D1776" s="51">
        <v>34344371.970152996</v>
      </c>
      <c r="E1776" s="51">
        <v>2171127778</v>
      </c>
      <c r="F1776" s="52">
        <f t="shared" si="58"/>
        <v>-1.9306709314755439E-2</v>
      </c>
      <c r="G1776" s="52">
        <f t="shared" si="59"/>
        <v>-1.4258454363476867E-2</v>
      </c>
    </row>
    <row r="1777" spans="1:7" ht="15" customHeight="1" x14ac:dyDescent="0.2">
      <c r="A1777" s="19" t="s">
        <v>1924</v>
      </c>
      <c r="B1777" s="50">
        <v>100.58499999999999</v>
      </c>
      <c r="C1777" s="50">
        <v>2638.7</v>
      </c>
      <c r="D1777" s="51">
        <v>27451404.270513002</v>
      </c>
      <c r="E1777" s="51">
        <v>1853116667</v>
      </c>
      <c r="F1777" s="52">
        <f t="shared" si="58"/>
        <v>9.8570409760422289E-3</v>
      </c>
      <c r="G1777" s="52">
        <f t="shared" si="59"/>
        <v>2.200471333308696E-3</v>
      </c>
    </row>
    <row r="1778" spans="1:7" ht="15" customHeight="1" x14ac:dyDescent="0.2">
      <c r="A1778" s="19" t="s">
        <v>1925</v>
      </c>
      <c r="B1778" s="50">
        <v>100.086</v>
      </c>
      <c r="C1778" s="50">
        <v>2642.33</v>
      </c>
      <c r="D1778" s="51">
        <v>24576801.640422001</v>
      </c>
      <c r="E1778" s="51">
        <v>1907361111</v>
      </c>
      <c r="F1778" s="52">
        <f t="shared" si="58"/>
        <v>-4.9733247805617475E-3</v>
      </c>
      <c r="G1778" s="52">
        <f t="shared" si="59"/>
        <v>1.3747320396555432E-3</v>
      </c>
    </row>
    <row r="1779" spans="1:7" ht="15" customHeight="1" x14ac:dyDescent="0.2">
      <c r="A1779" s="19" t="s">
        <v>1926</v>
      </c>
      <c r="B1779" s="50">
        <v>101.024</v>
      </c>
      <c r="C1779" s="50">
        <v>2664.76</v>
      </c>
      <c r="D1779" s="51">
        <v>33121029.176816002</v>
      </c>
      <c r="E1779" s="51">
        <v>2118933333</v>
      </c>
      <c r="F1779" s="52">
        <f t="shared" si="58"/>
        <v>9.3282959756077512E-3</v>
      </c>
      <c r="G1779" s="52">
        <f t="shared" si="59"/>
        <v>8.4528936024961705E-3</v>
      </c>
    </row>
    <row r="1780" spans="1:7" ht="15" customHeight="1" x14ac:dyDescent="0.2">
      <c r="A1780" s="19" t="s">
        <v>1927</v>
      </c>
      <c r="B1780" s="50">
        <v>99.021500000000003</v>
      </c>
      <c r="C1780" s="50">
        <v>2643.85</v>
      </c>
      <c r="D1780" s="51">
        <v>31273407.179327998</v>
      </c>
      <c r="E1780" s="51">
        <v>2007116667</v>
      </c>
      <c r="F1780" s="52">
        <f t="shared" si="58"/>
        <v>-2.0021114102183254E-2</v>
      </c>
      <c r="G1780" s="52">
        <f t="shared" si="59"/>
        <v>-7.8778091211158478E-3</v>
      </c>
    </row>
    <row r="1781" spans="1:7" ht="15" customHeight="1" x14ac:dyDescent="0.2">
      <c r="A1781" s="19" t="s">
        <v>1928</v>
      </c>
      <c r="B1781" s="50">
        <v>97.024100000000004</v>
      </c>
      <c r="C1781" s="50">
        <v>2640</v>
      </c>
      <c r="D1781" s="51">
        <v>33409984.418953001</v>
      </c>
      <c r="E1781" s="51">
        <v>1946777778</v>
      </c>
      <c r="F1781" s="52">
        <f t="shared" si="58"/>
        <v>-2.0377597021254107E-2</v>
      </c>
      <c r="G1781" s="52">
        <f t="shared" si="59"/>
        <v>-1.4572709979783426E-3</v>
      </c>
    </row>
    <row r="1782" spans="1:7" ht="15" customHeight="1" x14ac:dyDescent="0.2">
      <c r="A1782" s="19" t="s">
        <v>1929</v>
      </c>
      <c r="B1782" s="50">
        <v>100.261</v>
      </c>
      <c r="C1782" s="50">
        <v>2681.05</v>
      </c>
      <c r="D1782" s="51">
        <v>52487315.619143002</v>
      </c>
      <c r="E1782" s="51">
        <v>2148783333</v>
      </c>
      <c r="F1782" s="52">
        <f t="shared" si="58"/>
        <v>3.2817384600897392E-2</v>
      </c>
      <c r="G1782" s="52">
        <f t="shared" si="59"/>
        <v>1.5429591679246102E-2</v>
      </c>
    </row>
    <row r="1783" spans="1:7" ht="15" customHeight="1" x14ac:dyDescent="0.2">
      <c r="A1783" s="19" t="s">
        <v>1930</v>
      </c>
      <c r="B1783" s="50">
        <v>98.445400000000006</v>
      </c>
      <c r="C1783" s="50">
        <v>2704.1</v>
      </c>
      <c r="D1783" s="51">
        <v>59027586.188133001</v>
      </c>
      <c r="E1783" s="51">
        <v>2732027778</v>
      </c>
      <c r="F1783" s="52">
        <f t="shared" si="58"/>
        <v>-1.8274706085012471E-2</v>
      </c>
      <c r="G1783" s="52">
        <f t="shared" si="59"/>
        <v>8.560630907940894E-3</v>
      </c>
    </row>
    <row r="1784" spans="1:7" ht="15" customHeight="1" x14ac:dyDescent="0.2">
      <c r="A1784" s="19" t="s">
        <v>1931</v>
      </c>
      <c r="B1784" s="50">
        <v>96.875500000000002</v>
      </c>
      <c r="C1784" s="50">
        <v>2706.53</v>
      </c>
      <c r="D1784" s="51">
        <v>37701691.505248003</v>
      </c>
      <c r="E1784" s="51">
        <v>2088483333</v>
      </c>
      <c r="F1784" s="52">
        <f t="shared" si="58"/>
        <v>-1.6075430817514502E-2</v>
      </c>
      <c r="G1784" s="52">
        <f t="shared" si="59"/>
        <v>8.9823187443282919E-4</v>
      </c>
    </row>
    <row r="1785" spans="1:7" ht="15" customHeight="1" x14ac:dyDescent="0.2">
      <c r="A1785" s="19" t="s">
        <v>1932</v>
      </c>
      <c r="B1785" s="50">
        <v>99.657499999999999</v>
      </c>
      <c r="C1785" s="50">
        <v>2724.87</v>
      </c>
      <c r="D1785" s="51">
        <v>33224036.535512</v>
      </c>
      <c r="E1785" s="51">
        <v>1866577778</v>
      </c>
      <c r="F1785" s="52">
        <f t="shared" si="58"/>
        <v>2.8312658298117074E-2</v>
      </c>
      <c r="G1785" s="52">
        <f t="shared" si="59"/>
        <v>6.7533489353567532E-3</v>
      </c>
    </row>
    <row r="1786" spans="1:7" ht="15" customHeight="1" x14ac:dyDescent="0.2">
      <c r="A1786" s="19" t="s">
        <v>1933</v>
      </c>
      <c r="B1786" s="50">
        <v>101.071</v>
      </c>
      <c r="C1786" s="50">
        <v>2737.7</v>
      </c>
      <c r="D1786" s="51">
        <v>28990921.532894</v>
      </c>
      <c r="E1786" s="51">
        <v>1978016667</v>
      </c>
      <c r="F1786" s="52">
        <f t="shared" si="58"/>
        <v>1.4083932921772405E-2</v>
      </c>
      <c r="G1786" s="52">
        <f t="shared" si="59"/>
        <v>4.697431279443067E-3</v>
      </c>
    </row>
    <row r="1787" spans="1:7" ht="15" customHeight="1" x14ac:dyDescent="0.2">
      <c r="A1787" s="19" t="s">
        <v>1934</v>
      </c>
      <c r="B1787" s="50">
        <v>99.93</v>
      </c>
      <c r="C1787" s="50">
        <v>2731.61</v>
      </c>
      <c r="D1787" s="51">
        <v>21865982.256623</v>
      </c>
      <c r="E1787" s="51">
        <v>1929272222</v>
      </c>
      <c r="F1787" s="52">
        <f t="shared" si="58"/>
        <v>-1.1353299296705822E-2</v>
      </c>
      <c r="G1787" s="52">
        <f t="shared" si="59"/>
        <v>-2.2269728784431774E-3</v>
      </c>
    </row>
    <row r="1788" spans="1:7" ht="15" customHeight="1" x14ac:dyDescent="0.2">
      <c r="A1788" s="19" t="s">
        <v>1935</v>
      </c>
      <c r="B1788" s="50">
        <v>99.197299999999998</v>
      </c>
      <c r="C1788" s="50">
        <v>2706.05</v>
      </c>
      <c r="D1788" s="51">
        <v>31574695.333799999</v>
      </c>
      <c r="E1788" s="51">
        <v>2277494444</v>
      </c>
      <c r="F1788" s="52">
        <f t="shared" si="58"/>
        <v>-7.3591446952158916E-3</v>
      </c>
      <c r="G1788" s="52">
        <f t="shared" si="59"/>
        <v>-9.4011719208093036E-3</v>
      </c>
    </row>
    <row r="1789" spans="1:7" ht="15" customHeight="1" x14ac:dyDescent="0.2">
      <c r="A1789" s="19" t="s">
        <v>1936</v>
      </c>
      <c r="B1789" s="50">
        <v>99.588499999999996</v>
      </c>
      <c r="C1789" s="50">
        <v>2707.88</v>
      </c>
      <c r="D1789" s="51">
        <v>22769206.833753001</v>
      </c>
      <c r="E1789" s="51">
        <v>2012405556</v>
      </c>
      <c r="F1789" s="52">
        <f t="shared" si="58"/>
        <v>3.9358998984485288E-3</v>
      </c>
      <c r="G1789" s="52">
        <f t="shared" si="59"/>
        <v>6.7603388654662077E-4</v>
      </c>
    </row>
    <row r="1790" spans="1:7" ht="15" customHeight="1" x14ac:dyDescent="0.2">
      <c r="A1790" s="19" t="s">
        <v>1937</v>
      </c>
      <c r="B1790" s="50">
        <v>99.177599999999998</v>
      </c>
      <c r="C1790" s="50">
        <v>2709.8</v>
      </c>
      <c r="D1790" s="51">
        <v>20066991.616918001</v>
      </c>
      <c r="E1790" s="51">
        <v>1867761111</v>
      </c>
      <c r="F1790" s="52">
        <f t="shared" si="58"/>
        <v>-4.1345137358318419E-3</v>
      </c>
      <c r="G1790" s="52">
        <f t="shared" si="59"/>
        <v>7.0879050825508596E-4</v>
      </c>
    </row>
    <row r="1791" spans="1:7" ht="15" customHeight="1" x14ac:dyDescent="0.2">
      <c r="A1791" s="19" t="s">
        <v>1938</v>
      </c>
      <c r="B1791" s="50">
        <v>100.76</v>
      </c>
      <c r="C1791" s="50">
        <v>2744.73</v>
      </c>
      <c r="D1791" s="51">
        <v>26583864.871814001</v>
      </c>
      <c r="E1791" s="51">
        <v>2126538889</v>
      </c>
      <c r="F1791" s="52">
        <f t="shared" si="58"/>
        <v>1.5829269143310658E-2</v>
      </c>
      <c r="G1791" s="52">
        <f t="shared" si="59"/>
        <v>1.2807878037835878E-2</v>
      </c>
    </row>
    <row r="1792" spans="1:7" ht="15" customHeight="1" x14ac:dyDescent="0.2">
      <c r="A1792" s="19" t="s">
        <v>1939</v>
      </c>
      <c r="B1792" s="50">
        <v>100.681</v>
      </c>
      <c r="C1792" s="50">
        <v>2753.03</v>
      </c>
      <c r="D1792" s="51">
        <v>19516086.381572999</v>
      </c>
      <c r="E1792" s="51">
        <v>2039316667</v>
      </c>
      <c r="F1792" s="52">
        <f t="shared" si="58"/>
        <v>-7.8434880734404094E-4</v>
      </c>
      <c r="G1792" s="52">
        <f t="shared" si="59"/>
        <v>3.0194138361176875E-3</v>
      </c>
    </row>
    <row r="1793" spans="1:7" ht="15" customHeight="1" x14ac:dyDescent="0.2">
      <c r="A1793" s="19" t="s">
        <v>1940</v>
      </c>
      <c r="B1793" s="50">
        <v>100.77</v>
      </c>
      <c r="C1793" s="50">
        <v>2745.73</v>
      </c>
      <c r="D1793" s="51">
        <v>23112543.195891999</v>
      </c>
      <c r="E1793" s="51">
        <v>2131500000</v>
      </c>
      <c r="F1793" s="52">
        <f t="shared" si="58"/>
        <v>8.8358961524562273E-4</v>
      </c>
      <c r="G1793" s="52">
        <f t="shared" si="59"/>
        <v>-2.6551456286969719E-3</v>
      </c>
    </row>
    <row r="1794" spans="1:7" ht="15" customHeight="1" x14ac:dyDescent="0.2">
      <c r="A1794" s="19" t="s">
        <v>1941</v>
      </c>
      <c r="B1794" s="50">
        <v>101.989</v>
      </c>
      <c r="C1794" s="50">
        <v>2775.6</v>
      </c>
      <c r="D1794" s="51">
        <v>28228651.106984001</v>
      </c>
      <c r="E1794" s="51">
        <v>2022983333</v>
      </c>
      <c r="F1794" s="52">
        <f t="shared" si="58"/>
        <v>1.2024272039215874E-2</v>
      </c>
      <c r="G1794" s="52">
        <f t="shared" si="59"/>
        <v>1.0819962367806283E-2</v>
      </c>
    </row>
    <row r="1795" spans="1:7" ht="15" customHeight="1" x14ac:dyDescent="0.2">
      <c r="A1795" s="19" t="s">
        <v>1942</v>
      </c>
      <c r="B1795" s="50">
        <v>101.941</v>
      </c>
      <c r="C1795" s="50">
        <v>2779.76</v>
      </c>
      <c r="D1795" s="51">
        <v>19137952.491257999</v>
      </c>
      <c r="E1795" s="51">
        <v>1963172222</v>
      </c>
      <c r="F1795" s="52">
        <f t="shared" si="58"/>
        <v>-4.707497757703501E-4</v>
      </c>
      <c r="G1795" s="52">
        <f t="shared" si="59"/>
        <v>1.4976529973075329E-3</v>
      </c>
    </row>
    <row r="1796" spans="1:7" ht="15" customHeight="1" x14ac:dyDescent="0.2">
      <c r="A1796" s="19" t="s">
        <v>1943</v>
      </c>
      <c r="B1796" s="50">
        <v>101.444</v>
      </c>
      <c r="C1796" s="50">
        <v>2784.7</v>
      </c>
      <c r="D1796" s="51">
        <v>22827230.698406</v>
      </c>
      <c r="E1796" s="51">
        <v>2130805556</v>
      </c>
      <c r="F1796" s="52">
        <f t="shared" si="58"/>
        <v>-4.8872924676124623E-3</v>
      </c>
      <c r="G1796" s="52">
        <f t="shared" si="59"/>
        <v>1.7755546082880141E-3</v>
      </c>
    </row>
    <row r="1797" spans="1:7" ht="15" customHeight="1" x14ac:dyDescent="0.2">
      <c r="A1797" s="19" t="s">
        <v>1944</v>
      </c>
      <c r="B1797" s="50">
        <v>103.57299999999999</v>
      </c>
      <c r="C1797" s="50">
        <v>2774.88</v>
      </c>
      <c r="D1797" s="51">
        <v>30703588.952985998</v>
      </c>
      <c r="E1797" s="51">
        <v>1977616667</v>
      </c>
      <c r="F1797" s="52">
        <f t="shared" si="58"/>
        <v>2.0769756009910434E-2</v>
      </c>
      <c r="G1797" s="52">
        <f t="shared" si="59"/>
        <v>-3.5326446287138233E-3</v>
      </c>
    </row>
    <row r="1798" spans="1:7" ht="15" customHeight="1" x14ac:dyDescent="0.2">
      <c r="A1798" s="19" t="s">
        <v>1945</v>
      </c>
      <c r="B1798" s="50">
        <v>105.048</v>
      </c>
      <c r="C1798" s="50">
        <v>2792.67</v>
      </c>
      <c r="D1798" s="51">
        <v>29330202.551704001</v>
      </c>
      <c r="E1798" s="51">
        <v>1904338889</v>
      </c>
      <c r="F1798" s="52">
        <f t="shared" ref="F1798:F1861" si="60">LN(B1798/B1797)</f>
        <v>1.4140710458649388E-2</v>
      </c>
      <c r="G1798" s="52">
        <f t="shared" ref="G1798:G1861" si="61">LN(C1798/C1797)</f>
        <v>6.3906244381742427E-3</v>
      </c>
    </row>
    <row r="1799" spans="1:7" ht="15" customHeight="1" x14ac:dyDescent="0.2">
      <c r="A1799" s="19" t="s">
        <v>1946</v>
      </c>
      <c r="B1799" s="50">
        <v>105.624</v>
      </c>
      <c r="C1799" s="50">
        <v>2796.11</v>
      </c>
      <c r="D1799" s="51">
        <v>25091107.427806001</v>
      </c>
      <c r="E1799" s="51">
        <v>2113544444</v>
      </c>
      <c r="F1799" s="52">
        <f t="shared" si="60"/>
        <v>5.4682296201959005E-3</v>
      </c>
      <c r="G1799" s="52">
        <f t="shared" si="61"/>
        <v>1.2310380564024776E-3</v>
      </c>
    </row>
    <row r="1800" spans="1:7" ht="15" customHeight="1" x14ac:dyDescent="0.2">
      <c r="A1800" s="19" t="s">
        <v>1947</v>
      </c>
      <c r="B1800" s="50">
        <v>106.357</v>
      </c>
      <c r="C1800" s="50">
        <v>2793.9</v>
      </c>
      <c r="D1800" s="51">
        <v>22752290.287969001</v>
      </c>
      <c r="E1800" s="51">
        <v>2025377778</v>
      </c>
      <c r="F1800" s="52">
        <f t="shared" si="60"/>
        <v>6.9157417076037642E-3</v>
      </c>
      <c r="G1800" s="52">
        <f t="shared" si="61"/>
        <v>-7.9069630113047843E-4</v>
      </c>
    </row>
    <row r="1801" spans="1:7" ht="15" customHeight="1" x14ac:dyDescent="0.2">
      <c r="A1801" s="19" t="s">
        <v>1948</v>
      </c>
      <c r="B1801" s="50">
        <v>106.18</v>
      </c>
      <c r="C1801" s="50">
        <v>2792.38</v>
      </c>
      <c r="D1801" s="51">
        <v>22699814.493375</v>
      </c>
      <c r="E1801" s="51">
        <v>2092850000</v>
      </c>
      <c r="F1801" s="52">
        <f t="shared" si="60"/>
        <v>-1.6655927289782777E-3</v>
      </c>
      <c r="G1801" s="52">
        <f t="shared" si="61"/>
        <v>-5.4419042278991056E-4</v>
      </c>
    </row>
    <row r="1802" spans="1:7" ht="15" customHeight="1" x14ac:dyDescent="0.2">
      <c r="A1802" s="19" t="s">
        <v>1949</v>
      </c>
      <c r="B1802" s="50">
        <v>106.044</v>
      </c>
      <c r="C1802" s="50">
        <v>2784.49</v>
      </c>
      <c r="D1802" s="51">
        <v>30725462.825808</v>
      </c>
      <c r="E1802" s="51">
        <v>2442738889</v>
      </c>
      <c r="F1802" s="52">
        <f t="shared" si="60"/>
        <v>-1.2816648316578121E-3</v>
      </c>
      <c r="G1802" s="52">
        <f t="shared" si="61"/>
        <v>-2.8295460586895897E-3</v>
      </c>
    </row>
    <row r="1803" spans="1:7" ht="15" customHeight="1" x14ac:dyDescent="0.2">
      <c r="A1803" s="19" t="s">
        <v>1950</v>
      </c>
      <c r="B1803" s="50">
        <v>106.514</v>
      </c>
      <c r="C1803" s="50">
        <v>2803.69</v>
      </c>
      <c r="D1803" s="51">
        <v>24827598.159697</v>
      </c>
      <c r="E1803" s="51">
        <v>2206822222</v>
      </c>
      <c r="F1803" s="52">
        <f t="shared" si="60"/>
        <v>4.4223295851693722E-3</v>
      </c>
      <c r="G1803" s="52">
        <f t="shared" si="61"/>
        <v>6.8716739803607518E-3</v>
      </c>
    </row>
    <row r="1804" spans="1:7" ht="15" customHeight="1" x14ac:dyDescent="0.2">
      <c r="A1804" s="19" t="s">
        <v>1951</v>
      </c>
      <c r="B1804" s="50">
        <v>106.26900000000001</v>
      </c>
      <c r="C1804" s="50">
        <v>2792.81</v>
      </c>
      <c r="D1804" s="51">
        <v>28109796.068558998</v>
      </c>
      <c r="E1804" s="51">
        <v>2177672222</v>
      </c>
      <c r="F1804" s="52">
        <f t="shared" si="60"/>
        <v>-2.3028165621204358E-3</v>
      </c>
      <c r="G1804" s="52">
        <f t="shared" si="61"/>
        <v>-3.8881492742662512E-3</v>
      </c>
    </row>
    <row r="1805" spans="1:7" ht="15" customHeight="1" x14ac:dyDescent="0.2">
      <c r="A1805" s="19" t="s">
        <v>1952</v>
      </c>
      <c r="B1805" s="50">
        <v>105.721</v>
      </c>
      <c r="C1805" s="50">
        <v>2789.65</v>
      </c>
      <c r="D1805" s="51">
        <v>20641082.236017</v>
      </c>
      <c r="E1805" s="51">
        <v>1992050000</v>
      </c>
      <c r="F1805" s="52">
        <f t="shared" si="60"/>
        <v>-5.1700667073986762E-3</v>
      </c>
      <c r="G1805" s="52">
        <f t="shared" si="61"/>
        <v>-1.1321175028613038E-3</v>
      </c>
    </row>
    <row r="1806" spans="1:7" ht="15" customHeight="1" x14ac:dyDescent="0.2">
      <c r="A1806" s="19" t="s">
        <v>1953</v>
      </c>
      <c r="B1806" s="50">
        <v>105.76900000000001</v>
      </c>
      <c r="C1806" s="50">
        <v>2771.45</v>
      </c>
      <c r="D1806" s="51">
        <v>18685268.265184999</v>
      </c>
      <c r="E1806" s="51">
        <v>2103666667</v>
      </c>
      <c r="F1806" s="52">
        <f t="shared" si="60"/>
        <v>4.5392217905511968E-4</v>
      </c>
      <c r="G1806" s="52">
        <f t="shared" si="61"/>
        <v>-6.5454909924979043E-3</v>
      </c>
    </row>
    <row r="1807" spans="1:7" ht="15" customHeight="1" x14ac:dyDescent="0.2">
      <c r="A1807" s="19" t="s">
        <v>1954</v>
      </c>
      <c r="B1807" s="50">
        <v>104.482</v>
      </c>
      <c r="C1807" s="50">
        <v>2748.93</v>
      </c>
      <c r="D1807" s="51">
        <v>26769110.416067999</v>
      </c>
      <c r="E1807" s="51">
        <v>2169366667</v>
      </c>
      <c r="F1807" s="52">
        <f t="shared" si="60"/>
        <v>-1.2242663054064034E-2</v>
      </c>
      <c r="G1807" s="52">
        <f t="shared" si="61"/>
        <v>-8.1589038889600621E-3</v>
      </c>
    </row>
    <row r="1808" spans="1:7" ht="15" customHeight="1" x14ac:dyDescent="0.2">
      <c r="A1808" s="19" t="s">
        <v>1955</v>
      </c>
      <c r="B1808" s="50">
        <v>104.598</v>
      </c>
      <c r="C1808" s="50">
        <v>2743.07</v>
      </c>
      <c r="D1808" s="51">
        <v>24106325.504126001</v>
      </c>
      <c r="E1808" s="51">
        <v>1901738889</v>
      </c>
      <c r="F1808" s="52">
        <f t="shared" si="60"/>
        <v>1.1096232246241644E-3</v>
      </c>
      <c r="G1808" s="52">
        <f t="shared" si="61"/>
        <v>-2.1340139198386563E-3</v>
      </c>
    </row>
    <row r="1809" spans="1:7" ht="15" customHeight="1" x14ac:dyDescent="0.2">
      <c r="A1809" s="19" t="s">
        <v>1956</v>
      </c>
      <c r="B1809" s="50">
        <v>106.807</v>
      </c>
      <c r="C1809" s="50">
        <v>2783.3</v>
      </c>
      <c r="D1809" s="51">
        <v>27986833.472082</v>
      </c>
      <c r="E1809" s="51">
        <v>2082794444</v>
      </c>
      <c r="F1809" s="52">
        <f t="shared" si="60"/>
        <v>2.089903646026911E-2</v>
      </c>
      <c r="G1809" s="52">
        <f t="shared" si="61"/>
        <v>1.455954294099511E-2</v>
      </c>
    </row>
    <row r="1810" spans="1:7" ht="15" customHeight="1" x14ac:dyDescent="0.2">
      <c r="A1810" s="19" t="s">
        <v>1957</v>
      </c>
      <c r="B1810" s="50">
        <v>107.538</v>
      </c>
      <c r="C1810" s="50">
        <v>2791.52</v>
      </c>
      <c r="D1810" s="51">
        <v>27607673.716072001</v>
      </c>
      <c r="E1810" s="51">
        <v>1896794444</v>
      </c>
      <c r="F1810" s="52">
        <f t="shared" si="60"/>
        <v>6.82080602811291E-3</v>
      </c>
      <c r="G1810" s="52">
        <f t="shared" si="61"/>
        <v>2.9489762744178273E-3</v>
      </c>
    </row>
    <row r="1811" spans="1:7" ht="15" customHeight="1" x14ac:dyDescent="0.2">
      <c r="A1811" s="19" t="s">
        <v>1958</v>
      </c>
      <c r="B1811" s="50">
        <v>108.387</v>
      </c>
      <c r="C1811" s="50">
        <v>2810.92</v>
      </c>
      <c r="D1811" s="51">
        <v>37518205.904237002</v>
      </c>
      <c r="E1811" s="51">
        <v>2092305556</v>
      </c>
      <c r="F1811" s="52">
        <f t="shared" si="60"/>
        <v>7.8638821370470065E-3</v>
      </c>
      <c r="G1811" s="52">
        <f t="shared" si="61"/>
        <v>6.9255815470474699E-3</v>
      </c>
    </row>
    <row r="1812" spans="1:7" ht="15" customHeight="1" x14ac:dyDescent="0.2">
      <c r="A1812" s="19" t="s">
        <v>1959</v>
      </c>
      <c r="B1812" s="50">
        <v>108.476</v>
      </c>
      <c r="C1812" s="50">
        <v>2808.48</v>
      </c>
      <c r="D1812" s="51">
        <v>32499685.259036999</v>
      </c>
      <c r="E1812" s="51">
        <v>1927627778</v>
      </c>
      <c r="F1812" s="52">
        <f t="shared" si="60"/>
        <v>8.2079474134946957E-4</v>
      </c>
      <c r="G1812" s="52">
        <f t="shared" si="61"/>
        <v>-8.6842017060344712E-4</v>
      </c>
    </row>
    <row r="1813" spans="1:7" ht="15" customHeight="1" x14ac:dyDescent="0.2">
      <c r="A1813" s="19" t="s">
        <v>1960</v>
      </c>
      <c r="B1813" s="50">
        <v>109.70699999999999</v>
      </c>
      <c r="C1813" s="50">
        <v>2822.48</v>
      </c>
      <c r="D1813" s="51">
        <v>57714074.714555003</v>
      </c>
      <c r="E1813" s="51">
        <v>3312627778</v>
      </c>
      <c r="F1813" s="52">
        <f t="shared" si="60"/>
        <v>1.1284225281454395E-2</v>
      </c>
      <c r="G1813" s="52">
        <f t="shared" si="61"/>
        <v>4.972519373935739E-3</v>
      </c>
    </row>
    <row r="1814" spans="1:7" ht="15" customHeight="1" x14ac:dyDescent="0.2">
      <c r="A1814" s="19" t="s">
        <v>1961</v>
      </c>
      <c r="B1814" s="50">
        <v>111.288</v>
      </c>
      <c r="C1814" s="50">
        <v>2832.94</v>
      </c>
      <c r="D1814" s="51">
        <v>32968987.076021001</v>
      </c>
      <c r="E1814" s="51">
        <v>1973438889</v>
      </c>
      <c r="F1814" s="52">
        <f t="shared" si="60"/>
        <v>1.4308260119903205E-2</v>
      </c>
      <c r="G1814" s="52">
        <f t="shared" si="61"/>
        <v>3.6991105620370161E-3</v>
      </c>
    </row>
    <row r="1815" spans="1:7" ht="15" customHeight="1" x14ac:dyDescent="0.2">
      <c r="A1815" s="19" t="s">
        <v>1962</v>
      </c>
      <c r="B1815" s="50">
        <v>111.367</v>
      </c>
      <c r="C1815" s="50">
        <v>2832.57</v>
      </c>
      <c r="D1815" s="51">
        <v>39710241.320462003</v>
      </c>
      <c r="E1815" s="51">
        <v>2011233333</v>
      </c>
      <c r="F1815" s="52">
        <f t="shared" si="60"/>
        <v>7.0961804868603293E-4</v>
      </c>
      <c r="G1815" s="52">
        <f t="shared" si="61"/>
        <v>-1.3061489628502955E-4</v>
      </c>
    </row>
    <row r="1816" spans="1:7" ht="15" customHeight="1" x14ac:dyDescent="0.2">
      <c r="A1816" s="19" t="s">
        <v>1963</v>
      </c>
      <c r="B1816" s="50">
        <v>111.24</v>
      </c>
      <c r="C1816" s="50">
        <v>2824.23</v>
      </c>
      <c r="D1816" s="51">
        <v>29700089.587558001</v>
      </c>
      <c r="E1816" s="51">
        <v>2095111111</v>
      </c>
      <c r="F1816" s="52">
        <f t="shared" si="60"/>
        <v>-1.1410244401914046E-3</v>
      </c>
      <c r="G1816" s="52">
        <f t="shared" si="61"/>
        <v>-2.9486656918281009E-3</v>
      </c>
    </row>
    <row r="1817" spans="1:7" ht="15" customHeight="1" x14ac:dyDescent="0.2">
      <c r="A1817" s="19" t="s">
        <v>1964</v>
      </c>
      <c r="B1817" s="50">
        <v>113.80800000000001</v>
      </c>
      <c r="C1817" s="50">
        <v>2854.88</v>
      </c>
      <c r="D1817" s="51">
        <v>31539461.659131002</v>
      </c>
      <c r="E1817" s="51">
        <v>1970444444</v>
      </c>
      <c r="F1817" s="52">
        <f t="shared" si="60"/>
        <v>2.2822788625395465E-2</v>
      </c>
      <c r="G1817" s="52">
        <f t="shared" si="61"/>
        <v>1.0794049627223466E-2</v>
      </c>
    </row>
    <row r="1818" spans="1:7" ht="15" customHeight="1" x14ac:dyDescent="0.2">
      <c r="A1818" s="19" t="s">
        <v>1965</v>
      </c>
      <c r="B1818" s="50">
        <v>110.8</v>
      </c>
      <c r="C1818" s="50">
        <v>2800.71</v>
      </c>
      <c r="D1818" s="51">
        <v>35522331.980405003</v>
      </c>
      <c r="E1818" s="51">
        <v>2354000000</v>
      </c>
      <c r="F1818" s="52">
        <f t="shared" si="60"/>
        <v>-2.6786043677976001E-2</v>
      </c>
      <c r="G1818" s="52">
        <f t="shared" si="61"/>
        <v>-1.9156854235052909E-2</v>
      </c>
    </row>
    <row r="1819" spans="1:7" ht="15" customHeight="1" x14ac:dyDescent="0.2">
      <c r="A1819" s="19" t="s">
        <v>1966</v>
      </c>
      <c r="B1819" s="50">
        <v>111.377</v>
      </c>
      <c r="C1819" s="50">
        <v>2798.36</v>
      </c>
      <c r="D1819" s="51">
        <v>28594814.516559001</v>
      </c>
      <c r="E1819" s="51">
        <v>1875877778</v>
      </c>
      <c r="F1819" s="52">
        <f t="shared" si="60"/>
        <v>5.1940686678493145E-3</v>
      </c>
      <c r="G1819" s="52">
        <f t="shared" si="61"/>
        <v>-8.3942516810502456E-4</v>
      </c>
    </row>
    <row r="1820" spans="1:7" ht="15" customHeight="1" x14ac:dyDescent="0.2">
      <c r="A1820" s="19" t="s">
        <v>1967</v>
      </c>
      <c r="B1820" s="50">
        <v>111.601</v>
      </c>
      <c r="C1820" s="50">
        <v>2818.46</v>
      </c>
      <c r="D1820" s="51">
        <v>27570646.312162999</v>
      </c>
      <c r="E1820" s="51">
        <v>1814472222</v>
      </c>
      <c r="F1820" s="52">
        <f t="shared" si="60"/>
        <v>2.0091674995089161E-3</v>
      </c>
      <c r="G1820" s="52">
        <f t="shared" si="61"/>
        <v>7.1571051948916761E-3</v>
      </c>
    </row>
    <row r="1821" spans="1:7" ht="15" customHeight="1" x14ac:dyDescent="0.2">
      <c r="A1821" s="19" t="s">
        <v>1968</v>
      </c>
      <c r="B1821" s="50">
        <v>110.53700000000001</v>
      </c>
      <c r="C1821" s="50">
        <v>2805.37</v>
      </c>
      <c r="D1821" s="51">
        <v>24016524.374568</v>
      </c>
      <c r="E1821" s="51">
        <v>1873850000</v>
      </c>
      <c r="F1821" s="52">
        <f t="shared" si="60"/>
        <v>-9.5797039407220317E-3</v>
      </c>
      <c r="G1821" s="52">
        <f t="shared" si="61"/>
        <v>-4.6551989086819415E-3</v>
      </c>
    </row>
    <row r="1822" spans="1:7" ht="15" customHeight="1" x14ac:dyDescent="0.2">
      <c r="A1822" s="19" t="s">
        <v>1969</v>
      </c>
      <c r="B1822" s="50">
        <v>110.684</v>
      </c>
      <c r="C1822" s="50">
        <v>2815.44</v>
      </c>
      <c r="D1822" s="51">
        <v>19369589.279383998</v>
      </c>
      <c r="E1822" s="51">
        <v>1754538889</v>
      </c>
      <c r="F1822" s="52">
        <f t="shared" si="60"/>
        <v>1.3289879499328468E-3</v>
      </c>
      <c r="G1822" s="52">
        <f t="shared" si="61"/>
        <v>3.5831172994041961E-3</v>
      </c>
    </row>
    <row r="1823" spans="1:7" ht="15" customHeight="1" x14ac:dyDescent="0.2">
      <c r="A1823" s="19" t="s">
        <v>1970</v>
      </c>
      <c r="B1823" s="50">
        <v>111.63</v>
      </c>
      <c r="C1823" s="50">
        <v>2834.4</v>
      </c>
      <c r="D1823" s="51">
        <v>26833338.618159</v>
      </c>
      <c r="E1823" s="51">
        <v>2078166667</v>
      </c>
      <c r="F1823" s="52">
        <f t="shared" si="60"/>
        <v>8.5105365368884373E-3</v>
      </c>
      <c r="G1823" s="52">
        <f t="shared" si="61"/>
        <v>6.7117196856877198E-3</v>
      </c>
    </row>
    <row r="1824" spans="1:7" ht="15" customHeight="1" x14ac:dyDescent="0.2">
      <c r="A1824" s="19" t="s">
        <v>1971</v>
      </c>
      <c r="B1824" s="50">
        <v>112.657</v>
      </c>
      <c r="C1824" s="50">
        <v>2867.19</v>
      </c>
      <c r="D1824" s="51">
        <v>24075343.745854001</v>
      </c>
      <c r="E1824" s="51">
        <v>1944866667</v>
      </c>
      <c r="F1824" s="52">
        <f t="shared" si="60"/>
        <v>9.1579732907711223E-3</v>
      </c>
      <c r="G1824" s="52">
        <f t="shared" si="61"/>
        <v>1.1502181500052781E-2</v>
      </c>
    </row>
    <row r="1825" spans="1:7" ht="15" customHeight="1" x14ac:dyDescent="0.2">
      <c r="A1825" s="19" t="s">
        <v>1972</v>
      </c>
      <c r="B1825" s="50">
        <v>112.822</v>
      </c>
      <c r="C1825" s="50">
        <v>2867.24</v>
      </c>
      <c r="D1825" s="51">
        <v>19166267.203485999</v>
      </c>
      <c r="E1825" s="51">
        <v>1803833333</v>
      </c>
      <c r="F1825" s="52">
        <f t="shared" si="60"/>
        <v>1.4635511905965305E-3</v>
      </c>
      <c r="G1825" s="52">
        <f t="shared" si="61"/>
        <v>1.7438524840564605E-5</v>
      </c>
    </row>
    <row r="1826" spans="1:7" ht="15" customHeight="1" x14ac:dyDescent="0.2">
      <c r="A1826" s="19" t="s">
        <v>1973</v>
      </c>
      <c r="B1826" s="50">
        <v>113.57599999999999</v>
      </c>
      <c r="C1826" s="50">
        <v>2873.4</v>
      </c>
      <c r="D1826" s="51">
        <v>24151029.495838001</v>
      </c>
      <c r="E1826" s="51">
        <v>1972355556</v>
      </c>
      <c r="F1826" s="52">
        <f t="shared" si="60"/>
        <v>6.6608608532643188E-3</v>
      </c>
      <c r="G1826" s="52">
        <f t="shared" si="61"/>
        <v>2.1461030004631186E-3</v>
      </c>
    </row>
    <row r="1827" spans="1:7" ht="15" customHeight="1" x14ac:dyDescent="0.2">
      <c r="A1827" s="19" t="s">
        <v>1974</v>
      </c>
      <c r="B1827" s="50">
        <v>112.989</v>
      </c>
      <c r="C1827" s="50">
        <v>2879.39</v>
      </c>
      <c r="D1827" s="51">
        <v>21248039.462435</v>
      </c>
      <c r="E1827" s="51">
        <v>1675100000</v>
      </c>
      <c r="F1827" s="52">
        <f t="shared" si="60"/>
        <v>-5.1817475200204698E-3</v>
      </c>
      <c r="G1827" s="52">
        <f t="shared" si="61"/>
        <v>2.0824685638528733E-3</v>
      </c>
    </row>
    <row r="1828" spans="1:7" ht="15" customHeight="1" x14ac:dyDescent="0.2">
      <c r="A1828" s="19" t="s">
        <v>1975</v>
      </c>
      <c r="B1828" s="50">
        <v>113.497</v>
      </c>
      <c r="C1828" s="50">
        <v>2892.74</v>
      </c>
      <c r="D1828" s="51">
        <v>16719496.639914</v>
      </c>
      <c r="E1828" s="51">
        <v>1748233333</v>
      </c>
      <c r="F1828" s="52">
        <f t="shared" si="60"/>
        <v>4.4859360128194029E-3</v>
      </c>
      <c r="G1828" s="52">
        <f t="shared" si="61"/>
        <v>4.6256836918425713E-3</v>
      </c>
    </row>
    <row r="1829" spans="1:7" ht="15" customHeight="1" x14ac:dyDescent="0.2">
      <c r="A1829" s="19" t="s">
        <v>1976</v>
      </c>
      <c r="B1829" s="50">
        <v>113.536</v>
      </c>
      <c r="C1829" s="50">
        <v>2895.77</v>
      </c>
      <c r="D1829" s="51">
        <v>15969358.457998</v>
      </c>
      <c r="E1829" s="51">
        <v>1696683333</v>
      </c>
      <c r="F1829" s="52">
        <f t="shared" si="60"/>
        <v>3.4356239298800499E-4</v>
      </c>
      <c r="G1829" s="52">
        <f t="shared" si="61"/>
        <v>1.0469016298636597E-3</v>
      </c>
    </row>
    <row r="1830" spans="1:7" ht="15" customHeight="1" x14ac:dyDescent="0.2">
      <c r="A1830" s="19" t="s">
        <v>1977</v>
      </c>
      <c r="B1830" s="50">
        <v>112.911</v>
      </c>
      <c r="C1830" s="50">
        <v>2878.2</v>
      </c>
      <c r="D1830" s="51">
        <v>18606018.604540002</v>
      </c>
      <c r="E1830" s="51">
        <v>1671100000</v>
      </c>
      <c r="F1830" s="52">
        <f t="shared" si="60"/>
        <v>-5.5200694823878699E-3</v>
      </c>
      <c r="G1830" s="52">
        <f t="shared" si="61"/>
        <v>-6.0859527261046698E-3</v>
      </c>
    </row>
    <row r="1831" spans="1:7" ht="15" customHeight="1" x14ac:dyDescent="0.2">
      <c r="A1831" s="19" t="s">
        <v>1978</v>
      </c>
      <c r="B1831" s="50">
        <v>113.779</v>
      </c>
      <c r="C1831" s="50">
        <v>2888.21</v>
      </c>
      <c r="D1831" s="51">
        <v>17407156.324802</v>
      </c>
      <c r="E1831" s="51">
        <v>1701322222</v>
      </c>
      <c r="F1831" s="52">
        <f t="shared" si="60"/>
        <v>7.6580726283651023E-3</v>
      </c>
      <c r="G1831" s="52">
        <f t="shared" si="61"/>
        <v>3.4718343144997492E-3</v>
      </c>
    </row>
    <row r="1832" spans="1:7" ht="15" customHeight="1" x14ac:dyDescent="0.2">
      <c r="A1832" s="19" t="s">
        <v>1979</v>
      </c>
      <c r="B1832" s="50">
        <v>113.908</v>
      </c>
      <c r="C1832" s="50">
        <v>2888.32</v>
      </c>
      <c r="D1832" s="51">
        <v>15011099.564944001</v>
      </c>
      <c r="E1832" s="51">
        <v>1632522222</v>
      </c>
      <c r="F1832" s="52">
        <f t="shared" si="60"/>
        <v>1.1331346436375032E-3</v>
      </c>
      <c r="G1832" s="52">
        <f t="shared" si="61"/>
        <v>3.8085148008697833E-5</v>
      </c>
    </row>
    <row r="1833" spans="1:7" ht="15" customHeight="1" x14ac:dyDescent="0.2">
      <c r="A1833" s="19" t="s">
        <v>1980</v>
      </c>
      <c r="B1833" s="50">
        <v>114.483</v>
      </c>
      <c r="C1833" s="50">
        <v>2907.41</v>
      </c>
      <c r="D1833" s="51">
        <v>20859579.343180001</v>
      </c>
      <c r="E1833" s="51">
        <v>2049161111</v>
      </c>
      <c r="F1833" s="52">
        <f t="shared" si="60"/>
        <v>5.0352353188981144E-3</v>
      </c>
      <c r="G1833" s="52">
        <f t="shared" si="61"/>
        <v>6.5876322869365339E-3</v>
      </c>
    </row>
    <row r="1834" spans="1:7" ht="15" customHeight="1" x14ac:dyDescent="0.2">
      <c r="A1834" s="19" t="s">
        <v>1981</v>
      </c>
      <c r="B1834" s="50">
        <v>114.572</v>
      </c>
      <c r="C1834" s="50">
        <v>2905.58</v>
      </c>
      <c r="D1834" s="51">
        <v>16683919.986194</v>
      </c>
      <c r="E1834" s="51">
        <v>1715738889</v>
      </c>
      <c r="F1834" s="52">
        <f t="shared" si="60"/>
        <v>7.7710597436313374E-4</v>
      </c>
      <c r="G1834" s="52">
        <f t="shared" si="61"/>
        <v>-6.2962436214583303E-4</v>
      </c>
    </row>
    <row r="1835" spans="1:7" ht="15" customHeight="1" x14ac:dyDescent="0.2">
      <c r="A1835" s="19" t="s">
        <v>1982</v>
      </c>
      <c r="B1835" s="50">
        <v>114.318</v>
      </c>
      <c r="C1835" s="50">
        <v>2907.06</v>
      </c>
      <c r="D1835" s="51">
        <v>14866011.236401999</v>
      </c>
      <c r="E1835" s="51">
        <v>1890116667</v>
      </c>
      <c r="F1835" s="52">
        <f t="shared" si="60"/>
        <v>-2.2194076129330997E-3</v>
      </c>
      <c r="G1835" s="52">
        <f t="shared" si="61"/>
        <v>5.0923505738616681E-4</v>
      </c>
    </row>
    <row r="1836" spans="1:7" ht="15" customHeight="1" x14ac:dyDescent="0.2">
      <c r="A1836" s="19" t="s">
        <v>1983</v>
      </c>
      <c r="B1836" s="50">
        <v>115.27500000000001</v>
      </c>
      <c r="C1836" s="50">
        <v>2900.45</v>
      </c>
      <c r="D1836" s="51">
        <v>20390302.097831</v>
      </c>
      <c r="E1836" s="51">
        <v>2001277778</v>
      </c>
      <c r="F1836" s="52">
        <f t="shared" si="60"/>
        <v>8.3365393757668434E-3</v>
      </c>
      <c r="G1836" s="52">
        <f t="shared" si="61"/>
        <v>-2.2763638303940604E-3</v>
      </c>
    </row>
    <row r="1837" spans="1:7" ht="15" customHeight="1" x14ac:dyDescent="0.2">
      <c r="A1837" s="19" t="s">
        <v>1984</v>
      </c>
      <c r="B1837" s="50">
        <v>116.768</v>
      </c>
      <c r="C1837" s="50">
        <v>2905.03</v>
      </c>
      <c r="D1837" s="51">
        <v>29570838.700564999</v>
      </c>
      <c r="E1837" s="51">
        <v>1948250000</v>
      </c>
      <c r="F1837" s="52">
        <f t="shared" si="60"/>
        <v>1.2868482161267887E-2</v>
      </c>
      <c r="G1837" s="52">
        <f t="shared" si="61"/>
        <v>1.5778199046987368E-3</v>
      </c>
    </row>
    <row r="1838" spans="1:7" ht="15" customHeight="1" x14ac:dyDescent="0.2">
      <c r="A1838" s="19" t="s">
        <v>1985</v>
      </c>
      <c r="B1838" s="50">
        <v>117.14</v>
      </c>
      <c r="C1838" s="50">
        <v>2907.97</v>
      </c>
      <c r="D1838" s="51">
        <v>16531953.647934999</v>
      </c>
      <c r="E1838" s="51">
        <v>1665527778</v>
      </c>
      <c r="F1838" s="52">
        <f t="shared" si="60"/>
        <v>3.1807404075989702E-3</v>
      </c>
      <c r="G1838" s="52">
        <f t="shared" si="61"/>
        <v>1.0115259764941317E-3</v>
      </c>
    </row>
    <row r="1839" spans="1:7" ht="15" customHeight="1" x14ac:dyDescent="0.2">
      <c r="A1839" s="19" t="s">
        <v>1986</v>
      </c>
      <c r="B1839" s="50">
        <v>118.76</v>
      </c>
      <c r="C1839" s="50">
        <v>2933.68</v>
      </c>
      <c r="D1839" s="51">
        <v>25381546.182310998</v>
      </c>
      <c r="E1839" s="51">
        <v>2019461111</v>
      </c>
      <c r="F1839" s="52">
        <f t="shared" si="60"/>
        <v>1.3734849233922821E-2</v>
      </c>
      <c r="G1839" s="52">
        <f t="shared" si="61"/>
        <v>8.8023644018914056E-3</v>
      </c>
    </row>
    <row r="1840" spans="1:7" ht="15" customHeight="1" x14ac:dyDescent="0.2">
      <c r="A1840" s="19" t="s">
        <v>1987</v>
      </c>
      <c r="B1840" s="50">
        <v>118.34</v>
      </c>
      <c r="C1840" s="50">
        <v>2927.25</v>
      </c>
      <c r="D1840" s="51">
        <v>33021156.749015</v>
      </c>
      <c r="E1840" s="51">
        <v>1916088889</v>
      </c>
      <c r="F1840" s="52">
        <f t="shared" si="60"/>
        <v>-3.5428126470111059E-3</v>
      </c>
      <c r="G1840" s="52">
        <f t="shared" si="61"/>
        <v>-2.1941919046150143E-3</v>
      </c>
    </row>
    <row r="1841" spans="1:7" ht="15" customHeight="1" x14ac:dyDescent="0.2">
      <c r="A1841" s="19" t="s">
        <v>1988</v>
      </c>
      <c r="B1841" s="50">
        <v>122.25</v>
      </c>
      <c r="C1841" s="50">
        <v>2926.17</v>
      </c>
      <c r="D1841" s="51">
        <v>40180563.884049997</v>
      </c>
      <c r="E1841" s="51">
        <v>1902933333</v>
      </c>
      <c r="F1841" s="52">
        <f t="shared" si="60"/>
        <v>3.2506291106433348E-2</v>
      </c>
      <c r="G1841" s="52">
        <f t="shared" si="61"/>
        <v>-3.6901504155019838E-4</v>
      </c>
    </row>
    <row r="1842" spans="1:7" ht="15" customHeight="1" x14ac:dyDescent="0.2">
      <c r="A1842" s="19" t="s">
        <v>1989</v>
      </c>
      <c r="B1842" s="50">
        <v>122.95099999999999</v>
      </c>
      <c r="C1842" s="50">
        <v>2939.88</v>
      </c>
      <c r="D1842" s="51">
        <v>24990042.251968</v>
      </c>
      <c r="E1842" s="51">
        <v>1804722222</v>
      </c>
      <c r="F1842" s="52">
        <f t="shared" si="60"/>
        <v>5.7177736617001762E-3</v>
      </c>
      <c r="G1842" s="52">
        <f t="shared" si="61"/>
        <v>4.6743634859040149E-3</v>
      </c>
    </row>
    <row r="1843" spans="1:7" ht="15" customHeight="1" x14ac:dyDescent="0.2">
      <c r="A1843" s="19" t="s">
        <v>1990</v>
      </c>
      <c r="B1843" s="50">
        <v>122.834</v>
      </c>
      <c r="C1843" s="50">
        <v>2943.03</v>
      </c>
      <c r="D1843" s="51">
        <v>17245536.406066999</v>
      </c>
      <c r="E1843" s="51">
        <v>1732655556</v>
      </c>
      <c r="F1843" s="52">
        <f t="shared" si="60"/>
        <v>-9.5205166171579054E-4</v>
      </c>
      <c r="G1843" s="52">
        <f t="shared" si="61"/>
        <v>1.0708986882482718E-3</v>
      </c>
    </row>
    <row r="1844" spans="1:7" ht="15" customHeight="1" x14ac:dyDescent="0.2">
      <c r="A1844" s="19" t="s">
        <v>1991</v>
      </c>
      <c r="B1844" s="50">
        <v>123.646</v>
      </c>
      <c r="C1844" s="50">
        <v>2945.83</v>
      </c>
      <c r="D1844" s="51">
        <v>25530485.090571001</v>
      </c>
      <c r="E1844" s="51">
        <v>2177405556</v>
      </c>
      <c r="F1844" s="52">
        <f t="shared" si="60"/>
        <v>6.5887937159761793E-3</v>
      </c>
      <c r="G1844" s="52">
        <f t="shared" si="61"/>
        <v>9.5094813291652096E-4</v>
      </c>
    </row>
    <row r="1845" spans="1:7" ht="15" customHeight="1" x14ac:dyDescent="0.2">
      <c r="A1845" s="19" t="s">
        <v>1992</v>
      </c>
      <c r="B1845" s="50">
        <v>121.04600000000001</v>
      </c>
      <c r="C1845" s="50">
        <v>2923.73</v>
      </c>
      <c r="D1845" s="51">
        <v>28335537.712303001</v>
      </c>
      <c r="E1845" s="51">
        <v>2025472222</v>
      </c>
      <c r="F1845" s="52">
        <f t="shared" si="60"/>
        <v>-2.1252005429458997E-2</v>
      </c>
      <c r="G1845" s="52">
        <f t="shared" si="61"/>
        <v>-7.5304126495015673E-3</v>
      </c>
    </row>
    <row r="1846" spans="1:7" ht="15" customHeight="1" x14ac:dyDescent="0.2">
      <c r="A1846" s="19" t="s">
        <v>1993</v>
      </c>
      <c r="B1846" s="50">
        <v>119.477</v>
      </c>
      <c r="C1846" s="50">
        <v>2917.52</v>
      </c>
      <c r="D1846" s="51">
        <v>28893834.914030999</v>
      </c>
      <c r="E1846" s="51">
        <v>2099383333</v>
      </c>
      <c r="F1846" s="52">
        <f t="shared" si="60"/>
        <v>-1.3046754413626235E-2</v>
      </c>
      <c r="G1846" s="52">
        <f t="shared" si="61"/>
        <v>-2.1262580234037609E-3</v>
      </c>
    </row>
    <row r="1847" spans="1:7" ht="15" customHeight="1" x14ac:dyDescent="0.2">
      <c r="A1847" s="19" t="s">
        <v>1994</v>
      </c>
      <c r="B1847" s="50">
        <v>122.005</v>
      </c>
      <c r="C1847" s="50">
        <v>2945.64</v>
      </c>
      <c r="D1847" s="51">
        <v>26317135.695912</v>
      </c>
      <c r="E1847" s="51">
        <v>1854511111</v>
      </c>
      <c r="F1847" s="52">
        <f t="shared" si="60"/>
        <v>2.0938143272151915E-2</v>
      </c>
      <c r="G1847" s="52">
        <f t="shared" si="61"/>
        <v>9.5921706414815368E-3</v>
      </c>
    </row>
    <row r="1848" spans="1:7" ht="15" customHeight="1" x14ac:dyDescent="0.2">
      <c r="A1848" s="19" t="s">
        <v>1995</v>
      </c>
      <c r="B1848" s="50">
        <v>121.301</v>
      </c>
      <c r="C1848" s="50">
        <v>2932.47</v>
      </c>
      <c r="D1848" s="51">
        <v>25607563.233114</v>
      </c>
      <c r="E1848" s="51">
        <v>1767511111</v>
      </c>
      <c r="F1848" s="52">
        <f t="shared" si="60"/>
        <v>-5.7869675609028507E-3</v>
      </c>
      <c r="G1848" s="52">
        <f t="shared" si="61"/>
        <v>-4.4810396666553265E-3</v>
      </c>
    </row>
    <row r="1849" spans="1:7" ht="15" customHeight="1" x14ac:dyDescent="0.2">
      <c r="A1849" s="19" t="s">
        <v>1996</v>
      </c>
      <c r="B1849" s="50">
        <v>118.82899999999999</v>
      </c>
      <c r="C1849" s="50">
        <v>2884.05</v>
      </c>
      <c r="D1849" s="51">
        <v>38050533.960905999</v>
      </c>
      <c r="E1849" s="51">
        <v>2092833333</v>
      </c>
      <c r="F1849" s="52">
        <f t="shared" si="60"/>
        <v>-2.0589575055901241E-2</v>
      </c>
      <c r="G1849" s="52">
        <f t="shared" si="61"/>
        <v>-1.6649515009818341E-2</v>
      </c>
    </row>
    <row r="1850" spans="1:7" ht="15" customHeight="1" x14ac:dyDescent="0.2">
      <c r="A1850" s="19" t="s">
        <v>1997</v>
      </c>
      <c r="B1850" s="50">
        <v>118.819</v>
      </c>
      <c r="C1850" s="50">
        <v>2879.42</v>
      </c>
      <c r="D1850" s="51">
        <v>30022993.612702999</v>
      </c>
      <c r="E1850" s="51">
        <v>1936550000</v>
      </c>
      <c r="F1850" s="52">
        <f t="shared" si="60"/>
        <v>-8.4158082591853403E-5</v>
      </c>
      <c r="G1850" s="52">
        <f t="shared" si="61"/>
        <v>-1.6066713268179022E-3</v>
      </c>
    </row>
    <row r="1851" spans="1:7" ht="15" customHeight="1" x14ac:dyDescent="0.2">
      <c r="A1851" s="19" t="s">
        <v>1998</v>
      </c>
      <c r="B1851" s="50">
        <v>118.819</v>
      </c>
      <c r="C1851" s="50">
        <v>2870.72</v>
      </c>
      <c r="D1851" s="51">
        <v>28773055.097656</v>
      </c>
      <c r="E1851" s="51">
        <v>2021566667</v>
      </c>
      <c r="F1851" s="52">
        <f t="shared" si="60"/>
        <v>0</v>
      </c>
      <c r="G1851" s="52">
        <f t="shared" si="61"/>
        <v>-3.0260155887187833E-3</v>
      </c>
    </row>
    <row r="1852" spans="1:7" ht="15" customHeight="1" x14ac:dyDescent="0.2">
      <c r="A1852" s="19" t="s">
        <v>1999</v>
      </c>
      <c r="B1852" s="50">
        <v>120.324</v>
      </c>
      <c r="C1852" s="50">
        <v>2881.4</v>
      </c>
      <c r="D1852" s="51">
        <v>32659961.928479001</v>
      </c>
      <c r="E1852" s="51">
        <v>1960888889</v>
      </c>
      <c r="F1852" s="52">
        <f t="shared" si="60"/>
        <v>1.2586777529175853E-2</v>
      </c>
      <c r="G1852" s="52">
        <f t="shared" si="61"/>
        <v>3.7134177564540913E-3</v>
      </c>
    </row>
    <row r="1853" spans="1:7" ht="15" customHeight="1" x14ac:dyDescent="0.2">
      <c r="A1853" s="19" t="s">
        <v>2000</v>
      </c>
      <c r="B1853" s="50">
        <v>116.749</v>
      </c>
      <c r="C1853" s="50">
        <v>2811.87</v>
      </c>
      <c r="D1853" s="51">
        <v>35860809.302037999</v>
      </c>
      <c r="E1853" s="51">
        <v>2163350000</v>
      </c>
      <c r="F1853" s="52">
        <f t="shared" si="60"/>
        <v>-3.0161773127956978E-2</v>
      </c>
      <c r="G1853" s="52">
        <f t="shared" si="61"/>
        <v>-2.4426544706444165E-2</v>
      </c>
    </row>
    <row r="1854" spans="1:7" ht="15" customHeight="1" x14ac:dyDescent="0.2">
      <c r="A1854" s="19" t="s">
        <v>2001</v>
      </c>
      <c r="B1854" s="50">
        <v>118.069</v>
      </c>
      <c r="C1854" s="50">
        <v>2834.41</v>
      </c>
      <c r="D1854" s="51">
        <v>26692372.181120999</v>
      </c>
      <c r="E1854" s="51">
        <v>1845955556</v>
      </c>
      <c r="F1854" s="52">
        <f t="shared" si="60"/>
        <v>1.1242868129359091E-2</v>
      </c>
      <c r="G1854" s="52">
        <f t="shared" si="61"/>
        <v>7.9840602076551824E-3</v>
      </c>
    </row>
    <row r="1855" spans="1:7" ht="15" customHeight="1" x14ac:dyDescent="0.2">
      <c r="A1855" s="19" t="s">
        <v>2002</v>
      </c>
      <c r="B1855" s="50">
        <v>119.73699999999999</v>
      </c>
      <c r="C1855" s="50">
        <v>2850.96</v>
      </c>
      <c r="D1855" s="51">
        <v>26021762.138363</v>
      </c>
      <c r="E1855" s="51">
        <v>1736638889</v>
      </c>
      <c r="F1855" s="52">
        <f t="shared" si="60"/>
        <v>1.402847156786859E-2</v>
      </c>
      <c r="G1855" s="52">
        <f t="shared" si="61"/>
        <v>5.8219770208102466E-3</v>
      </c>
    </row>
    <row r="1856" spans="1:7" ht="15" customHeight="1" x14ac:dyDescent="0.2">
      <c r="A1856" s="19" t="s">
        <v>2003</v>
      </c>
      <c r="B1856" s="50">
        <v>122.49299999999999</v>
      </c>
      <c r="C1856" s="50">
        <v>2876.32</v>
      </c>
      <c r="D1856" s="51">
        <v>31694459.522659998</v>
      </c>
      <c r="E1856" s="51">
        <v>1854477778</v>
      </c>
      <c r="F1856" s="52">
        <f t="shared" si="60"/>
        <v>2.2756214595863987E-2</v>
      </c>
      <c r="G1856" s="52">
        <f t="shared" si="61"/>
        <v>8.8559196487121624E-3</v>
      </c>
    </row>
    <row r="1857" spans="1:7" ht="15" customHeight="1" x14ac:dyDescent="0.2">
      <c r="A1857" s="19" t="s">
        <v>2004</v>
      </c>
      <c r="B1857" s="50">
        <v>121.663</v>
      </c>
      <c r="C1857" s="50">
        <v>2859.53</v>
      </c>
      <c r="D1857" s="51">
        <v>27124650.689468</v>
      </c>
      <c r="E1857" s="51">
        <v>1809972222</v>
      </c>
      <c r="F1857" s="52">
        <f t="shared" si="60"/>
        <v>-6.798958020971249E-3</v>
      </c>
      <c r="G1857" s="52">
        <f t="shared" si="61"/>
        <v>-5.8544236531281706E-3</v>
      </c>
    </row>
    <row r="1858" spans="1:7" ht="15" customHeight="1" x14ac:dyDescent="0.2">
      <c r="A1858" s="19" t="s">
        <v>2005</v>
      </c>
      <c r="B1858" s="50">
        <v>119.90600000000001</v>
      </c>
      <c r="C1858" s="50">
        <v>2840.23</v>
      </c>
      <c r="D1858" s="51">
        <v>24952613.511379998</v>
      </c>
      <c r="E1858" s="51">
        <v>1827150000</v>
      </c>
      <c r="F1858" s="52">
        <f t="shared" si="60"/>
        <v>-1.4546824991110084E-2</v>
      </c>
      <c r="G1858" s="52">
        <f t="shared" si="61"/>
        <v>-6.7722408534153554E-3</v>
      </c>
    </row>
    <row r="1859" spans="1:7" ht="15" customHeight="1" x14ac:dyDescent="0.2">
      <c r="A1859" s="19" t="s">
        <v>2006</v>
      </c>
      <c r="B1859" s="50">
        <v>120.548</v>
      </c>
      <c r="C1859" s="50">
        <v>2864.36</v>
      </c>
      <c r="D1859" s="51">
        <v>16096843.258839</v>
      </c>
      <c r="E1859" s="51">
        <v>1788166667</v>
      </c>
      <c r="F1859" s="52">
        <f t="shared" si="60"/>
        <v>5.3399113804156635E-3</v>
      </c>
      <c r="G1859" s="52">
        <f t="shared" si="61"/>
        <v>8.4599047136238066E-3</v>
      </c>
    </row>
    <row r="1860" spans="1:7" ht="15" customHeight="1" x14ac:dyDescent="0.2">
      <c r="A1860" s="19" t="s">
        <v>2007</v>
      </c>
      <c r="B1860" s="50">
        <v>121.291</v>
      </c>
      <c r="C1860" s="50">
        <v>2856.27</v>
      </c>
      <c r="D1860" s="51">
        <v>16205492.878854999</v>
      </c>
      <c r="E1860" s="51">
        <v>1773616667</v>
      </c>
      <c r="F1860" s="52">
        <f t="shared" si="60"/>
        <v>6.1446031263222281E-3</v>
      </c>
      <c r="G1860" s="52">
        <f t="shared" si="61"/>
        <v>-2.8283616990028514E-3</v>
      </c>
    </row>
    <row r="1861" spans="1:7" ht="15" customHeight="1" x14ac:dyDescent="0.2">
      <c r="A1861" s="19" t="s">
        <v>2008</v>
      </c>
      <c r="B1861" s="50">
        <v>119.877</v>
      </c>
      <c r="C1861" s="50">
        <v>2822.24</v>
      </c>
      <c r="D1861" s="51">
        <v>24844069.344624002</v>
      </c>
      <c r="E1861" s="51">
        <v>2162211111</v>
      </c>
      <c r="F1861" s="52">
        <f t="shared" si="60"/>
        <v>-1.1726399879273994E-2</v>
      </c>
      <c r="G1861" s="52">
        <f t="shared" si="61"/>
        <v>-1.1985681943016436E-2</v>
      </c>
    </row>
    <row r="1862" spans="1:7" ht="15" customHeight="1" x14ac:dyDescent="0.2">
      <c r="A1862" s="19" t="s">
        <v>2009</v>
      </c>
      <c r="B1862" s="50">
        <v>119.92400000000001</v>
      </c>
      <c r="C1862" s="50">
        <v>2826.06</v>
      </c>
      <c r="D1862" s="51">
        <v>14865466.565195</v>
      </c>
      <c r="E1862" s="51">
        <v>1604105556</v>
      </c>
      <c r="F1862" s="52">
        <f t="shared" ref="F1862:F1925" si="62">LN(B1862/B1861)</f>
        <v>3.919916981317711E-4</v>
      </c>
      <c r="G1862" s="52">
        <f t="shared" ref="G1862:G1925" si="63">LN(C1862/C1861)</f>
        <v>1.3526195784275823E-3</v>
      </c>
    </row>
    <row r="1863" spans="1:7" ht="15" customHeight="1" x14ac:dyDescent="0.2">
      <c r="A1863" s="19" t="s">
        <v>2010</v>
      </c>
      <c r="B1863" s="50">
        <v>119.867</v>
      </c>
      <c r="C1863" s="50">
        <v>2802.39</v>
      </c>
      <c r="D1863" s="51">
        <v>24343636.291933998</v>
      </c>
      <c r="E1863" s="51">
        <v>2289672222</v>
      </c>
      <c r="F1863" s="52">
        <f t="shared" si="62"/>
        <v>-4.7541401531823839E-4</v>
      </c>
      <c r="G1863" s="52">
        <f t="shared" si="63"/>
        <v>-8.4108909346528385E-3</v>
      </c>
    </row>
    <row r="1864" spans="1:7" ht="15" customHeight="1" x14ac:dyDescent="0.2">
      <c r="A1864" s="19" t="s">
        <v>2011</v>
      </c>
      <c r="B1864" s="50">
        <v>118.72199999999999</v>
      </c>
      <c r="C1864" s="50">
        <v>2783.02</v>
      </c>
      <c r="D1864" s="51">
        <v>23959227.420736</v>
      </c>
      <c r="E1864" s="51">
        <v>2055583333</v>
      </c>
      <c r="F1864" s="52">
        <f t="shared" si="62"/>
        <v>-9.5981691547617608E-3</v>
      </c>
      <c r="G1864" s="52">
        <f t="shared" si="63"/>
        <v>-6.9359555174738127E-3</v>
      </c>
    </row>
    <row r="1865" spans="1:7" ht="15" customHeight="1" x14ac:dyDescent="0.2">
      <c r="A1865" s="19" t="s">
        <v>2012</v>
      </c>
      <c r="B1865" s="50">
        <v>119.467</v>
      </c>
      <c r="C1865" s="50">
        <v>2788.86</v>
      </c>
      <c r="D1865" s="51">
        <v>17713924.977341998</v>
      </c>
      <c r="E1865" s="51">
        <v>1818772222</v>
      </c>
      <c r="F1865" s="52">
        <f t="shared" si="62"/>
        <v>6.2555569689866919E-3</v>
      </c>
      <c r="G1865" s="52">
        <f t="shared" si="63"/>
        <v>2.0962411748005594E-3</v>
      </c>
    </row>
    <row r="1866" spans="1:7" ht="15" customHeight="1" x14ac:dyDescent="0.2">
      <c r="A1866" s="19" t="s">
        <v>2013</v>
      </c>
      <c r="B1866" s="50">
        <v>117.511</v>
      </c>
      <c r="C1866" s="50">
        <v>2752.06</v>
      </c>
      <c r="D1866" s="51">
        <v>28046921.353943001</v>
      </c>
      <c r="E1866" s="51">
        <v>2211677778</v>
      </c>
      <c r="F1866" s="52">
        <f t="shared" si="62"/>
        <v>-1.6508236383654212E-2</v>
      </c>
      <c r="G1866" s="52">
        <f t="shared" si="63"/>
        <v>-1.3283188023120184E-2</v>
      </c>
    </row>
    <row r="1867" spans="1:7" ht="15" customHeight="1" x14ac:dyDescent="0.2">
      <c r="A1867" s="19" t="s">
        <v>2014</v>
      </c>
      <c r="B1867" s="50">
        <v>113.858</v>
      </c>
      <c r="C1867" s="50">
        <v>2744.45</v>
      </c>
      <c r="D1867" s="51">
        <v>39979483.969700001</v>
      </c>
      <c r="E1867" s="51">
        <v>2191005556</v>
      </c>
      <c r="F1867" s="52">
        <f t="shared" si="62"/>
        <v>-3.1579888286259822E-2</v>
      </c>
      <c r="G1867" s="52">
        <f t="shared" si="63"/>
        <v>-2.7690315718501501E-3</v>
      </c>
    </row>
    <row r="1868" spans="1:7" ht="15" customHeight="1" x14ac:dyDescent="0.2">
      <c r="A1868" s="19" t="s">
        <v>2015</v>
      </c>
      <c r="B1868" s="50">
        <v>117.004</v>
      </c>
      <c r="C1868" s="50">
        <v>2803.27</v>
      </c>
      <c r="D1868" s="51">
        <v>30926549.906883001</v>
      </c>
      <c r="E1868" s="51">
        <v>2116905556</v>
      </c>
      <c r="F1868" s="52">
        <f t="shared" si="62"/>
        <v>2.7256064310116193E-2</v>
      </c>
      <c r="G1868" s="52">
        <f t="shared" si="63"/>
        <v>2.1205902322179549E-2</v>
      </c>
    </row>
    <row r="1869" spans="1:7" ht="15" customHeight="1" x14ac:dyDescent="0.2">
      <c r="A1869" s="19" t="s">
        <v>2016</v>
      </c>
      <c r="B1869" s="50">
        <v>119.554</v>
      </c>
      <c r="C1869" s="50">
        <v>2826.15</v>
      </c>
      <c r="D1869" s="51">
        <v>26235881.399507001</v>
      </c>
      <c r="E1869" s="51">
        <v>1971572222</v>
      </c>
      <c r="F1869" s="52">
        <f t="shared" si="62"/>
        <v>2.1560029900901521E-2</v>
      </c>
      <c r="G1869" s="52">
        <f t="shared" si="63"/>
        <v>8.1287685006414707E-3</v>
      </c>
    </row>
    <row r="1870" spans="1:7" ht="15" customHeight="1" x14ac:dyDescent="0.2">
      <c r="A1870" s="19" t="s">
        <v>2017</v>
      </c>
      <c r="B1870" s="50">
        <v>121.437</v>
      </c>
      <c r="C1870" s="50">
        <v>2843.49</v>
      </c>
      <c r="D1870" s="51">
        <v>22586519.810826</v>
      </c>
      <c r="E1870" s="51">
        <v>1886894444</v>
      </c>
      <c r="F1870" s="52">
        <f t="shared" si="62"/>
        <v>1.5627457636421441E-2</v>
      </c>
      <c r="G1870" s="52">
        <f t="shared" si="63"/>
        <v>6.1168095558660623E-3</v>
      </c>
    </row>
    <row r="1871" spans="1:7" ht="15" customHeight="1" x14ac:dyDescent="0.2">
      <c r="A1871" s="19" t="s">
        <v>2018</v>
      </c>
      <c r="B1871" s="50">
        <v>124.837</v>
      </c>
      <c r="C1871" s="50">
        <v>2873.34</v>
      </c>
      <c r="D1871" s="51">
        <v>35666103.678923003</v>
      </c>
      <c r="E1871" s="51">
        <v>1789027778</v>
      </c>
      <c r="F1871" s="52">
        <f t="shared" si="62"/>
        <v>2.761327656959375E-2</v>
      </c>
      <c r="G1871" s="52">
        <f t="shared" si="63"/>
        <v>1.0442945224567081E-2</v>
      </c>
    </row>
    <row r="1872" spans="1:7" ht="15" customHeight="1" x14ac:dyDescent="0.2">
      <c r="A1872" s="19" t="s">
        <v>2019</v>
      </c>
      <c r="B1872" s="50">
        <v>125.968</v>
      </c>
      <c r="C1872" s="50">
        <v>2886.73</v>
      </c>
      <c r="D1872" s="51">
        <v>27868335.746160999</v>
      </c>
      <c r="E1872" s="51">
        <v>1782894444</v>
      </c>
      <c r="F1872" s="52">
        <f t="shared" si="62"/>
        <v>9.0190200876480494E-3</v>
      </c>
      <c r="G1872" s="52">
        <f t="shared" si="63"/>
        <v>4.6492574289522378E-3</v>
      </c>
    </row>
    <row r="1873" spans="1:7" ht="15" customHeight="1" x14ac:dyDescent="0.2">
      <c r="A1873" s="19" t="s">
        <v>2020</v>
      </c>
      <c r="B1873" s="50">
        <v>125.49</v>
      </c>
      <c r="C1873" s="50">
        <v>2885.72</v>
      </c>
      <c r="D1873" s="51">
        <v>25170277.230643999</v>
      </c>
      <c r="E1873" s="51">
        <v>1971344444</v>
      </c>
      <c r="F1873" s="52">
        <f t="shared" si="62"/>
        <v>-3.801832319894755E-3</v>
      </c>
      <c r="G1873" s="52">
        <f t="shared" si="63"/>
        <v>-3.4993807146250003E-4</v>
      </c>
    </row>
    <row r="1874" spans="1:7" ht="15" customHeight="1" x14ac:dyDescent="0.2">
      <c r="A1874" s="19" t="s">
        <v>2021</v>
      </c>
      <c r="B1874" s="50">
        <v>124.926</v>
      </c>
      <c r="C1874" s="50">
        <v>2879.84</v>
      </c>
      <c r="D1874" s="51">
        <v>17990587.236049</v>
      </c>
      <c r="E1874" s="51">
        <v>1685627778</v>
      </c>
      <c r="F1874" s="52">
        <f t="shared" si="62"/>
        <v>-4.5045121211045409E-3</v>
      </c>
      <c r="G1874" s="52">
        <f t="shared" si="63"/>
        <v>-2.0396984988729416E-3</v>
      </c>
    </row>
    <row r="1875" spans="1:7" ht="15" customHeight="1" x14ac:dyDescent="0.2">
      <c r="A1875" s="19" t="s">
        <v>2022</v>
      </c>
      <c r="B1875" s="50">
        <v>125.69499999999999</v>
      </c>
      <c r="C1875" s="50">
        <v>2891.64</v>
      </c>
      <c r="D1875" s="51">
        <v>18104666.163231999</v>
      </c>
      <c r="E1875" s="51">
        <v>1705450000</v>
      </c>
      <c r="F1875" s="52">
        <f t="shared" si="62"/>
        <v>6.136775556539251E-3</v>
      </c>
      <c r="G1875" s="52">
        <f t="shared" si="63"/>
        <v>4.0890781712417494E-3</v>
      </c>
    </row>
    <row r="1876" spans="1:7" ht="15" customHeight="1" x14ac:dyDescent="0.2">
      <c r="A1876" s="19" t="s">
        <v>2023</v>
      </c>
      <c r="B1876" s="50">
        <v>125.824</v>
      </c>
      <c r="C1876" s="50">
        <v>2886.98</v>
      </c>
      <c r="D1876" s="51">
        <v>18758142.610778999</v>
      </c>
      <c r="E1876" s="51">
        <v>1623516667</v>
      </c>
      <c r="F1876" s="52">
        <f t="shared" si="62"/>
        <v>1.0257675269951397E-3</v>
      </c>
      <c r="G1876" s="52">
        <f t="shared" si="63"/>
        <v>-1.612842169983723E-3</v>
      </c>
    </row>
    <row r="1877" spans="1:7" ht="15" customHeight="1" x14ac:dyDescent="0.2">
      <c r="A1877" s="19" t="s">
        <v>2024</v>
      </c>
      <c r="B1877" s="50">
        <v>126.203</v>
      </c>
      <c r="C1877" s="50">
        <v>2889.67</v>
      </c>
      <c r="D1877" s="51">
        <v>15280620.692694001</v>
      </c>
      <c r="E1877" s="51">
        <v>1561188889</v>
      </c>
      <c r="F1877" s="52">
        <f t="shared" si="62"/>
        <v>3.0076165307298024E-3</v>
      </c>
      <c r="G1877" s="52">
        <f t="shared" si="63"/>
        <v>9.3133570302482102E-4</v>
      </c>
    </row>
    <row r="1878" spans="1:7" ht="15" customHeight="1" x14ac:dyDescent="0.2">
      <c r="A1878" s="19" t="s">
        <v>2025</v>
      </c>
      <c r="B1878" s="50">
        <v>128.40199999999999</v>
      </c>
      <c r="C1878" s="50">
        <v>2917.75</v>
      </c>
      <c r="D1878" s="51">
        <v>27297183.484887999</v>
      </c>
      <c r="E1878" s="51">
        <v>1909788889</v>
      </c>
      <c r="F1878" s="52">
        <f t="shared" si="62"/>
        <v>1.7274245843162058E-2</v>
      </c>
      <c r="G1878" s="52">
        <f t="shared" si="63"/>
        <v>9.670462557011119E-3</v>
      </c>
    </row>
    <row r="1879" spans="1:7" ht="15" customHeight="1" x14ac:dyDescent="0.2">
      <c r="A1879" s="19" t="s">
        <v>2026</v>
      </c>
      <c r="B1879" s="50">
        <v>128.91900000000001</v>
      </c>
      <c r="C1879" s="50">
        <v>2926.46</v>
      </c>
      <c r="D1879" s="51">
        <v>24992090.911903001</v>
      </c>
      <c r="E1879" s="51">
        <v>1826605556</v>
      </c>
      <c r="F1879" s="52">
        <f t="shared" si="62"/>
        <v>4.0183327102437895E-3</v>
      </c>
      <c r="G1879" s="52">
        <f t="shared" si="63"/>
        <v>2.9807301410620332E-3</v>
      </c>
    </row>
    <row r="1880" spans="1:7" ht="15" customHeight="1" x14ac:dyDescent="0.2">
      <c r="A1880" s="19" t="s">
        <v>2027</v>
      </c>
      <c r="B1880" s="50">
        <v>130.11000000000001</v>
      </c>
      <c r="C1880" s="50">
        <v>2954.18</v>
      </c>
      <c r="D1880" s="51">
        <v>34778810.734603003</v>
      </c>
      <c r="E1880" s="51">
        <v>2169966667</v>
      </c>
      <c r="F1880" s="52">
        <f t="shared" si="62"/>
        <v>9.1959463466021862E-3</v>
      </c>
      <c r="G1880" s="52">
        <f t="shared" si="63"/>
        <v>9.4276151277163066E-3</v>
      </c>
    </row>
    <row r="1881" spans="1:7" ht="15" customHeight="1" x14ac:dyDescent="0.2">
      <c r="A1881" s="19" t="s">
        <v>2028</v>
      </c>
      <c r="B1881" s="50">
        <v>130.13</v>
      </c>
      <c r="C1881" s="50">
        <v>2950.46</v>
      </c>
      <c r="D1881" s="51">
        <v>38657755.332382999</v>
      </c>
      <c r="E1881" s="51">
        <v>2777844444</v>
      </c>
      <c r="F1881" s="52">
        <f t="shared" si="62"/>
        <v>1.5370427328120946E-4</v>
      </c>
      <c r="G1881" s="52">
        <f t="shared" si="63"/>
        <v>-1.2600261801485599E-3</v>
      </c>
    </row>
    <row r="1882" spans="1:7" ht="15" customHeight="1" x14ac:dyDescent="0.2">
      <c r="A1882" s="19" t="s">
        <v>2029</v>
      </c>
      <c r="B1882" s="50">
        <v>130.89400000000001</v>
      </c>
      <c r="C1882" s="50">
        <v>2945.35</v>
      </c>
      <c r="D1882" s="51">
        <v>21712783.241420001</v>
      </c>
      <c r="E1882" s="51">
        <v>1742361111</v>
      </c>
      <c r="F1882" s="52">
        <f t="shared" si="62"/>
        <v>5.8538845602384886E-3</v>
      </c>
      <c r="G1882" s="52">
        <f t="shared" si="63"/>
        <v>-1.7334348561240606E-3</v>
      </c>
    </row>
    <row r="1883" spans="1:7" ht="15" customHeight="1" x14ac:dyDescent="0.2">
      <c r="A1883" s="19" t="s">
        <v>2030</v>
      </c>
      <c r="B1883" s="50">
        <v>126.77</v>
      </c>
      <c r="C1883" s="50">
        <v>2917.38</v>
      </c>
      <c r="D1883" s="51">
        <v>35078606.162346996</v>
      </c>
      <c r="E1883" s="51">
        <v>1987805556</v>
      </c>
      <c r="F1883" s="52">
        <f t="shared" si="62"/>
        <v>-3.2013414398269026E-2</v>
      </c>
      <c r="G1883" s="52">
        <f t="shared" si="63"/>
        <v>-9.5417023155633419E-3</v>
      </c>
    </row>
    <row r="1884" spans="1:7" ht="15" customHeight="1" x14ac:dyDescent="0.2">
      <c r="A1884" s="19" t="s">
        <v>2031</v>
      </c>
      <c r="B1884" s="50">
        <v>127.259</v>
      </c>
      <c r="C1884" s="50">
        <v>2913.78</v>
      </c>
      <c r="D1884" s="51">
        <v>24900840.055973001</v>
      </c>
      <c r="E1884" s="51">
        <v>1932294444</v>
      </c>
      <c r="F1884" s="52">
        <f t="shared" si="62"/>
        <v>3.8499588944870024E-3</v>
      </c>
      <c r="G1884" s="52">
        <f t="shared" si="63"/>
        <v>-1.2347459021461497E-3</v>
      </c>
    </row>
    <row r="1885" spans="1:7" ht="15" customHeight="1" x14ac:dyDescent="0.2">
      <c r="A1885" s="19" t="s">
        <v>2032</v>
      </c>
      <c r="B1885" s="50">
        <v>127.45399999999999</v>
      </c>
      <c r="C1885" s="50">
        <v>2924.92</v>
      </c>
      <c r="D1885" s="51">
        <v>17427493.446717001</v>
      </c>
      <c r="E1885" s="51">
        <v>1734955556</v>
      </c>
      <c r="F1885" s="52">
        <f t="shared" si="62"/>
        <v>1.5311353413142348E-3</v>
      </c>
      <c r="G1885" s="52">
        <f t="shared" si="63"/>
        <v>3.8159225573172161E-3</v>
      </c>
    </row>
    <row r="1886" spans="1:7" ht="15" customHeight="1" x14ac:dyDescent="0.2">
      <c r="A1886" s="19" t="s">
        <v>2033</v>
      </c>
      <c r="B1886" s="50">
        <v>127.288</v>
      </c>
      <c r="C1886" s="50">
        <v>2941.76</v>
      </c>
      <c r="D1886" s="51">
        <v>31621574.938885</v>
      </c>
      <c r="E1886" s="51">
        <v>3011500000</v>
      </c>
      <c r="F1886" s="52">
        <f t="shared" si="62"/>
        <v>-1.3032795808813409E-3</v>
      </c>
      <c r="G1886" s="52">
        <f t="shared" si="63"/>
        <v>5.7409118108132217E-3</v>
      </c>
    </row>
    <row r="1887" spans="1:7" ht="15" customHeight="1" x14ac:dyDescent="0.2">
      <c r="A1887" s="19" t="s">
        <v>2034</v>
      </c>
      <c r="B1887" s="50">
        <v>128.90899999999999</v>
      </c>
      <c r="C1887" s="50">
        <v>2964.33</v>
      </c>
      <c r="D1887" s="51">
        <v>23844521.916901998</v>
      </c>
      <c r="E1887" s="51">
        <v>1951816667</v>
      </c>
      <c r="F1887" s="52">
        <f t="shared" si="62"/>
        <v>1.2654493469280416E-2</v>
      </c>
      <c r="G1887" s="52">
        <f t="shared" si="63"/>
        <v>7.6429955755801899E-3</v>
      </c>
    </row>
    <row r="1888" spans="1:7" ht="15" customHeight="1" x14ac:dyDescent="0.2">
      <c r="A1888" s="19" t="s">
        <v>2035</v>
      </c>
      <c r="B1888" s="50">
        <v>129.75899999999999</v>
      </c>
      <c r="C1888" s="50">
        <v>2973.01</v>
      </c>
      <c r="D1888" s="51">
        <v>16038516.344039001</v>
      </c>
      <c r="E1888" s="51">
        <v>1781577778</v>
      </c>
      <c r="F1888" s="52">
        <f t="shared" si="62"/>
        <v>6.5721547274296601E-3</v>
      </c>
      <c r="G1888" s="52">
        <f t="shared" si="63"/>
        <v>2.9238703472561083E-3</v>
      </c>
    </row>
    <row r="1889" spans="1:7" ht="15" customHeight="1" x14ac:dyDescent="0.2">
      <c r="A1889" s="19" t="s">
        <v>2036</v>
      </c>
      <c r="B1889" s="50">
        <v>130.589</v>
      </c>
      <c r="C1889" s="50">
        <v>2995.82</v>
      </c>
      <c r="D1889" s="51">
        <v>14345446.849226</v>
      </c>
      <c r="E1889" s="51">
        <v>1090955556</v>
      </c>
      <c r="F1889" s="52">
        <f t="shared" si="62"/>
        <v>6.3761028465540706E-3</v>
      </c>
      <c r="G1889" s="52">
        <f t="shared" si="63"/>
        <v>7.6430761271929189E-3</v>
      </c>
    </row>
    <row r="1890" spans="1:7" ht="15" customHeight="1" x14ac:dyDescent="0.2">
      <c r="A1890" s="19" t="s">
        <v>2037</v>
      </c>
      <c r="B1890" s="50">
        <v>130.21799999999999</v>
      </c>
      <c r="C1890" s="50">
        <v>2990.41</v>
      </c>
      <c r="D1890" s="51">
        <v>19094364.461229999</v>
      </c>
      <c r="E1890" s="51">
        <v>1352338889</v>
      </c>
      <c r="F1890" s="52">
        <f t="shared" si="62"/>
        <v>-2.8450175819157309E-3</v>
      </c>
      <c r="G1890" s="52">
        <f t="shared" si="63"/>
        <v>-1.8074819954691978E-3</v>
      </c>
    </row>
    <row r="1891" spans="1:7" ht="15" customHeight="1" x14ac:dyDescent="0.2">
      <c r="A1891" s="19" t="s">
        <v>2038</v>
      </c>
      <c r="B1891" s="50">
        <v>130.12</v>
      </c>
      <c r="C1891" s="50">
        <v>2975.95</v>
      </c>
      <c r="D1891" s="51">
        <v>17661437.920749001</v>
      </c>
      <c r="E1891" s="51">
        <v>1613638889</v>
      </c>
      <c r="F1891" s="52">
        <f t="shared" si="62"/>
        <v>-7.5286746175296112E-4</v>
      </c>
      <c r="G1891" s="52">
        <f t="shared" si="63"/>
        <v>-4.8471859933760311E-3</v>
      </c>
    </row>
    <row r="1892" spans="1:7" ht="15" customHeight="1" x14ac:dyDescent="0.2">
      <c r="A1892" s="19" t="s">
        <v>2039</v>
      </c>
      <c r="B1892" s="50">
        <v>129.64400000000001</v>
      </c>
      <c r="C1892" s="50">
        <v>2979.63</v>
      </c>
      <c r="D1892" s="51">
        <v>21001532.740825001</v>
      </c>
      <c r="E1892" s="51">
        <v>1682338889</v>
      </c>
      <c r="F1892" s="52">
        <f t="shared" si="62"/>
        <v>-3.6648691333165417E-3</v>
      </c>
      <c r="G1892" s="52">
        <f t="shared" si="63"/>
        <v>1.2358159804265049E-3</v>
      </c>
    </row>
    <row r="1893" spans="1:7" ht="15" customHeight="1" x14ac:dyDescent="0.2">
      <c r="A1893" s="19" t="s">
        <v>2040</v>
      </c>
      <c r="B1893" s="50">
        <v>130.959</v>
      </c>
      <c r="C1893" s="50">
        <v>2993.07</v>
      </c>
      <c r="D1893" s="51">
        <v>25476178.709288001</v>
      </c>
      <c r="E1893" s="51">
        <v>1752355556</v>
      </c>
      <c r="F1893" s="52">
        <f t="shared" si="62"/>
        <v>1.0092064642526781E-2</v>
      </c>
      <c r="G1893" s="52">
        <f t="shared" si="63"/>
        <v>4.5004847673177414E-3</v>
      </c>
    </row>
    <row r="1894" spans="1:7" ht="15" customHeight="1" x14ac:dyDescent="0.2">
      <c r="A1894" s="19" t="s">
        <v>2041</v>
      </c>
      <c r="B1894" s="50">
        <v>131.488</v>
      </c>
      <c r="C1894" s="50">
        <v>2999.91</v>
      </c>
      <c r="D1894" s="51">
        <v>23501163.030765001</v>
      </c>
      <c r="E1894" s="51">
        <v>1752566667</v>
      </c>
      <c r="F1894" s="52">
        <f t="shared" si="62"/>
        <v>4.0312955866382639E-3</v>
      </c>
      <c r="G1894" s="52">
        <f t="shared" si="63"/>
        <v>2.2826717159195975E-3</v>
      </c>
    </row>
    <row r="1895" spans="1:7" ht="15" customHeight="1" x14ac:dyDescent="0.2">
      <c r="A1895" s="19" t="s">
        <v>2042</v>
      </c>
      <c r="B1895" s="50">
        <v>131.96700000000001</v>
      </c>
      <c r="C1895" s="50">
        <v>3013.77</v>
      </c>
      <c r="D1895" s="51">
        <v>19931867.085723002</v>
      </c>
      <c r="E1895" s="51">
        <v>1652755556</v>
      </c>
      <c r="F1895" s="52">
        <f t="shared" si="62"/>
        <v>3.636298630162467E-3</v>
      </c>
      <c r="G1895" s="52">
        <f t="shared" si="63"/>
        <v>4.6094985236418001E-3</v>
      </c>
    </row>
    <row r="1896" spans="1:7" ht="15" customHeight="1" x14ac:dyDescent="0.2">
      <c r="A1896" s="19" t="s">
        <v>2043</v>
      </c>
      <c r="B1896" s="50">
        <v>131.96700000000001</v>
      </c>
      <c r="C1896" s="50">
        <v>3014.3</v>
      </c>
      <c r="D1896" s="51">
        <v>17526406.556997001</v>
      </c>
      <c r="E1896" s="51">
        <v>1597205556</v>
      </c>
      <c r="F1896" s="52">
        <f t="shared" si="62"/>
        <v>0</v>
      </c>
      <c r="G1896" s="52">
        <f t="shared" si="63"/>
        <v>1.7584401022740885E-4</v>
      </c>
    </row>
    <row r="1897" spans="1:7" ht="15" customHeight="1" x14ac:dyDescent="0.2">
      <c r="A1897" s="19" t="s">
        <v>2044</v>
      </c>
      <c r="B1897" s="50">
        <v>130.238</v>
      </c>
      <c r="C1897" s="50">
        <v>3004.04</v>
      </c>
      <c r="D1897" s="51">
        <v>23920272.167422999</v>
      </c>
      <c r="E1897" s="51">
        <v>1828138889</v>
      </c>
      <c r="F1897" s="52">
        <f t="shared" si="62"/>
        <v>-1.3188345460196448E-2</v>
      </c>
      <c r="G1897" s="52">
        <f t="shared" si="63"/>
        <v>-3.4095813595054242E-3</v>
      </c>
    </row>
    <row r="1898" spans="1:7" ht="15" customHeight="1" x14ac:dyDescent="0.2">
      <c r="A1898" s="19" t="s">
        <v>2045</v>
      </c>
      <c r="B1898" s="50">
        <v>129.48599999999999</v>
      </c>
      <c r="C1898" s="50">
        <v>2984.42</v>
      </c>
      <c r="D1898" s="51">
        <v>21272939.741439998</v>
      </c>
      <c r="E1898" s="51">
        <v>1767555556</v>
      </c>
      <c r="F1898" s="52">
        <f t="shared" si="62"/>
        <v>-5.7907786835837173E-3</v>
      </c>
      <c r="G1898" s="52">
        <f t="shared" si="63"/>
        <v>-6.5526262851549463E-3</v>
      </c>
    </row>
    <row r="1899" spans="1:7" ht="15" customHeight="1" x14ac:dyDescent="0.2">
      <c r="A1899" s="19" t="s">
        <v>2046</v>
      </c>
      <c r="B1899" s="50">
        <v>129.614</v>
      </c>
      <c r="C1899" s="50">
        <v>2995.11</v>
      </c>
      <c r="D1899" s="51">
        <v>32427549.086265001</v>
      </c>
      <c r="E1899" s="51">
        <v>1831433333</v>
      </c>
      <c r="F1899" s="52">
        <f t="shared" si="62"/>
        <v>9.8803558790395399E-4</v>
      </c>
      <c r="G1899" s="52">
        <f t="shared" si="63"/>
        <v>3.5755356654507981E-3</v>
      </c>
    </row>
    <row r="1900" spans="1:7" ht="15" customHeight="1" x14ac:dyDescent="0.2">
      <c r="A1900" s="19" t="s">
        <v>2047</v>
      </c>
      <c r="B1900" s="50">
        <v>129.79900000000001</v>
      </c>
      <c r="C1900" s="50">
        <v>2976.61</v>
      </c>
      <c r="D1900" s="51">
        <v>51566663.611018002</v>
      </c>
      <c r="E1900" s="51">
        <v>1811311111</v>
      </c>
      <c r="F1900" s="52">
        <f t="shared" si="62"/>
        <v>1.4262973047803843E-3</v>
      </c>
      <c r="G1900" s="52">
        <f t="shared" si="63"/>
        <v>-6.1958896877547841E-3</v>
      </c>
    </row>
    <row r="1901" spans="1:7" ht="15" customHeight="1" x14ac:dyDescent="0.2">
      <c r="A1901" s="19" t="s">
        <v>2048</v>
      </c>
      <c r="B1901" s="50">
        <v>131.51599999999999</v>
      </c>
      <c r="C1901" s="50">
        <v>2985.03</v>
      </c>
      <c r="D1901" s="51">
        <v>26398628.541923001</v>
      </c>
      <c r="E1901" s="51">
        <v>1668733333</v>
      </c>
      <c r="F1901" s="52">
        <f t="shared" si="62"/>
        <v>1.3141417139995868E-2</v>
      </c>
      <c r="G1901" s="52">
        <f t="shared" si="63"/>
        <v>2.8247279603128136E-3</v>
      </c>
    </row>
    <row r="1902" spans="1:7" ht="15" customHeight="1" x14ac:dyDescent="0.2">
      <c r="A1902" s="19" t="s">
        <v>2049</v>
      </c>
      <c r="B1902" s="50">
        <v>132.34700000000001</v>
      </c>
      <c r="C1902" s="50">
        <v>3005.47</v>
      </c>
      <c r="D1902" s="51">
        <v>18982213.383451998</v>
      </c>
      <c r="E1902" s="51">
        <v>1840922222</v>
      </c>
      <c r="F1902" s="52">
        <f t="shared" si="62"/>
        <v>6.2987440257627047E-3</v>
      </c>
      <c r="G1902" s="52">
        <f t="shared" si="63"/>
        <v>6.8241647017276323E-3</v>
      </c>
    </row>
    <row r="1903" spans="1:7" ht="15" customHeight="1" x14ac:dyDescent="0.2">
      <c r="A1903" s="19" t="s">
        <v>2050</v>
      </c>
      <c r="B1903" s="50">
        <v>133.68600000000001</v>
      </c>
      <c r="C1903" s="50">
        <v>3019.56</v>
      </c>
      <c r="D1903" s="51">
        <v>21827967.892104998</v>
      </c>
      <c r="E1903" s="51">
        <v>1904988889</v>
      </c>
      <c r="F1903" s="52">
        <f t="shared" si="62"/>
        <v>1.0066505337499506E-2</v>
      </c>
      <c r="G1903" s="52">
        <f t="shared" si="63"/>
        <v>4.6771636608934396E-3</v>
      </c>
    </row>
    <row r="1904" spans="1:7" ht="15" customHeight="1" x14ac:dyDescent="0.2">
      <c r="A1904" s="19" t="s">
        <v>2051</v>
      </c>
      <c r="B1904" s="50">
        <v>133.18600000000001</v>
      </c>
      <c r="C1904" s="50">
        <v>3003.67</v>
      </c>
      <c r="D1904" s="51">
        <v>19321443.211358</v>
      </c>
      <c r="E1904" s="51">
        <v>2025150000</v>
      </c>
      <c r="F1904" s="52">
        <f t="shared" si="62"/>
        <v>-3.747119106068994E-3</v>
      </c>
      <c r="G1904" s="52">
        <f t="shared" si="63"/>
        <v>-5.276251069020221E-3</v>
      </c>
    </row>
    <row r="1905" spans="1:7" ht="15" customHeight="1" x14ac:dyDescent="0.2">
      <c r="A1905" s="19" t="s">
        <v>2052</v>
      </c>
      <c r="B1905" s="50">
        <v>134.29</v>
      </c>
      <c r="C1905" s="50">
        <v>3025.86</v>
      </c>
      <c r="D1905" s="51">
        <v>20037928.493687999</v>
      </c>
      <c r="E1905" s="51">
        <v>1809772222</v>
      </c>
      <c r="F1905" s="52">
        <f t="shared" si="62"/>
        <v>8.254993115828729E-3</v>
      </c>
      <c r="G1905" s="52">
        <f t="shared" si="63"/>
        <v>7.3604742596646913E-3</v>
      </c>
    </row>
    <row r="1906" spans="1:7" ht="15" customHeight="1" x14ac:dyDescent="0.2">
      <c r="A1906" s="19" t="s">
        <v>2053</v>
      </c>
      <c r="B1906" s="50">
        <v>133.989</v>
      </c>
      <c r="C1906" s="50">
        <v>3020.97</v>
      </c>
      <c r="D1906" s="51">
        <v>17478424.299862001</v>
      </c>
      <c r="E1906" s="51">
        <v>1779838889</v>
      </c>
      <c r="F1906" s="52">
        <f t="shared" si="62"/>
        <v>-2.243933563942954E-3</v>
      </c>
      <c r="G1906" s="52">
        <f t="shared" si="63"/>
        <v>-1.6173767299502979E-3</v>
      </c>
    </row>
    <row r="1907" spans="1:7" ht="15" customHeight="1" x14ac:dyDescent="0.2">
      <c r="A1907" s="19" t="s">
        <v>2054</v>
      </c>
      <c r="B1907" s="50">
        <v>133.34399999999999</v>
      </c>
      <c r="C1907" s="50">
        <v>3013.18</v>
      </c>
      <c r="D1907" s="51">
        <v>17731726.101927001</v>
      </c>
      <c r="E1907" s="51">
        <v>2019072222</v>
      </c>
      <c r="F1907" s="52">
        <f t="shared" si="62"/>
        <v>-4.8254517890979759E-3</v>
      </c>
      <c r="G1907" s="52">
        <f t="shared" si="63"/>
        <v>-2.5819723830935032E-3</v>
      </c>
    </row>
    <row r="1908" spans="1:7" ht="15" customHeight="1" x14ac:dyDescent="0.2">
      <c r="A1908" s="19" t="s">
        <v>2055</v>
      </c>
      <c r="B1908" s="50">
        <v>129.48599999999999</v>
      </c>
      <c r="C1908" s="50">
        <v>2980.38</v>
      </c>
      <c r="D1908" s="51">
        <v>40626954.700514004</v>
      </c>
      <c r="E1908" s="51">
        <v>2568572222</v>
      </c>
      <c r="F1908" s="52">
        <f t="shared" si="62"/>
        <v>-2.9359488052661399E-2</v>
      </c>
      <c r="G1908" s="52">
        <f t="shared" si="63"/>
        <v>-1.0945190319276599E-2</v>
      </c>
    </row>
    <row r="1909" spans="1:7" ht="15" customHeight="1" x14ac:dyDescent="0.2">
      <c r="A1909" s="19" t="s">
        <v>2056</v>
      </c>
      <c r="B1909" s="50">
        <v>131.15600000000001</v>
      </c>
      <c r="C1909" s="50">
        <v>2953.56</v>
      </c>
      <c r="D1909" s="51">
        <v>42688593.577340998</v>
      </c>
      <c r="E1909" s="51">
        <v>2645722222</v>
      </c>
      <c r="F1909" s="52">
        <f t="shared" si="62"/>
        <v>1.2814687221244632E-2</v>
      </c>
      <c r="G1909" s="52">
        <f t="shared" si="63"/>
        <v>-9.0395867268047228E-3</v>
      </c>
    </row>
    <row r="1910" spans="1:7" ht="15" customHeight="1" x14ac:dyDescent="0.2">
      <c r="A1910" s="19" t="s">
        <v>2057</v>
      </c>
      <c r="B1910" s="50">
        <v>130.06299999999999</v>
      </c>
      <c r="C1910" s="50">
        <v>2932.05</v>
      </c>
      <c r="D1910" s="51">
        <v>32409567.769701</v>
      </c>
      <c r="E1910" s="51">
        <v>2152588889</v>
      </c>
      <c r="F1910" s="52">
        <f t="shared" si="62"/>
        <v>-8.36850595654017E-3</v>
      </c>
      <c r="G1910" s="52">
        <f t="shared" si="63"/>
        <v>-7.3093853544549392E-3</v>
      </c>
    </row>
    <row r="1911" spans="1:7" ht="15" customHeight="1" x14ac:dyDescent="0.2">
      <c r="A1911" s="19" t="s">
        <v>2058</v>
      </c>
      <c r="B1911" s="50">
        <v>125.598</v>
      </c>
      <c r="C1911" s="50">
        <v>2844.74</v>
      </c>
      <c r="D1911" s="51">
        <v>44995821.834795997</v>
      </c>
      <c r="E1911" s="51">
        <v>2507627778</v>
      </c>
      <c r="F1911" s="52">
        <f t="shared" si="62"/>
        <v>-3.4932618111648037E-2</v>
      </c>
      <c r="G1911" s="52">
        <f t="shared" si="63"/>
        <v>-3.0230162083586681E-2</v>
      </c>
    </row>
    <row r="1912" spans="1:7" ht="15" customHeight="1" x14ac:dyDescent="0.2">
      <c r="A1912" s="19" t="s">
        <v>2059</v>
      </c>
      <c r="B1912" s="50">
        <v>127.971</v>
      </c>
      <c r="C1912" s="50">
        <v>2881.77</v>
      </c>
      <c r="D1912" s="51">
        <v>34414693.937326998</v>
      </c>
      <c r="E1912" s="51">
        <v>2307911111</v>
      </c>
      <c r="F1912" s="52">
        <f t="shared" si="62"/>
        <v>1.871734541001879E-2</v>
      </c>
      <c r="G1912" s="52">
        <f t="shared" si="63"/>
        <v>1.2933013700777157E-2</v>
      </c>
    </row>
    <row r="1913" spans="1:7" ht="15" customHeight="1" x14ac:dyDescent="0.2">
      <c r="A1913" s="19" t="s">
        <v>2060</v>
      </c>
      <c r="B1913" s="50">
        <v>128.51900000000001</v>
      </c>
      <c r="C1913" s="50">
        <v>2883.98</v>
      </c>
      <c r="D1913" s="51">
        <v>35170303.402948</v>
      </c>
      <c r="E1913" s="51">
        <v>2495416667</v>
      </c>
      <c r="F1913" s="52">
        <f t="shared" si="62"/>
        <v>4.2730775767958491E-3</v>
      </c>
      <c r="G1913" s="52">
        <f t="shared" si="63"/>
        <v>7.6659588370266651E-4</v>
      </c>
    </row>
    <row r="1914" spans="1:7" ht="15" customHeight="1" x14ac:dyDescent="0.2">
      <c r="A1914" s="19" t="s">
        <v>2061</v>
      </c>
      <c r="B1914" s="50">
        <v>131.958</v>
      </c>
      <c r="C1914" s="50">
        <v>2938.09</v>
      </c>
      <c r="D1914" s="51">
        <v>28941308.333592001</v>
      </c>
      <c r="E1914" s="51">
        <v>2281316667</v>
      </c>
      <c r="F1914" s="52">
        <f t="shared" si="62"/>
        <v>2.6406936810361617E-2</v>
      </c>
      <c r="G1914" s="52">
        <f t="shared" si="63"/>
        <v>1.8588425780336086E-2</v>
      </c>
    </row>
    <row r="1915" spans="1:7" ht="15" customHeight="1" x14ac:dyDescent="0.2">
      <c r="A1915" s="19" t="s">
        <v>2062</v>
      </c>
      <c r="B1915" s="50">
        <v>130.82400000000001</v>
      </c>
      <c r="C1915" s="50">
        <v>2918.65</v>
      </c>
      <c r="D1915" s="51">
        <v>24699757.07017</v>
      </c>
      <c r="E1915" s="51">
        <v>1861466667</v>
      </c>
      <c r="F1915" s="52">
        <f t="shared" si="62"/>
        <v>-8.630781707524661E-3</v>
      </c>
      <c r="G1915" s="52">
        <f t="shared" si="63"/>
        <v>-6.6385297600620738E-3</v>
      </c>
    </row>
    <row r="1916" spans="1:7" ht="15" customHeight="1" x14ac:dyDescent="0.2">
      <c r="A1916" s="19" t="s">
        <v>2063</v>
      </c>
      <c r="B1916" s="50">
        <v>129.01599999999999</v>
      </c>
      <c r="C1916" s="50">
        <v>2882.7</v>
      </c>
      <c r="D1916" s="51">
        <v>21560697.116448</v>
      </c>
      <c r="E1916" s="51">
        <v>1584238889</v>
      </c>
      <c r="F1916" s="52">
        <f t="shared" si="62"/>
        <v>-1.3916480751875083E-2</v>
      </c>
      <c r="G1916" s="52">
        <f t="shared" si="63"/>
        <v>-1.2393825636975902E-2</v>
      </c>
    </row>
    <row r="1917" spans="1:7" ht="15" customHeight="1" x14ac:dyDescent="0.2">
      <c r="A1917" s="19" t="s">
        <v>2064</v>
      </c>
      <c r="B1917" s="50">
        <v>131.67500000000001</v>
      </c>
      <c r="C1917" s="50">
        <v>2926.32</v>
      </c>
      <c r="D1917" s="51">
        <v>26836311.785801001</v>
      </c>
      <c r="E1917" s="51">
        <v>2140888889</v>
      </c>
      <c r="F1917" s="52">
        <f t="shared" si="62"/>
        <v>2.040033769123864E-2</v>
      </c>
      <c r="G1917" s="52">
        <f t="shared" si="63"/>
        <v>1.5018305968787296E-2</v>
      </c>
    </row>
    <row r="1918" spans="1:7" ht="15" customHeight="1" x14ac:dyDescent="0.2">
      <c r="A1918" s="19" t="s">
        <v>2065</v>
      </c>
      <c r="B1918" s="50">
        <v>127.72799999999999</v>
      </c>
      <c r="C1918" s="50">
        <v>2840.6</v>
      </c>
      <c r="D1918" s="51">
        <v>34122765.527546003</v>
      </c>
      <c r="E1918" s="51">
        <v>2395850000</v>
      </c>
      <c r="F1918" s="52">
        <f t="shared" si="62"/>
        <v>-3.0433762466010154E-2</v>
      </c>
      <c r="G1918" s="52">
        <f t="shared" si="63"/>
        <v>-2.9730363473091367E-2</v>
      </c>
    </row>
    <row r="1919" spans="1:7" ht="15" customHeight="1" x14ac:dyDescent="0.2">
      <c r="A1919" s="19" t="s">
        <v>2066</v>
      </c>
      <c r="B1919" s="50">
        <v>127.434</v>
      </c>
      <c r="C1919" s="50">
        <v>2847.6</v>
      </c>
      <c r="D1919" s="51">
        <v>29505012.318486001</v>
      </c>
      <c r="E1919" s="51">
        <v>2243333333</v>
      </c>
      <c r="F1919" s="52">
        <f t="shared" si="62"/>
        <v>-2.3044193892784609E-3</v>
      </c>
      <c r="G1919" s="52">
        <f t="shared" si="63"/>
        <v>2.461236782690441E-3</v>
      </c>
    </row>
    <row r="1920" spans="1:7" ht="15" customHeight="1" x14ac:dyDescent="0.2">
      <c r="A1920" s="19" t="s">
        <v>2067</v>
      </c>
      <c r="B1920" s="50">
        <v>129.75899999999999</v>
      </c>
      <c r="C1920" s="50">
        <v>2888.68</v>
      </c>
      <c r="D1920" s="51">
        <v>26253725.52445</v>
      </c>
      <c r="E1920" s="51">
        <v>1943416667</v>
      </c>
      <c r="F1920" s="52">
        <f t="shared" si="62"/>
        <v>1.8080300288100828E-2</v>
      </c>
      <c r="G1920" s="52">
        <f t="shared" si="63"/>
        <v>1.4323116131046663E-2</v>
      </c>
    </row>
    <row r="1921" spans="1:7" ht="15" customHeight="1" x14ac:dyDescent="0.2">
      <c r="A1921" s="19" t="s">
        <v>2068</v>
      </c>
      <c r="B1921" s="50">
        <v>131.93799999999999</v>
      </c>
      <c r="C1921" s="50">
        <v>2923.65</v>
      </c>
      <c r="D1921" s="51">
        <v>25565957.314847</v>
      </c>
      <c r="E1921" s="51">
        <v>1784933333</v>
      </c>
      <c r="F1921" s="52">
        <f t="shared" si="62"/>
        <v>1.6653231472233708E-2</v>
      </c>
      <c r="G1921" s="52">
        <f t="shared" si="63"/>
        <v>1.2033185301994735E-2</v>
      </c>
    </row>
    <row r="1922" spans="1:7" ht="15" customHeight="1" x14ac:dyDescent="0.2">
      <c r="A1922" s="19" t="s">
        <v>2069</v>
      </c>
      <c r="B1922" s="50">
        <v>130.834</v>
      </c>
      <c r="C1922" s="50">
        <v>2900.51</v>
      </c>
      <c r="D1922" s="51">
        <v>22228351.396472</v>
      </c>
      <c r="E1922" s="51">
        <v>1703500000</v>
      </c>
      <c r="F1922" s="52">
        <f t="shared" si="62"/>
        <v>-8.4027711917266396E-3</v>
      </c>
      <c r="G1922" s="52">
        <f t="shared" si="63"/>
        <v>-7.9462520811493E-3</v>
      </c>
    </row>
    <row r="1923" spans="1:7" ht="15" customHeight="1" x14ac:dyDescent="0.2">
      <c r="A1923" s="19" t="s">
        <v>2070</v>
      </c>
      <c r="B1923" s="50">
        <v>132.30699999999999</v>
      </c>
      <c r="C1923" s="50">
        <v>2924.43</v>
      </c>
      <c r="D1923" s="51">
        <v>15717221.760885</v>
      </c>
      <c r="E1923" s="51">
        <v>1672883333</v>
      </c>
      <c r="F1923" s="52">
        <f t="shared" si="62"/>
        <v>1.1195635691359895E-2</v>
      </c>
      <c r="G1923" s="52">
        <f t="shared" si="63"/>
        <v>8.2130062994995642E-3</v>
      </c>
    </row>
    <row r="1924" spans="1:7" ht="15" customHeight="1" x14ac:dyDescent="0.2">
      <c r="A1924" s="19" t="s">
        <v>2071</v>
      </c>
      <c r="B1924" s="50">
        <v>131.33199999999999</v>
      </c>
      <c r="C1924" s="50">
        <v>2922.95</v>
      </c>
      <c r="D1924" s="51">
        <v>19627402.023814999</v>
      </c>
      <c r="E1924" s="51">
        <v>1606044444</v>
      </c>
      <c r="F1924" s="52">
        <f t="shared" si="62"/>
        <v>-7.3965114801071369E-3</v>
      </c>
      <c r="G1924" s="52">
        <f t="shared" si="63"/>
        <v>-5.0620962947638712E-4</v>
      </c>
    </row>
    <row r="1925" spans="1:7" ht="15" customHeight="1" x14ac:dyDescent="0.2">
      <c r="A1925" s="19" t="s">
        <v>2072</v>
      </c>
      <c r="B1925" s="50">
        <v>127.161</v>
      </c>
      <c r="C1925" s="50">
        <v>2847.11</v>
      </c>
      <c r="D1925" s="51">
        <v>40404628.513814002</v>
      </c>
      <c r="E1925" s="51">
        <v>2187388889</v>
      </c>
      <c r="F1925" s="52">
        <f t="shared" si="62"/>
        <v>-3.2274468174135137E-2</v>
      </c>
      <c r="G1925" s="52">
        <f t="shared" si="63"/>
        <v>-2.6288935558066755E-2</v>
      </c>
    </row>
    <row r="1926" spans="1:7" ht="15" customHeight="1" x14ac:dyDescent="0.2">
      <c r="A1926" s="19" t="s">
        <v>2073</v>
      </c>
      <c r="B1926" s="50">
        <v>129.125</v>
      </c>
      <c r="C1926" s="50">
        <v>2878.38</v>
      </c>
      <c r="D1926" s="51">
        <v>21322260.128777001</v>
      </c>
      <c r="E1926" s="51">
        <v>1587555556</v>
      </c>
      <c r="F1926" s="52">
        <f t="shared" ref="F1926:F1989" si="64">LN(B1926/B1925)</f>
        <v>1.5326927319912467E-2</v>
      </c>
      <c r="G1926" s="52">
        <f t="shared" ref="G1926:G1989" si="65">LN(C1926/C1925)</f>
        <v>1.0923191173948981E-2</v>
      </c>
    </row>
    <row r="1927" spans="1:7" ht="15" customHeight="1" x14ac:dyDescent="0.2">
      <c r="A1927" s="19" t="s">
        <v>2074</v>
      </c>
      <c r="B1927" s="50">
        <v>129.40600000000001</v>
      </c>
      <c r="C1927" s="50">
        <v>2869.16</v>
      </c>
      <c r="D1927" s="51">
        <v>24249495.197625998</v>
      </c>
      <c r="E1927" s="51">
        <v>1963127778</v>
      </c>
      <c r="F1927" s="52">
        <f t="shared" si="64"/>
        <v>2.1738214036649884E-3</v>
      </c>
      <c r="G1927" s="52">
        <f t="shared" si="65"/>
        <v>-3.2083318806849889E-3</v>
      </c>
    </row>
    <row r="1928" spans="1:7" ht="15" customHeight="1" x14ac:dyDescent="0.2">
      <c r="A1928" s="19" t="s">
        <v>2075</v>
      </c>
      <c r="B1928" s="50">
        <v>129.233</v>
      </c>
      <c r="C1928" s="50">
        <v>2887.94</v>
      </c>
      <c r="D1928" s="51">
        <v>18264856.831955999</v>
      </c>
      <c r="E1928" s="51">
        <v>1720788889</v>
      </c>
      <c r="F1928" s="52">
        <f t="shared" si="64"/>
        <v>-1.337772151922697E-3</v>
      </c>
      <c r="G1928" s="52">
        <f t="shared" si="65"/>
        <v>6.52414118680143E-3</v>
      </c>
    </row>
    <row r="1929" spans="1:7" ht="15" customHeight="1" x14ac:dyDescent="0.2">
      <c r="A1929" s="19" t="s">
        <v>2076</v>
      </c>
      <c r="B1929" s="50">
        <v>131.66499999999999</v>
      </c>
      <c r="C1929" s="50">
        <v>2924.58</v>
      </c>
      <c r="D1929" s="51">
        <v>21169564.832059</v>
      </c>
      <c r="E1929" s="51">
        <v>1764550000</v>
      </c>
      <c r="F1929" s="52">
        <f t="shared" si="64"/>
        <v>1.8643841233503159E-2</v>
      </c>
      <c r="G1929" s="52">
        <f t="shared" si="65"/>
        <v>1.260743543874108E-2</v>
      </c>
    </row>
    <row r="1930" spans="1:7" ht="15" customHeight="1" x14ac:dyDescent="0.2">
      <c r="A1930" s="19" t="s">
        <v>2077</v>
      </c>
      <c r="B1930" s="50">
        <v>131.41</v>
      </c>
      <c r="C1930" s="50">
        <v>2926.46</v>
      </c>
      <c r="D1930" s="51">
        <v>25120720.341333002</v>
      </c>
      <c r="E1930" s="51">
        <v>1671361111</v>
      </c>
      <c r="F1930" s="52">
        <f t="shared" si="64"/>
        <v>-1.938611269501298E-3</v>
      </c>
      <c r="G1930" s="52">
        <f t="shared" si="65"/>
        <v>6.4262082115234761E-4</v>
      </c>
    </row>
    <row r="1931" spans="1:7" ht="15" customHeight="1" x14ac:dyDescent="0.2">
      <c r="A1931" s="19" t="s">
        <v>2078</v>
      </c>
      <c r="B1931" s="50">
        <v>129.672</v>
      </c>
      <c r="C1931" s="50">
        <v>2906.27</v>
      </c>
      <c r="D1931" s="51">
        <v>19806904.972578</v>
      </c>
      <c r="E1931" s="51">
        <v>1903772222</v>
      </c>
      <c r="F1931" s="52">
        <f t="shared" si="64"/>
        <v>-1.3314021445672375E-2</v>
      </c>
      <c r="G1931" s="52">
        <f t="shared" si="65"/>
        <v>-6.9230294011075758E-3</v>
      </c>
    </row>
    <row r="1932" spans="1:7" ht="15" customHeight="1" x14ac:dyDescent="0.2">
      <c r="A1932" s="19" t="s">
        <v>2079</v>
      </c>
      <c r="B1932" s="50">
        <v>131.185</v>
      </c>
      <c r="C1932" s="50">
        <v>2937.78</v>
      </c>
      <c r="D1932" s="51">
        <v>18898991.308738999</v>
      </c>
      <c r="E1932" s="51">
        <v>1757366667</v>
      </c>
      <c r="F1932" s="52">
        <f t="shared" si="64"/>
        <v>1.1600355495732623E-2</v>
      </c>
      <c r="G1932" s="52">
        <f t="shared" si="65"/>
        <v>1.0783722026351545E-2</v>
      </c>
    </row>
    <row r="1933" spans="1:7" ht="15" customHeight="1" x14ac:dyDescent="0.2">
      <c r="A1933" s="19" t="s">
        <v>2080</v>
      </c>
      <c r="B1933" s="50">
        <v>133.511</v>
      </c>
      <c r="C1933" s="50">
        <v>2976</v>
      </c>
      <c r="D1933" s="51">
        <v>27400724.252792999</v>
      </c>
      <c r="E1933" s="51">
        <v>2161500000</v>
      </c>
      <c r="F1933" s="52">
        <f t="shared" si="64"/>
        <v>1.75753307439959E-2</v>
      </c>
      <c r="G1933" s="52">
        <f t="shared" si="65"/>
        <v>1.2925922894213253E-2</v>
      </c>
    </row>
    <row r="1934" spans="1:7" ht="15" customHeight="1" x14ac:dyDescent="0.2">
      <c r="A1934" s="19" t="s">
        <v>2081</v>
      </c>
      <c r="B1934" s="50">
        <v>132.59299999999999</v>
      </c>
      <c r="C1934" s="50">
        <v>2978.71</v>
      </c>
      <c r="D1934" s="51">
        <v>21845979.923211001</v>
      </c>
      <c r="E1934" s="51">
        <v>1782377778</v>
      </c>
      <c r="F1934" s="52">
        <f t="shared" si="64"/>
        <v>-6.8995854382081587E-3</v>
      </c>
      <c r="G1934" s="52">
        <f t="shared" si="65"/>
        <v>9.1020391827530893E-4</v>
      </c>
    </row>
    <row r="1935" spans="1:7" ht="15" customHeight="1" x14ac:dyDescent="0.2">
      <c r="A1935" s="19" t="s">
        <v>2082</v>
      </c>
      <c r="B1935" s="50">
        <v>131.078</v>
      </c>
      <c r="C1935" s="50">
        <v>2978.43</v>
      </c>
      <c r="D1935" s="51">
        <v>27038186.182964001</v>
      </c>
      <c r="E1935" s="51">
        <v>2223827778</v>
      </c>
      <c r="F1935" s="52">
        <f t="shared" si="64"/>
        <v>-1.1491720154979859E-2</v>
      </c>
      <c r="G1935" s="52">
        <f t="shared" si="65"/>
        <v>-9.4004841318652159E-5</v>
      </c>
    </row>
    <row r="1936" spans="1:7" ht="15" customHeight="1" x14ac:dyDescent="0.2">
      <c r="A1936" s="19" t="s">
        <v>2083</v>
      </c>
      <c r="B1936" s="50">
        <v>129.71</v>
      </c>
      <c r="C1936" s="50">
        <v>2979.39</v>
      </c>
      <c r="D1936" s="51">
        <v>30321135.574278999</v>
      </c>
      <c r="E1936" s="51">
        <v>2439316667</v>
      </c>
      <c r="F1936" s="52">
        <f t="shared" si="64"/>
        <v>-1.0491376503833069E-2</v>
      </c>
      <c r="G1936" s="52">
        <f t="shared" si="65"/>
        <v>3.2226552944139824E-4</v>
      </c>
    </row>
    <row r="1937" spans="1:7" ht="15" customHeight="1" x14ac:dyDescent="0.2">
      <c r="A1937" s="19" t="s">
        <v>2084</v>
      </c>
      <c r="B1937" s="50">
        <v>129.75</v>
      </c>
      <c r="C1937" s="50">
        <v>3000.93</v>
      </c>
      <c r="D1937" s="51">
        <v>25938973.138689999</v>
      </c>
      <c r="E1937" s="51">
        <v>2181972222</v>
      </c>
      <c r="F1937" s="52">
        <f t="shared" si="64"/>
        <v>3.0833269341620296E-4</v>
      </c>
      <c r="G1937" s="52">
        <f t="shared" si="65"/>
        <v>7.2036590507942328E-3</v>
      </c>
    </row>
    <row r="1938" spans="1:7" ht="15" customHeight="1" x14ac:dyDescent="0.2">
      <c r="A1938" s="19" t="s">
        <v>2085</v>
      </c>
      <c r="B1938" s="50">
        <v>131.078</v>
      </c>
      <c r="C1938" s="50">
        <v>3009.57</v>
      </c>
      <c r="D1938" s="51">
        <v>28334864.040020999</v>
      </c>
      <c r="E1938" s="51">
        <v>2106588889</v>
      </c>
      <c r="F1938" s="52">
        <f t="shared" si="64"/>
        <v>1.0183043810416863E-2</v>
      </c>
      <c r="G1938" s="52">
        <f t="shared" si="65"/>
        <v>2.8749707848360149E-3</v>
      </c>
    </row>
    <row r="1939" spans="1:7" ht="15" customHeight="1" x14ac:dyDescent="0.2">
      <c r="A1939" s="19" t="s">
        <v>2086</v>
      </c>
      <c r="B1939" s="50">
        <v>130.89400000000001</v>
      </c>
      <c r="C1939" s="50">
        <v>3007.39</v>
      </c>
      <c r="D1939" s="51">
        <v>24509052.528028</v>
      </c>
      <c r="E1939" s="51">
        <v>1955588889</v>
      </c>
      <c r="F1939" s="52">
        <f t="shared" si="64"/>
        <v>-1.4047305075105356E-3</v>
      </c>
      <c r="G1939" s="52">
        <f t="shared" si="65"/>
        <v>-7.2461844366199951E-4</v>
      </c>
    </row>
    <row r="1940" spans="1:7" ht="15" customHeight="1" x14ac:dyDescent="0.2">
      <c r="A1940" s="19" t="s">
        <v>2087</v>
      </c>
      <c r="B1940" s="50">
        <v>129.94499999999999</v>
      </c>
      <c r="C1940" s="50">
        <v>2997.96</v>
      </c>
      <c r="D1940" s="51">
        <v>17552144.319173001</v>
      </c>
      <c r="E1940" s="51">
        <v>2374800000</v>
      </c>
      <c r="F1940" s="52">
        <f t="shared" si="64"/>
        <v>-7.2765513386910761E-3</v>
      </c>
      <c r="G1940" s="52">
        <f t="shared" si="65"/>
        <v>-3.1405356059661417E-3</v>
      </c>
    </row>
    <row r="1941" spans="1:7" ht="15" customHeight="1" x14ac:dyDescent="0.2">
      <c r="A1941" s="19" t="s">
        <v>2088</v>
      </c>
      <c r="B1941" s="50">
        <v>130.959</v>
      </c>
      <c r="C1941" s="50">
        <v>3005.7</v>
      </c>
      <c r="D1941" s="51">
        <v>18858051.896028999</v>
      </c>
      <c r="E1941" s="51">
        <v>2039911111</v>
      </c>
      <c r="F1941" s="52">
        <f t="shared" si="64"/>
        <v>7.7730131041478037E-3</v>
      </c>
      <c r="G1941" s="52">
        <f t="shared" si="65"/>
        <v>2.5784285879443072E-3</v>
      </c>
    </row>
    <row r="1942" spans="1:7" ht="15" customHeight="1" x14ac:dyDescent="0.2">
      <c r="A1942" s="19" t="s">
        <v>2089</v>
      </c>
      <c r="B1942" s="50">
        <v>132.04599999999999</v>
      </c>
      <c r="C1942" s="50">
        <v>3006.73</v>
      </c>
      <c r="D1942" s="51">
        <v>25673846.238047</v>
      </c>
      <c r="E1942" s="51">
        <v>1908633333</v>
      </c>
      <c r="F1942" s="52">
        <f t="shared" si="64"/>
        <v>8.2660496137530806E-3</v>
      </c>
      <c r="G1942" s="52">
        <f t="shared" si="65"/>
        <v>3.4262353493549175E-4</v>
      </c>
    </row>
    <row r="1943" spans="1:7" ht="15" customHeight="1" x14ac:dyDescent="0.2">
      <c r="A1943" s="19" t="s">
        <v>2090</v>
      </c>
      <c r="B1943" s="50">
        <v>134.488</v>
      </c>
      <c r="C1943" s="50">
        <v>3006.79</v>
      </c>
      <c r="D1943" s="51">
        <v>37865951.850754999</v>
      </c>
      <c r="E1943" s="51">
        <v>1806272222</v>
      </c>
      <c r="F1943" s="52">
        <f t="shared" si="64"/>
        <v>1.8324629002643616E-2</v>
      </c>
      <c r="G1943" s="52">
        <f t="shared" si="65"/>
        <v>1.9955034655944141E-5</v>
      </c>
    </row>
    <row r="1944" spans="1:7" ht="15" customHeight="1" x14ac:dyDescent="0.2">
      <c r="A1944" s="19" t="s">
        <v>2091</v>
      </c>
      <c r="B1944" s="50">
        <v>132.923</v>
      </c>
      <c r="C1944" s="50">
        <v>2992.07</v>
      </c>
      <c r="D1944" s="51">
        <v>42004831.567800999</v>
      </c>
      <c r="E1944" s="51">
        <v>3385966667</v>
      </c>
      <c r="F1944" s="52">
        <f t="shared" si="64"/>
        <v>-1.1704962532164421E-2</v>
      </c>
      <c r="G1944" s="52">
        <f t="shared" si="65"/>
        <v>-4.9076089603009186E-3</v>
      </c>
    </row>
    <row r="1945" spans="1:7" ht="15" customHeight="1" x14ac:dyDescent="0.2">
      <c r="A1945" s="19" t="s">
        <v>2092</v>
      </c>
      <c r="B1945" s="50">
        <v>132.631</v>
      </c>
      <c r="C1945" s="50">
        <v>2991.78</v>
      </c>
      <c r="D1945" s="51">
        <v>18262282.953356002</v>
      </c>
      <c r="E1945" s="51">
        <v>1770327778</v>
      </c>
      <c r="F1945" s="52">
        <f t="shared" si="64"/>
        <v>-2.1991769484566116E-3</v>
      </c>
      <c r="G1945" s="52">
        <f t="shared" si="65"/>
        <v>-9.6927563433914354E-5</v>
      </c>
    </row>
    <row r="1946" spans="1:7" ht="15" customHeight="1" x14ac:dyDescent="0.2">
      <c r="A1946" s="19" t="s">
        <v>2093</v>
      </c>
      <c r="B1946" s="50">
        <v>130.94999999999999</v>
      </c>
      <c r="C1946" s="50">
        <v>2966.6</v>
      </c>
      <c r="D1946" s="51">
        <v>31489036.572106998</v>
      </c>
      <c r="E1946" s="51">
        <v>2148977778</v>
      </c>
      <c r="F1946" s="52">
        <f t="shared" si="64"/>
        <v>-1.2755265296415611E-2</v>
      </c>
      <c r="G1946" s="52">
        <f t="shared" si="65"/>
        <v>-8.4520120896715845E-3</v>
      </c>
    </row>
    <row r="1947" spans="1:7" ht="15" customHeight="1" x14ac:dyDescent="0.2">
      <c r="A1947" s="19" t="s">
        <v>2094</v>
      </c>
      <c r="B1947" s="50">
        <v>132.845</v>
      </c>
      <c r="C1947" s="50">
        <v>2984.87</v>
      </c>
      <c r="D1947" s="51">
        <v>23649876.699051999</v>
      </c>
      <c r="E1947" s="51">
        <v>1843816667</v>
      </c>
      <c r="F1947" s="52">
        <f t="shared" si="64"/>
        <v>1.4367464111767109E-2</v>
      </c>
      <c r="G1947" s="52">
        <f t="shared" si="65"/>
        <v>6.1396789000371316E-3</v>
      </c>
    </row>
    <row r="1948" spans="1:7" ht="15" customHeight="1" x14ac:dyDescent="0.2">
      <c r="A1948" s="19" t="s">
        <v>2095</v>
      </c>
      <c r="B1948" s="50">
        <v>133.01300000000001</v>
      </c>
      <c r="C1948" s="50">
        <v>2977.62</v>
      </c>
      <c r="D1948" s="51">
        <v>18687293.377303999</v>
      </c>
      <c r="E1948" s="51">
        <v>1709577778</v>
      </c>
      <c r="F1948" s="52">
        <f t="shared" si="64"/>
        <v>1.263832740499318E-3</v>
      </c>
      <c r="G1948" s="52">
        <f t="shared" si="65"/>
        <v>-2.4318711052058748E-3</v>
      </c>
    </row>
    <row r="1949" spans="1:7" ht="15" customHeight="1" x14ac:dyDescent="0.2">
      <c r="A1949" s="19" t="s">
        <v>2096</v>
      </c>
      <c r="B1949" s="50">
        <v>131.28399999999999</v>
      </c>
      <c r="C1949" s="50">
        <v>2961.79</v>
      </c>
      <c r="D1949" s="51">
        <v>23602569.138016999</v>
      </c>
      <c r="E1949" s="51">
        <v>1802027778</v>
      </c>
      <c r="F1949" s="52">
        <f t="shared" si="64"/>
        <v>-1.3083952262247641E-2</v>
      </c>
      <c r="G1949" s="52">
        <f t="shared" si="65"/>
        <v>-5.3305084118475841E-3</v>
      </c>
    </row>
    <row r="1950" spans="1:7" ht="15" customHeight="1" x14ac:dyDescent="0.2">
      <c r="A1950" s="19" t="s">
        <v>2097</v>
      </c>
      <c r="B1950" s="50">
        <v>132.524</v>
      </c>
      <c r="C1950" s="50">
        <v>2976.74</v>
      </c>
      <c r="D1950" s="51">
        <v>19334429.319614001</v>
      </c>
      <c r="E1950" s="51">
        <v>1804227778</v>
      </c>
      <c r="F1950" s="52">
        <f t="shared" si="64"/>
        <v>9.4008455555753181E-3</v>
      </c>
      <c r="G1950" s="52">
        <f t="shared" si="65"/>
        <v>5.0349266847075358E-3</v>
      </c>
    </row>
    <row r="1951" spans="1:7" ht="15" customHeight="1" x14ac:dyDescent="0.2">
      <c r="A1951" s="19" t="s">
        <v>2098</v>
      </c>
      <c r="B1951" s="50">
        <v>130.65700000000001</v>
      </c>
      <c r="C1951" s="50">
        <v>2940.25</v>
      </c>
      <c r="D1951" s="51">
        <v>23689609.030272</v>
      </c>
      <c r="E1951" s="51">
        <v>1976688889</v>
      </c>
      <c r="F1951" s="52">
        <f t="shared" si="64"/>
        <v>-1.4188192305423595E-2</v>
      </c>
      <c r="G1951" s="52">
        <f t="shared" si="65"/>
        <v>-1.2334130226057026E-2</v>
      </c>
    </row>
    <row r="1952" spans="1:7" ht="15" customHeight="1" x14ac:dyDescent="0.2">
      <c r="A1952" s="19" t="s">
        <v>2099</v>
      </c>
      <c r="B1952" s="50">
        <v>128.34299999999999</v>
      </c>
      <c r="C1952" s="50">
        <v>2887.61</v>
      </c>
      <c r="D1952" s="51">
        <v>33571501.955881998</v>
      </c>
      <c r="E1952" s="51">
        <v>2173622222</v>
      </c>
      <c r="F1952" s="52">
        <f t="shared" si="64"/>
        <v>-1.7869201335653052E-2</v>
      </c>
      <c r="G1952" s="52">
        <f t="shared" si="65"/>
        <v>-1.806544138860686E-2</v>
      </c>
    </row>
    <row r="1953" spans="1:7" ht="15" customHeight="1" x14ac:dyDescent="0.2">
      <c r="A1953" s="19" t="s">
        <v>2100</v>
      </c>
      <c r="B1953" s="50">
        <v>129.905</v>
      </c>
      <c r="C1953" s="50">
        <v>2910.63</v>
      </c>
      <c r="D1953" s="51">
        <v>27673771.409936</v>
      </c>
      <c r="E1953" s="51">
        <v>1946466667</v>
      </c>
      <c r="F1953" s="52">
        <f t="shared" si="64"/>
        <v>1.2097046624586686E-2</v>
      </c>
      <c r="G1953" s="52">
        <f t="shared" si="65"/>
        <v>7.9403822367327143E-3</v>
      </c>
    </row>
    <row r="1954" spans="1:7" ht="15" customHeight="1" x14ac:dyDescent="0.2">
      <c r="A1954" s="19" t="s">
        <v>2101</v>
      </c>
      <c r="B1954" s="50">
        <v>131.66499999999999</v>
      </c>
      <c r="C1954" s="50">
        <v>2952.01</v>
      </c>
      <c r="D1954" s="51">
        <v>25008918.385515001</v>
      </c>
      <c r="E1954" s="51">
        <v>1661572222</v>
      </c>
      <c r="F1954" s="52">
        <f t="shared" si="64"/>
        <v>1.3457403842223154E-2</v>
      </c>
      <c r="G1954" s="52">
        <f t="shared" si="65"/>
        <v>1.41167416692291E-2</v>
      </c>
    </row>
    <row r="1955" spans="1:7" ht="15" customHeight="1" x14ac:dyDescent="0.2">
      <c r="A1955" s="19" t="s">
        <v>2102</v>
      </c>
      <c r="B1955" s="50">
        <v>130.70699999999999</v>
      </c>
      <c r="C1955" s="50">
        <v>2938.79</v>
      </c>
      <c r="D1955" s="51">
        <v>17415604.871421002</v>
      </c>
      <c r="E1955" s="51">
        <v>1633411111</v>
      </c>
      <c r="F1955" s="52">
        <f t="shared" si="64"/>
        <v>-7.3026409631616919E-3</v>
      </c>
      <c r="G1955" s="52">
        <f t="shared" si="65"/>
        <v>-4.4883622575893614E-3</v>
      </c>
    </row>
    <row r="1956" spans="1:7" ht="15" customHeight="1" x14ac:dyDescent="0.2">
      <c r="A1956" s="19" t="s">
        <v>2103</v>
      </c>
      <c r="B1956" s="50">
        <v>129.34</v>
      </c>
      <c r="C1956" s="50">
        <v>2893.06</v>
      </c>
      <c r="D1956" s="51">
        <v>28097101.74845</v>
      </c>
      <c r="E1956" s="51">
        <v>1864694444</v>
      </c>
      <c r="F1956" s="52">
        <f t="shared" si="64"/>
        <v>-1.0513580943439607E-2</v>
      </c>
      <c r="G1956" s="52">
        <f t="shared" si="65"/>
        <v>-1.5683166513284146E-2</v>
      </c>
    </row>
    <row r="1957" spans="1:7" ht="15" customHeight="1" x14ac:dyDescent="0.2">
      <c r="A1957" s="19" t="s">
        <v>2104</v>
      </c>
      <c r="B1957" s="50">
        <v>131.77199999999999</v>
      </c>
      <c r="C1957" s="50">
        <v>2919.4</v>
      </c>
      <c r="D1957" s="51">
        <v>21168270.726034001</v>
      </c>
      <c r="E1957" s="51">
        <v>1514900000</v>
      </c>
      <c r="F1957" s="52">
        <f t="shared" si="64"/>
        <v>1.8628560385129625E-2</v>
      </c>
      <c r="G1957" s="52">
        <f t="shared" si="65"/>
        <v>9.063350218850439E-3</v>
      </c>
    </row>
    <row r="1958" spans="1:7" ht="15" customHeight="1" x14ac:dyDescent="0.2">
      <c r="A1958" s="19" t="s">
        <v>2105</v>
      </c>
      <c r="B1958" s="50">
        <v>132.59299999999999</v>
      </c>
      <c r="C1958" s="50">
        <v>2938.13</v>
      </c>
      <c r="D1958" s="51">
        <v>19298989.857515</v>
      </c>
      <c r="E1958" s="51">
        <v>1787361111</v>
      </c>
      <c r="F1958" s="52">
        <f t="shared" si="64"/>
        <v>6.2111296078181475E-3</v>
      </c>
      <c r="G1958" s="52">
        <f t="shared" si="65"/>
        <v>6.3952088460510412E-3</v>
      </c>
    </row>
    <row r="1959" spans="1:7" ht="15" customHeight="1" x14ac:dyDescent="0.2">
      <c r="A1959" s="19" t="s">
        <v>2106</v>
      </c>
      <c r="B1959" s="50">
        <v>133.149</v>
      </c>
      <c r="C1959" s="50">
        <v>2970.27</v>
      </c>
      <c r="D1959" s="51">
        <v>26804385.04346</v>
      </c>
      <c r="E1959" s="51">
        <v>1989144444</v>
      </c>
      <c r="F1959" s="52">
        <f t="shared" si="64"/>
        <v>4.1845158936446979E-3</v>
      </c>
      <c r="G1959" s="52">
        <f t="shared" si="65"/>
        <v>1.0879533213144676E-2</v>
      </c>
    </row>
    <row r="1960" spans="1:7" ht="15" customHeight="1" x14ac:dyDescent="0.2">
      <c r="A1960" s="19" t="s">
        <v>2107</v>
      </c>
      <c r="B1960" s="50">
        <v>133.023</v>
      </c>
      <c r="C1960" s="50">
        <v>2966.15</v>
      </c>
      <c r="D1960" s="51">
        <v>14258333.242071999</v>
      </c>
      <c r="E1960" s="51">
        <v>1420566667</v>
      </c>
      <c r="F1960" s="52">
        <f t="shared" si="64"/>
        <v>-9.4675630353041487E-4</v>
      </c>
      <c r="G1960" s="52">
        <f t="shared" si="65"/>
        <v>-1.3880421740668583E-3</v>
      </c>
    </row>
    <row r="1961" spans="1:7" ht="15" customHeight="1" x14ac:dyDescent="0.2">
      <c r="A1961" s="19" t="s">
        <v>2108</v>
      </c>
      <c r="B1961" s="50">
        <v>134.946</v>
      </c>
      <c r="C1961" s="50">
        <v>2995.68</v>
      </c>
      <c r="D1961" s="51">
        <v>20894761.826947</v>
      </c>
      <c r="E1961" s="51">
        <v>1855966667</v>
      </c>
      <c r="F1961" s="52">
        <f t="shared" si="64"/>
        <v>1.4352652815580834E-2</v>
      </c>
      <c r="G1961" s="52">
        <f t="shared" si="65"/>
        <v>9.906435272235942E-3</v>
      </c>
    </row>
    <row r="1962" spans="1:7" ht="15" customHeight="1" x14ac:dyDescent="0.2">
      <c r="A1962" s="19" t="s">
        <v>2109</v>
      </c>
      <c r="B1962" s="50">
        <v>133.84200000000001</v>
      </c>
      <c r="C1962" s="50">
        <v>2989.69</v>
      </c>
      <c r="D1962" s="51">
        <v>21864005.263950001</v>
      </c>
      <c r="E1962" s="51">
        <v>1790316667</v>
      </c>
      <c r="F1962" s="52">
        <f t="shared" si="64"/>
        <v>-8.2146986343897138E-3</v>
      </c>
      <c r="G1962" s="52">
        <f t="shared" si="65"/>
        <v>-2.0015477739079852E-3</v>
      </c>
    </row>
    <row r="1963" spans="1:7" ht="15" customHeight="1" x14ac:dyDescent="0.2">
      <c r="A1963" s="19" t="s">
        <v>2110</v>
      </c>
      <c r="B1963" s="50">
        <v>133.15899999999999</v>
      </c>
      <c r="C1963" s="50">
        <v>2997.95</v>
      </c>
      <c r="D1963" s="51">
        <v>23186976.81639</v>
      </c>
      <c r="E1963" s="51">
        <v>1731088889</v>
      </c>
      <c r="F1963" s="52">
        <f t="shared" si="64"/>
        <v>-5.1160968667656815E-3</v>
      </c>
      <c r="G1963" s="52">
        <f t="shared" si="65"/>
        <v>2.759018658342625E-3</v>
      </c>
    </row>
    <row r="1964" spans="1:7" ht="15" customHeight="1" x14ac:dyDescent="0.2">
      <c r="A1964" s="19" t="s">
        <v>2111</v>
      </c>
      <c r="B1964" s="50">
        <v>130.97900000000001</v>
      </c>
      <c r="C1964" s="50">
        <v>2986.2</v>
      </c>
      <c r="D1964" s="51">
        <v>33868032.427836999</v>
      </c>
      <c r="E1964" s="51">
        <v>1813494444</v>
      </c>
      <c r="F1964" s="52">
        <f t="shared" si="64"/>
        <v>-1.6506897908568987E-2</v>
      </c>
      <c r="G1964" s="52">
        <f t="shared" si="65"/>
        <v>-3.927045645713622E-3</v>
      </c>
    </row>
    <row r="1965" spans="1:7" ht="15" customHeight="1" x14ac:dyDescent="0.2">
      <c r="A1965" s="19" t="s">
        <v>2112</v>
      </c>
      <c r="B1965" s="50">
        <v>131.958</v>
      </c>
      <c r="C1965" s="50">
        <v>3006.72</v>
      </c>
      <c r="D1965" s="51">
        <v>21732195.855629001</v>
      </c>
      <c r="E1965" s="51">
        <v>1817566667</v>
      </c>
      <c r="F1965" s="52">
        <f t="shared" si="64"/>
        <v>7.4466851302489711E-3</v>
      </c>
      <c r="G1965" s="52">
        <f t="shared" si="65"/>
        <v>6.8481074978751595E-3</v>
      </c>
    </row>
    <row r="1966" spans="1:7" ht="15" customHeight="1" x14ac:dyDescent="0.2">
      <c r="A1966" s="19" t="s">
        <v>2113</v>
      </c>
      <c r="B1966" s="50">
        <v>129.98500000000001</v>
      </c>
      <c r="C1966" s="50">
        <v>2995.99</v>
      </c>
      <c r="D1966" s="51">
        <v>29305539.798489001</v>
      </c>
      <c r="E1966" s="51">
        <v>1957716667</v>
      </c>
      <c r="F1966" s="52">
        <f t="shared" si="64"/>
        <v>-1.5064630954733123E-2</v>
      </c>
      <c r="G1966" s="52">
        <f t="shared" si="65"/>
        <v>-3.5750557426104746E-3</v>
      </c>
    </row>
    <row r="1967" spans="1:7" ht="15" customHeight="1" x14ac:dyDescent="0.2">
      <c r="A1967" s="19" t="s">
        <v>2114</v>
      </c>
      <c r="B1967" s="50">
        <v>130.815</v>
      </c>
      <c r="C1967" s="50">
        <v>3004.52</v>
      </c>
      <c r="D1967" s="51">
        <v>32919564.306876998</v>
      </c>
      <c r="E1967" s="51">
        <v>1884927778</v>
      </c>
      <c r="F1967" s="52">
        <f t="shared" si="64"/>
        <v>6.3650521641776484E-3</v>
      </c>
      <c r="G1967" s="52">
        <f t="shared" si="65"/>
        <v>2.8430935856431803E-3</v>
      </c>
    </row>
    <row r="1968" spans="1:7" ht="15" customHeight="1" x14ac:dyDescent="0.2">
      <c r="A1968" s="19" t="s">
        <v>2115</v>
      </c>
      <c r="B1968" s="50">
        <v>133.40199999999999</v>
      </c>
      <c r="C1968" s="50">
        <v>3010.29</v>
      </c>
      <c r="D1968" s="51">
        <v>39106963.696147002</v>
      </c>
      <c r="E1968" s="51">
        <v>2051444444</v>
      </c>
      <c r="F1968" s="52">
        <f t="shared" si="64"/>
        <v>1.9583014525826212E-2</v>
      </c>
      <c r="G1968" s="52">
        <f t="shared" si="65"/>
        <v>1.9185981834693214E-3</v>
      </c>
    </row>
    <row r="1969" spans="1:7" ht="15" customHeight="1" x14ac:dyDescent="0.2">
      <c r="A1969" s="19" t="s">
        <v>2116</v>
      </c>
      <c r="B1969" s="50">
        <v>134.155</v>
      </c>
      <c r="C1969" s="50">
        <v>3022.55</v>
      </c>
      <c r="D1969" s="51">
        <v>27233090.426782001</v>
      </c>
      <c r="E1969" s="51">
        <v>1872427778</v>
      </c>
      <c r="F1969" s="52">
        <f t="shared" si="64"/>
        <v>5.6287220149467175E-3</v>
      </c>
      <c r="G1969" s="52">
        <f t="shared" si="65"/>
        <v>4.0644263323678705E-3</v>
      </c>
    </row>
    <row r="1970" spans="1:7" ht="15" customHeight="1" x14ac:dyDescent="0.2">
      <c r="A1970" s="19" t="s">
        <v>2117</v>
      </c>
      <c r="B1970" s="50">
        <v>137.446</v>
      </c>
      <c r="C1970" s="50">
        <v>3039.42</v>
      </c>
      <c r="D1970" s="51">
        <v>37010684.959124997</v>
      </c>
      <c r="E1970" s="51">
        <v>1956238889</v>
      </c>
      <c r="F1970" s="52">
        <f t="shared" si="64"/>
        <v>2.423526480851489E-2</v>
      </c>
      <c r="G1970" s="52">
        <f t="shared" si="65"/>
        <v>5.5658617746479786E-3</v>
      </c>
    </row>
    <row r="1971" spans="1:7" ht="15" customHeight="1" x14ac:dyDescent="0.2">
      <c r="A1971" s="19" t="s">
        <v>2118</v>
      </c>
      <c r="B1971" s="50">
        <v>136.15600000000001</v>
      </c>
      <c r="C1971" s="50">
        <v>3036.89</v>
      </c>
      <c r="D1971" s="51">
        <v>21599415.867789999</v>
      </c>
      <c r="E1971" s="51">
        <v>1994405556</v>
      </c>
      <c r="F1971" s="52">
        <f t="shared" si="64"/>
        <v>-9.4298255060913348E-3</v>
      </c>
      <c r="G1971" s="52">
        <f t="shared" si="65"/>
        <v>-8.3274228806782234E-4</v>
      </c>
    </row>
    <row r="1972" spans="1:7" ht="15" customHeight="1" x14ac:dyDescent="0.2">
      <c r="A1972" s="19" t="s">
        <v>2119</v>
      </c>
      <c r="B1972" s="50">
        <v>137.846</v>
      </c>
      <c r="C1972" s="50">
        <v>3046.77</v>
      </c>
      <c r="D1972" s="51">
        <v>19403880.017620999</v>
      </c>
      <c r="E1972" s="51">
        <v>2097794444</v>
      </c>
      <c r="F1972" s="52">
        <f t="shared" si="64"/>
        <v>1.2335832811032371E-2</v>
      </c>
      <c r="G1972" s="52">
        <f t="shared" si="65"/>
        <v>3.2480476180495634E-3</v>
      </c>
    </row>
    <row r="1973" spans="1:7" ht="15" customHeight="1" x14ac:dyDescent="0.2">
      <c r="A1973" s="19" t="s">
        <v>2120</v>
      </c>
      <c r="B1973" s="50">
        <v>136.666</v>
      </c>
      <c r="C1973" s="50">
        <v>3037.56</v>
      </c>
      <c r="D1973" s="51">
        <v>25812056.556871001</v>
      </c>
      <c r="E1973" s="51">
        <v>2299600000</v>
      </c>
      <c r="F1973" s="52">
        <f t="shared" si="64"/>
        <v>-8.597127031722121E-3</v>
      </c>
      <c r="G1973" s="52">
        <f t="shared" si="65"/>
        <v>-3.0274515138039699E-3</v>
      </c>
    </row>
    <row r="1974" spans="1:7" ht="15" customHeight="1" x14ac:dyDescent="0.2">
      <c r="A1974" s="19" t="s">
        <v>2121</v>
      </c>
      <c r="B1974" s="50">
        <v>136.988</v>
      </c>
      <c r="C1974" s="50">
        <v>3066.91</v>
      </c>
      <c r="D1974" s="51">
        <v>34753365.784391999</v>
      </c>
      <c r="E1974" s="51">
        <v>2183444444</v>
      </c>
      <c r="F1974" s="52">
        <f t="shared" si="64"/>
        <v>2.3533377813467356E-3</v>
      </c>
      <c r="G1974" s="52">
        <f t="shared" si="65"/>
        <v>9.615978507102713E-3</v>
      </c>
    </row>
    <row r="1975" spans="1:7" ht="15" customHeight="1" x14ac:dyDescent="0.2">
      <c r="A1975" s="19" t="s">
        <v>2122</v>
      </c>
      <c r="B1975" s="50">
        <v>137.78700000000001</v>
      </c>
      <c r="C1975" s="50">
        <v>3078.27</v>
      </c>
      <c r="D1975" s="51">
        <v>17741558.850561</v>
      </c>
      <c r="E1975" s="51">
        <v>2303805556</v>
      </c>
      <c r="F1975" s="52">
        <f t="shared" si="64"/>
        <v>5.8156837557423388E-3</v>
      </c>
      <c r="G1975" s="52">
        <f t="shared" si="65"/>
        <v>3.6972108027207482E-3</v>
      </c>
    </row>
    <row r="1976" spans="1:7" ht="15" customHeight="1" x14ac:dyDescent="0.2">
      <c r="A1976" s="19" t="s">
        <v>2123</v>
      </c>
      <c r="B1976" s="50">
        <v>137.69900000000001</v>
      </c>
      <c r="C1976" s="50">
        <v>3074.62</v>
      </c>
      <c r="D1976" s="51">
        <v>19145373.124545</v>
      </c>
      <c r="E1976" s="51">
        <v>2492294444</v>
      </c>
      <c r="F1976" s="52">
        <f t="shared" si="64"/>
        <v>-6.3887096253993875E-4</v>
      </c>
      <c r="G1976" s="52">
        <f t="shared" si="65"/>
        <v>-1.1864344814073249E-3</v>
      </c>
    </row>
    <row r="1977" spans="1:7" ht="15" customHeight="1" x14ac:dyDescent="0.2">
      <c r="A1977" s="19" t="s">
        <v>2124</v>
      </c>
      <c r="B1977" s="50">
        <v>137.31899999999999</v>
      </c>
      <c r="C1977" s="50">
        <v>3076.78</v>
      </c>
      <c r="D1977" s="51">
        <v>17388867.862819999</v>
      </c>
      <c r="E1977" s="51">
        <v>2476772222</v>
      </c>
      <c r="F1977" s="52">
        <f t="shared" si="64"/>
        <v>-2.763457241552855E-3</v>
      </c>
      <c r="G1977" s="52">
        <f t="shared" si="65"/>
        <v>7.0227918482797182E-4</v>
      </c>
    </row>
    <row r="1978" spans="1:7" ht="15" customHeight="1" x14ac:dyDescent="0.2">
      <c r="A1978" s="19" t="s">
        <v>2125</v>
      </c>
      <c r="B1978" s="50">
        <v>137.51499999999999</v>
      </c>
      <c r="C1978" s="50">
        <v>3085.18</v>
      </c>
      <c r="D1978" s="51">
        <v>18659180.357232999</v>
      </c>
      <c r="E1978" s="51">
        <v>2302577778</v>
      </c>
      <c r="F1978" s="52">
        <f t="shared" si="64"/>
        <v>1.4263157631744547E-3</v>
      </c>
      <c r="G1978" s="52">
        <f t="shared" si="65"/>
        <v>2.7264069235454487E-3</v>
      </c>
    </row>
    <row r="1979" spans="1:7" ht="15" customHeight="1" x14ac:dyDescent="0.2">
      <c r="A1979" s="19" t="s">
        <v>2126</v>
      </c>
      <c r="B1979" s="50">
        <v>139.14500000000001</v>
      </c>
      <c r="C1979" s="50">
        <v>3093.08</v>
      </c>
      <c r="D1979" s="51">
        <v>17574699.031004</v>
      </c>
      <c r="E1979" s="51">
        <v>1943972222</v>
      </c>
      <c r="F1979" s="52">
        <f t="shared" si="64"/>
        <v>1.1783552813578048E-2</v>
      </c>
      <c r="G1979" s="52">
        <f t="shared" si="65"/>
        <v>2.5573557297830268E-3</v>
      </c>
    </row>
    <row r="1980" spans="1:7" ht="15" customHeight="1" x14ac:dyDescent="0.2">
      <c r="A1980" s="19" t="s">
        <v>2127</v>
      </c>
      <c r="B1980" s="50">
        <v>139.28200000000001</v>
      </c>
      <c r="C1980" s="50">
        <v>3087.01</v>
      </c>
      <c r="D1980" s="51">
        <v>15075060.550519999</v>
      </c>
      <c r="E1980" s="51">
        <v>1686405556</v>
      </c>
      <c r="F1980" s="52">
        <f t="shared" si="64"/>
        <v>9.8410004099103274E-4</v>
      </c>
      <c r="G1980" s="52">
        <f t="shared" si="65"/>
        <v>-1.9643733187996349E-3</v>
      </c>
    </row>
    <row r="1981" spans="1:7" ht="15" customHeight="1" x14ac:dyDescent="0.2">
      <c r="A1981" s="19" t="s">
        <v>2128</v>
      </c>
      <c r="B1981" s="50">
        <v>140.18899999999999</v>
      </c>
      <c r="C1981" s="50">
        <v>3091.84</v>
      </c>
      <c r="D1981" s="51">
        <v>19563461.514601</v>
      </c>
      <c r="E1981" s="51">
        <v>1925561111</v>
      </c>
      <c r="F1981" s="52">
        <f t="shared" si="64"/>
        <v>6.49085725829434E-3</v>
      </c>
      <c r="G1981" s="52">
        <f t="shared" si="65"/>
        <v>1.5633980380800601E-3</v>
      </c>
    </row>
    <row r="1982" spans="1:7" ht="15" customHeight="1" x14ac:dyDescent="0.2">
      <c r="A1982" s="19" t="s">
        <v>2129</v>
      </c>
      <c r="B1982" s="50">
        <v>140.42500000000001</v>
      </c>
      <c r="C1982" s="50">
        <v>3094.04</v>
      </c>
      <c r="D1982" s="51">
        <v>18299899.052648</v>
      </c>
      <c r="E1982" s="51">
        <v>1949600000</v>
      </c>
      <c r="F1982" s="52">
        <f t="shared" si="64"/>
        <v>1.6820262398967098E-3</v>
      </c>
      <c r="G1982" s="52">
        <f t="shared" si="65"/>
        <v>7.1129737167743444E-4</v>
      </c>
    </row>
    <row r="1983" spans="1:7" ht="15" customHeight="1" x14ac:dyDescent="0.2">
      <c r="A1983" s="19" t="s">
        <v>2130</v>
      </c>
      <c r="B1983" s="50">
        <v>141.13800000000001</v>
      </c>
      <c r="C1983" s="50">
        <v>3096.63</v>
      </c>
      <c r="D1983" s="51">
        <v>20724120.023479</v>
      </c>
      <c r="E1983" s="51">
        <v>1820038889</v>
      </c>
      <c r="F1983" s="52">
        <f t="shared" si="64"/>
        <v>5.0645967264530802E-3</v>
      </c>
      <c r="G1983" s="52">
        <f t="shared" si="65"/>
        <v>8.3674308309544126E-4</v>
      </c>
    </row>
    <row r="1984" spans="1:7" ht="15" customHeight="1" x14ac:dyDescent="0.2">
      <c r="A1984" s="19" t="s">
        <v>2131</v>
      </c>
      <c r="B1984" s="50">
        <v>142.95599999999999</v>
      </c>
      <c r="C1984" s="50">
        <v>3120.46</v>
      </c>
      <c r="D1984" s="51">
        <v>24661951.564539</v>
      </c>
      <c r="E1984" s="51">
        <v>1853138889</v>
      </c>
      <c r="F1984" s="52">
        <f t="shared" si="64"/>
        <v>1.2798755460274772E-2</v>
      </c>
      <c r="G1984" s="52">
        <f t="shared" si="65"/>
        <v>7.666003452600061E-3</v>
      </c>
    </row>
    <row r="1985" spans="1:7" ht="15" customHeight="1" x14ac:dyDescent="0.2">
      <c r="A1985" s="19" t="s">
        <v>2132</v>
      </c>
      <c r="B1985" s="50">
        <v>143.316</v>
      </c>
      <c r="C1985" s="50">
        <v>3122.03</v>
      </c>
      <c r="D1985" s="51">
        <v>22612057.928479999</v>
      </c>
      <c r="E1985" s="51">
        <v>1909272222</v>
      </c>
      <c r="F1985" s="52">
        <f t="shared" si="64"/>
        <v>2.515091869065773E-3</v>
      </c>
      <c r="G1985" s="52">
        <f t="shared" si="65"/>
        <v>5.0300442070485511E-4</v>
      </c>
    </row>
    <row r="1986" spans="1:7" ht="15" customHeight="1" x14ac:dyDescent="0.2">
      <c r="A1986" s="19" t="s">
        <v>2133</v>
      </c>
      <c r="B1986" s="50">
        <v>143.35499999999999</v>
      </c>
      <c r="C1986" s="50">
        <v>3120.18</v>
      </c>
      <c r="D1986" s="51">
        <v>25135450.011743002</v>
      </c>
      <c r="E1986" s="51">
        <v>1994483333</v>
      </c>
      <c r="F1986" s="52">
        <f t="shared" si="64"/>
        <v>2.7208891196247198E-4</v>
      </c>
      <c r="G1986" s="52">
        <f t="shared" si="65"/>
        <v>-5.9273880698187292E-4</v>
      </c>
    </row>
    <row r="1987" spans="1:7" ht="15" customHeight="1" x14ac:dyDescent="0.2">
      <c r="A1987" s="19" t="s">
        <v>2134</v>
      </c>
      <c r="B1987" s="50">
        <v>143.11199999999999</v>
      </c>
      <c r="C1987" s="50">
        <v>3108.46</v>
      </c>
      <c r="D1987" s="51">
        <v>26890170.758591998</v>
      </c>
      <c r="E1987" s="51">
        <v>2241605556</v>
      </c>
      <c r="F1987" s="52">
        <f t="shared" si="64"/>
        <v>-1.6965308973382318E-3</v>
      </c>
      <c r="G1987" s="52">
        <f t="shared" si="65"/>
        <v>-3.7632657632212341E-3</v>
      </c>
    </row>
    <row r="1988" spans="1:7" ht="15" customHeight="1" x14ac:dyDescent="0.2">
      <c r="A1988" s="19" t="s">
        <v>2135</v>
      </c>
      <c r="B1988" s="50">
        <v>142.97499999999999</v>
      </c>
      <c r="C1988" s="50">
        <v>3103.54</v>
      </c>
      <c r="D1988" s="51">
        <v>19421186.638084002</v>
      </c>
      <c r="E1988" s="51">
        <v>2066977778</v>
      </c>
      <c r="F1988" s="52">
        <f t="shared" si="64"/>
        <v>-9.5775068753455191E-4</v>
      </c>
      <c r="G1988" s="52">
        <f t="shared" si="65"/>
        <v>-1.5840312391350534E-3</v>
      </c>
    </row>
    <row r="1989" spans="1:7" ht="15" customHeight="1" x14ac:dyDescent="0.2">
      <c r="A1989" s="19" t="s">
        <v>2136</v>
      </c>
      <c r="B1989" s="50">
        <v>143.083</v>
      </c>
      <c r="C1989" s="50">
        <v>3110.29</v>
      </c>
      <c r="D1989" s="51">
        <v>16562381.520638</v>
      </c>
      <c r="E1989" s="51">
        <v>1792655556</v>
      </c>
      <c r="F1989" s="52">
        <f t="shared" si="64"/>
        <v>7.5509166065259139E-4</v>
      </c>
      <c r="G1989" s="52">
        <f t="shared" si="65"/>
        <v>2.172573969691297E-3</v>
      </c>
    </row>
    <row r="1990" spans="1:7" ht="15" customHeight="1" x14ac:dyDescent="0.2">
      <c r="A1990" s="19" t="s">
        <v>2137</v>
      </c>
      <c r="B1990" s="50">
        <v>144.66499999999999</v>
      </c>
      <c r="C1990" s="50">
        <v>3133.64</v>
      </c>
      <c r="D1990" s="51">
        <v>23448954.452683002</v>
      </c>
      <c r="E1990" s="51">
        <v>1950850000</v>
      </c>
      <c r="F1990" s="52">
        <f t="shared" ref="F1990:F2053" si="66">LN(B1990/B1989)</f>
        <v>1.0995843166571317E-2</v>
      </c>
      <c r="G1990" s="52">
        <f t="shared" ref="G1990:G2053" si="67">LN(C1990/C1989)</f>
        <v>7.4792987268079824E-3</v>
      </c>
    </row>
    <row r="1991" spans="1:7" ht="15" customHeight="1" x14ac:dyDescent="0.2">
      <c r="A1991" s="19" t="s">
        <v>2138</v>
      </c>
      <c r="B1991" s="50">
        <v>145.416</v>
      </c>
      <c r="C1991" s="50">
        <v>3140.52</v>
      </c>
      <c r="D1991" s="51">
        <v>25755852.016906999</v>
      </c>
      <c r="E1991" s="51">
        <v>2553105556</v>
      </c>
      <c r="F1991" s="52">
        <f t="shared" si="66"/>
        <v>5.1778756821939343E-3</v>
      </c>
      <c r="G1991" s="52">
        <f t="shared" si="67"/>
        <v>2.1931231456042352E-3</v>
      </c>
    </row>
    <row r="1992" spans="1:7" ht="15" customHeight="1" x14ac:dyDescent="0.2">
      <c r="A1992" s="19" t="s">
        <v>2139</v>
      </c>
      <c r="B1992" s="50">
        <v>145.69</v>
      </c>
      <c r="C1992" s="50">
        <v>3153.63</v>
      </c>
      <c r="D1992" s="51">
        <v>15866208.788593</v>
      </c>
      <c r="E1992" s="51">
        <v>1685050000</v>
      </c>
      <c r="F1992" s="52">
        <f t="shared" si="66"/>
        <v>1.8824763551068139E-3</v>
      </c>
      <c r="G1992" s="52">
        <f t="shared" si="67"/>
        <v>4.1657790039729458E-3</v>
      </c>
    </row>
    <row r="1993" spans="1:7" ht="15" customHeight="1" x14ac:dyDescent="0.2">
      <c r="A1993" s="19" t="s">
        <v>2140</v>
      </c>
      <c r="B1993" s="50">
        <v>144.81</v>
      </c>
      <c r="C1993" s="50">
        <v>3140.98</v>
      </c>
      <c r="D1993" s="51">
        <v>12522196.840623001</v>
      </c>
      <c r="E1993" s="51">
        <v>968344444</v>
      </c>
      <c r="F1993" s="52">
        <f t="shared" si="66"/>
        <v>-6.0585383253932224E-3</v>
      </c>
      <c r="G1993" s="52">
        <f t="shared" si="67"/>
        <v>-4.0193171713462017E-3</v>
      </c>
    </row>
    <row r="1994" spans="1:7" ht="15" customHeight="1" x14ac:dyDescent="0.2">
      <c r="A1994" s="19" t="s">
        <v>2141</v>
      </c>
      <c r="B1994" s="50">
        <v>143.04400000000001</v>
      </c>
      <c r="C1994" s="50">
        <v>3113.87</v>
      </c>
      <c r="D1994" s="51">
        <v>28723504.351256002</v>
      </c>
      <c r="E1994" s="51">
        <v>1815966667</v>
      </c>
      <c r="F1994" s="52">
        <f t="shared" si="66"/>
        <v>-1.2270263100481679E-2</v>
      </c>
      <c r="G1994" s="52">
        <f t="shared" si="67"/>
        <v>-8.6685275462029671E-3</v>
      </c>
    </row>
    <row r="1995" spans="1:7" ht="15" customHeight="1" x14ac:dyDescent="0.2">
      <c r="A1995" s="19" t="s">
        <v>2142</v>
      </c>
      <c r="B1995" s="50">
        <v>142.80699999999999</v>
      </c>
      <c r="C1995" s="50">
        <v>3093.2</v>
      </c>
      <c r="D1995" s="51">
        <v>26338239.657552999</v>
      </c>
      <c r="E1995" s="51">
        <v>2029661111</v>
      </c>
      <c r="F1995" s="52">
        <f t="shared" si="66"/>
        <v>-1.6582069281241838E-3</v>
      </c>
      <c r="G1995" s="52">
        <f t="shared" si="67"/>
        <v>-6.6601718383736989E-3</v>
      </c>
    </row>
    <row r="1996" spans="1:7" ht="15" customHeight="1" x14ac:dyDescent="0.2">
      <c r="A1996" s="19" t="s">
        <v>2143</v>
      </c>
      <c r="B1996" s="50">
        <v>143.32499999999999</v>
      </c>
      <c r="C1996" s="50">
        <v>3112.76</v>
      </c>
      <c r="D1996" s="51">
        <v>18380431.557321999</v>
      </c>
      <c r="E1996" s="51">
        <v>2052794444</v>
      </c>
      <c r="F1996" s="52">
        <f t="shared" si="66"/>
        <v>3.6207104825410033E-3</v>
      </c>
      <c r="G1996" s="52">
        <f t="shared" si="67"/>
        <v>6.3036386858473471E-3</v>
      </c>
    </row>
    <row r="1997" spans="1:7" ht="15" customHeight="1" x14ac:dyDescent="0.2">
      <c r="A1997" s="19" t="s">
        <v>2144</v>
      </c>
      <c r="B1997" s="50">
        <v>143.404</v>
      </c>
      <c r="C1997" s="50">
        <v>3117.43</v>
      </c>
      <c r="D1997" s="51">
        <v>18694062.862309001</v>
      </c>
      <c r="E1997" s="51">
        <v>1864305556</v>
      </c>
      <c r="F1997" s="52">
        <f t="shared" si="66"/>
        <v>5.5104298483261494E-4</v>
      </c>
      <c r="G1997" s="52">
        <f t="shared" si="67"/>
        <v>1.4991519920369975E-3</v>
      </c>
    </row>
    <row r="1998" spans="1:7" ht="15" customHeight="1" x14ac:dyDescent="0.2">
      <c r="A1998" s="19" t="s">
        <v>2145</v>
      </c>
      <c r="B1998" s="50">
        <v>145.142</v>
      </c>
      <c r="C1998" s="50">
        <v>3145.91</v>
      </c>
      <c r="D1998" s="51">
        <v>17156977.167815</v>
      </c>
      <c r="E1998" s="51">
        <v>1933044444</v>
      </c>
      <c r="F1998" s="52">
        <f t="shared" si="66"/>
        <v>1.2046751774586332E-2</v>
      </c>
      <c r="G1998" s="52">
        <f t="shared" si="67"/>
        <v>9.0942520403683308E-3</v>
      </c>
    </row>
    <row r="1999" spans="1:7" ht="15" customHeight="1" x14ac:dyDescent="0.2">
      <c r="A1999" s="19" t="s">
        <v>2146</v>
      </c>
      <c r="B1999" s="50">
        <v>144.79300000000001</v>
      </c>
      <c r="C1999" s="50">
        <v>3135.96</v>
      </c>
      <c r="D1999" s="51">
        <v>17502982.623635001</v>
      </c>
      <c r="E1999" s="51">
        <v>1858883333</v>
      </c>
      <c r="F1999" s="52">
        <f t="shared" si="66"/>
        <v>-2.407437312223943E-3</v>
      </c>
      <c r="G1999" s="52">
        <f t="shared" si="67"/>
        <v>-3.1678491662223223E-3</v>
      </c>
    </row>
    <row r="2000" spans="1:7" ht="15" customHeight="1" x14ac:dyDescent="0.2">
      <c r="A2000" s="19" t="s">
        <v>2147</v>
      </c>
      <c r="B2000" s="50">
        <v>144.566</v>
      </c>
      <c r="C2000" s="50">
        <v>3132.52</v>
      </c>
      <c r="D2000" s="51">
        <v>17230851.783654001</v>
      </c>
      <c r="E2000" s="51">
        <v>1857661111</v>
      </c>
      <c r="F2000" s="52">
        <f t="shared" si="66"/>
        <v>-1.5689855616549575E-3</v>
      </c>
      <c r="G2000" s="52">
        <f t="shared" si="67"/>
        <v>-1.0975548602935618E-3</v>
      </c>
    </row>
    <row r="2001" spans="1:7" ht="15" customHeight="1" x14ac:dyDescent="0.2">
      <c r="A2001" s="19" t="s">
        <v>2148</v>
      </c>
      <c r="B2001" s="50">
        <v>145.10400000000001</v>
      </c>
      <c r="C2001" s="50">
        <v>3141.63</v>
      </c>
      <c r="D2001" s="51">
        <v>19718020.160184</v>
      </c>
      <c r="E2001" s="51">
        <v>1806966667</v>
      </c>
      <c r="F2001" s="52">
        <f t="shared" si="66"/>
        <v>3.7145760252256469E-3</v>
      </c>
      <c r="G2001" s="52">
        <f t="shared" si="67"/>
        <v>2.9039810658439487E-3</v>
      </c>
    </row>
    <row r="2002" spans="1:7" ht="15" customHeight="1" x14ac:dyDescent="0.2">
      <c r="A2002" s="19" t="s">
        <v>2149</v>
      </c>
      <c r="B2002" s="50">
        <v>146.559</v>
      </c>
      <c r="C2002" s="50">
        <v>3168.57</v>
      </c>
      <c r="D2002" s="51">
        <v>25766584.701614998</v>
      </c>
      <c r="E2002" s="51">
        <v>2217050000</v>
      </c>
      <c r="F2002" s="52">
        <f t="shared" si="66"/>
        <v>9.9773510532256051E-3</v>
      </c>
      <c r="G2002" s="52">
        <f t="shared" si="67"/>
        <v>8.538608499854607E-3</v>
      </c>
    </row>
    <row r="2003" spans="1:7" ht="15" customHeight="1" x14ac:dyDescent="0.2">
      <c r="A2003" s="19" t="s">
        <v>2150</v>
      </c>
      <c r="B2003" s="50">
        <v>147.809</v>
      </c>
      <c r="C2003" s="50">
        <v>3168.8</v>
      </c>
      <c r="D2003" s="51">
        <v>24935097.008216001</v>
      </c>
      <c r="E2003" s="51">
        <v>2076038889</v>
      </c>
      <c r="F2003" s="52">
        <f t="shared" si="66"/>
        <v>8.4928220005365453E-3</v>
      </c>
      <c r="G2003" s="52">
        <f t="shared" si="67"/>
        <v>7.2585315391421147E-5</v>
      </c>
    </row>
    <row r="2004" spans="1:7" ht="15" customHeight="1" x14ac:dyDescent="0.2">
      <c r="A2004" s="19" t="s">
        <v>2151</v>
      </c>
      <c r="B2004" s="50">
        <v>148.786</v>
      </c>
      <c r="C2004" s="50">
        <v>3191.45</v>
      </c>
      <c r="D2004" s="51">
        <v>25251579.646496002</v>
      </c>
      <c r="E2004" s="51">
        <v>2250994444</v>
      </c>
      <c r="F2004" s="52">
        <f t="shared" si="66"/>
        <v>6.5881321921446362E-3</v>
      </c>
      <c r="G2004" s="52">
        <f t="shared" si="67"/>
        <v>7.1223916512376051E-3</v>
      </c>
    </row>
    <row r="2005" spans="1:7" ht="15" customHeight="1" x14ac:dyDescent="0.2">
      <c r="A2005" s="19" t="s">
        <v>2152</v>
      </c>
      <c r="B2005" s="50">
        <v>147.96600000000001</v>
      </c>
      <c r="C2005" s="50">
        <v>3192.52</v>
      </c>
      <c r="D2005" s="51">
        <v>26601055.800838001</v>
      </c>
      <c r="E2005" s="51">
        <v>2131966667</v>
      </c>
      <c r="F2005" s="52">
        <f t="shared" si="66"/>
        <v>-5.5265143086497808E-3</v>
      </c>
      <c r="G2005" s="52">
        <f t="shared" si="67"/>
        <v>3.3521461097710362E-4</v>
      </c>
    </row>
    <row r="2006" spans="1:7" ht="15" customHeight="1" x14ac:dyDescent="0.2">
      <c r="A2006" s="19" t="s">
        <v>2153</v>
      </c>
      <c r="B2006" s="50">
        <v>147.65199999999999</v>
      </c>
      <c r="C2006" s="50">
        <v>3191.14</v>
      </c>
      <c r="D2006" s="51">
        <v>25230259.659244001</v>
      </c>
      <c r="E2006" s="51">
        <v>2230044444</v>
      </c>
      <c r="F2006" s="52">
        <f t="shared" si="66"/>
        <v>-2.1243639973759464E-3</v>
      </c>
      <c r="G2006" s="52">
        <f t="shared" si="67"/>
        <v>-4.3235386016704703E-4</v>
      </c>
    </row>
    <row r="2007" spans="1:7" ht="15" customHeight="1" x14ac:dyDescent="0.2">
      <c r="A2007" s="19" t="s">
        <v>2154</v>
      </c>
      <c r="B2007" s="50">
        <v>148.953</v>
      </c>
      <c r="C2007" s="50">
        <v>3205.37</v>
      </c>
      <c r="D2007" s="51">
        <v>26988201.337705001</v>
      </c>
      <c r="E2007" s="51">
        <v>2066916667</v>
      </c>
      <c r="F2007" s="52">
        <f t="shared" si="66"/>
        <v>8.7726662982796858E-3</v>
      </c>
      <c r="G2007" s="52">
        <f t="shared" si="67"/>
        <v>4.4493085995832623E-3</v>
      </c>
    </row>
    <row r="2008" spans="1:7" ht="15" customHeight="1" x14ac:dyDescent="0.2">
      <c r="A2008" s="19" t="s">
        <v>2155</v>
      </c>
      <c r="B2008" s="50">
        <v>150.54400000000001</v>
      </c>
      <c r="C2008" s="50">
        <v>3221.22</v>
      </c>
      <c r="D2008" s="51">
        <v>56038079.433504999</v>
      </c>
      <c r="E2008" s="51">
        <v>3585705556</v>
      </c>
      <c r="F2008" s="52">
        <f t="shared" si="66"/>
        <v>1.0624580321037084E-2</v>
      </c>
      <c r="G2008" s="52">
        <f t="shared" si="67"/>
        <v>4.9326414590377477E-3</v>
      </c>
    </row>
    <row r="2009" spans="1:7" ht="15" customHeight="1" x14ac:dyDescent="0.2">
      <c r="A2009" s="19" t="s">
        <v>2156</v>
      </c>
      <c r="B2009" s="50">
        <v>150.54400000000001</v>
      </c>
      <c r="C2009" s="50">
        <v>3224.01</v>
      </c>
      <c r="D2009" s="51">
        <v>18532723.469723001</v>
      </c>
      <c r="E2009" s="51">
        <v>1700338889</v>
      </c>
      <c r="F2009" s="52">
        <f t="shared" si="66"/>
        <v>0</v>
      </c>
      <c r="G2009" s="52">
        <f t="shared" si="67"/>
        <v>8.6575659030548003E-4</v>
      </c>
    </row>
    <row r="2010" spans="1:7" ht="15" customHeight="1" x14ac:dyDescent="0.2">
      <c r="A2010" s="19" t="s">
        <v>2157</v>
      </c>
      <c r="B2010" s="50">
        <v>150.51400000000001</v>
      </c>
      <c r="C2010" s="50">
        <v>3223.38</v>
      </c>
      <c r="D2010" s="51">
        <v>9398103.0592812002</v>
      </c>
      <c r="E2010" s="51">
        <v>720300000</v>
      </c>
      <c r="F2010" s="52">
        <f t="shared" si="66"/>
        <v>-1.9929714606025734E-4</v>
      </c>
      <c r="G2010" s="52">
        <f t="shared" si="67"/>
        <v>-1.9542791796535865E-4</v>
      </c>
    </row>
    <row r="2011" spans="1:7" ht="15" customHeight="1" x14ac:dyDescent="0.2">
      <c r="A2011" s="19" t="s">
        <v>2158</v>
      </c>
      <c r="B2011" s="50">
        <v>151.77600000000001</v>
      </c>
      <c r="C2011" s="50">
        <v>3239.91</v>
      </c>
      <c r="D2011" s="51">
        <v>15187816.704771001</v>
      </c>
      <c r="E2011" s="51">
        <v>1200377778</v>
      </c>
      <c r="F2011" s="52">
        <f t="shared" si="66"/>
        <v>8.3496465768216951E-3</v>
      </c>
      <c r="G2011" s="52">
        <f t="shared" si="67"/>
        <v>5.1150531820716109E-3</v>
      </c>
    </row>
    <row r="2012" spans="1:7" ht="15" customHeight="1" x14ac:dyDescent="0.2">
      <c r="A2012" s="19" t="s">
        <v>2159</v>
      </c>
      <c r="B2012" s="50">
        <v>152.048</v>
      </c>
      <c r="C2012" s="50">
        <v>3240.02</v>
      </c>
      <c r="D2012" s="51">
        <v>19252095.918977</v>
      </c>
      <c r="E2012" s="51">
        <v>1349261111</v>
      </c>
      <c r="F2012" s="52">
        <f t="shared" si="66"/>
        <v>1.790510773788072E-3</v>
      </c>
      <c r="G2012" s="52">
        <f t="shared" si="67"/>
        <v>3.3950984041702139E-5</v>
      </c>
    </row>
    <row r="2013" spans="1:7" ht="15" customHeight="1" x14ac:dyDescent="0.2">
      <c r="A2013" s="19" t="s">
        <v>2160</v>
      </c>
      <c r="B2013" s="50">
        <v>150.72</v>
      </c>
      <c r="C2013" s="50">
        <v>3221.29</v>
      </c>
      <c r="D2013" s="51">
        <v>17100853.509477999</v>
      </c>
      <c r="E2013" s="51">
        <v>1674050000</v>
      </c>
      <c r="F2013" s="52">
        <f t="shared" si="66"/>
        <v>-8.7724496409065152E-3</v>
      </c>
      <c r="G2013" s="52">
        <f t="shared" si="67"/>
        <v>-5.7976021775765895E-3</v>
      </c>
    </row>
    <row r="2014" spans="1:7" ht="15" customHeight="1" x14ac:dyDescent="0.2">
      <c r="A2014" s="19" t="s">
        <v>2161</v>
      </c>
      <c r="B2014" s="50">
        <v>150.82900000000001</v>
      </c>
      <c r="C2014" s="50">
        <v>3230.78</v>
      </c>
      <c r="D2014" s="51">
        <v>19230174.950523999</v>
      </c>
      <c r="E2014" s="51">
        <v>1607672222</v>
      </c>
      <c r="F2014" s="52">
        <f t="shared" si="66"/>
        <v>7.2293394935662449E-4</v>
      </c>
      <c r="G2014" s="52">
        <f t="shared" si="67"/>
        <v>2.9416937024937355E-3</v>
      </c>
    </row>
    <row r="2015" spans="1:7" ht="15" customHeight="1" x14ac:dyDescent="0.2">
      <c r="A2015" s="19" t="s">
        <v>2162</v>
      </c>
      <c r="B2015" s="50">
        <v>153.613</v>
      </c>
      <c r="C2015" s="50">
        <v>3257.85</v>
      </c>
      <c r="D2015" s="51">
        <v>23664284.890590001</v>
      </c>
      <c r="E2015" s="51">
        <v>1921250000</v>
      </c>
      <c r="F2015" s="52">
        <f t="shared" si="66"/>
        <v>1.8289707771454108E-2</v>
      </c>
      <c r="G2015" s="52">
        <f t="shared" si="67"/>
        <v>8.3438744546931679E-3</v>
      </c>
    </row>
    <row r="2016" spans="1:7" ht="15" customHeight="1" x14ac:dyDescent="0.2">
      <c r="A2016" s="19" t="s">
        <v>2163</v>
      </c>
      <c r="B2016" s="50">
        <v>151.726</v>
      </c>
      <c r="C2016" s="50">
        <v>3234.85</v>
      </c>
      <c r="D2016" s="51">
        <v>22082592.467101999</v>
      </c>
      <c r="E2016" s="51">
        <v>1922938889</v>
      </c>
      <c r="F2016" s="52">
        <f t="shared" si="66"/>
        <v>-1.2360189977021751E-2</v>
      </c>
      <c r="G2016" s="52">
        <f t="shared" si="67"/>
        <v>-7.0849095780836013E-3</v>
      </c>
    </row>
    <row r="2017" spans="1:7" ht="15" customHeight="1" x14ac:dyDescent="0.2">
      <c r="A2017" s="19" t="s">
        <v>2164</v>
      </c>
      <c r="B2017" s="50">
        <v>152.11799999999999</v>
      </c>
      <c r="C2017" s="50">
        <v>3246.28</v>
      </c>
      <c r="D2017" s="51">
        <v>21774192.872396</v>
      </c>
      <c r="E2017" s="51">
        <v>2041150000</v>
      </c>
      <c r="F2017" s="52">
        <f t="shared" si="66"/>
        <v>2.5802728866679767E-3</v>
      </c>
      <c r="G2017" s="52">
        <f t="shared" si="67"/>
        <v>3.527166358322553E-3</v>
      </c>
    </row>
    <row r="2018" spans="1:7" ht="15" customHeight="1" x14ac:dyDescent="0.2">
      <c r="A2018" s="19" t="s">
        <v>2165</v>
      </c>
      <c r="B2018" s="50">
        <v>150.71</v>
      </c>
      <c r="C2018" s="50">
        <v>3237.18</v>
      </c>
      <c r="D2018" s="51">
        <v>22877229.877117999</v>
      </c>
      <c r="E2018" s="51">
        <v>1900211111</v>
      </c>
      <c r="F2018" s="52">
        <f t="shared" si="66"/>
        <v>-9.2990750269248551E-3</v>
      </c>
      <c r="G2018" s="52">
        <f t="shared" si="67"/>
        <v>-2.807144942889736E-3</v>
      </c>
    </row>
    <row r="2019" spans="1:7" ht="15" customHeight="1" x14ac:dyDescent="0.2">
      <c r="A2019" s="19" t="s">
        <v>2166</v>
      </c>
      <c r="B2019" s="50">
        <v>153.142</v>
      </c>
      <c r="C2019" s="50">
        <v>3253.05</v>
      </c>
      <c r="D2019" s="51">
        <v>29025034.126789998</v>
      </c>
      <c r="E2019" s="51">
        <v>2067161111</v>
      </c>
      <c r="F2019" s="52">
        <f t="shared" si="66"/>
        <v>1.6008135113260248E-2</v>
      </c>
      <c r="G2019" s="52">
        <f t="shared" si="67"/>
        <v>4.8904373587368467E-3</v>
      </c>
    </row>
    <row r="2020" spans="1:7" ht="15" customHeight="1" x14ac:dyDescent="0.2">
      <c r="A2020" s="19" t="s">
        <v>2167</v>
      </c>
      <c r="B2020" s="50">
        <v>155.02799999999999</v>
      </c>
      <c r="C2020" s="50">
        <v>3274.7</v>
      </c>
      <c r="D2020" s="51">
        <v>22373523.678093001</v>
      </c>
      <c r="E2020" s="51">
        <v>2021327778</v>
      </c>
      <c r="F2020" s="52">
        <f t="shared" si="66"/>
        <v>1.2240150221319178E-2</v>
      </c>
      <c r="G2020" s="52">
        <f t="shared" si="67"/>
        <v>6.6332440375756734E-3</v>
      </c>
    </row>
    <row r="2021" spans="1:7" ht="15" customHeight="1" x14ac:dyDescent="0.2">
      <c r="A2021" s="19" t="s">
        <v>2168</v>
      </c>
      <c r="B2021" s="50">
        <v>154.304</v>
      </c>
      <c r="C2021" s="50">
        <v>3265.35</v>
      </c>
      <c r="D2021" s="51">
        <v>21677217.8497</v>
      </c>
      <c r="E2021" s="51">
        <v>1784983333</v>
      </c>
      <c r="F2021" s="52">
        <f t="shared" si="66"/>
        <v>-4.6810632074585912E-3</v>
      </c>
      <c r="G2021" s="52">
        <f t="shared" si="67"/>
        <v>-2.8593073050462519E-3</v>
      </c>
    </row>
    <row r="2022" spans="1:7" ht="15" customHeight="1" x14ac:dyDescent="0.2">
      <c r="A2022" s="19" t="s">
        <v>2169</v>
      </c>
      <c r="B2022" s="50">
        <v>156.19</v>
      </c>
      <c r="C2022" s="50">
        <v>3288.13</v>
      </c>
      <c r="D2022" s="51">
        <v>22621363.410815001</v>
      </c>
      <c r="E2022" s="51">
        <v>1920211111</v>
      </c>
      <c r="F2022" s="52">
        <f t="shared" si="66"/>
        <v>1.2148532310925202E-2</v>
      </c>
      <c r="G2022" s="52">
        <f t="shared" si="67"/>
        <v>6.9520595923161831E-3</v>
      </c>
    </row>
    <row r="2023" spans="1:7" ht="15" customHeight="1" x14ac:dyDescent="0.2">
      <c r="A2023" s="19" t="s">
        <v>2170</v>
      </c>
      <c r="B2023" s="50">
        <v>155.06800000000001</v>
      </c>
      <c r="C2023" s="50">
        <v>3283.15</v>
      </c>
      <c r="D2023" s="51">
        <v>24569929.773612</v>
      </c>
      <c r="E2023" s="51">
        <v>2036183333</v>
      </c>
      <c r="F2023" s="52">
        <f t="shared" si="66"/>
        <v>-7.2094844779191794E-3</v>
      </c>
      <c r="G2023" s="52">
        <f t="shared" si="67"/>
        <v>-1.5156867317727837E-3</v>
      </c>
    </row>
    <row r="2024" spans="1:7" ht="15" customHeight="1" x14ac:dyDescent="0.2">
      <c r="A2024" s="19" t="s">
        <v>2171</v>
      </c>
      <c r="B2024" s="50">
        <v>156.09299999999999</v>
      </c>
      <c r="C2024" s="50">
        <v>3289.29</v>
      </c>
      <c r="D2024" s="51">
        <v>22392257.500930998</v>
      </c>
      <c r="E2024" s="51">
        <v>2064911111</v>
      </c>
      <c r="F2024" s="52">
        <f t="shared" si="66"/>
        <v>6.5882530748674634E-3</v>
      </c>
      <c r="G2024" s="52">
        <f t="shared" si="67"/>
        <v>1.8684086233433153E-3</v>
      </c>
    </row>
    <row r="2025" spans="1:7" ht="15" customHeight="1" x14ac:dyDescent="0.2">
      <c r="A2025" s="19" t="s">
        <v>2172</v>
      </c>
      <c r="B2025" s="50">
        <v>158.934</v>
      </c>
      <c r="C2025" s="50">
        <v>3316.81</v>
      </c>
      <c r="D2025" s="51">
        <v>24951093.141562998</v>
      </c>
      <c r="E2025" s="51">
        <v>1963933333</v>
      </c>
      <c r="F2025" s="52">
        <f t="shared" si="66"/>
        <v>1.8037038238526034E-2</v>
      </c>
      <c r="G2025" s="52">
        <f t="shared" si="67"/>
        <v>8.33174163220134E-3</v>
      </c>
    </row>
    <row r="2026" spans="1:7" ht="15" customHeight="1" x14ac:dyDescent="0.2">
      <c r="A2026" s="19" t="s">
        <v>2173</v>
      </c>
      <c r="B2026" s="50">
        <v>159.833</v>
      </c>
      <c r="C2026" s="50">
        <v>3329.62</v>
      </c>
      <c r="D2026" s="51">
        <v>35935365.780703001</v>
      </c>
      <c r="E2026" s="51">
        <v>2054538889</v>
      </c>
      <c r="F2026" s="52">
        <f t="shared" si="66"/>
        <v>5.6404984423680483E-3</v>
      </c>
      <c r="G2026" s="52">
        <f t="shared" si="67"/>
        <v>3.8547057177216299E-3</v>
      </c>
    </row>
    <row r="2027" spans="1:7" ht="15" customHeight="1" x14ac:dyDescent="0.2">
      <c r="A2027" s="19" t="s">
        <v>2174</v>
      </c>
      <c r="B2027" s="50">
        <v>159.25700000000001</v>
      </c>
      <c r="C2027" s="50">
        <v>3320.79</v>
      </c>
      <c r="D2027" s="51">
        <v>30860048.828704</v>
      </c>
      <c r="E2027" s="51">
        <v>2280744444</v>
      </c>
      <c r="F2027" s="52">
        <f t="shared" si="66"/>
        <v>-3.6102706172831366E-3</v>
      </c>
      <c r="G2027" s="52">
        <f t="shared" si="67"/>
        <v>-2.6554769371424261E-3</v>
      </c>
    </row>
    <row r="2028" spans="1:7" ht="15" customHeight="1" x14ac:dyDescent="0.2">
      <c r="A2028" s="19" t="s">
        <v>2175</v>
      </c>
      <c r="B2028" s="50">
        <v>158.476</v>
      </c>
      <c r="C2028" s="50">
        <v>3321.75</v>
      </c>
      <c r="D2028" s="51">
        <v>25236949.286439002</v>
      </c>
      <c r="E2028" s="51">
        <v>2011027778</v>
      </c>
      <c r="F2028" s="52">
        <f t="shared" si="66"/>
        <v>-4.9160872363131951E-3</v>
      </c>
      <c r="G2028" s="52">
        <f t="shared" si="67"/>
        <v>2.8904605969510904E-4</v>
      </c>
    </row>
    <row r="2029" spans="1:7" ht="15" customHeight="1" x14ac:dyDescent="0.2">
      <c r="A2029" s="19" t="s">
        <v>2176</v>
      </c>
      <c r="B2029" s="50">
        <v>159.471</v>
      </c>
      <c r="C2029" s="50">
        <v>3325.54</v>
      </c>
      <c r="D2029" s="51">
        <v>20576125.075470999</v>
      </c>
      <c r="E2029" s="51">
        <v>2091588889</v>
      </c>
      <c r="F2029" s="52">
        <f t="shared" si="66"/>
        <v>6.2589252182747223E-3</v>
      </c>
      <c r="G2029" s="52">
        <f t="shared" si="67"/>
        <v>1.1403144471457103E-3</v>
      </c>
    </row>
    <row r="2030" spans="1:7" ht="15" customHeight="1" x14ac:dyDescent="0.2">
      <c r="A2030" s="19" t="s">
        <v>2177</v>
      </c>
      <c r="B2030" s="50">
        <v>157.84</v>
      </c>
      <c r="C2030" s="50">
        <v>3295.47</v>
      </c>
      <c r="D2030" s="51">
        <v>26051743.626391999</v>
      </c>
      <c r="E2030" s="51">
        <v>2059516667</v>
      </c>
      <c r="F2030" s="52">
        <f t="shared" si="66"/>
        <v>-1.0280225797791732E-2</v>
      </c>
      <c r="G2030" s="52">
        <f t="shared" si="67"/>
        <v>-9.0832687899366753E-3</v>
      </c>
    </row>
    <row r="2031" spans="1:7" ht="15" customHeight="1" x14ac:dyDescent="0.2">
      <c r="A2031" s="19" t="s">
        <v>2178</v>
      </c>
      <c r="B2031" s="50">
        <v>155.21299999999999</v>
      </c>
      <c r="C2031" s="50">
        <v>3243.63</v>
      </c>
      <c r="D2031" s="51">
        <v>33537429.290890999</v>
      </c>
      <c r="E2031" s="51">
        <v>2123944444</v>
      </c>
      <c r="F2031" s="52">
        <f t="shared" si="66"/>
        <v>-1.6783494586558388E-2</v>
      </c>
      <c r="G2031" s="52">
        <f t="shared" si="67"/>
        <v>-1.5855725118383686E-2</v>
      </c>
    </row>
    <row r="2032" spans="1:7" ht="15" customHeight="1" x14ac:dyDescent="0.2">
      <c r="A2032" s="19" t="s">
        <v>2179</v>
      </c>
      <c r="B2032" s="50">
        <v>158.251</v>
      </c>
      <c r="C2032" s="50">
        <v>3276.24</v>
      </c>
      <c r="D2032" s="51">
        <v>26032740.539406002</v>
      </c>
      <c r="E2032" s="51">
        <v>1959288889</v>
      </c>
      <c r="F2032" s="52">
        <f t="shared" si="66"/>
        <v>1.9384012991842416E-2</v>
      </c>
      <c r="G2032" s="52">
        <f t="shared" si="67"/>
        <v>1.0003350352589398E-2</v>
      </c>
    </row>
    <row r="2033" spans="1:7" ht="15" customHeight="1" x14ac:dyDescent="0.2">
      <c r="A2033" s="19" t="s">
        <v>2180</v>
      </c>
      <c r="B2033" s="50">
        <v>160.72200000000001</v>
      </c>
      <c r="C2033" s="50">
        <v>3273.4</v>
      </c>
      <c r="D2033" s="51">
        <v>36725877.203942999</v>
      </c>
      <c r="E2033" s="51">
        <v>1991388889</v>
      </c>
      <c r="F2033" s="52">
        <f t="shared" si="66"/>
        <v>1.5493784311600272E-2</v>
      </c>
      <c r="G2033" s="52">
        <f t="shared" si="67"/>
        <v>-8.6722329104840649E-4</v>
      </c>
    </row>
    <row r="2034" spans="1:7" ht="15" customHeight="1" x14ac:dyDescent="0.2">
      <c r="A2034" s="19" t="s">
        <v>2181</v>
      </c>
      <c r="B2034" s="50">
        <v>165.26499999999999</v>
      </c>
      <c r="C2034" s="50">
        <v>3283.66</v>
      </c>
      <c r="D2034" s="51">
        <v>53944850.650480002</v>
      </c>
      <c r="E2034" s="51">
        <v>2104027778</v>
      </c>
      <c r="F2034" s="52">
        <f t="shared" si="66"/>
        <v>2.7874081739308044E-2</v>
      </c>
      <c r="G2034" s="52">
        <f t="shared" si="67"/>
        <v>3.1294538629889324E-3</v>
      </c>
    </row>
    <row r="2035" spans="1:7" ht="15" customHeight="1" x14ac:dyDescent="0.2">
      <c r="A2035" s="19" t="s">
        <v>2182</v>
      </c>
      <c r="B2035" s="50">
        <v>162.82300000000001</v>
      </c>
      <c r="C2035" s="50">
        <v>3225.52</v>
      </c>
      <c r="D2035" s="51">
        <v>37786969.406622</v>
      </c>
      <c r="E2035" s="51">
        <v>2515461111</v>
      </c>
      <c r="F2035" s="52">
        <f t="shared" si="66"/>
        <v>-1.4886524939580552E-2</v>
      </c>
      <c r="G2035" s="52">
        <f t="shared" si="67"/>
        <v>-1.7864476392643731E-2</v>
      </c>
    </row>
    <row r="2036" spans="1:7" ht="15" customHeight="1" x14ac:dyDescent="0.2">
      <c r="A2036" s="19" t="s">
        <v>2183</v>
      </c>
      <c r="B2036" s="50">
        <v>166.79599999999999</v>
      </c>
      <c r="C2036" s="50">
        <v>3248.92</v>
      </c>
      <c r="D2036" s="51">
        <v>31520656.169029001</v>
      </c>
      <c r="E2036" s="51">
        <v>2087727778</v>
      </c>
      <c r="F2036" s="52">
        <f t="shared" si="66"/>
        <v>2.4107787590782817E-2</v>
      </c>
      <c r="G2036" s="52">
        <f t="shared" si="67"/>
        <v>7.2284558629105433E-3</v>
      </c>
    </row>
    <row r="2037" spans="1:7" ht="15" customHeight="1" x14ac:dyDescent="0.2">
      <c r="A2037" s="19" t="s">
        <v>2184</v>
      </c>
      <c r="B2037" s="50">
        <v>172.286</v>
      </c>
      <c r="C2037" s="50">
        <v>3297.59</v>
      </c>
      <c r="D2037" s="51">
        <v>38090840.654057004</v>
      </c>
      <c r="E2037" s="51">
        <v>2219622222</v>
      </c>
      <c r="F2037" s="52">
        <f t="shared" si="66"/>
        <v>3.2384377783480786E-2</v>
      </c>
      <c r="G2037" s="52">
        <f t="shared" si="67"/>
        <v>1.4869265218066252E-2</v>
      </c>
    </row>
    <row r="2038" spans="1:7" ht="15" customHeight="1" x14ac:dyDescent="0.2">
      <c r="A2038" s="19" t="s">
        <v>2185</v>
      </c>
      <c r="B2038" s="50">
        <v>172.071</v>
      </c>
      <c r="C2038" s="50">
        <v>3334.69</v>
      </c>
      <c r="D2038" s="51">
        <v>40969070.671529002</v>
      </c>
      <c r="E2038" s="51">
        <v>2287627778</v>
      </c>
      <c r="F2038" s="52">
        <f t="shared" si="66"/>
        <v>-1.2487042687489769E-3</v>
      </c>
      <c r="G2038" s="52">
        <f t="shared" si="67"/>
        <v>1.1187822882933645E-2</v>
      </c>
    </row>
    <row r="2039" spans="1:7" ht="15" customHeight="1" x14ac:dyDescent="0.2">
      <c r="A2039" s="19" t="s">
        <v>2186</v>
      </c>
      <c r="B2039" s="50">
        <v>175.62700000000001</v>
      </c>
      <c r="C2039" s="50">
        <v>3345.78</v>
      </c>
      <c r="D2039" s="51">
        <v>29013905.224493001</v>
      </c>
      <c r="E2039" s="51">
        <v>2149094444</v>
      </c>
      <c r="F2039" s="52">
        <f t="shared" si="66"/>
        <v>2.0455245587038446E-2</v>
      </c>
      <c r="G2039" s="52">
        <f t="shared" si="67"/>
        <v>3.3201287296620923E-3</v>
      </c>
    </row>
    <row r="2040" spans="1:7" ht="15" customHeight="1" x14ac:dyDescent="0.2">
      <c r="A2040" s="19" t="s">
        <v>2187</v>
      </c>
      <c r="B2040" s="50">
        <v>175.88</v>
      </c>
      <c r="C2040" s="50">
        <v>3327.71</v>
      </c>
      <c r="D2040" s="51">
        <v>35054450.199069999</v>
      </c>
      <c r="E2040" s="51">
        <v>2072583333</v>
      </c>
      <c r="F2040" s="52">
        <f t="shared" si="66"/>
        <v>1.4395163890848317E-3</v>
      </c>
      <c r="G2040" s="52">
        <f t="shared" si="67"/>
        <v>-5.4154705145391972E-3</v>
      </c>
    </row>
    <row r="2041" spans="1:7" ht="15" customHeight="1" x14ac:dyDescent="0.2">
      <c r="A2041" s="19" t="s">
        <v>2188</v>
      </c>
      <c r="B2041" s="50">
        <v>180.49100000000001</v>
      </c>
      <c r="C2041" s="50">
        <v>3352.09</v>
      </c>
      <c r="D2041" s="51">
        <v>37474969.043802001</v>
      </c>
      <c r="E2041" s="51">
        <v>1916861111</v>
      </c>
      <c r="F2041" s="52">
        <f t="shared" si="66"/>
        <v>2.5878970721355768E-2</v>
      </c>
      <c r="G2041" s="52">
        <f t="shared" si="67"/>
        <v>7.2996521623710205E-3</v>
      </c>
    </row>
    <row r="2042" spans="1:7" ht="15" customHeight="1" x14ac:dyDescent="0.2">
      <c r="A2042" s="19" t="s">
        <v>2189</v>
      </c>
      <c r="B2042" s="50">
        <v>176.41800000000001</v>
      </c>
      <c r="C2042" s="50">
        <v>3357.75</v>
      </c>
      <c r="D2042" s="51">
        <v>55578367.720278002</v>
      </c>
      <c r="E2042" s="51">
        <v>2089194444</v>
      </c>
      <c r="F2042" s="52">
        <f t="shared" si="66"/>
        <v>-2.2824735850757567E-2</v>
      </c>
      <c r="G2042" s="52">
        <f t="shared" si="67"/>
        <v>1.6870749056512096E-3</v>
      </c>
    </row>
    <row r="2043" spans="1:7" ht="15" customHeight="1" x14ac:dyDescent="0.2">
      <c r="A2043" s="19" t="s">
        <v>2190</v>
      </c>
      <c r="B2043" s="50">
        <v>176.68100000000001</v>
      </c>
      <c r="C2043" s="50">
        <v>3379.45</v>
      </c>
      <c r="D2043" s="51">
        <v>49204006.867687002</v>
      </c>
      <c r="E2043" s="51">
        <v>2181322222</v>
      </c>
      <c r="F2043" s="52">
        <f t="shared" si="66"/>
        <v>1.4896674792931916E-3</v>
      </c>
      <c r="G2043" s="52">
        <f t="shared" si="67"/>
        <v>6.4418675537450355E-3</v>
      </c>
    </row>
    <row r="2044" spans="1:7" ht="15" customHeight="1" x14ac:dyDescent="0.2">
      <c r="A2044" s="19" t="s">
        <v>2191</v>
      </c>
      <c r="B2044" s="50">
        <v>175.70500000000001</v>
      </c>
      <c r="C2044" s="50">
        <v>3373.94</v>
      </c>
      <c r="D2044" s="51">
        <v>36901586.906799003</v>
      </c>
      <c r="E2044" s="51">
        <v>1943466667</v>
      </c>
      <c r="F2044" s="52">
        <f t="shared" si="66"/>
        <v>-5.5393942761801877E-3</v>
      </c>
      <c r="G2044" s="52">
        <f t="shared" si="67"/>
        <v>-1.6317734419649113E-3</v>
      </c>
    </row>
    <row r="2045" spans="1:7" ht="15" customHeight="1" x14ac:dyDescent="0.2">
      <c r="A2045" s="19" t="s">
        <v>2192</v>
      </c>
      <c r="B2045" s="50">
        <v>177.29599999999999</v>
      </c>
      <c r="C2045" s="50">
        <v>3380.16</v>
      </c>
      <c r="D2045" s="51">
        <v>24202684.188347999</v>
      </c>
      <c r="E2045" s="51">
        <v>1887800000</v>
      </c>
      <c r="F2045" s="52">
        <f t="shared" si="66"/>
        <v>9.0141998076491096E-3</v>
      </c>
      <c r="G2045" s="52">
        <f t="shared" si="67"/>
        <v>1.8418447338326407E-3</v>
      </c>
    </row>
    <row r="2046" spans="1:7" ht="15" customHeight="1" x14ac:dyDescent="0.2">
      <c r="A2046" s="19" t="s">
        <v>2193</v>
      </c>
      <c r="B2046" s="50">
        <v>179.066</v>
      </c>
      <c r="C2046" s="50">
        <v>3370.29</v>
      </c>
      <c r="D2046" s="51">
        <v>29120265.587329999</v>
      </c>
      <c r="E2046" s="51">
        <v>2081511111</v>
      </c>
      <c r="F2046" s="52">
        <f t="shared" si="66"/>
        <v>9.9338007718822903E-3</v>
      </c>
      <c r="G2046" s="52">
        <f t="shared" si="67"/>
        <v>-2.9242515783095627E-3</v>
      </c>
    </row>
    <row r="2047" spans="1:7" ht="15" customHeight="1" x14ac:dyDescent="0.2">
      <c r="A2047" s="19" t="s">
        <v>2194</v>
      </c>
      <c r="B2047" s="50">
        <v>179.613</v>
      </c>
      <c r="C2047" s="50">
        <v>3386.15</v>
      </c>
      <c r="D2047" s="51">
        <v>31276753.016741998</v>
      </c>
      <c r="E2047" s="51">
        <v>2000083333</v>
      </c>
      <c r="F2047" s="52">
        <f t="shared" si="66"/>
        <v>3.0500833562157855E-3</v>
      </c>
      <c r="G2047" s="52">
        <f t="shared" si="67"/>
        <v>4.6947887144410351E-3</v>
      </c>
    </row>
    <row r="2048" spans="1:7" ht="15" customHeight="1" x14ac:dyDescent="0.2">
      <c r="A2048" s="19" t="s">
        <v>2195</v>
      </c>
      <c r="B2048" s="50">
        <v>176.887</v>
      </c>
      <c r="C2048" s="50">
        <v>3373.23</v>
      </c>
      <c r="D2048" s="51">
        <v>38434417.613439001</v>
      </c>
      <c r="E2048" s="51">
        <v>2226288889</v>
      </c>
      <c r="F2048" s="52">
        <f t="shared" si="66"/>
        <v>-1.5293425702932963E-2</v>
      </c>
      <c r="G2048" s="52">
        <f t="shared" si="67"/>
        <v>-3.8228404778309472E-3</v>
      </c>
    </row>
    <row r="2049" spans="1:7" ht="15" customHeight="1" x14ac:dyDescent="0.2">
      <c r="A2049" s="19" t="s">
        <v>2196</v>
      </c>
      <c r="B2049" s="50">
        <v>171.28</v>
      </c>
      <c r="C2049" s="50">
        <v>3337.75</v>
      </c>
      <c r="D2049" s="51">
        <v>50673009.685098998</v>
      </c>
      <c r="E2049" s="51">
        <v>2166261111</v>
      </c>
      <c r="F2049" s="52">
        <f t="shared" si="66"/>
        <v>-3.2211466337707377E-2</v>
      </c>
      <c r="G2049" s="52">
        <f t="shared" si="67"/>
        <v>-1.0573815022893411E-2</v>
      </c>
    </row>
    <row r="2050" spans="1:7" ht="15" customHeight="1" x14ac:dyDescent="0.2">
      <c r="A2050" s="19" t="s">
        <v>2197</v>
      </c>
      <c r="B2050" s="50">
        <v>163.90700000000001</v>
      </c>
      <c r="C2050" s="50">
        <v>3225.89</v>
      </c>
      <c r="D2050" s="51">
        <v>71224278.505742997</v>
      </c>
      <c r="E2050" s="51">
        <v>2690533333</v>
      </c>
      <c r="F2050" s="52">
        <f t="shared" si="66"/>
        <v>-4.4000450474761851E-2</v>
      </c>
      <c r="G2050" s="52">
        <f t="shared" si="67"/>
        <v>-3.4088046120521465E-2</v>
      </c>
    </row>
    <row r="2051" spans="1:7" ht="15" customHeight="1" x14ac:dyDescent="0.2">
      <c r="A2051" s="19" t="s">
        <v>2198</v>
      </c>
      <c r="B2051" s="50">
        <v>161.19900000000001</v>
      </c>
      <c r="C2051" s="50">
        <v>3128.21</v>
      </c>
      <c r="D2051" s="51">
        <v>70976367.105756</v>
      </c>
      <c r="E2051" s="51">
        <v>3106394444</v>
      </c>
      <c r="F2051" s="52">
        <f t="shared" si="66"/>
        <v>-1.6659567227324496E-2</v>
      </c>
      <c r="G2051" s="52">
        <f t="shared" si="67"/>
        <v>-3.0747925188099268E-2</v>
      </c>
    </row>
    <row r="2052" spans="1:7" ht="15" customHeight="1" x14ac:dyDescent="0.2">
      <c r="A2052" s="19" t="s">
        <v>2199</v>
      </c>
      <c r="B2052" s="50">
        <v>163.20400000000001</v>
      </c>
      <c r="C2052" s="50">
        <v>3116.39</v>
      </c>
      <c r="D2052" s="51">
        <v>58791849.008681998</v>
      </c>
      <c r="E2052" s="51">
        <v>3043394444</v>
      </c>
      <c r="F2052" s="52">
        <f t="shared" si="66"/>
        <v>1.2361325454226985E-2</v>
      </c>
      <c r="G2052" s="52">
        <f t="shared" si="67"/>
        <v>-3.7856753407310142E-3</v>
      </c>
    </row>
    <row r="2053" spans="1:7" ht="15" customHeight="1" x14ac:dyDescent="0.2">
      <c r="A2053" s="19" t="s">
        <v>2200</v>
      </c>
      <c r="B2053" s="50">
        <v>151.71600000000001</v>
      </c>
      <c r="C2053" s="50">
        <v>2978.76</v>
      </c>
      <c r="D2053" s="51">
        <v>97148467.711665004</v>
      </c>
      <c r="E2053" s="51">
        <v>3921577778</v>
      </c>
      <c r="F2053" s="52">
        <f t="shared" si="66"/>
        <v>-7.2990599915806947E-2</v>
      </c>
      <c r="G2053" s="52">
        <f t="shared" si="67"/>
        <v>-4.5168174100652832E-2</v>
      </c>
    </row>
    <row r="2054" spans="1:7" ht="15" customHeight="1" x14ac:dyDescent="0.2">
      <c r="A2054" s="19" t="s">
        <v>2201</v>
      </c>
      <c r="B2054" s="50">
        <v>155.37799999999999</v>
      </c>
      <c r="C2054" s="50">
        <v>2954.22</v>
      </c>
      <c r="D2054" s="51">
        <v>101213382.71689001</v>
      </c>
      <c r="E2054" s="51">
        <v>4757694444</v>
      </c>
      <c r="F2054" s="52">
        <f t="shared" ref="F2054:F2117" si="68">LN(B2054/B2053)</f>
        <v>2.3850505652217437E-2</v>
      </c>
      <c r="G2054" s="52">
        <f t="shared" ref="G2054:G2117" si="69">LN(C2054/C2053)</f>
        <v>-8.2724499142758506E-3</v>
      </c>
    </row>
    <row r="2055" spans="1:7" ht="15" customHeight="1" x14ac:dyDescent="0.2">
      <c r="A2055" s="19" t="s">
        <v>2202</v>
      </c>
      <c r="B2055" s="50">
        <v>165.72200000000001</v>
      </c>
      <c r="C2055" s="50">
        <v>3090.23</v>
      </c>
      <c r="D2055" s="51">
        <v>74060008.811783001</v>
      </c>
      <c r="E2055" s="51">
        <v>3542444444</v>
      </c>
      <c r="F2055" s="52">
        <f t="shared" si="68"/>
        <v>6.4450827915758638E-2</v>
      </c>
      <c r="G2055" s="52">
        <f t="shared" si="69"/>
        <v>4.5010865172777872E-2</v>
      </c>
    </row>
    <row r="2056" spans="1:7" ht="15" customHeight="1" x14ac:dyDescent="0.2">
      <c r="A2056" s="19" t="s">
        <v>2203</v>
      </c>
      <c r="B2056" s="50">
        <v>157.762</v>
      </c>
      <c r="C2056" s="50">
        <v>3003.37</v>
      </c>
      <c r="D2056" s="51">
        <v>74733776.309434995</v>
      </c>
      <c r="E2056" s="51">
        <v>3531077778</v>
      </c>
      <c r="F2056" s="52">
        <f t="shared" si="68"/>
        <v>-4.9224117426983474E-2</v>
      </c>
      <c r="G2056" s="52">
        <f t="shared" si="69"/>
        <v>-2.8510530261905299E-2</v>
      </c>
    </row>
    <row r="2057" spans="1:7" ht="15" customHeight="1" x14ac:dyDescent="0.2">
      <c r="A2057" s="19" t="s">
        <v>2204</v>
      </c>
      <c r="B2057" s="50">
        <v>163.57499999999999</v>
      </c>
      <c r="C2057" s="50">
        <v>3130.12</v>
      </c>
      <c r="D2057" s="51">
        <v>51938780.522604004</v>
      </c>
      <c r="E2057" s="51">
        <v>2797488889</v>
      </c>
      <c r="F2057" s="52">
        <f t="shared" si="68"/>
        <v>3.618403249704872E-2</v>
      </c>
      <c r="G2057" s="52">
        <f t="shared" si="69"/>
        <v>4.133635094064169E-2</v>
      </c>
    </row>
    <row r="2058" spans="1:7" ht="15" customHeight="1" x14ac:dyDescent="0.2">
      <c r="A2058" s="19" t="s">
        <v>2205</v>
      </c>
      <c r="B2058" s="50">
        <v>159.471</v>
      </c>
      <c r="C2058" s="50">
        <v>3023.94</v>
      </c>
      <c r="D2058" s="51">
        <v>49856476.902080998</v>
      </c>
      <c r="E2058" s="51">
        <v>3097527778</v>
      </c>
      <c r="F2058" s="52">
        <f t="shared" si="68"/>
        <v>-2.5409513243650653E-2</v>
      </c>
      <c r="G2058" s="52">
        <f t="shared" si="69"/>
        <v>-3.4510725624696516E-2</v>
      </c>
    </row>
    <row r="2059" spans="1:7" ht="15" customHeight="1" x14ac:dyDescent="0.2">
      <c r="A2059" s="19" t="s">
        <v>2206</v>
      </c>
      <c r="B2059" s="50">
        <v>154.958</v>
      </c>
      <c r="C2059" s="50">
        <v>2972.37</v>
      </c>
      <c r="D2059" s="51">
        <v>75926603.181716993</v>
      </c>
      <c r="E2059" s="51">
        <v>3640077778</v>
      </c>
      <c r="F2059" s="52">
        <f t="shared" si="68"/>
        <v>-2.8707975053232269E-2</v>
      </c>
      <c r="G2059" s="52">
        <f t="shared" si="69"/>
        <v>-1.7201002454620039E-2</v>
      </c>
    </row>
    <row r="2060" spans="1:7" ht="15" customHeight="1" x14ac:dyDescent="0.2">
      <c r="A2060" s="19" t="s">
        <v>2207</v>
      </c>
      <c r="B2060" s="50">
        <v>144.46700000000001</v>
      </c>
      <c r="C2060" s="50">
        <v>2746.56</v>
      </c>
      <c r="D2060" s="51">
        <v>73422393.353599995</v>
      </c>
      <c r="E2060" s="51">
        <v>4679472222</v>
      </c>
      <c r="F2060" s="52">
        <f t="shared" si="68"/>
        <v>-7.0103004690099474E-2</v>
      </c>
      <c r="G2060" s="52">
        <f t="shared" si="69"/>
        <v>-7.9010394848266635E-2</v>
      </c>
    </row>
    <row r="2061" spans="1:7" ht="15" customHeight="1" x14ac:dyDescent="0.2">
      <c r="A2061" s="19" t="s">
        <v>2208</v>
      </c>
      <c r="B2061" s="50">
        <v>154.32400000000001</v>
      </c>
      <c r="C2061" s="50">
        <v>2882.23</v>
      </c>
      <c r="D2061" s="51">
        <v>68141506.021247</v>
      </c>
      <c r="E2061" s="51">
        <v>4242200000</v>
      </c>
      <c r="F2061" s="52">
        <f t="shared" si="68"/>
        <v>6.6003180658621236E-2</v>
      </c>
      <c r="G2061" s="52">
        <f t="shared" si="69"/>
        <v>4.821508053580021E-2</v>
      </c>
    </row>
    <row r="2062" spans="1:7" ht="15" customHeight="1" x14ac:dyDescent="0.2">
      <c r="A2062" s="19" t="s">
        <v>2209</v>
      </c>
      <c r="B2062" s="50">
        <v>147.34</v>
      </c>
      <c r="C2062" s="50">
        <v>2741.38</v>
      </c>
      <c r="D2062" s="51">
        <v>58914000.741255</v>
      </c>
      <c r="E2062" s="51">
        <v>4096727778</v>
      </c>
      <c r="F2062" s="52">
        <f t="shared" si="68"/>
        <v>-4.6311447172773496E-2</v>
      </c>
      <c r="G2062" s="52">
        <f t="shared" si="69"/>
        <v>-5.0102856837410732E-2</v>
      </c>
    </row>
    <row r="2063" spans="1:7" ht="15" customHeight="1" x14ac:dyDescent="0.2">
      <c r="A2063" s="19" t="s">
        <v>2210</v>
      </c>
      <c r="B2063" s="50">
        <v>133.37299999999999</v>
      </c>
      <c r="C2063" s="50">
        <v>2480.64</v>
      </c>
      <c r="D2063" s="51">
        <v>97202120.897027001</v>
      </c>
      <c r="E2063" s="51">
        <v>4905211111</v>
      </c>
      <c r="F2063" s="52">
        <f t="shared" si="68"/>
        <v>-9.9593127059145456E-2</v>
      </c>
      <c r="G2063" s="52">
        <f t="shared" si="69"/>
        <v>-9.9944851846007432E-2</v>
      </c>
    </row>
    <row r="2064" spans="1:7" ht="15" customHeight="1" x14ac:dyDescent="0.2">
      <c r="A2064" s="19" t="s">
        <v>2211</v>
      </c>
      <c r="B2064" s="50">
        <v>152.34100000000001</v>
      </c>
      <c r="C2064" s="50">
        <v>2711.02</v>
      </c>
      <c r="D2064" s="51">
        <v>96681924.060533002</v>
      </c>
      <c r="E2064" s="51">
        <v>4588150000</v>
      </c>
      <c r="F2064" s="52">
        <f t="shared" si="68"/>
        <v>0.13297171499172128</v>
      </c>
      <c r="G2064" s="52">
        <f t="shared" si="69"/>
        <v>8.8808356440746597E-2</v>
      </c>
    </row>
    <row r="2065" spans="1:7" ht="15" customHeight="1" x14ac:dyDescent="0.2">
      <c r="A2065" s="19" t="s">
        <v>2212</v>
      </c>
      <c r="B2065" s="50">
        <v>129.875</v>
      </c>
      <c r="C2065" s="50">
        <v>2386.13</v>
      </c>
      <c r="D2065" s="51">
        <v>91654724.509652004</v>
      </c>
      <c r="E2065" s="51">
        <v>4323077778</v>
      </c>
      <c r="F2065" s="52">
        <f t="shared" si="68"/>
        <v>-0.15954897976785201</v>
      </c>
      <c r="G2065" s="52">
        <f t="shared" si="69"/>
        <v>-0.12765214115647325</v>
      </c>
    </row>
    <row r="2066" spans="1:7" ht="15" customHeight="1" x14ac:dyDescent="0.2">
      <c r="A2066" s="19" t="s">
        <v>2213</v>
      </c>
      <c r="B2066" s="50">
        <v>140.583</v>
      </c>
      <c r="C2066" s="50">
        <v>2529.19</v>
      </c>
      <c r="D2066" s="51">
        <v>84516715.172043994</v>
      </c>
      <c r="E2066" s="51">
        <v>4643611111</v>
      </c>
      <c r="F2066" s="52">
        <f t="shared" si="68"/>
        <v>7.9225612262855002E-2</v>
      </c>
      <c r="G2066" s="52">
        <f t="shared" si="69"/>
        <v>5.8226286690741702E-2</v>
      </c>
    </row>
    <row r="2067" spans="1:7" ht="15" customHeight="1" x14ac:dyDescent="0.2">
      <c r="A2067" s="19" t="s">
        <v>2214</v>
      </c>
      <c r="B2067" s="50">
        <v>134.66300000000001</v>
      </c>
      <c r="C2067" s="50">
        <v>2398.1</v>
      </c>
      <c r="D2067" s="51">
        <v>85072816.284035996</v>
      </c>
      <c r="E2067" s="51">
        <v>4864322222</v>
      </c>
      <c r="F2067" s="52">
        <f t="shared" si="68"/>
        <v>-4.3022700482659472E-2</v>
      </c>
      <c r="G2067" s="52">
        <f t="shared" si="69"/>
        <v>-5.322233622142454E-2</v>
      </c>
    </row>
    <row r="2068" spans="1:7" ht="15" customHeight="1" x14ac:dyDescent="0.2">
      <c r="A2068" s="19" t="s">
        <v>2215</v>
      </c>
      <c r="B2068" s="50">
        <v>136.858</v>
      </c>
      <c r="C2068" s="50">
        <v>2409.39</v>
      </c>
      <c r="D2068" s="51">
        <v>89586940.676837996</v>
      </c>
      <c r="E2068" s="51">
        <v>4414838889</v>
      </c>
      <c r="F2068" s="52">
        <f t="shared" si="68"/>
        <v>1.616853074436405E-2</v>
      </c>
      <c r="G2068" s="52">
        <f t="shared" si="69"/>
        <v>4.6968462774209588E-3</v>
      </c>
    </row>
    <row r="2069" spans="1:7" ht="15" customHeight="1" x14ac:dyDescent="0.2">
      <c r="A2069" s="19" t="s">
        <v>2216</v>
      </c>
      <c r="B2069" s="50">
        <v>131.732</v>
      </c>
      <c r="C2069" s="50">
        <v>2304.92</v>
      </c>
      <c r="D2069" s="51">
        <v>88485441.446840003</v>
      </c>
      <c r="E2069" s="51">
        <v>5024827778</v>
      </c>
      <c r="F2069" s="52">
        <f t="shared" si="68"/>
        <v>-3.817433624706023E-2</v>
      </c>
      <c r="G2069" s="52">
        <f t="shared" si="69"/>
        <v>-4.4327634743158498E-2</v>
      </c>
    </row>
    <row r="2070" spans="1:7" ht="15" customHeight="1" x14ac:dyDescent="0.2">
      <c r="A2070" s="19" t="s">
        <v>2217</v>
      </c>
      <c r="B2070" s="50">
        <v>130.41300000000001</v>
      </c>
      <c r="C2070" s="50">
        <v>2237.4</v>
      </c>
      <c r="D2070" s="51">
        <v>82343174.005228996</v>
      </c>
      <c r="E2070" s="51">
        <v>4112322222</v>
      </c>
      <c r="F2070" s="52">
        <f t="shared" si="68"/>
        <v>-1.0063217921846394E-2</v>
      </c>
      <c r="G2070" s="52">
        <f t="shared" si="69"/>
        <v>-2.9731491257259945E-2</v>
      </c>
    </row>
    <row r="2071" spans="1:7" ht="15" customHeight="1" x14ac:dyDescent="0.2">
      <c r="A2071" s="19" t="s">
        <v>2218</v>
      </c>
      <c r="B2071" s="50">
        <v>142.261</v>
      </c>
      <c r="C2071" s="50">
        <v>2447.33</v>
      </c>
      <c r="D2071" s="51">
        <v>86035757.097072005</v>
      </c>
      <c r="E2071" s="51">
        <v>4192972222</v>
      </c>
      <c r="F2071" s="52">
        <f t="shared" si="68"/>
        <v>8.695706088843877E-2</v>
      </c>
      <c r="G2071" s="52">
        <f t="shared" si="69"/>
        <v>8.9683156948216491E-2</v>
      </c>
    </row>
    <row r="2072" spans="1:7" ht="15" customHeight="1" x14ac:dyDescent="0.2">
      <c r="A2072" s="19" t="s">
        <v>2219</v>
      </c>
      <c r="B2072" s="50">
        <v>140.91399999999999</v>
      </c>
      <c r="C2072" s="50">
        <v>2475.56</v>
      </c>
      <c r="D2072" s="51">
        <v>78863912.620260999</v>
      </c>
      <c r="E2072" s="51">
        <v>4603150000</v>
      </c>
      <c r="F2072" s="52">
        <f t="shared" si="68"/>
        <v>-9.5136234457379436E-3</v>
      </c>
      <c r="G2072" s="52">
        <f t="shared" si="69"/>
        <v>1.1468998674479099E-2</v>
      </c>
    </row>
    <row r="2073" spans="1:7" ht="15" customHeight="1" x14ac:dyDescent="0.2">
      <c r="A2073" s="19" t="s">
        <v>2220</v>
      </c>
      <c r="B2073" s="50">
        <v>149.715</v>
      </c>
      <c r="C2073" s="50">
        <v>2630.07</v>
      </c>
      <c r="D2073" s="51">
        <v>67453401.999320999</v>
      </c>
      <c r="E2073" s="51">
        <v>4307311111</v>
      </c>
      <c r="F2073" s="52">
        <f t="shared" si="68"/>
        <v>6.0583711588914117E-2</v>
      </c>
      <c r="G2073" s="52">
        <f t="shared" si="69"/>
        <v>6.0543828751667757E-2</v>
      </c>
    </row>
    <row r="2074" spans="1:7" ht="15" customHeight="1" x14ac:dyDescent="0.2">
      <c r="A2074" s="19" t="s">
        <v>2221</v>
      </c>
      <c r="B2074" s="50">
        <v>143.57900000000001</v>
      </c>
      <c r="C2074" s="50">
        <v>2541.4699999999998</v>
      </c>
      <c r="D2074" s="51">
        <v>59474931.203028001</v>
      </c>
      <c r="E2074" s="51">
        <v>3441294444</v>
      </c>
      <c r="F2074" s="52">
        <f t="shared" si="68"/>
        <v>-4.184808044089941E-2</v>
      </c>
      <c r="G2074" s="52">
        <f t="shared" si="69"/>
        <v>-3.4267808022629478E-2</v>
      </c>
    </row>
    <row r="2075" spans="1:7" ht="15" customHeight="1" x14ac:dyDescent="0.2">
      <c r="A2075" s="19" t="s">
        <v>2222</v>
      </c>
      <c r="B2075" s="50">
        <v>153.65100000000001</v>
      </c>
      <c r="C2075" s="50">
        <v>2626.65</v>
      </c>
      <c r="D2075" s="51">
        <v>66124964.282266997</v>
      </c>
      <c r="E2075" s="51">
        <v>3192344444</v>
      </c>
      <c r="F2075" s="52">
        <f t="shared" si="68"/>
        <v>6.7798390487634724E-2</v>
      </c>
      <c r="G2075" s="52">
        <f t="shared" si="69"/>
        <v>3.2966616221455518E-2</v>
      </c>
    </row>
    <row r="2076" spans="1:7" ht="15" customHeight="1" x14ac:dyDescent="0.2">
      <c r="A2076" s="19" t="s">
        <v>2223</v>
      </c>
      <c r="B2076" s="50">
        <v>151.25800000000001</v>
      </c>
      <c r="C2076" s="50">
        <v>2584.59</v>
      </c>
      <c r="D2076" s="51">
        <v>81250489.848713994</v>
      </c>
      <c r="E2076" s="51">
        <v>3649050000</v>
      </c>
      <c r="F2076" s="52">
        <f t="shared" si="68"/>
        <v>-1.5696808779222787E-2</v>
      </c>
      <c r="G2076" s="52">
        <f t="shared" si="69"/>
        <v>-1.6142381973062482E-2</v>
      </c>
    </row>
    <row r="2077" spans="1:7" ht="15" customHeight="1" x14ac:dyDescent="0.2">
      <c r="A2077" s="19" t="s">
        <v>2224</v>
      </c>
      <c r="B2077" s="50">
        <v>145.876</v>
      </c>
      <c r="C2077" s="50">
        <v>2470.5</v>
      </c>
      <c r="D2077" s="51">
        <v>60442125.980099998</v>
      </c>
      <c r="E2077" s="51">
        <v>3304388889</v>
      </c>
      <c r="F2077" s="52">
        <f t="shared" si="68"/>
        <v>-3.6230042306715671E-2</v>
      </c>
      <c r="G2077" s="52">
        <f t="shared" si="69"/>
        <v>-4.5146328727152268E-2</v>
      </c>
    </row>
    <row r="2078" spans="1:7" ht="15" customHeight="1" x14ac:dyDescent="0.2">
      <c r="A2078" s="19" t="s">
        <v>2225</v>
      </c>
      <c r="B2078" s="50">
        <v>148.923</v>
      </c>
      <c r="C2078" s="50">
        <v>2526.9</v>
      </c>
      <c r="D2078" s="51">
        <v>51747299.926371999</v>
      </c>
      <c r="E2078" s="51">
        <v>3586105556</v>
      </c>
      <c r="F2078" s="52">
        <f t="shared" si="68"/>
        <v>2.0672448078470171E-2</v>
      </c>
      <c r="G2078" s="52">
        <f t="shared" si="69"/>
        <v>2.2572695703622976E-2</v>
      </c>
    </row>
    <row r="2079" spans="1:7" ht="15" customHeight="1" x14ac:dyDescent="0.2">
      <c r="A2079" s="19" t="s">
        <v>2226</v>
      </c>
      <c r="B2079" s="50">
        <v>147.53700000000001</v>
      </c>
      <c r="C2079" s="50">
        <v>2488.65</v>
      </c>
      <c r="D2079" s="51">
        <v>43002156.286518</v>
      </c>
      <c r="E2079" s="51">
        <v>3381772222</v>
      </c>
      <c r="F2079" s="52">
        <f t="shared" si="68"/>
        <v>-9.3504020653878625E-3</v>
      </c>
      <c r="G2079" s="52">
        <f t="shared" si="69"/>
        <v>-1.5252860231953606E-2</v>
      </c>
    </row>
    <row r="2080" spans="1:7" ht="15" customHeight="1" x14ac:dyDescent="0.2">
      <c r="A2080" s="19" t="s">
        <v>2227</v>
      </c>
      <c r="B2080" s="50">
        <v>158.495</v>
      </c>
      <c r="C2080" s="50">
        <v>2663.68</v>
      </c>
      <c r="D2080" s="51">
        <v>69973760.509674996</v>
      </c>
      <c r="E2080" s="51">
        <v>3551033333</v>
      </c>
      <c r="F2080" s="52">
        <f t="shared" si="68"/>
        <v>7.1644055297894443E-2</v>
      </c>
      <c r="G2080" s="52">
        <f t="shared" si="69"/>
        <v>6.7968230567686042E-2</v>
      </c>
    </row>
    <row r="2081" spans="1:7" ht="15" customHeight="1" x14ac:dyDescent="0.2">
      <c r="A2081" s="19" t="s">
        <v>2228</v>
      </c>
      <c r="B2081" s="50">
        <v>156.82499999999999</v>
      </c>
      <c r="C2081" s="50">
        <v>2659.41</v>
      </c>
      <c r="D2081" s="51">
        <v>65445902.621434003</v>
      </c>
      <c r="E2081" s="51">
        <v>3911511111</v>
      </c>
      <c r="F2081" s="52">
        <f t="shared" si="68"/>
        <v>-1.0592513095626185E-2</v>
      </c>
      <c r="G2081" s="52">
        <f t="shared" si="69"/>
        <v>-1.6043316629523077E-3</v>
      </c>
    </row>
    <row r="2082" spans="1:7" ht="15" customHeight="1" x14ac:dyDescent="0.2">
      <c r="A2082" s="19" t="s">
        <v>2229</v>
      </c>
      <c r="B2082" s="50">
        <v>158.358</v>
      </c>
      <c r="C2082" s="50">
        <v>2749.98</v>
      </c>
      <c r="D2082" s="51">
        <v>50378825.804136001</v>
      </c>
      <c r="E2082" s="51">
        <v>3253538889</v>
      </c>
      <c r="F2082" s="52">
        <f t="shared" si="68"/>
        <v>9.727758723488909E-3</v>
      </c>
      <c r="G2082" s="52">
        <f t="shared" si="69"/>
        <v>3.3489345244689953E-2</v>
      </c>
    </row>
    <row r="2083" spans="1:7" ht="15" customHeight="1" x14ac:dyDescent="0.2">
      <c r="A2083" s="19" t="s">
        <v>2230</v>
      </c>
      <c r="B2083" s="50">
        <v>158.36699999999999</v>
      </c>
      <c r="C2083" s="50">
        <v>2789.82</v>
      </c>
      <c r="D2083" s="51">
        <v>53625148.104405001</v>
      </c>
      <c r="E2083" s="51">
        <v>4377855556</v>
      </c>
      <c r="F2083" s="52">
        <f t="shared" si="68"/>
        <v>5.683163629269371E-5</v>
      </c>
      <c r="G2083" s="52">
        <f t="shared" si="69"/>
        <v>1.438343869822631E-2</v>
      </c>
    </row>
    <row r="2084" spans="1:7" ht="15" customHeight="1" x14ac:dyDescent="0.2">
      <c r="A2084" s="19" t="s">
        <v>2231</v>
      </c>
      <c r="B2084" s="50">
        <v>158.72900000000001</v>
      </c>
      <c r="C2084" s="50">
        <v>2761.63</v>
      </c>
      <c r="D2084" s="51">
        <v>43692366.302189998</v>
      </c>
      <c r="E2084" s="51">
        <v>2930172222</v>
      </c>
      <c r="F2084" s="52">
        <f t="shared" si="68"/>
        <v>2.2832212154163447E-3</v>
      </c>
      <c r="G2084" s="52">
        <f t="shared" si="69"/>
        <v>-1.0155992507349275E-2</v>
      </c>
    </row>
    <row r="2085" spans="1:7" ht="15" customHeight="1" x14ac:dyDescent="0.2">
      <c r="A2085" s="19" t="s">
        <v>2232</v>
      </c>
      <c r="B2085" s="50">
        <v>166.59299999999999</v>
      </c>
      <c r="C2085" s="50">
        <v>2846.06</v>
      </c>
      <c r="D2085" s="51">
        <v>55129231.023777999</v>
      </c>
      <c r="E2085" s="51">
        <v>3093000000</v>
      </c>
      <c r="F2085" s="52">
        <f t="shared" si="68"/>
        <v>4.8355366485283789E-2</v>
      </c>
      <c r="G2085" s="52">
        <f t="shared" si="69"/>
        <v>3.01144965504564E-2</v>
      </c>
    </row>
    <row r="2086" spans="1:7" ht="15" customHeight="1" x14ac:dyDescent="0.2">
      <c r="A2086" s="19" t="s">
        <v>2233</v>
      </c>
      <c r="B2086" s="50">
        <v>164.85300000000001</v>
      </c>
      <c r="C2086" s="50">
        <v>2783.36</v>
      </c>
      <c r="D2086" s="51">
        <v>42686805.991011001</v>
      </c>
      <c r="E2086" s="51">
        <v>2890772222</v>
      </c>
      <c r="F2086" s="52">
        <f t="shared" si="68"/>
        <v>-1.0499544328989523E-2</v>
      </c>
      <c r="G2086" s="52">
        <f t="shared" si="69"/>
        <v>-2.2276750679012372E-2</v>
      </c>
    </row>
    <row r="2087" spans="1:7" ht="15" customHeight="1" x14ac:dyDescent="0.2">
      <c r="A2087" s="19" t="s">
        <v>2234</v>
      </c>
      <c r="B2087" s="50">
        <v>169.80600000000001</v>
      </c>
      <c r="C2087" s="50">
        <v>2799.55</v>
      </c>
      <c r="D2087" s="51">
        <v>52632376.304595999</v>
      </c>
      <c r="E2087" s="51">
        <v>2877772222</v>
      </c>
      <c r="F2087" s="52">
        <f t="shared" si="68"/>
        <v>2.9602441227702763E-2</v>
      </c>
      <c r="G2087" s="52">
        <f t="shared" si="69"/>
        <v>5.7998589924373595E-3</v>
      </c>
    </row>
    <row r="2088" spans="1:7" ht="15" customHeight="1" x14ac:dyDescent="0.2">
      <c r="A2088" s="19" t="s">
        <v>2235</v>
      </c>
      <c r="B2088" s="50">
        <v>171.28899999999999</v>
      </c>
      <c r="C2088" s="50">
        <v>2874.56</v>
      </c>
      <c r="D2088" s="51">
        <v>55015882.078873001</v>
      </c>
      <c r="E2088" s="51">
        <v>3217855556</v>
      </c>
      <c r="F2088" s="52">
        <f t="shared" si="68"/>
        <v>8.695579498424047E-3</v>
      </c>
      <c r="G2088" s="52">
        <f t="shared" si="69"/>
        <v>2.6440929079185473E-2</v>
      </c>
    </row>
    <row r="2089" spans="1:7" ht="15" customHeight="1" x14ac:dyDescent="0.2">
      <c r="A2089" s="19" t="s">
        <v>2236</v>
      </c>
      <c r="B2089" s="50">
        <v>167.893</v>
      </c>
      <c r="C2089" s="50">
        <v>2823.16</v>
      </c>
      <c r="D2089" s="51">
        <v>38233416.533082001</v>
      </c>
      <c r="E2089" s="51">
        <v>2900088889</v>
      </c>
      <c r="F2089" s="52">
        <f t="shared" si="68"/>
        <v>-2.0025316709070796E-2</v>
      </c>
      <c r="G2089" s="52">
        <f t="shared" si="69"/>
        <v>-1.8042794099790368E-2</v>
      </c>
    </row>
    <row r="2090" spans="1:7" ht="15" customHeight="1" x14ac:dyDescent="0.2">
      <c r="A2090" s="19" t="s">
        <v>2237</v>
      </c>
      <c r="B2090" s="50">
        <v>160.95699999999999</v>
      </c>
      <c r="C2090" s="50">
        <v>2736.56</v>
      </c>
      <c r="D2090" s="51">
        <v>58600627.438418001</v>
      </c>
      <c r="E2090" s="51">
        <v>2819905556</v>
      </c>
      <c r="F2090" s="52">
        <f t="shared" si="68"/>
        <v>-4.2189623164648166E-2</v>
      </c>
      <c r="G2090" s="52">
        <f t="shared" si="69"/>
        <v>-3.1155167779795462E-2</v>
      </c>
    </row>
    <row r="2091" spans="1:7" ht="15" customHeight="1" x14ac:dyDescent="0.2">
      <c r="A2091" s="19" t="s">
        <v>2238</v>
      </c>
      <c r="B2091" s="50">
        <v>166.416</v>
      </c>
      <c r="C2091" s="50">
        <v>2799.31</v>
      </c>
      <c r="D2091" s="51">
        <v>36129364.969359003</v>
      </c>
      <c r="E2091" s="51">
        <v>2805366667</v>
      </c>
      <c r="F2091" s="52">
        <f t="shared" si="68"/>
        <v>3.335342904407005E-2</v>
      </c>
      <c r="G2091" s="52">
        <f t="shared" si="69"/>
        <v>2.2671301062101197E-2</v>
      </c>
    </row>
    <row r="2092" spans="1:7" ht="15" customHeight="1" x14ac:dyDescent="0.2">
      <c r="A2092" s="19" t="s">
        <v>2239</v>
      </c>
      <c r="B2092" s="50">
        <v>164.404</v>
      </c>
      <c r="C2092" s="50">
        <v>2797.8</v>
      </c>
      <c r="D2092" s="51">
        <v>34189209.271913998</v>
      </c>
      <c r="E2092" s="51">
        <v>3198066667</v>
      </c>
      <c r="F2092" s="52">
        <f t="shared" si="68"/>
        <v>-1.2163864384446039E-2</v>
      </c>
      <c r="G2092" s="52">
        <f t="shared" si="69"/>
        <v>-5.395641810268519E-4</v>
      </c>
    </row>
    <row r="2093" spans="1:7" ht="15" customHeight="1" x14ac:dyDescent="0.2">
      <c r="A2093" s="19" t="s">
        <v>2240</v>
      </c>
      <c r="B2093" s="50">
        <v>167.42400000000001</v>
      </c>
      <c r="C2093" s="50">
        <v>2836.74</v>
      </c>
      <c r="D2093" s="51">
        <v>35768314.507169999</v>
      </c>
      <c r="E2093" s="51">
        <v>2985822222</v>
      </c>
      <c r="F2093" s="52">
        <f t="shared" si="68"/>
        <v>1.8202703728292993E-2</v>
      </c>
      <c r="G2093" s="52">
        <f t="shared" si="69"/>
        <v>1.3822111461719605E-2</v>
      </c>
    </row>
    <row r="2094" spans="1:7" ht="15" customHeight="1" x14ac:dyDescent="0.2">
      <c r="A2094" s="19" t="s">
        <v>2241</v>
      </c>
      <c r="B2094" s="50">
        <v>166.93600000000001</v>
      </c>
      <c r="C2094" s="50">
        <v>2878.48</v>
      </c>
      <c r="D2094" s="51">
        <v>34610000.541644</v>
      </c>
      <c r="E2094" s="51">
        <v>2885700000</v>
      </c>
      <c r="F2094" s="52">
        <f t="shared" si="68"/>
        <v>-2.9190115235404944E-3</v>
      </c>
      <c r="G2094" s="52">
        <f t="shared" si="69"/>
        <v>1.4606871524449172E-2</v>
      </c>
    </row>
    <row r="2095" spans="1:7" ht="15" customHeight="1" x14ac:dyDescent="0.2">
      <c r="A2095" s="19" t="s">
        <v>2242</v>
      </c>
      <c r="B2095" s="50">
        <v>162.86099999999999</v>
      </c>
      <c r="C2095" s="50">
        <v>2863.39</v>
      </c>
      <c r="D2095" s="51">
        <v>35859414.861841999</v>
      </c>
      <c r="E2095" s="51">
        <v>3151600000</v>
      </c>
      <c r="F2095" s="52">
        <f t="shared" si="68"/>
        <v>-2.4713429167796064E-2</v>
      </c>
      <c r="G2095" s="52">
        <f t="shared" si="69"/>
        <v>-5.2561394601198371E-3</v>
      </c>
    </row>
    <row r="2096" spans="1:7" ht="15" customHeight="1" x14ac:dyDescent="0.2">
      <c r="A2096" s="19" t="s">
        <v>2243</v>
      </c>
      <c r="B2096" s="50">
        <v>170.18799999999999</v>
      </c>
      <c r="C2096" s="50">
        <v>2939.51</v>
      </c>
      <c r="D2096" s="51">
        <v>53473739.746987</v>
      </c>
      <c r="E2096" s="51">
        <v>3677855556</v>
      </c>
      <c r="F2096" s="52">
        <f t="shared" si="68"/>
        <v>4.4006632102474824E-2</v>
      </c>
      <c r="G2096" s="52">
        <f t="shared" si="69"/>
        <v>2.6236663207249239E-2</v>
      </c>
    </row>
    <row r="2097" spans="1:7" ht="15" customHeight="1" x14ac:dyDescent="0.2">
      <c r="A2097" s="19" t="s">
        <v>2244</v>
      </c>
      <c r="B2097" s="50">
        <v>171.87799999999999</v>
      </c>
      <c r="C2097" s="50">
        <v>2912.43</v>
      </c>
      <c r="D2097" s="51">
        <v>56173460.943033002</v>
      </c>
      <c r="E2097" s="51">
        <v>3623955556</v>
      </c>
      <c r="F2097" s="52">
        <f t="shared" si="68"/>
        <v>9.8812144481989182E-3</v>
      </c>
      <c r="G2097" s="52">
        <f t="shared" si="69"/>
        <v>-9.2551165252656598E-3</v>
      </c>
    </row>
    <row r="2098" spans="1:7" ht="15" customHeight="1" x14ac:dyDescent="0.2">
      <c r="A2098" s="19" t="s">
        <v>2245</v>
      </c>
      <c r="B2098" s="50">
        <v>167.44399999999999</v>
      </c>
      <c r="C2098" s="50">
        <v>2830.71</v>
      </c>
      <c r="D2098" s="51">
        <v>41049478.270398997</v>
      </c>
      <c r="E2098" s="51">
        <v>2640644444</v>
      </c>
      <c r="F2098" s="52">
        <f t="shared" si="68"/>
        <v>-2.6135955807234587E-2</v>
      </c>
      <c r="G2098" s="52">
        <f t="shared" si="69"/>
        <v>-2.8460220686828817E-2</v>
      </c>
    </row>
    <row r="2099" spans="1:7" ht="15" customHeight="1" x14ac:dyDescent="0.2">
      <c r="A2099" s="19" t="s">
        <v>2246</v>
      </c>
      <c r="B2099" s="50">
        <v>171.524</v>
      </c>
      <c r="C2099" s="50">
        <v>2842.74</v>
      </c>
      <c r="D2099" s="51">
        <v>31668150.470008001</v>
      </c>
      <c r="E2099" s="51">
        <v>2623966667</v>
      </c>
      <c r="F2099" s="52">
        <f t="shared" si="68"/>
        <v>2.4074231499304787E-2</v>
      </c>
      <c r="G2099" s="52">
        <f t="shared" si="69"/>
        <v>4.2408122145938705E-3</v>
      </c>
    </row>
    <row r="2100" spans="1:7" ht="15" customHeight="1" x14ac:dyDescent="0.2">
      <c r="A2100" s="19" t="s">
        <v>2247</v>
      </c>
      <c r="B2100" s="50">
        <v>173.37100000000001</v>
      </c>
      <c r="C2100" s="50">
        <v>2868.44</v>
      </c>
      <c r="D2100" s="51">
        <v>38410219.673625</v>
      </c>
      <c r="E2100" s="51">
        <v>2849772222</v>
      </c>
      <c r="F2100" s="52">
        <f t="shared" si="68"/>
        <v>1.0710608485742876E-2</v>
      </c>
      <c r="G2100" s="52">
        <f t="shared" si="69"/>
        <v>8.9999521895380505E-3</v>
      </c>
    </row>
    <row r="2101" spans="1:7" ht="15" customHeight="1" x14ac:dyDescent="0.2">
      <c r="A2101" s="19" t="s">
        <v>2248</v>
      </c>
      <c r="B2101" s="50">
        <v>175.071</v>
      </c>
      <c r="C2101" s="50">
        <v>2848.42</v>
      </c>
      <c r="D2101" s="51">
        <v>33509920.323472999</v>
      </c>
      <c r="E2101" s="51">
        <v>2701066667</v>
      </c>
      <c r="F2101" s="52">
        <f t="shared" si="68"/>
        <v>9.7577989376669196E-3</v>
      </c>
      <c r="G2101" s="52">
        <f t="shared" si="69"/>
        <v>-7.0038733986003436E-3</v>
      </c>
    </row>
    <row r="2102" spans="1:7" ht="15" customHeight="1" x14ac:dyDescent="0.2">
      <c r="A2102" s="19" t="s">
        <v>2249</v>
      </c>
      <c r="B2102" s="50">
        <v>176.08799999999999</v>
      </c>
      <c r="C2102" s="50">
        <v>2881.19</v>
      </c>
      <c r="D2102" s="51">
        <v>29523564.925526999</v>
      </c>
      <c r="E2102" s="51">
        <v>2869244444</v>
      </c>
      <c r="F2102" s="52">
        <f t="shared" si="68"/>
        <v>5.7922641503613693E-3</v>
      </c>
      <c r="G2102" s="52">
        <f t="shared" si="69"/>
        <v>1.1438948664053582E-2</v>
      </c>
    </row>
    <row r="2103" spans="1:7" ht="15" customHeight="1" x14ac:dyDescent="0.2">
      <c r="A2103" s="19" t="s">
        <v>2250</v>
      </c>
      <c r="B2103" s="50">
        <v>177.14099999999999</v>
      </c>
      <c r="C2103" s="50">
        <v>2929.8</v>
      </c>
      <c r="D2103" s="51">
        <v>32230946.328285001</v>
      </c>
      <c r="E2103" s="51">
        <v>2698422222</v>
      </c>
      <c r="F2103" s="52">
        <f t="shared" si="68"/>
        <v>5.9621555380424008E-3</v>
      </c>
      <c r="G2103" s="52">
        <f t="shared" si="69"/>
        <v>1.6730758062550522E-2</v>
      </c>
    </row>
    <row r="2104" spans="1:7" ht="15" customHeight="1" x14ac:dyDescent="0.2">
      <c r="A2104" s="19" t="s">
        <v>2251</v>
      </c>
      <c r="B2104" s="50">
        <v>179.08600000000001</v>
      </c>
      <c r="C2104" s="50">
        <v>2930.19</v>
      </c>
      <c r="D2104" s="51">
        <v>32210117.773699999</v>
      </c>
      <c r="E2104" s="51">
        <v>2596977372</v>
      </c>
      <c r="F2104" s="52">
        <f t="shared" si="68"/>
        <v>1.0920111772612883E-2</v>
      </c>
      <c r="G2104" s="52">
        <f t="shared" si="69"/>
        <v>1.3310602938770966E-4</v>
      </c>
    </row>
    <row r="2105" spans="1:7" ht="15" customHeight="1" x14ac:dyDescent="0.2">
      <c r="A2105" s="19" t="s">
        <v>2252</v>
      </c>
      <c r="B2105" s="50">
        <v>175.041</v>
      </c>
      <c r="C2105" s="50">
        <v>2870.12</v>
      </c>
      <c r="D2105" s="51">
        <v>33404506.992341001</v>
      </c>
      <c r="E2105" s="51">
        <v>2661481924</v>
      </c>
      <c r="F2105" s="52">
        <f t="shared" si="68"/>
        <v>-2.2845905193270385E-2</v>
      </c>
      <c r="G2105" s="52">
        <f t="shared" si="69"/>
        <v>-2.0713426598791537E-2</v>
      </c>
    </row>
    <row r="2106" spans="1:7" ht="15" customHeight="1" x14ac:dyDescent="0.2">
      <c r="A2106" s="19" t="s">
        <v>2253</v>
      </c>
      <c r="B2106" s="50">
        <v>172.404</v>
      </c>
      <c r="C2106" s="50">
        <v>2820</v>
      </c>
      <c r="D2106" s="51">
        <v>46618265.288473003</v>
      </c>
      <c r="E2106" s="51">
        <v>3538682040</v>
      </c>
      <c r="F2106" s="52">
        <f t="shared" si="68"/>
        <v>-1.5179672380605391E-2</v>
      </c>
      <c r="G2106" s="52">
        <f t="shared" si="69"/>
        <v>-1.7616955794106534E-2</v>
      </c>
    </row>
    <row r="2107" spans="1:7" ht="15" customHeight="1" x14ac:dyDescent="0.2">
      <c r="A2107" s="19" t="s">
        <v>2254</v>
      </c>
      <c r="B2107" s="50">
        <v>173.14500000000001</v>
      </c>
      <c r="C2107" s="50">
        <v>2852.5</v>
      </c>
      <c r="D2107" s="51">
        <v>43659675.791579999</v>
      </c>
      <c r="E2107" s="51">
        <v>3342014465</v>
      </c>
      <c r="F2107" s="52">
        <f t="shared" si="68"/>
        <v>4.2888339184030495E-3</v>
      </c>
      <c r="G2107" s="52">
        <f t="shared" si="69"/>
        <v>1.1458917804071491E-2</v>
      </c>
    </row>
    <row r="2108" spans="1:7" ht="15" customHeight="1" x14ac:dyDescent="0.2">
      <c r="A2108" s="19" t="s">
        <v>2255</v>
      </c>
      <c r="B2108" s="50">
        <v>175.65700000000001</v>
      </c>
      <c r="C2108" s="50">
        <v>2863.7</v>
      </c>
      <c r="D2108" s="51">
        <v>48598142.055137999</v>
      </c>
      <c r="E2108" s="51">
        <v>3291068217</v>
      </c>
      <c r="F2108" s="52">
        <f t="shared" si="68"/>
        <v>1.4403836161147843E-2</v>
      </c>
      <c r="G2108" s="52">
        <f t="shared" si="69"/>
        <v>3.9186922544353266E-3</v>
      </c>
    </row>
    <row r="2109" spans="1:7" ht="15" customHeight="1" x14ac:dyDescent="0.2">
      <c r="A2109" s="19" t="s">
        <v>2256</v>
      </c>
      <c r="B2109" s="50">
        <v>177.35599999999999</v>
      </c>
      <c r="C2109" s="50">
        <v>2953.91</v>
      </c>
      <c r="D2109" s="51">
        <v>36812316.114997</v>
      </c>
      <c r="E2109" s="51">
        <v>3637568897</v>
      </c>
      <c r="F2109" s="52">
        <f t="shared" si="68"/>
        <v>9.6257821580511566E-3</v>
      </c>
      <c r="G2109" s="52">
        <f t="shared" si="69"/>
        <v>3.1015221473356874E-2</v>
      </c>
    </row>
    <row r="2110" spans="1:7" ht="15" customHeight="1" x14ac:dyDescent="0.2">
      <c r="A2110" s="19" t="s">
        <v>2257</v>
      </c>
      <c r="B2110" s="50">
        <v>176.11600000000001</v>
      </c>
      <c r="C2110" s="50">
        <v>2922.94</v>
      </c>
      <c r="D2110" s="51">
        <v>27941998.431659002</v>
      </c>
      <c r="E2110" s="51">
        <v>2852880746</v>
      </c>
      <c r="F2110" s="52">
        <f t="shared" si="68"/>
        <v>-7.0161432119653462E-3</v>
      </c>
      <c r="G2110" s="52">
        <f t="shared" si="69"/>
        <v>-1.0539757419425795E-2</v>
      </c>
    </row>
    <row r="2111" spans="1:7" ht="15" customHeight="1" x14ac:dyDescent="0.2">
      <c r="A2111" s="19" t="s">
        <v>2258</v>
      </c>
      <c r="B2111" s="50">
        <v>178.56899999999999</v>
      </c>
      <c r="C2111" s="50">
        <v>2971.61</v>
      </c>
      <c r="D2111" s="51">
        <v>32503987.342519999</v>
      </c>
      <c r="E2111" s="51">
        <v>2845135067</v>
      </c>
      <c r="F2111" s="52">
        <f t="shared" si="68"/>
        <v>1.3832212306333691E-2</v>
      </c>
      <c r="G2111" s="52">
        <f t="shared" si="69"/>
        <v>1.6513934417861521E-2</v>
      </c>
    </row>
    <row r="2112" spans="1:7" ht="15" customHeight="1" x14ac:dyDescent="0.2">
      <c r="A2112" s="19" t="s">
        <v>2259</v>
      </c>
      <c r="B2112" s="50">
        <v>176.41800000000001</v>
      </c>
      <c r="C2112" s="50">
        <v>2948.51</v>
      </c>
      <c r="D2112" s="51">
        <v>30277027.444678001</v>
      </c>
      <c r="E2112" s="51">
        <v>2778169917</v>
      </c>
      <c r="F2112" s="52">
        <f t="shared" si="68"/>
        <v>-1.2118901965345052E-2</v>
      </c>
      <c r="G2112" s="52">
        <f t="shared" si="69"/>
        <v>-7.803935472623133E-3</v>
      </c>
    </row>
    <row r="2113" spans="1:7" ht="15" customHeight="1" x14ac:dyDescent="0.2">
      <c r="A2113" s="19" t="s">
        <v>2260</v>
      </c>
      <c r="B2113" s="50">
        <v>176.49600000000001</v>
      </c>
      <c r="C2113" s="50">
        <v>2955.45</v>
      </c>
      <c r="D2113" s="51">
        <v>21654777.805491999</v>
      </c>
      <c r="E2113" s="51">
        <v>2184181839</v>
      </c>
      <c r="F2113" s="52">
        <f t="shared" si="68"/>
        <v>4.4203404381829703E-4</v>
      </c>
      <c r="G2113" s="52">
        <f t="shared" si="69"/>
        <v>2.3509655202508628E-3</v>
      </c>
    </row>
    <row r="2114" spans="1:7" ht="15" customHeight="1" x14ac:dyDescent="0.2">
      <c r="A2114" s="19" t="s">
        <v>2261</v>
      </c>
      <c r="B2114" s="50">
        <v>174.62200000000001</v>
      </c>
      <c r="C2114" s="50">
        <v>2991.77</v>
      </c>
      <c r="D2114" s="51">
        <v>37507553.077335998</v>
      </c>
      <c r="E2114" s="51">
        <v>3349414121</v>
      </c>
      <c r="F2114" s="52">
        <f t="shared" si="68"/>
        <v>-1.0674575468195183E-2</v>
      </c>
      <c r="G2114" s="52">
        <f t="shared" si="69"/>
        <v>1.2214261971750162E-2</v>
      </c>
    </row>
    <row r="2115" spans="1:7" ht="15" customHeight="1" x14ac:dyDescent="0.2">
      <c r="A2115" s="19" t="s">
        <v>2262</v>
      </c>
      <c r="B2115" s="50">
        <v>174.85400000000001</v>
      </c>
      <c r="C2115" s="50">
        <v>3036.13</v>
      </c>
      <c r="D2115" s="51">
        <v>41087971.781767003</v>
      </c>
      <c r="E2115" s="51">
        <v>3652902255</v>
      </c>
      <c r="F2115" s="52">
        <f t="shared" si="68"/>
        <v>1.3277022403865343E-3</v>
      </c>
      <c r="G2115" s="52">
        <f t="shared" si="69"/>
        <v>1.4718492616296689E-2</v>
      </c>
    </row>
    <row r="2116" spans="1:7" ht="15" customHeight="1" x14ac:dyDescent="0.2">
      <c r="A2116" s="19" t="s">
        <v>2263</v>
      </c>
      <c r="B2116" s="50">
        <v>174.47499999999999</v>
      </c>
      <c r="C2116" s="50">
        <v>3029.73</v>
      </c>
      <c r="D2116" s="51">
        <v>35176654.146365002</v>
      </c>
      <c r="E2116" s="51">
        <v>3136898114</v>
      </c>
      <c r="F2116" s="52">
        <f t="shared" si="68"/>
        <v>-2.169875096001968E-3</v>
      </c>
      <c r="G2116" s="52">
        <f t="shared" si="69"/>
        <v>-2.1101714760443074E-3</v>
      </c>
    </row>
    <row r="2117" spans="1:7" ht="15" customHeight="1" x14ac:dyDescent="0.2">
      <c r="A2117" s="19" t="s">
        <v>2264</v>
      </c>
      <c r="B2117" s="50">
        <v>176.24199999999999</v>
      </c>
      <c r="C2117" s="50">
        <v>3044.31</v>
      </c>
      <c r="D2117" s="51">
        <v>43822072.788217999</v>
      </c>
      <c r="E2117" s="51">
        <v>4372835504</v>
      </c>
      <c r="F2117" s="52">
        <f t="shared" si="68"/>
        <v>1.0076585688080283E-2</v>
      </c>
      <c r="G2117" s="52">
        <f t="shared" si="69"/>
        <v>4.8007678588045241E-3</v>
      </c>
    </row>
    <row r="2118" spans="1:7" ht="15" customHeight="1" x14ac:dyDescent="0.2">
      <c r="A2118" s="19" t="s">
        <v>2265</v>
      </c>
      <c r="B2118" s="50">
        <v>175.83099999999999</v>
      </c>
      <c r="C2118" s="50">
        <v>3055.73</v>
      </c>
      <c r="D2118" s="51">
        <v>23569916.508673001</v>
      </c>
      <c r="E2118" s="51">
        <v>2494242374</v>
      </c>
      <c r="F2118" s="52">
        <f t="shared" ref="F2118:F2181" si="70">LN(B2118/B2117)</f>
        <v>-2.334744139412977E-3</v>
      </c>
      <c r="G2118" s="52">
        <f t="shared" ref="G2118:G2181" si="71">LN(C2118/C2117)</f>
        <v>3.744242117017055E-3</v>
      </c>
    </row>
    <row r="2119" spans="1:7" ht="15" customHeight="1" x14ac:dyDescent="0.2">
      <c r="A2119" s="19" t="s">
        <v>2266</v>
      </c>
      <c r="B2119" s="50">
        <v>177.84399999999999</v>
      </c>
      <c r="C2119" s="50">
        <v>3080.82</v>
      </c>
      <c r="D2119" s="51">
        <v>32018685.296918001</v>
      </c>
      <c r="E2119" s="51">
        <v>2800242756</v>
      </c>
      <c r="F2119" s="52">
        <f t="shared" si="70"/>
        <v>1.1383455078869587E-2</v>
      </c>
      <c r="G2119" s="52">
        <f t="shared" si="71"/>
        <v>8.177278702023465E-3</v>
      </c>
    </row>
    <row r="2120" spans="1:7" ht="15" customHeight="1" x14ac:dyDescent="0.2">
      <c r="A2120" s="19" t="s">
        <v>2267</v>
      </c>
      <c r="B2120" s="50">
        <v>178.28200000000001</v>
      </c>
      <c r="C2120" s="50">
        <v>3122.87</v>
      </c>
      <c r="D2120" s="51">
        <v>28396641.221678998</v>
      </c>
      <c r="E2120" s="51">
        <v>3152227961</v>
      </c>
      <c r="F2120" s="52">
        <f t="shared" si="70"/>
        <v>2.4598047929572826E-3</v>
      </c>
      <c r="G2120" s="52">
        <f t="shared" si="71"/>
        <v>1.3556655475681826E-2</v>
      </c>
    </row>
    <row r="2121" spans="1:7" ht="15" customHeight="1" x14ac:dyDescent="0.2">
      <c r="A2121" s="19" t="s">
        <v>2268</v>
      </c>
      <c r="B2121" s="50">
        <v>175.91800000000001</v>
      </c>
      <c r="C2121" s="50">
        <v>3112.35</v>
      </c>
      <c r="D2121" s="51">
        <v>29905106.082341999</v>
      </c>
      <c r="E2121" s="51">
        <v>3731253343</v>
      </c>
      <c r="F2121" s="52">
        <f t="shared" si="70"/>
        <v>-1.334858894583087E-2</v>
      </c>
      <c r="G2121" s="52">
        <f t="shared" si="71"/>
        <v>-3.3743829350457951E-3</v>
      </c>
    </row>
    <row r="2122" spans="1:7" ht="15" customHeight="1" x14ac:dyDescent="0.2">
      <c r="A2122" s="19" t="s">
        <v>2269</v>
      </c>
      <c r="B2122" s="50">
        <v>180.042</v>
      </c>
      <c r="C2122" s="50">
        <v>3193.93</v>
      </c>
      <c r="D2122" s="51">
        <v>41479435.783206999</v>
      </c>
      <c r="E2122" s="51">
        <v>4794161515</v>
      </c>
      <c r="F2122" s="52">
        <f t="shared" si="70"/>
        <v>2.3172179627676783E-2</v>
      </c>
      <c r="G2122" s="52">
        <f t="shared" si="71"/>
        <v>2.5874065601552972E-2</v>
      </c>
    </row>
    <row r="2123" spans="1:7" ht="15" customHeight="1" x14ac:dyDescent="0.2">
      <c r="A2123" s="19" t="s">
        <v>2270</v>
      </c>
      <c r="B2123" s="50">
        <v>181.16499999999999</v>
      </c>
      <c r="C2123" s="50">
        <v>3232.39</v>
      </c>
      <c r="D2123" s="51">
        <v>34531767.532329001</v>
      </c>
      <c r="E2123" s="51">
        <v>3706403397</v>
      </c>
      <c r="F2123" s="52">
        <f t="shared" si="70"/>
        <v>6.218061213267536E-3</v>
      </c>
      <c r="G2123" s="52">
        <f t="shared" si="71"/>
        <v>1.1969668235859062E-2</v>
      </c>
    </row>
    <row r="2124" spans="1:7" ht="15" customHeight="1" x14ac:dyDescent="0.2">
      <c r="A2124" s="19" t="s">
        <v>2271</v>
      </c>
      <c r="B2124" s="50">
        <v>182.55199999999999</v>
      </c>
      <c r="C2124" s="50">
        <v>3207.18</v>
      </c>
      <c r="D2124" s="51">
        <v>30967841.513006002</v>
      </c>
      <c r="E2124" s="51">
        <v>3172476044</v>
      </c>
      <c r="F2124" s="52">
        <f t="shared" si="70"/>
        <v>7.6268457253000788E-3</v>
      </c>
      <c r="G2124" s="52">
        <f t="shared" si="71"/>
        <v>-7.8297553381980623E-3</v>
      </c>
    </row>
    <row r="2125" spans="1:7" ht="15" customHeight="1" x14ac:dyDescent="0.2">
      <c r="A2125" s="19" t="s">
        <v>2272</v>
      </c>
      <c r="B2125" s="50">
        <v>189.32</v>
      </c>
      <c r="C2125" s="50">
        <v>3190.14</v>
      </c>
      <c r="D2125" s="51">
        <v>45616274.007045999</v>
      </c>
      <c r="E2125" s="51">
        <v>3577280352</v>
      </c>
      <c r="F2125" s="52">
        <f t="shared" si="70"/>
        <v>3.6403641093924292E-2</v>
      </c>
      <c r="G2125" s="52">
        <f t="shared" si="71"/>
        <v>-5.3272433765708446E-3</v>
      </c>
    </row>
    <row r="2126" spans="1:7" ht="15" customHeight="1" x14ac:dyDescent="0.2">
      <c r="A2126" s="19" t="s">
        <v>2273</v>
      </c>
      <c r="B2126" s="50">
        <v>179.13300000000001</v>
      </c>
      <c r="C2126" s="50">
        <v>3002.1</v>
      </c>
      <c r="D2126" s="51">
        <v>54955671.338844001</v>
      </c>
      <c r="E2126" s="51">
        <v>4119364753</v>
      </c>
      <c r="F2126" s="52">
        <f t="shared" si="70"/>
        <v>-5.5310158337811041E-2</v>
      </c>
      <c r="G2126" s="52">
        <f t="shared" si="71"/>
        <v>-6.0752759198692892E-2</v>
      </c>
    </row>
    <row r="2127" spans="1:7" ht="15" customHeight="1" x14ac:dyDescent="0.2">
      <c r="A2127" s="19" t="s">
        <v>2274</v>
      </c>
      <c r="B2127" s="50">
        <v>180.559</v>
      </c>
      <c r="C2127" s="50">
        <v>3041.31</v>
      </c>
      <c r="D2127" s="51">
        <v>45097709.136537001</v>
      </c>
      <c r="E2127" s="51">
        <v>3379014946</v>
      </c>
      <c r="F2127" s="52">
        <f t="shared" si="70"/>
        <v>7.9290474684969893E-3</v>
      </c>
      <c r="G2127" s="52">
        <f t="shared" si="71"/>
        <v>1.2976299868566436E-2</v>
      </c>
    </row>
    <row r="2128" spans="1:7" ht="15" customHeight="1" x14ac:dyDescent="0.2">
      <c r="A2128" s="19" t="s">
        <v>2275</v>
      </c>
      <c r="B2128" s="50">
        <v>181.72200000000001</v>
      </c>
      <c r="C2128" s="50">
        <v>3066.59</v>
      </c>
      <c r="D2128" s="51">
        <v>34072979.302992001</v>
      </c>
      <c r="E2128" s="51">
        <v>3208285727</v>
      </c>
      <c r="F2128" s="52">
        <f t="shared" si="70"/>
        <v>6.4204526051138758E-3</v>
      </c>
      <c r="G2128" s="52">
        <f t="shared" si="71"/>
        <v>8.277851423430304E-3</v>
      </c>
    </row>
    <row r="2129" spans="1:7" ht="15" customHeight="1" x14ac:dyDescent="0.2">
      <c r="A2129" s="19" t="s">
        <v>2276</v>
      </c>
      <c r="B2129" s="50">
        <v>186.17500000000001</v>
      </c>
      <c r="C2129" s="50">
        <v>3124.74</v>
      </c>
      <c r="D2129" s="51">
        <v>44248304.627112001</v>
      </c>
      <c r="E2129" s="51">
        <v>3290522357</v>
      </c>
      <c r="F2129" s="52">
        <f t="shared" si="70"/>
        <v>2.4209044822862409E-2</v>
      </c>
      <c r="G2129" s="52">
        <f t="shared" si="71"/>
        <v>1.878488465267299E-2</v>
      </c>
    </row>
    <row r="2130" spans="1:7" ht="15" customHeight="1" x14ac:dyDescent="0.2">
      <c r="A2130" s="19" t="s">
        <v>2277</v>
      </c>
      <c r="B2130" s="50">
        <v>186.81299999999999</v>
      </c>
      <c r="C2130" s="50">
        <v>3113.49</v>
      </c>
      <c r="D2130" s="51">
        <v>26708925.271494001</v>
      </c>
      <c r="E2130" s="51">
        <v>2482661567</v>
      </c>
      <c r="F2130" s="52">
        <f t="shared" si="70"/>
        <v>3.4210249242937057E-3</v>
      </c>
      <c r="G2130" s="52">
        <f t="shared" si="71"/>
        <v>-3.6067962213368692E-3</v>
      </c>
    </row>
    <row r="2131" spans="1:7" ht="15" customHeight="1" x14ac:dyDescent="0.2">
      <c r="A2131" s="19" t="s">
        <v>2278</v>
      </c>
      <c r="B2131" s="50">
        <v>188.821</v>
      </c>
      <c r="C2131" s="50">
        <v>3115.34</v>
      </c>
      <c r="D2131" s="51">
        <v>23978359.508797001</v>
      </c>
      <c r="E2131" s="51">
        <v>2406434155</v>
      </c>
      <c r="F2131" s="52">
        <f t="shared" si="70"/>
        <v>1.0691359818490731E-2</v>
      </c>
      <c r="G2131" s="52">
        <f t="shared" si="71"/>
        <v>5.9401205504019245E-4</v>
      </c>
    </row>
    <row r="2132" spans="1:7" ht="15" customHeight="1" x14ac:dyDescent="0.2">
      <c r="A2132" s="19" t="s">
        <v>2279</v>
      </c>
      <c r="B2132" s="50">
        <v>187.679</v>
      </c>
      <c r="C2132" s="50">
        <v>3097.74</v>
      </c>
      <c r="D2132" s="51">
        <v>46207697.865877002</v>
      </c>
      <c r="E2132" s="51">
        <v>4998415138</v>
      </c>
      <c r="F2132" s="52">
        <f t="shared" si="70"/>
        <v>-6.0664196667672698E-3</v>
      </c>
      <c r="G2132" s="52">
        <f t="shared" si="71"/>
        <v>-5.6654822009647747E-3</v>
      </c>
    </row>
    <row r="2133" spans="1:7" ht="15" customHeight="1" x14ac:dyDescent="0.2">
      <c r="A2133" s="19" t="s">
        <v>2280</v>
      </c>
      <c r="B2133" s="50">
        <v>192.90600000000001</v>
      </c>
      <c r="C2133" s="50">
        <v>3117.86</v>
      </c>
      <c r="D2133" s="51">
        <v>34123498.581276998</v>
      </c>
      <c r="E2133" s="51">
        <v>2572599763</v>
      </c>
      <c r="F2133" s="52">
        <f t="shared" si="70"/>
        <v>2.7469966954298285E-2</v>
      </c>
      <c r="G2133" s="52">
        <f t="shared" si="71"/>
        <v>6.4740556904391263E-3</v>
      </c>
    </row>
    <row r="2134" spans="1:7" ht="15" customHeight="1" x14ac:dyDescent="0.2">
      <c r="A2134" s="19" t="s">
        <v>2281</v>
      </c>
      <c r="B2134" s="50">
        <v>194.19499999999999</v>
      </c>
      <c r="C2134" s="50">
        <v>3131.29</v>
      </c>
      <c r="D2134" s="51">
        <v>32146430.147546999</v>
      </c>
      <c r="E2134" s="51">
        <v>2736647372</v>
      </c>
      <c r="F2134" s="52">
        <f t="shared" si="70"/>
        <v>6.6597852458139279E-3</v>
      </c>
      <c r="G2134" s="52">
        <f t="shared" si="71"/>
        <v>4.2981911703125365E-3</v>
      </c>
    </row>
    <row r="2135" spans="1:7" ht="15" customHeight="1" x14ac:dyDescent="0.2">
      <c r="A2135" s="19" t="s">
        <v>2282</v>
      </c>
      <c r="B2135" s="50">
        <v>190.27600000000001</v>
      </c>
      <c r="C2135" s="50">
        <v>3050.33</v>
      </c>
      <c r="D2135" s="51">
        <v>38201105.858969003</v>
      </c>
      <c r="E2135" s="51">
        <v>3216148237</v>
      </c>
      <c r="F2135" s="52">
        <f t="shared" si="70"/>
        <v>-2.0387159182017708E-2</v>
      </c>
      <c r="G2135" s="52">
        <f t="shared" si="71"/>
        <v>-2.6195278732754491E-2</v>
      </c>
    </row>
    <row r="2136" spans="1:7" ht="15" customHeight="1" x14ac:dyDescent="0.2">
      <c r="A2136" s="19" t="s">
        <v>2283</v>
      </c>
      <c r="B2136" s="50">
        <v>192.68100000000001</v>
      </c>
      <c r="C2136" s="50">
        <v>3083.76</v>
      </c>
      <c r="D2136" s="51">
        <v>28909152.256007001</v>
      </c>
      <c r="E2136" s="51">
        <v>2738077000</v>
      </c>
      <c r="F2136" s="52">
        <f t="shared" si="70"/>
        <v>1.2560322009983816E-2</v>
      </c>
      <c r="G2136" s="52">
        <f t="shared" si="71"/>
        <v>1.0899850173409288E-2</v>
      </c>
    </row>
    <row r="2137" spans="1:7" ht="15" customHeight="1" x14ac:dyDescent="0.2">
      <c r="A2137" s="19" t="s">
        <v>2284</v>
      </c>
      <c r="B2137" s="50">
        <v>188.83099999999999</v>
      </c>
      <c r="C2137" s="50">
        <v>3009.05</v>
      </c>
      <c r="D2137" s="51">
        <v>56849169.599721</v>
      </c>
      <c r="E2137" s="51">
        <v>4393618253</v>
      </c>
      <c r="F2137" s="52">
        <f t="shared" si="70"/>
        <v>-2.0183536552660013E-2</v>
      </c>
      <c r="G2137" s="52">
        <f t="shared" si="71"/>
        <v>-2.4525217335129464E-2</v>
      </c>
    </row>
    <row r="2138" spans="1:7" ht="15" customHeight="1" x14ac:dyDescent="0.2">
      <c r="A2138" s="19" t="s">
        <v>2285</v>
      </c>
      <c r="B2138" s="50">
        <v>190.85300000000001</v>
      </c>
      <c r="C2138" s="50">
        <v>3053.24</v>
      </c>
      <c r="D2138" s="51">
        <v>27762985.891745999</v>
      </c>
      <c r="E2138" s="51">
        <v>2650231761</v>
      </c>
      <c r="F2138" s="52">
        <f t="shared" si="70"/>
        <v>1.065106307071529E-2</v>
      </c>
      <c r="G2138" s="52">
        <f t="shared" si="71"/>
        <v>1.4578907539069857E-2</v>
      </c>
    </row>
    <row r="2139" spans="1:7" ht="15" customHeight="1" x14ac:dyDescent="0.2">
      <c r="A2139" s="19" t="s">
        <v>2286</v>
      </c>
      <c r="B2139" s="50">
        <v>195.71899999999999</v>
      </c>
      <c r="C2139" s="50">
        <v>3100.29</v>
      </c>
      <c r="D2139" s="51">
        <v>35674134.507775001</v>
      </c>
      <c r="E2139" s="51">
        <v>2762700300</v>
      </c>
      <c r="F2139" s="52">
        <f t="shared" si="70"/>
        <v>2.5176458849136725E-2</v>
      </c>
      <c r="G2139" s="52">
        <f t="shared" si="71"/>
        <v>1.529233363768146E-2</v>
      </c>
    </row>
    <row r="2140" spans="1:7" ht="15" customHeight="1" x14ac:dyDescent="0.2">
      <c r="A2140" s="19" t="s">
        <v>2287</v>
      </c>
      <c r="B2140" s="50">
        <v>196.87100000000001</v>
      </c>
      <c r="C2140" s="50">
        <v>3115.86</v>
      </c>
      <c r="D2140" s="51">
        <v>33335655.227898002</v>
      </c>
      <c r="E2140" s="51">
        <v>2709350469</v>
      </c>
      <c r="F2140" s="52">
        <f t="shared" si="70"/>
        <v>5.8687348451808563E-3</v>
      </c>
      <c r="G2140" s="52">
        <f t="shared" si="71"/>
        <v>5.0095420996641308E-3</v>
      </c>
    </row>
    <row r="2141" spans="1:7" ht="15" customHeight="1" x14ac:dyDescent="0.2">
      <c r="A2141" s="19" t="s">
        <v>2288</v>
      </c>
      <c r="B2141" s="50">
        <v>198.375</v>
      </c>
      <c r="C2141" s="50">
        <v>3130.01</v>
      </c>
      <c r="D2141" s="51">
        <v>30481077.455215</v>
      </c>
      <c r="E2141" s="51">
        <v>2332622404</v>
      </c>
      <c r="F2141" s="52">
        <f t="shared" si="70"/>
        <v>7.6104869333954387E-3</v>
      </c>
      <c r="G2141" s="52">
        <f t="shared" si="71"/>
        <v>4.5310018326532803E-3</v>
      </c>
    </row>
    <row r="2142" spans="1:7" ht="15" customHeight="1" x14ac:dyDescent="0.2">
      <c r="A2142" s="19" t="s">
        <v>2289</v>
      </c>
      <c r="B2142" s="50">
        <v>202.64400000000001</v>
      </c>
      <c r="C2142" s="50">
        <v>3179.72</v>
      </c>
      <c r="D2142" s="51">
        <v>33165575.500546999</v>
      </c>
      <c r="E2142" s="51">
        <v>2384007094</v>
      </c>
      <c r="F2142" s="52">
        <f t="shared" si="70"/>
        <v>2.1291566091426514E-2</v>
      </c>
      <c r="G2142" s="52">
        <f t="shared" si="71"/>
        <v>1.5756943165826313E-2</v>
      </c>
    </row>
    <row r="2143" spans="1:7" ht="15" customHeight="1" x14ac:dyDescent="0.2">
      <c r="A2143" s="19" t="s">
        <v>2290</v>
      </c>
      <c r="B2143" s="50">
        <v>200.28899999999999</v>
      </c>
      <c r="C2143" s="50">
        <v>3145.32</v>
      </c>
      <c r="D2143" s="51">
        <v>34936378.381461002</v>
      </c>
      <c r="E2143" s="51">
        <v>2286066876</v>
      </c>
      <c r="F2143" s="52">
        <f t="shared" si="70"/>
        <v>-1.1689421397819599E-2</v>
      </c>
      <c r="G2143" s="52">
        <f t="shared" si="71"/>
        <v>-1.0877508816987262E-2</v>
      </c>
    </row>
    <row r="2144" spans="1:7" ht="15" customHeight="1" x14ac:dyDescent="0.2">
      <c r="A2144" s="19" t="s">
        <v>2291</v>
      </c>
      <c r="B2144" s="50">
        <v>204.702</v>
      </c>
      <c r="C2144" s="50">
        <v>3169.94</v>
      </c>
      <c r="D2144" s="51">
        <v>34935642.256275997</v>
      </c>
      <c r="E2144" s="51">
        <v>2397542535</v>
      </c>
      <c r="F2144" s="52">
        <f t="shared" si="70"/>
        <v>2.1793939475034798E-2</v>
      </c>
      <c r="G2144" s="52">
        <f t="shared" si="71"/>
        <v>7.7970264812917862E-3</v>
      </c>
    </row>
    <row r="2145" spans="1:7" ht="15" customHeight="1" x14ac:dyDescent="0.2">
      <c r="A2145" s="19" t="s">
        <v>2292</v>
      </c>
      <c r="B2145" s="50">
        <v>206.11199999999999</v>
      </c>
      <c r="C2145" s="50">
        <v>3152.05</v>
      </c>
      <c r="D2145" s="51">
        <v>34438284.753035001</v>
      </c>
      <c r="E2145" s="51">
        <v>2595438819</v>
      </c>
      <c r="F2145" s="52">
        <f t="shared" si="70"/>
        <v>6.8644473492652305E-3</v>
      </c>
      <c r="G2145" s="52">
        <f t="shared" si="71"/>
        <v>-5.6596254512879147E-3</v>
      </c>
    </row>
    <row r="2146" spans="1:7" ht="15" customHeight="1" x14ac:dyDescent="0.2">
      <c r="A2146" s="19" t="s">
        <v>2293</v>
      </c>
      <c r="B2146" s="50">
        <v>205.48599999999999</v>
      </c>
      <c r="C2146" s="50">
        <v>3185.04</v>
      </c>
      <c r="D2146" s="51">
        <v>27218206.159846</v>
      </c>
      <c r="E2146" s="51">
        <v>2408266859</v>
      </c>
      <c r="F2146" s="52">
        <f t="shared" si="70"/>
        <v>-3.0418052695890215E-3</v>
      </c>
      <c r="G2146" s="52">
        <f t="shared" si="71"/>
        <v>1.0411813000986475E-2</v>
      </c>
    </row>
    <row r="2147" spans="1:7" ht="15" customHeight="1" x14ac:dyDescent="0.2">
      <c r="A2147" s="19" t="s">
        <v>2294</v>
      </c>
      <c r="B2147" s="50">
        <v>199.166</v>
      </c>
      <c r="C2147" s="50">
        <v>3155.22</v>
      </c>
      <c r="D2147" s="51">
        <v>39651516.140437998</v>
      </c>
      <c r="E2147" s="51">
        <v>2694338924</v>
      </c>
      <c r="F2147" s="52">
        <f t="shared" si="70"/>
        <v>-3.1239257243272017E-2</v>
      </c>
      <c r="G2147" s="52">
        <f t="shared" si="71"/>
        <v>-9.4066236664834702E-3</v>
      </c>
    </row>
    <row r="2148" spans="1:7" ht="15" customHeight="1" x14ac:dyDescent="0.2">
      <c r="A2148" s="19" t="s">
        <v>2295</v>
      </c>
      <c r="B2148" s="50">
        <v>200.386</v>
      </c>
      <c r="C2148" s="50">
        <v>3197.52</v>
      </c>
      <c r="D2148" s="51">
        <v>39086112.617564999</v>
      </c>
      <c r="E2148" s="51">
        <v>2638225293</v>
      </c>
      <c r="F2148" s="52">
        <f t="shared" si="70"/>
        <v>6.1068586393063775E-3</v>
      </c>
      <c r="G2148" s="52">
        <f t="shared" si="71"/>
        <v>1.3317285189446137E-2</v>
      </c>
    </row>
    <row r="2149" spans="1:7" ht="15" customHeight="1" x14ac:dyDescent="0.2">
      <c r="A2149" s="19" t="s">
        <v>2296</v>
      </c>
      <c r="B2149" s="50">
        <v>200.08600000000001</v>
      </c>
      <c r="C2149" s="50">
        <v>3226.56</v>
      </c>
      <c r="D2149" s="51">
        <v>33458556.395291999</v>
      </c>
      <c r="E2149" s="51">
        <v>2849504498</v>
      </c>
      <c r="F2149" s="52">
        <f t="shared" si="70"/>
        <v>-1.4982323663950638E-3</v>
      </c>
      <c r="G2149" s="52">
        <f t="shared" si="71"/>
        <v>9.0410448847842075E-3</v>
      </c>
    </row>
    <row r="2150" spans="1:7" ht="15" customHeight="1" x14ac:dyDescent="0.2">
      <c r="A2150" s="19" t="s">
        <v>2297</v>
      </c>
      <c r="B2150" s="50">
        <v>196.108</v>
      </c>
      <c r="C2150" s="50">
        <v>3215.57</v>
      </c>
      <c r="D2150" s="51">
        <v>31130807.752487</v>
      </c>
      <c r="E2150" s="51">
        <v>2214117696</v>
      </c>
      <c r="F2150" s="52">
        <f t="shared" si="70"/>
        <v>-2.0081746241850544E-2</v>
      </c>
      <c r="G2150" s="52">
        <f t="shared" si="71"/>
        <v>-3.4119183131618158E-3</v>
      </c>
    </row>
    <row r="2151" spans="1:7" ht="15" customHeight="1" x14ac:dyDescent="0.2">
      <c r="A2151" s="19" t="s">
        <v>2298</v>
      </c>
      <c r="B2151" s="50">
        <v>195.13200000000001</v>
      </c>
      <c r="C2151" s="50">
        <v>3224.73</v>
      </c>
      <c r="D2151" s="51">
        <v>32892799.655188002</v>
      </c>
      <c r="E2151" s="51">
        <v>2219964739</v>
      </c>
      <c r="F2151" s="52">
        <f t="shared" si="70"/>
        <v>-4.9892752510942639E-3</v>
      </c>
      <c r="G2151" s="52">
        <f t="shared" si="71"/>
        <v>2.8445899031588197E-3</v>
      </c>
    </row>
    <row r="2152" spans="1:7" ht="15" customHeight="1" x14ac:dyDescent="0.2">
      <c r="A2152" s="19" t="s">
        <v>2299</v>
      </c>
      <c r="B2152" s="50">
        <v>203.524</v>
      </c>
      <c r="C2152" s="50">
        <v>3251.84</v>
      </c>
      <c r="D2152" s="51">
        <v>38351026.608747996</v>
      </c>
      <c r="E2152" s="51">
        <v>2171304615</v>
      </c>
      <c r="F2152" s="52">
        <f t="shared" si="70"/>
        <v>4.2107681415082795E-2</v>
      </c>
      <c r="G2152" s="52">
        <f t="shared" si="71"/>
        <v>8.3717641704647815E-3</v>
      </c>
    </row>
    <row r="2153" spans="1:7" ht="15" customHeight="1" x14ac:dyDescent="0.2">
      <c r="A2153" s="19" t="s">
        <v>2300</v>
      </c>
      <c r="B2153" s="50">
        <v>200.75800000000001</v>
      </c>
      <c r="C2153" s="50">
        <v>3257.3</v>
      </c>
      <c r="D2153" s="51">
        <v>39620500.596170999</v>
      </c>
      <c r="E2153" s="51">
        <v>2470338671</v>
      </c>
      <c r="F2153" s="52">
        <f t="shared" si="70"/>
        <v>-1.3683731453411488E-2</v>
      </c>
      <c r="G2153" s="52">
        <f t="shared" si="71"/>
        <v>1.6776413721593887E-3</v>
      </c>
    </row>
    <row r="2154" spans="1:7" ht="15" customHeight="1" x14ac:dyDescent="0.2">
      <c r="A2154" s="19" t="s">
        <v>2301</v>
      </c>
      <c r="B2154" s="50">
        <v>203.66900000000001</v>
      </c>
      <c r="C2154" s="50">
        <v>3276.02</v>
      </c>
      <c r="D2154" s="51">
        <v>51577543.725525998</v>
      </c>
      <c r="E2154" s="51">
        <v>2418091343</v>
      </c>
      <c r="F2154" s="52">
        <f t="shared" si="70"/>
        <v>1.439592447307989E-2</v>
      </c>
      <c r="G2154" s="52">
        <f t="shared" si="71"/>
        <v>5.7306396229577271E-3</v>
      </c>
    </row>
    <row r="2155" spans="1:7" ht="15" customHeight="1" x14ac:dyDescent="0.2">
      <c r="A2155" s="19" t="s">
        <v>2302</v>
      </c>
      <c r="B2155" s="50">
        <v>194.80099999999999</v>
      </c>
      <c r="C2155" s="50">
        <v>3235.66</v>
      </c>
      <c r="D2155" s="51">
        <v>70138484.644761994</v>
      </c>
      <c r="E2155" s="51">
        <v>2742056465</v>
      </c>
      <c r="F2155" s="52">
        <f t="shared" si="70"/>
        <v>-4.4517602400852577E-2</v>
      </c>
      <c r="G2155" s="52">
        <f t="shared" si="71"/>
        <v>-1.2396345287241563E-2</v>
      </c>
    </row>
    <row r="2156" spans="1:7" ht="15" customHeight="1" x14ac:dyDescent="0.2">
      <c r="A2156" s="19" t="s">
        <v>2303</v>
      </c>
      <c r="B2156" s="50">
        <v>193.60599999999999</v>
      </c>
      <c r="C2156" s="50">
        <v>3215.63</v>
      </c>
      <c r="D2156" s="51">
        <v>41410131.491182998</v>
      </c>
      <c r="E2156" s="51">
        <v>2460505182</v>
      </c>
      <c r="F2156" s="52">
        <f t="shared" si="70"/>
        <v>-6.1533585677044662E-3</v>
      </c>
      <c r="G2156" s="52">
        <f t="shared" si="71"/>
        <v>-6.2096307443050324E-3</v>
      </c>
    </row>
    <row r="2157" spans="1:7" ht="15" customHeight="1" x14ac:dyDescent="0.2">
      <c r="A2157" s="19" t="s">
        <v>2304</v>
      </c>
      <c r="B2157" s="50">
        <v>196.04</v>
      </c>
      <c r="C2157" s="50">
        <v>3239.41</v>
      </c>
      <c r="D2157" s="51">
        <v>31359775.446933001</v>
      </c>
      <c r="E2157" s="51">
        <v>2355871031</v>
      </c>
      <c r="F2157" s="52">
        <f t="shared" si="70"/>
        <v>1.2493553943566809E-2</v>
      </c>
      <c r="G2157" s="52">
        <f t="shared" si="71"/>
        <v>7.3679195100667611E-3</v>
      </c>
    </row>
    <row r="2158" spans="1:7" ht="15" customHeight="1" x14ac:dyDescent="0.2">
      <c r="A2158" s="19" t="s">
        <v>2305</v>
      </c>
      <c r="B2158" s="50">
        <v>194.303</v>
      </c>
      <c r="C2158" s="50">
        <v>3218.44</v>
      </c>
      <c r="D2158" s="51">
        <v>24175641.058148999</v>
      </c>
      <c r="E2158" s="51">
        <v>2244363387</v>
      </c>
      <c r="F2158" s="52">
        <f t="shared" si="70"/>
        <v>-8.8999237359751373E-3</v>
      </c>
      <c r="G2158" s="52">
        <f t="shared" si="71"/>
        <v>-6.4944443446863422E-3</v>
      </c>
    </row>
    <row r="2159" spans="1:7" ht="15" customHeight="1" x14ac:dyDescent="0.2">
      <c r="A2159" s="19" t="s">
        <v>2306</v>
      </c>
      <c r="B2159" s="50">
        <v>196.24700000000001</v>
      </c>
      <c r="C2159" s="50">
        <v>3258.44</v>
      </c>
      <c r="D2159" s="51">
        <v>20413008.334734</v>
      </c>
      <c r="E2159" s="51">
        <v>2471114054</v>
      </c>
      <c r="F2159" s="52">
        <f t="shared" si="70"/>
        <v>9.9552736161008706E-3</v>
      </c>
      <c r="G2159" s="52">
        <f t="shared" si="71"/>
        <v>1.2351783128253628E-2</v>
      </c>
    </row>
    <row r="2160" spans="1:7" ht="15" customHeight="1" x14ac:dyDescent="0.2">
      <c r="A2160" s="19" t="s">
        <v>2307</v>
      </c>
      <c r="B2160" s="50">
        <v>196.089</v>
      </c>
      <c r="C2160" s="50">
        <v>3246.22</v>
      </c>
      <c r="D2160" s="51">
        <v>26076522.071045998</v>
      </c>
      <c r="E2160" s="51">
        <v>2436861309</v>
      </c>
      <c r="F2160" s="52">
        <f t="shared" si="70"/>
        <v>-8.0543212216831596E-4</v>
      </c>
      <c r="G2160" s="52">
        <f t="shared" si="71"/>
        <v>-3.7573107206831397E-3</v>
      </c>
    </row>
    <row r="2161" spans="1:7" ht="15" customHeight="1" x14ac:dyDescent="0.2">
      <c r="A2161" s="19" t="s">
        <v>2308</v>
      </c>
      <c r="B2161" s="50">
        <v>197.173</v>
      </c>
      <c r="C2161" s="50">
        <v>3271.12</v>
      </c>
      <c r="D2161" s="51">
        <v>53285100.245870002</v>
      </c>
      <c r="E2161" s="51">
        <v>3062620493</v>
      </c>
      <c r="F2161" s="52">
        <f t="shared" si="70"/>
        <v>5.5128781595656018E-3</v>
      </c>
      <c r="G2161" s="52">
        <f t="shared" si="71"/>
        <v>7.6411913923716676E-3</v>
      </c>
    </row>
    <row r="2162" spans="1:7" ht="15" customHeight="1" x14ac:dyDescent="0.2">
      <c r="A2162" s="19" t="s">
        <v>2309</v>
      </c>
      <c r="B2162" s="50">
        <v>208.25899999999999</v>
      </c>
      <c r="C2162" s="50">
        <v>3294.61</v>
      </c>
      <c r="D2162" s="51">
        <v>82122622.095222995</v>
      </c>
      <c r="E2162" s="51">
        <v>2379546705</v>
      </c>
      <c r="F2162" s="52">
        <f t="shared" si="70"/>
        <v>5.4700981441156975E-2</v>
      </c>
      <c r="G2162" s="52">
        <f t="shared" si="71"/>
        <v>7.1553658839056062E-3</v>
      </c>
    </row>
    <row r="2163" spans="1:7" ht="15" customHeight="1" x14ac:dyDescent="0.2">
      <c r="A2163" s="19" t="s">
        <v>2310</v>
      </c>
      <c r="B2163" s="50">
        <v>205.13499999999999</v>
      </c>
      <c r="C2163" s="50">
        <v>3306.51</v>
      </c>
      <c r="D2163" s="51">
        <v>51238961.974450998</v>
      </c>
      <c r="E2163" s="51">
        <v>2403695283</v>
      </c>
      <c r="F2163" s="52">
        <f t="shared" si="70"/>
        <v>-1.5114198416320942E-2</v>
      </c>
      <c r="G2163" s="52">
        <f t="shared" si="71"/>
        <v>3.6054526780178501E-3</v>
      </c>
    </row>
    <row r="2164" spans="1:7" ht="15" customHeight="1" x14ac:dyDescent="0.2">
      <c r="A2164" s="19" t="s">
        <v>2311</v>
      </c>
      <c r="B2164" s="50">
        <v>204.81100000000001</v>
      </c>
      <c r="C2164" s="50">
        <v>3327.77</v>
      </c>
      <c r="D2164" s="51">
        <v>30005765.826228999</v>
      </c>
      <c r="E2164" s="51">
        <v>2452040105</v>
      </c>
      <c r="F2164" s="52">
        <f t="shared" si="70"/>
        <v>-1.580696323233861E-3</v>
      </c>
      <c r="G2164" s="52">
        <f t="shared" si="71"/>
        <v>6.4091575198012216E-3</v>
      </c>
    </row>
    <row r="2165" spans="1:7" ht="15" customHeight="1" x14ac:dyDescent="0.2">
      <c r="A2165" s="19" t="s">
        <v>2312</v>
      </c>
      <c r="B2165" s="50">
        <v>208.09299999999999</v>
      </c>
      <c r="C2165" s="50">
        <v>3349.16</v>
      </c>
      <c r="D2165" s="51">
        <v>33954968.914466001</v>
      </c>
      <c r="E2165" s="51">
        <v>2414075395</v>
      </c>
      <c r="F2165" s="52">
        <f t="shared" si="70"/>
        <v>1.5897492499162266E-2</v>
      </c>
      <c r="G2165" s="52">
        <f t="shared" si="71"/>
        <v>6.4071581324233757E-3</v>
      </c>
    </row>
    <row r="2166" spans="1:7" ht="15" customHeight="1" x14ac:dyDescent="0.2">
      <c r="A2166" s="19" t="s">
        <v>2313</v>
      </c>
      <c r="B2166" s="50">
        <v>204.363</v>
      </c>
      <c r="C2166" s="50">
        <v>3351.28</v>
      </c>
      <c r="D2166" s="51">
        <v>28926296.089398999</v>
      </c>
      <c r="E2166" s="51">
        <v>2279160879</v>
      </c>
      <c r="F2166" s="52">
        <f t="shared" si="70"/>
        <v>-1.8087270828274868E-2</v>
      </c>
      <c r="G2166" s="52">
        <f t="shared" si="71"/>
        <v>6.3279428537303944E-4</v>
      </c>
    </row>
    <row r="2167" spans="1:7" ht="15" customHeight="1" x14ac:dyDescent="0.2">
      <c r="A2167" s="19" t="s">
        <v>2314</v>
      </c>
      <c r="B2167" s="50">
        <v>200.28899999999999</v>
      </c>
      <c r="C2167" s="50">
        <v>3360.47</v>
      </c>
      <c r="D2167" s="51">
        <v>38175959.863632999</v>
      </c>
      <c r="E2167" s="51">
        <v>2565981272</v>
      </c>
      <c r="F2167" s="52">
        <f t="shared" si="70"/>
        <v>-2.0136500791179502E-2</v>
      </c>
      <c r="G2167" s="52">
        <f t="shared" si="71"/>
        <v>2.7384827334759297E-3</v>
      </c>
    </row>
    <row r="2168" spans="1:7" ht="15" customHeight="1" x14ac:dyDescent="0.2">
      <c r="A2168" s="19" t="s">
        <v>2315</v>
      </c>
      <c r="B2168" s="50">
        <v>195.601</v>
      </c>
      <c r="C2168" s="50">
        <v>3333.69</v>
      </c>
      <c r="D2168" s="51">
        <v>37895223.832868002</v>
      </c>
      <c r="E2168" s="51">
        <v>2901184692</v>
      </c>
      <c r="F2168" s="52">
        <f t="shared" si="70"/>
        <v>-2.3684453478093965E-2</v>
      </c>
      <c r="G2168" s="52">
        <f t="shared" si="71"/>
        <v>-8.0010465432212886E-3</v>
      </c>
    </row>
    <row r="2169" spans="1:7" ht="15" customHeight="1" x14ac:dyDescent="0.2">
      <c r="A2169" s="19" t="s">
        <v>2316</v>
      </c>
      <c r="B2169" s="50">
        <v>201.18899999999999</v>
      </c>
      <c r="C2169" s="50">
        <v>3380.35</v>
      </c>
      <c r="D2169" s="51">
        <v>29156021.409209002</v>
      </c>
      <c r="E2169" s="51">
        <v>2245860113</v>
      </c>
      <c r="F2169" s="52">
        <f t="shared" si="70"/>
        <v>2.8167894700740787E-2</v>
      </c>
      <c r="G2169" s="52">
        <f t="shared" si="71"/>
        <v>1.3899455827979215E-2</v>
      </c>
    </row>
    <row r="2170" spans="1:7" ht="15" customHeight="1" x14ac:dyDescent="0.2">
      <c r="A2170" s="19" t="s">
        <v>2317</v>
      </c>
      <c r="B2170" s="50">
        <v>200.72900000000001</v>
      </c>
      <c r="C2170" s="50">
        <v>3373.43</v>
      </c>
      <c r="D2170" s="51">
        <v>23486788.625222001</v>
      </c>
      <c r="E2170" s="51">
        <v>1964649318</v>
      </c>
      <c r="F2170" s="52">
        <f t="shared" si="70"/>
        <v>-2.2890251287709272E-3</v>
      </c>
      <c r="G2170" s="52">
        <f t="shared" si="71"/>
        <v>-2.0492235227105187E-3</v>
      </c>
    </row>
    <row r="2171" spans="1:7" ht="15" customHeight="1" x14ac:dyDescent="0.2">
      <c r="A2171" s="19" t="s">
        <v>2318</v>
      </c>
      <c r="B2171" s="50">
        <v>200.905</v>
      </c>
      <c r="C2171" s="50">
        <v>3372.85</v>
      </c>
      <c r="D2171" s="51">
        <v>18672813.5185</v>
      </c>
      <c r="E2171" s="51">
        <v>1713105900</v>
      </c>
      <c r="F2171" s="52">
        <f t="shared" si="70"/>
        <v>8.7641988111372855E-4</v>
      </c>
      <c r="G2171" s="52">
        <f t="shared" si="71"/>
        <v>-1.7194661396471121E-4</v>
      </c>
    </row>
    <row r="2172" spans="1:7" ht="15" customHeight="1" x14ac:dyDescent="0.2">
      <c r="A2172" s="19" t="s">
        <v>2319</v>
      </c>
      <c r="B2172" s="50">
        <v>202.233</v>
      </c>
      <c r="C2172" s="50">
        <v>3381.99</v>
      </c>
      <c r="D2172" s="51">
        <v>20987110.215833999</v>
      </c>
      <c r="E2172" s="51">
        <v>1951363148</v>
      </c>
      <c r="F2172" s="52">
        <f t="shared" si="70"/>
        <v>6.5883385025299014E-3</v>
      </c>
      <c r="G2172" s="52">
        <f t="shared" si="71"/>
        <v>2.7062093485908582E-3</v>
      </c>
    </row>
    <row r="2173" spans="1:7" ht="15" customHeight="1" x14ac:dyDescent="0.2">
      <c r="A2173" s="19" t="s">
        <v>2320</v>
      </c>
      <c r="B2173" s="50">
        <v>203.41499999999999</v>
      </c>
      <c r="C2173" s="50">
        <v>3389.78</v>
      </c>
      <c r="D2173" s="51">
        <v>22184290.362500999</v>
      </c>
      <c r="E2173" s="51">
        <v>1795551606</v>
      </c>
      <c r="F2173" s="52">
        <f t="shared" si="70"/>
        <v>5.827729190318702E-3</v>
      </c>
      <c r="G2173" s="52">
        <f t="shared" si="71"/>
        <v>2.3007288895721292E-3</v>
      </c>
    </row>
    <row r="2174" spans="1:7" ht="15" customHeight="1" x14ac:dyDescent="0.2">
      <c r="A2174" s="19" t="s">
        <v>2321</v>
      </c>
      <c r="B2174" s="50">
        <v>202.166</v>
      </c>
      <c r="C2174" s="50">
        <v>3374.85</v>
      </c>
      <c r="D2174" s="51">
        <v>28656498.530772001</v>
      </c>
      <c r="E2174" s="51">
        <v>2021428535</v>
      </c>
      <c r="F2174" s="52">
        <f t="shared" si="70"/>
        <v>-6.1590851066935758E-3</v>
      </c>
      <c r="G2174" s="52">
        <f t="shared" si="71"/>
        <v>-4.4141436389460408E-3</v>
      </c>
    </row>
    <row r="2175" spans="1:7" ht="15" customHeight="1" x14ac:dyDescent="0.2">
      <c r="A2175" s="19" t="s">
        <v>2322</v>
      </c>
      <c r="B2175" s="50">
        <v>206.87100000000001</v>
      </c>
      <c r="C2175" s="50">
        <v>3385.51</v>
      </c>
      <c r="D2175" s="51">
        <v>27986355.349048998</v>
      </c>
      <c r="E2175" s="51">
        <v>1835659390</v>
      </c>
      <c r="F2175" s="52">
        <f t="shared" si="70"/>
        <v>2.3006268495640466E-2</v>
      </c>
      <c r="G2175" s="52">
        <f t="shared" si="71"/>
        <v>3.1536808202811935E-3</v>
      </c>
    </row>
    <row r="2176" spans="1:7" ht="15" customHeight="1" x14ac:dyDescent="0.2">
      <c r="A2176" s="19" t="s">
        <v>2323</v>
      </c>
      <c r="B2176" s="50">
        <v>205.36799999999999</v>
      </c>
      <c r="C2176" s="50">
        <v>3397.16</v>
      </c>
      <c r="D2176" s="51">
        <v>37599358.842652</v>
      </c>
      <c r="E2176" s="51">
        <v>1993642443</v>
      </c>
      <c r="F2176" s="52">
        <f t="shared" si="70"/>
        <v>-7.2919188131017644E-3</v>
      </c>
      <c r="G2176" s="52">
        <f t="shared" si="71"/>
        <v>3.4352287393030465E-3</v>
      </c>
    </row>
    <row r="2177" spans="1:7" ht="15" customHeight="1" x14ac:dyDescent="0.2">
      <c r="A2177" s="19" t="s">
        <v>2324</v>
      </c>
      <c r="B2177" s="50">
        <v>206.00399999999999</v>
      </c>
      <c r="C2177" s="50">
        <v>3431.28</v>
      </c>
      <c r="D2177" s="51">
        <v>26408363.004025001</v>
      </c>
      <c r="E2177" s="51">
        <v>2275646060</v>
      </c>
      <c r="F2177" s="52">
        <f t="shared" si="70"/>
        <v>3.0920942929290218E-3</v>
      </c>
      <c r="G2177" s="52">
        <f t="shared" si="71"/>
        <v>9.9935809549321058E-3</v>
      </c>
    </row>
    <row r="2178" spans="1:7" ht="15" customHeight="1" x14ac:dyDescent="0.2">
      <c r="A2178" s="19" t="s">
        <v>2325</v>
      </c>
      <c r="B2178" s="50">
        <v>208.68799999999999</v>
      </c>
      <c r="C2178" s="50">
        <v>3443.62</v>
      </c>
      <c r="D2178" s="51">
        <v>23901916.133450001</v>
      </c>
      <c r="E2178" s="51">
        <v>2042901658</v>
      </c>
      <c r="F2178" s="52">
        <f t="shared" si="70"/>
        <v>1.2944727551134811E-2</v>
      </c>
      <c r="G2178" s="52">
        <f t="shared" si="71"/>
        <v>3.58987425339455E-3</v>
      </c>
    </row>
    <row r="2179" spans="1:7" ht="15" customHeight="1" x14ac:dyDescent="0.2">
      <c r="A2179" s="19" t="s">
        <v>2326</v>
      </c>
      <c r="B2179" s="50">
        <v>213.202</v>
      </c>
      <c r="C2179" s="50">
        <v>3478.73</v>
      </c>
      <c r="D2179" s="51">
        <v>41075688.012699001</v>
      </c>
      <c r="E2179" s="51">
        <v>2020851527</v>
      </c>
      <c r="F2179" s="52">
        <f t="shared" si="70"/>
        <v>2.1399759482801563E-2</v>
      </c>
      <c r="G2179" s="52">
        <f t="shared" si="71"/>
        <v>1.0144040989640822E-2</v>
      </c>
    </row>
    <row r="2180" spans="1:7" ht="15" customHeight="1" x14ac:dyDescent="0.2">
      <c r="A2180" s="19" t="s">
        <v>2327</v>
      </c>
      <c r="B2180" s="50">
        <v>218.44499999999999</v>
      </c>
      <c r="C2180" s="50">
        <v>3484.55</v>
      </c>
      <c r="D2180" s="51">
        <v>59747483.856050998</v>
      </c>
      <c r="E2180" s="51">
        <v>2327431654</v>
      </c>
      <c r="F2180" s="52">
        <f t="shared" si="70"/>
        <v>2.4294193491924493E-2</v>
      </c>
      <c r="G2180" s="52">
        <f t="shared" si="71"/>
        <v>1.6716264045830256E-3</v>
      </c>
    </row>
    <row r="2181" spans="1:7" ht="15" customHeight="1" x14ac:dyDescent="0.2">
      <c r="A2181" s="19" t="s">
        <v>2328</v>
      </c>
      <c r="B2181" s="50">
        <v>220.703</v>
      </c>
      <c r="C2181" s="50">
        <v>3508.01</v>
      </c>
      <c r="D2181" s="51">
        <v>27272126.561721999</v>
      </c>
      <c r="E2181" s="51">
        <v>2047770541</v>
      </c>
      <c r="F2181" s="52">
        <f t="shared" si="70"/>
        <v>1.028363968047466E-2</v>
      </c>
      <c r="G2181" s="52">
        <f t="shared" si="71"/>
        <v>6.7100140785116896E-3</v>
      </c>
    </row>
    <row r="2182" spans="1:7" ht="15" customHeight="1" x14ac:dyDescent="0.2">
      <c r="A2182" s="19" t="s">
        <v>2329</v>
      </c>
      <c r="B2182" s="50">
        <v>217.42099999999999</v>
      </c>
      <c r="C2182" s="50">
        <v>3500.31</v>
      </c>
      <c r="D2182" s="51">
        <v>29845795.278388001</v>
      </c>
      <c r="E2182" s="51">
        <v>2545947629</v>
      </c>
      <c r="F2182" s="52">
        <f t="shared" ref="F2182:F2245" si="72">LN(B2182/B2181)</f>
        <v>-1.4982340124970855E-2</v>
      </c>
      <c r="G2182" s="52">
        <f t="shared" ref="G2182:G2245" si="73">LN(C2182/C2181)</f>
        <v>-2.1973891312895358E-3</v>
      </c>
    </row>
    <row r="2183" spans="1:7" ht="15" customHeight="1" x14ac:dyDescent="0.2">
      <c r="A2183" s="19" t="s">
        <v>2330</v>
      </c>
      <c r="B2183" s="50">
        <v>219.12100000000001</v>
      </c>
      <c r="C2183" s="50">
        <v>3526.65</v>
      </c>
      <c r="D2183" s="51">
        <v>26751783.319244999</v>
      </c>
      <c r="E2183" s="51">
        <v>2246655768</v>
      </c>
      <c r="F2183" s="52">
        <f t="shared" si="72"/>
        <v>7.788522495634837E-3</v>
      </c>
      <c r="G2183" s="52">
        <f t="shared" si="73"/>
        <v>7.496875851234013E-3</v>
      </c>
    </row>
    <row r="2184" spans="1:7" ht="15" customHeight="1" x14ac:dyDescent="0.2">
      <c r="A2184" s="19" t="s">
        <v>2331</v>
      </c>
      <c r="B2184" s="50">
        <v>223.34200000000001</v>
      </c>
      <c r="C2184" s="50">
        <v>3580.84</v>
      </c>
      <c r="D2184" s="51">
        <v>35350116.568582997</v>
      </c>
      <c r="E2184" s="51">
        <v>2579961224</v>
      </c>
      <c r="F2184" s="52">
        <f t="shared" si="72"/>
        <v>1.908014028032708E-2</v>
      </c>
      <c r="G2184" s="52">
        <f t="shared" si="73"/>
        <v>1.5248997908235747E-2</v>
      </c>
    </row>
    <row r="2185" spans="1:7" ht="15" customHeight="1" x14ac:dyDescent="0.2">
      <c r="A2185" s="19" t="s">
        <v>2332</v>
      </c>
      <c r="B2185" s="50">
        <v>209.50200000000001</v>
      </c>
      <c r="C2185" s="50">
        <v>3455.06</v>
      </c>
      <c r="D2185" s="51">
        <v>60575301.161710002</v>
      </c>
      <c r="E2185" s="51">
        <v>3196862882</v>
      </c>
      <c r="F2185" s="52">
        <f t="shared" si="72"/>
        <v>-6.3970943078115211E-2</v>
      </c>
      <c r="G2185" s="52">
        <f t="shared" si="73"/>
        <v>-3.5757586556313434E-2</v>
      </c>
    </row>
    <row r="2186" spans="1:7" ht="15" customHeight="1" x14ac:dyDescent="0.2">
      <c r="A2186" s="19" t="s">
        <v>2333</v>
      </c>
      <c r="B2186" s="50">
        <v>206.55099999999999</v>
      </c>
      <c r="C2186" s="50">
        <v>3426.96</v>
      </c>
      <c r="D2186" s="51">
        <v>61886150.708333999</v>
      </c>
      <c r="E2186" s="51">
        <v>3045943569</v>
      </c>
      <c r="F2186" s="52">
        <f t="shared" si="72"/>
        <v>-1.4185930582200334E-2</v>
      </c>
      <c r="G2186" s="52">
        <f t="shared" si="73"/>
        <v>-8.1662523968659001E-3</v>
      </c>
    </row>
    <row r="2187" spans="1:7" ht="15" customHeight="1" x14ac:dyDescent="0.2">
      <c r="A2187" s="19" t="s">
        <v>2334</v>
      </c>
      <c r="B2187" s="50">
        <v>195.39500000000001</v>
      </c>
      <c r="C2187" s="50">
        <v>3331.84</v>
      </c>
      <c r="D2187" s="51">
        <v>54895400.193552002</v>
      </c>
      <c r="E2187" s="51">
        <v>3071728677</v>
      </c>
      <c r="F2187" s="52">
        <f t="shared" si="72"/>
        <v>-5.5524204528849173E-2</v>
      </c>
      <c r="G2187" s="52">
        <f t="shared" si="73"/>
        <v>-2.8148866864058281E-2</v>
      </c>
    </row>
    <row r="2188" spans="1:7" ht="15" customHeight="1" x14ac:dyDescent="0.2">
      <c r="A2188" s="19" t="s">
        <v>2335</v>
      </c>
      <c r="B2188" s="50">
        <v>203.71600000000001</v>
      </c>
      <c r="C2188" s="50">
        <v>3398.96</v>
      </c>
      <c r="D2188" s="51">
        <v>47380218.330784999</v>
      </c>
      <c r="E2188" s="51">
        <v>2509091751</v>
      </c>
      <c r="F2188" s="52">
        <f t="shared" si="72"/>
        <v>4.1703716285831367E-2</v>
      </c>
      <c r="G2188" s="52">
        <f t="shared" si="73"/>
        <v>1.9944798533671326E-2</v>
      </c>
    </row>
    <row r="2189" spans="1:7" ht="15" customHeight="1" x14ac:dyDescent="0.2">
      <c r="A2189" s="19" t="s">
        <v>2336</v>
      </c>
      <c r="B2189" s="50">
        <v>197.995</v>
      </c>
      <c r="C2189" s="50">
        <v>3339.19</v>
      </c>
      <c r="D2189" s="51">
        <v>36782213.816435002</v>
      </c>
      <c r="E2189" s="51">
        <v>2581883711</v>
      </c>
      <c r="F2189" s="52">
        <f t="shared" si="72"/>
        <v>-2.8485089180353602E-2</v>
      </c>
      <c r="G2189" s="52">
        <f t="shared" si="73"/>
        <v>-1.774123987058698E-2</v>
      </c>
    </row>
    <row r="2190" spans="1:7" ht="15" customHeight="1" x14ac:dyDescent="0.2">
      <c r="A2190" s="19" t="s">
        <v>2337</v>
      </c>
      <c r="B2190" s="50">
        <v>196.696</v>
      </c>
      <c r="C2190" s="50">
        <v>3340.97</v>
      </c>
      <c r="D2190" s="51">
        <v>34872190.108274996</v>
      </c>
      <c r="E2190" s="51">
        <v>2351289169</v>
      </c>
      <c r="F2190" s="52">
        <f t="shared" si="72"/>
        <v>-6.58238819853855E-3</v>
      </c>
      <c r="G2190" s="52">
        <f t="shared" si="73"/>
        <v>5.32921379765575E-4</v>
      </c>
    </row>
    <row r="2191" spans="1:7" ht="15" customHeight="1" x14ac:dyDescent="0.2">
      <c r="A2191" s="19" t="s">
        <v>2338</v>
      </c>
      <c r="B2191" s="50">
        <v>198.03399999999999</v>
      </c>
      <c r="C2191" s="50">
        <v>3383.54</v>
      </c>
      <c r="D2191" s="51">
        <v>31507057.817575</v>
      </c>
      <c r="E2191" s="51">
        <v>2364625122</v>
      </c>
      <c r="F2191" s="52">
        <f t="shared" si="72"/>
        <v>6.7793434726526958E-3</v>
      </c>
      <c r="G2191" s="52">
        <f t="shared" si="73"/>
        <v>1.2661314711189059E-2</v>
      </c>
    </row>
    <row r="2192" spans="1:7" ht="15" customHeight="1" x14ac:dyDescent="0.2">
      <c r="A2192" s="19" t="s">
        <v>2339</v>
      </c>
      <c r="B2192" s="50">
        <v>201.267</v>
      </c>
      <c r="C2192" s="50">
        <v>3401.2</v>
      </c>
      <c r="D2192" s="51">
        <v>22636735.015147999</v>
      </c>
      <c r="E2192" s="51">
        <v>2482063450</v>
      </c>
      <c r="F2192" s="52">
        <f t="shared" si="72"/>
        <v>1.6193651656253021E-2</v>
      </c>
      <c r="G2192" s="52">
        <f t="shared" si="73"/>
        <v>5.2058118315071811E-3</v>
      </c>
    </row>
    <row r="2193" spans="1:7" ht="15" customHeight="1" x14ac:dyDescent="0.2">
      <c r="A2193" s="19" t="s">
        <v>2340</v>
      </c>
      <c r="B2193" s="50">
        <v>197.68100000000001</v>
      </c>
      <c r="C2193" s="50">
        <v>3385.49</v>
      </c>
      <c r="D2193" s="51">
        <v>27354656.535425998</v>
      </c>
      <c r="E2193" s="51">
        <v>2860737276</v>
      </c>
      <c r="F2193" s="52">
        <f t="shared" si="72"/>
        <v>-1.7977764432543786E-2</v>
      </c>
      <c r="G2193" s="52">
        <f t="shared" si="73"/>
        <v>-4.6296583637453039E-3</v>
      </c>
    </row>
    <row r="2194" spans="1:7" ht="15" customHeight="1" x14ac:dyDescent="0.2">
      <c r="A2194" s="19" t="s">
        <v>2341</v>
      </c>
      <c r="B2194" s="50">
        <v>195.62100000000001</v>
      </c>
      <c r="C2194" s="50">
        <v>3357.01</v>
      </c>
      <c r="D2194" s="51">
        <v>35277944.562177002</v>
      </c>
      <c r="E2194" s="51">
        <v>2739627914</v>
      </c>
      <c r="F2194" s="52">
        <f t="shared" si="72"/>
        <v>-1.0475506547231589E-2</v>
      </c>
      <c r="G2194" s="52">
        <f t="shared" si="73"/>
        <v>-8.4479553221299946E-3</v>
      </c>
    </row>
    <row r="2195" spans="1:7" ht="15" customHeight="1" x14ac:dyDescent="0.2">
      <c r="A2195" s="19" t="s">
        <v>2342</v>
      </c>
      <c r="B2195" s="50">
        <v>193.19800000000001</v>
      </c>
      <c r="C2195" s="50">
        <v>3319.47</v>
      </c>
      <c r="D2195" s="51">
        <v>57282092.089628004</v>
      </c>
      <c r="E2195" s="51">
        <v>4080814747</v>
      </c>
      <c r="F2195" s="52">
        <f t="shared" si="72"/>
        <v>-1.2463544043062106E-2</v>
      </c>
      <c r="G2195" s="52">
        <f t="shared" si="73"/>
        <v>-1.1245565213035068E-2</v>
      </c>
    </row>
    <row r="2196" spans="1:7" ht="15" customHeight="1" x14ac:dyDescent="0.2">
      <c r="A2196" s="19" t="s">
        <v>2343</v>
      </c>
      <c r="B2196" s="50">
        <v>195.279</v>
      </c>
      <c r="C2196" s="50">
        <v>3281.06</v>
      </c>
      <c r="D2196" s="51">
        <v>41323413.077799</v>
      </c>
      <c r="E2196" s="51">
        <v>2996245686</v>
      </c>
      <c r="F2196" s="52">
        <f t="shared" si="72"/>
        <v>1.0713735461521155E-2</v>
      </c>
      <c r="G2196" s="52">
        <f t="shared" si="73"/>
        <v>-1.1638590711243436E-2</v>
      </c>
    </row>
    <row r="2197" spans="1:7" ht="15" customHeight="1" x14ac:dyDescent="0.2">
      <c r="A2197" s="19" t="s">
        <v>2344</v>
      </c>
      <c r="B2197" s="50">
        <v>199.96700000000001</v>
      </c>
      <c r="C2197" s="50">
        <v>3315.57</v>
      </c>
      <c r="D2197" s="51">
        <v>34765346.503314003</v>
      </c>
      <c r="E2197" s="51">
        <v>2388040936</v>
      </c>
      <c r="F2197" s="52">
        <f t="shared" si="72"/>
        <v>2.3723047714556057E-2</v>
      </c>
      <c r="G2197" s="52">
        <f t="shared" si="73"/>
        <v>1.0463013638868866E-2</v>
      </c>
    </row>
    <row r="2198" spans="1:7" ht="15" customHeight="1" x14ac:dyDescent="0.2">
      <c r="A2198" s="19" t="s">
        <v>2345</v>
      </c>
      <c r="B2198" s="50">
        <v>193.39500000000001</v>
      </c>
      <c r="C2198" s="50">
        <v>3236.92</v>
      </c>
      <c r="D2198" s="51">
        <v>31951010.923243999</v>
      </c>
      <c r="E2198" s="51">
        <v>2481367969</v>
      </c>
      <c r="F2198" s="52">
        <f t="shared" si="72"/>
        <v>-3.3417623403128496E-2</v>
      </c>
      <c r="G2198" s="52">
        <f t="shared" si="73"/>
        <v>-2.4007294161091854E-2</v>
      </c>
    </row>
    <row r="2199" spans="1:7" ht="15" customHeight="1" x14ac:dyDescent="0.2">
      <c r="A2199" s="19" t="s">
        <v>2346</v>
      </c>
      <c r="B2199" s="50">
        <v>195.88399999999999</v>
      </c>
      <c r="C2199" s="50">
        <v>3246.59</v>
      </c>
      <c r="D2199" s="51">
        <v>32364574.037478998</v>
      </c>
      <c r="E2199" s="51">
        <v>2414616135</v>
      </c>
      <c r="F2199" s="52">
        <f t="shared" si="72"/>
        <v>1.2787917760420714E-2</v>
      </c>
      <c r="G2199" s="52">
        <f t="shared" si="73"/>
        <v>2.9829543473573147E-3</v>
      </c>
    </row>
    <row r="2200" spans="1:7" ht="15" customHeight="1" x14ac:dyDescent="0.2">
      <c r="A2200" s="19" t="s">
        <v>2347</v>
      </c>
      <c r="B2200" s="50">
        <v>200.357</v>
      </c>
      <c r="C2200" s="50">
        <v>3298.46</v>
      </c>
      <c r="D2200" s="51">
        <v>30533650.512526002</v>
      </c>
      <c r="E2200" s="51">
        <v>2201331092</v>
      </c>
      <c r="F2200" s="52">
        <f t="shared" si="72"/>
        <v>2.2578128037474793E-2</v>
      </c>
      <c r="G2200" s="52">
        <f t="shared" si="73"/>
        <v>1.5850478138509476E-2</v>
      </c>
    </row>
    <row r="2201" spans="1:7" ht="15" customHeight="1" x14ac:dyDescent="0.2">
      <c r="A2201" s="19" t="s">
        <v>2348</v>
      </c>
      <c r="B2201" s="50">
        <v>201.91</v>
      </c>
      <c r="C2201" s="50">
        <v>3351.6</v>
      </c>
      <c r="D2201" s="51">
        <v>33196900.237868</v>
      </c>
      <c r="E2201" s="51">
        <v>2218484960</v>
      </c>
      <c r="F2201" s="52">
        <f t="shared" si="72"/>
        <v>7.7212782334765391E-3</v>
      </c>
      <c r="G2201" s="52">
        <f t="shared" si="73"/>
        <v>1.5982150874003724E-2</v>
      </c>
    </row>
    <row r="2202" spans="1:7" ht="15" customHeight="1" x14ac:dyDescent="0.2">
      <c r="A2202" s="19" t="s">
        <v>2349</v>
      </c>
      <c r="B2202" s="50">
        <v>199.81100000000001</v>
      </c>
      <c r="C2202" s="50">
        <v>3335.47</v>
      </c>
      <c r="D2202" s="51">
        <v>25375607.013753999</v>
      </c>
      <c r="E2202" s="51">
        <v>1947640906</v>
      </c>
      <c r="F2202" s="52">
        <f t="shared" si="72"/>
        <v>-1.0450133808248396E-2</v>
      </c>
      <c r="G2202" s="52">
        <f t="shared" si="73"/>
        <v>-4.8242447838090239E-3</v>
      </c>
    </row>
    <row r="2203" spans="1:7" ht="15" customHeight="1" x14ac:dyDescent="0.2">
      <c r="A2203" s="19" t="s">
        <v>2350</v>
      </c>
      <c r="B2203" s="50">
        <v>202.78100000000001</v>
      </c>
      <c r="C2203" s="50">
        <v>3363</v>
      </c>
      <c r="D2203" s="51">
        <v>35088989.725096002</v>
      </c>
      <c r="E2203" s="51">
        <v>2621466321</v>
      </c>
      <c r="F2203" s="52">
        <f t="shared" si="72"/>
        <v>1.4754659211045846E-2</v>
      </c>
      <c r="G2203" s="52">
        <f t="shared" si="73"/>
        <v>8.2198337849473339E-3</v>
      </c>
    </row>
    <row r="2204" spans="1:7" ht="15" customHeight="1" x14ac:dyDescent="0.2">
      <c r="A2204" s="19" t="s">
        <v>2351</v>
      </c>
      <c r="B2204" s="50">
        <v>204.84100000000001</v>
      </c>
      <c r="C2204" s="50">
        <v>3380.8</v>
      </c>
      <c r="D2204" s="51">
        <v>28169882.926601</v>
      </c>
      <c r="E2204" s="51">
        <v>2354422841</v>
      </c>
      <c r="F2204" s="52">
        <f t="shared" si="72"/>
        <v>1.0107489476365085E-2</v>
      </c>
      <c r="G2204" s="52">
        <f t="shared" si="73"/>
        <v>5.2789351215227383E-3</v>
      </c>
    </row>
    <row r="2205" spans="1:7" ht="15" customHeight="1" x14ac:dyDescent="0.2">
      <c r="A2205" s="19" t="s">
        <v>2352</v>
      </c>
      <c r="B2205" s="50">
        <v>198.79400000000001</v>
      </c>
      <c r="C2205" s="50">
        <v>3348.42</v>
      </c>
      <c r="D2205" s="51">
        <v>34389571.489804998</v>
      </c>
      <c r="E2205" s="51">
        <v>2354722287</v>
      </c>
      <c r="F2205" s="52">
        <f t="shared" si="72"/>
        <v>-2.9964955760948833E-2</v>
      </c>
      <c r="G2205" s="52">
        <f t="shared" si="73"/>
        <v>-9.6237750916984329E-3</v>
      </c>
    </row>
    <row r="2206" spans="1:7" ht="15" customHeight="1" x14ac:dyDescent="0.2">
      <c r="A2206" s="19" t="s">
        <v>2353</v>
      </c>
      <c r="B2206" s="50">
        <v>202.828</v>
      </c>
      <c r="C2206" s="50">
        <v>3408.6</v>
      </c>
      <c r="D2206" s="51">
        <v>22126014.638604999</v>
      </c>
      <c r="E2206" s="51">
        <v>2040745749</v>
      </c>
      <c r="F2206" s="52">
        <f t="shared" si="72"/>
        <v>2.0089216567296116E-2</v>
      </c>
      <c r="G2206" s="52">
        <f t="shared" si="73"/>
        <v>1.7813057021042421E-2</v>
      </c>
    </row>
    <row r="2207" spans="1:7" ht="15" customHeight="1" x14ac:dyDescent="0.2">
      <c r="A2207" s="19" t="s">
        <v>2354</v>
      </c>
      <c r="B2207" s="50">
        <v>198.52199999999999</v>
      </c>
      <c r="C2207" s="50">
        <v>3360.97</v>
      </c>
      <c r="D2207" s="51">
        <v>29617710.115107</v>
      </c>
      <c r="E2207" s="51">
        <v>2551091954</v>
      </c>
      <c r="F2207" s="52">
        <f t="shared" si="72"/>
        <v>-2.1458404027618071E-2</v>
      </c>
      <c r="G2207" s="52">
        <f t="shared" si="73"/>
        <v>-1.4072027020773103E-2</v>
      </c>
    </row>
    <row r="2208" spans="1:7" ht="15" customHeight="1" x14ac:dyDescent="0.2">
      <c r="A2208" s="19" t="s">
        <v>2355</v>
      </c>
      <c r="B2208" s="50">
        <v>202.29300000000001</v>
      </c>
      <c r="C2208" s="50">
        <v>3419.44</v>
      </c>
      <c r="D2208" s="51">
        <v>26637497.580814999</v>
      </c>
      <c r="E2208" s="51">
        <v>2084054405</v>
      </c>
      <c r="F2208" s="52">
        <f t="shared" si="72"/>
        <v>1.8817216278735008E-2</v>
      </c>
      <c r="G2208" s="52">
        <f t="shared" si="73"/>
        <v>1.7247172188931348E-2</v>
      </c>
    </row>
    <row r="2209" spans="1:7" ht="15" customHeight="1" x14ac:dyDescent="0.2">
      <c r="A2209" s="19" t="s">
        <v>2356</v>
      </c>
      <c r="B2209" s="50">
        <v>203.023</v>
      </c>
      <c r="C2209" s="50">
        <v>3446.83</v>
      </c>
      <c r="D2209" s="51">
        <v>20667938.007513002</v>
      </c>
      <c r="E2209" s="51">
        <v>2094828307</v>
      </c>
      <c r="F2209" s="52">
        <f t="shared" si="72"/>
        <v>3.6021316174724171E-3</v>
      </c>
      <c r="G2209" s="52">
        <f t="shared" si="73"/>
        <v>7.9781730936344594E-3</v>
      </c>
    </row>
    <row r="2210" spans="1:7" ht="15" customHeight="1" x14ac:dyDescent="0.2">
      <c r="A2210" s="19" t="s">
        <v>2357</v>
      </c>
      <c r="B2210" s="50">
        <v>208.07499999999999</v>
      </c>
      <c r="C2210" s="50">
        <v>3477.14</v>
      </c>
      <c r="D2210" s="51">
        <v>27443427.704016998</v>
      </c>
      <c r="E2210" s="51">
        <v>2209050833</v>
      </c>
      <c r="F2210" s="52">
        <f t="shared" si="72"/>
        <v>2.4579318515776664E-2</v>
      </c>
      <c r="G2210" s="52">
        <f t="shared" si="73"/>
        <v>8.7551487402514096E-3</v>
      </c>
    </row>
    <row r="2211" spans="1:7" ht="15" customHeight="1" x14ac:dyDescent="0.2">
      <c r="A2211" s="19" t="s">
        <v>2358</v>
      </c>
      <c r="B2211" s="50">
        <v>213.44800000000001</v>
      </c>
      <c r="C2211" s="50">
        <v>3534.22</v>
      </c>
      <c r="D2211" s="51">
        <v>41968278.191655003</v>
      </c>
      <c r="E2211" s="51">
        <v>2240199001</v>
      </c>
      <c r="F2211" s="52">
        <f t="shared" si="72"/>
        <v>2.5494651652065617E-2</v>
      </c>
      <c r="G2211" s="52">
        <f t="shared" si="73"/>
        <v>1.6282507554067349E-2</v>
      </c>
    </row>
    <row r="2212" spans="1:7" ht="15" customHeight="1" x14ac:dyDescent="0.2">
      <c r="A2212" s="19" t="s">
        <v>2359</v>
      </c>
      <c r="B2212" s="50">
        <v>214.87299999999999</v>
      </c>
      <c r="C2212" s="50">
        <v>3511.93</v>
      </c>
      <c r="D2212" s="51">
        <v>30029063.829971999</v>
      </c>
      <c r="E2212" s="51">
        <v>2358329289</v>
      </c>
      <c r="F2212" s="52">
        <f t="shared" si="72"/>
        <v>6.6539126384151694E-3</v>
      </c>
      <c r="G2212" s="52">
        <f t="shared" si="73"/>
        <v>-6.3268804537488111E-3</v>
      </c>
    </row>
    <row r="2213" spans="1:7" ht="15" customHeight="1" x14ac:dyDescent="0.2">
      <c r="A2213" s="19" t="s">
        <v>2360</v>
      </c>
      <c r="B2213" s="50">
        <v>212.917</v>
      </c>
      <c r="C2213" s="50">
        <v>3488.67</v>
      </c>
      <c r="D2213" s="51">
        <v>24325129.756705001</v>
      </c>
      <c r="E2213" s="51">
        <v>2173872805</v>
      </c>
      <c r="F2213" s="52">
        <f t="shared" si="72"/>
        <v>-9.1447375163306623E-3</v>
      </c>
      <c r="G2213" s="52">
        <f t="shared" si="73"/>
        <v>-6.6451691550408936E-3</v>
      </c>
    </row>
    <row r="2214" spans="1:7" ht="15" customHeight="1" x14ac:dyDescent="0.2">
      <c r="A2214" s="19" t="s">
        <v>2361</v>
      </c>
      <c r="B2214" s="50">
        <v>211.77600000000001</v>
      </c>
      <c r="C2214" s="50">
        <v>3483.34</v>
      </c>
      <c r="D2214" s="51">
        <v>23579715.471312001</v>
      </c>
      <c r="E2214" s="51">
        <v>2007238547</v>
      </c>
      <c r="F2214" s="52">
        <f t="shared" si="72"/>
        <v>-5.3733061071619915E-3</v>
      </c>
      <c r="G2214" s="52">
        <f t="shared" si="73"/>
        <v>-1.5289711398439405E-3</v>
      </c>
    </row>
    <row r="2215" spans="1:7" ht="15" customHeight="1" x14ac:dyDescent="0.2">
      <c r="A2215" s="19" t="s">
        <v>2362</v>
      </c>
      <c r="B2215" s="50">
        <v>211.77600000000001</v>
      </c>
      <c r="C2215" s="50">
        <v>3483.81</v>
      </c>
      <c r="D2215" s="51">
        <v>27028360.601055</v>
      </c>
      <c r="E2215" s="51">
        <v>2213545513</v>
      </c>
      <c r="F2215" s="52">
        <f t="shared" si="72"/>
        <v>0</v>
      </c>
      <c r="G2215" s="52">
        <f t="shared" si="73"/>
        <v>1.3491886946954788E-4</v>
      </c>
    </row>
    <row r="2216" spans="1:7" ht="15" customHeight="1" x14ac:dyDescent="0.2">
      <c r="A2216" s="19" t="s">
        <v>2363</v>
      </c>
      <c r="B2216" s="50">
        <v>206.52199999999999</v>
      </c>
      <c r="C2216" s="50">
        <v>3426.92</v>
      </c>
      <c r="D2216" s="51">
        <v>28654715.039714999</v>
      </c>
      <c r="E2216" s="51">
        <v>2185827606</v>
      </c>
      <c r="F2216" s="52">
        <f t="shared" si="72"/>
        <v>-2.5122168042512865E-2</v>
      </c>
      <c r="G2216" s="52">
        <f t="shared" si="73"/>
        <v>-1.6464623898632638E-2</v>
      </c>
    </row>
    <row r="2217" spans="1:7" ht="15" customHeight="1" x14ac:dyDescent="0.2">
      <c r="A2217" s="19" t="s">
        <v>2364</v>
      </c>
      <c r="B2217" s="50">
        <v>206.94</v>
      </c>
      <c r="C2217" s="50">
        <v>3443.12</v>
      </c>
      <c r="D2217" s="51">
        <v>23600924.886213999</v>
      </c>
      <c r="E2217" s="51">
        <v>2114290333</v>
      </c>
      <c r="F2217" s="52">
        <f t="shared" si="72"/>
        <v>2.0219519201705163E-3</v>
      </c>
      <c r="G2217" s="52">
        <f t="shared" si="73"/>
        <v>4.7161384872977134E-3</v>
      </c>
    </row>
    <row r="2218" spans="1:7" ht="15" customHeight="1" x14ac:dyDescent="0.2">
      <c r="A2218" s="19" t="s">
        <v>2365</v>
      </c>
      <c r="B2218" s="50">
        <v>207.08699999999999</v>
      </c>
      <c r="C2218" s="50">
        <v>3435.56</v>
      </c>
      <c r="D2218" s="51">
        <v>23571253.615059</v>
      </c>
      <c r="E2218" s="51">
        <v>2067107215</v>
      </c>
      <c r="F2218" s="52">
        <f t="shared" si="72"/>
        <v>7.1009864659517805E-4</v>
      </c>
      <c r="G2218" s="52">
        <f t="shared" si="73"/>
        <v>-2.1980970313859494E-3</v>
      </c>
    </row>
    <row r="2219" spans="1:7" ht="15" customHeight="1" x14ac:dyDescent="0.2">
      <c r="A2219" s="19" t="s">
        <v>2366</v>
      </c>
      <c r="B2219" s="50">
        <v>207.17599999999999</v>
      </c>
      <c r="C2219" s="50">
        <v>3453.49</v>
      </c>
      <c r="D2219" s="51">
        <v>23183890.004944</v>
      </c>
      <c r="E2219" s="51">
        <v>2402859482</v>
      </c>
      <c r="F2219" s="52">
        <f t="shared" si="72"/>
        <v>4.2967873727217616E-4</v>
      </c>
      <c r="G2219" s="52">
        <f t="shared" si="73"/>
        <v>5.2053738863262616E-3</v>
      </c>
    </row>
    <row r="2220" spans="1:7" ht="15" customHeight="1" x14ac:dyDescent="0.2">
      <c r="A2220" s="19" t="s">
        <v>2367</v>
      </c>
      <c r="B2220" s="50">
        <v>208.46600000000001</v>
      </c>
      <c r="C2220" s="50">
        <v>3465.39</v>
      </c>
      <c r="D2220" s="51">
        <v>19582744.103916001</v>
      </c>
      <c r="E2220" s="51">
        <v>2155522498</v>
      </c>
      <c r="F2220" s="52">
        <f t="shared" si="72"/>
        <v>6.207284836536018E-3</v>
      </c>
      <c r="G2220" s="52">
        <f t="shared" si="73"/>
        <v>3.4398664911297477E-3</v>
      </c>
    </row>
    <row r="2221" spans="1:7" ht="15" customHeight="1" x14ac:dyDescent="0.2">
      <c r="A2221" s="19" t="s">
        <v>2368</v>
      </c>
      <c r="B2221" s="50">
        <v>202.536</v>
      </c>
      <c r="C2221" s="50">
        <v>3400.97</v>
      </c>
      <c r="D2221" s="51">
        <v>38493713.060122997</v>
      </c>
      <c r="E2221" s="51">
        <v>2435786612</v>
      </c>
      <c r="F2221" s="52">
        <f t="shared" si="72"/>
        <v>-2.8858309873432776E-2</v>
      </c>
      <c r="G2221" s="52">
        <f t="shared" si="73"/>
        <v>-1.8764495369547173E-2</v>
      </c>
    </row>
    <row r="2222" spans="1:7" ht="15" customHeight="1" x14ac:dyDescent="0.2">
      <c r="A2222" s="19" t="s">
        <v>2369</v>
      </c>
      <c r="B2222" s="50">
        <v>205.584</v>
      </c>
      <c r="C2222" s="50">
        <v>3390.68</v>
      </c>
      <c r="D2222" s="51">
        <v>38067160.766177997</v>
      </c>
      <c r="E2222" s="51">
        <v>2395101697</v>
      </c>
      <c r="F2222" s="52">
        <f t="shared" si="72"/>
        <v>1.49370610173498E-2</v>
      </c>
      <c r="G2222" s="52">
        <f t="shared" si="73"/>
        <v>-3.0301938037524704E-3</v>
      </c>
    </row>
    <row r="2223" spans="1:7" ht="15" customHeight="1" x14ac:dyDescent="0.2">
      <c r="A2223" s="19" t="s">
        <v>2370</v>
      </c>
      <c r="B2223" s="50">
        <v>195.41499999999999</v>
      </c>
      <c r="C2223" s="50">
        <v>3271.03</v>
      </c>
      <c r="D2223" s="51">
        <v>53102279.102776997</v>
      </c>
      <c r="E2223" s="51">
        <v>3147943500</v>
      </c>
      <c r="F2223" s="52">
        <f t="shared" si="72"/>
        <v>-5.0729207269764001E-2</v>
      </c>
      <c r="G2223" s="52">
        <f t="shared" si="73"/>
        <v>-3.5925571226008889E-2</v>
      </c>
    </row>
    <row r="2224" spans="1:7" ht="15" customHeight="1" x14ac:dyDescent="0.2">
      <c r="A2224" s="19" t="s">
        <v>2371</v>
      </c>
      <c r="B2224" s="50">
        <v>197.37</v>
      </c>
      <c r="C2224" s="50">
        <v>3310.11</v>
      </c>
      <c r="D2224" s="51">
        <v>32603212.717307001</v>
      </c>
      <c r="E2224" s="51">
        <v>2752625684</v>
      </c>
      <c r="F2224" s="52">
        <f t="shared" si="72"/>
        <v>9.95463749465526E-3</v>
      </c>
      <c r="G2224" s="52">
        <f t="shared" si="73"/>
        <v>1.18765014438055E-2</v>
      </c>
    </row>
    <row r="2225" spans="1:7" ht="15" customHeight="1" x14ac:dyDescent="0.2">
      <c r="A2225" s="19" t="s">
        <v>2372</v>
      </c>
      <c r="B2225" s="50">
        <v>195.21100000000001</v>
      </c>
      <c r="C2225" s="50">
        <v>3269.96</v>
      </c>
      <c r="D2225" s="51">
        <v>38357369.161619999</v>
      </c>
      <c r="E2225" s="51">
        <v>3003852681</v>
      </c>
      <c r="F2225" s="52">
        <f t="shared" si="72"/>
        <v>-1.0999114915747777E-2</v>
      </c>
      <c r="G2225" s="52">
        <f t="shared" si="73"/>
        <v>-1.2203669046735501E-2</v>
      </c>
    </row>
    <row r="2226" spans="1:7" ht="15" customHeight="1" x14ac:dyDescent="0.2">
      <c r="A2226" s="19" t="s">
        <v>2373</v>
      </c>
      <c r="B2226" s="50">
        <v>195.07499999999999</v>
      </c>
      <c r="C2226" s="50">
        <v>3310.24</v>
      </c>
      <c r="D2226" s="51">
        <v>31990823.112272002</v>
      </c>
      <c r="E2226" s="51">
        <v>2525535542</v>
      </c>
      <c r="F2226" s="52">
        <f t="shared" si="72"/>
        <v>-6.9692484744355296E-4</v>
      </c>
      <c r="G2226" s="52">
        <f t="shared" si="73"/>
        <v>1.2242941894852779E-2</v>
      </c>
    </row>
    <row r="2227" spans="1:7" ht="15" customHeight="1" x14ac:dyDescent="0.2">
      <c r="A2227" s="19" t="s">
        <v>2374</v>
      </c>
      <c r="B2227" s="50">
        <v>199.03200000000001</v>
      </c>
      <c r="C2227" s="50">
        <v>3369.16</v>
      </c>
      <c r="D2227" s="51">
        <v>28536666.769919999</v>
      </c>
      <c r="E2227" s="51">
        <v>2329577555</v>
      </c>
      <c r="F2227" s="52">
        <f t="shared" si="72"/>
        <v>2.0081515814187403E-2</v>
      </c>
      <c r="G2227" s="52">
        <f t="shared" si="73"/>
        <v>1.7642760820758659E-2</v>
      </c>
    </row>
    <row r="2228" spans="1:7" ht="15" customHeight="1" x14ac:dyDescent="0.2">
      <c r="A2228" s="19" t="s">
        <v>2375</v>
      </c>
      <c r="B2228" s="50">
        <v>208.61</v>
      </c>
      <c r="C2228" s="50">
        <v>3443.44</v>
      </c>
      <c r="D2228" s="51">
        <v>43887602.263061002</v>
      </c>
      <c r="E2228" s="51">
        <v>2901095649</v>
      </c>
      <c r="F2228" s="52">
        <f t="shared" si="72"/>
        <v>4.7000864239182601E-2</v>
      </c>
      <c r="G2228" s="52">
        <f t="shared" si="73"/>
        <v>2.1807516584335981E-2</v>
      </c>
    </row>
    <row r="2229" spans="1:7" ht="15" customHeight="1" x14ac:dyDescent="0.2">
      <c r="A2229" s="19" t="s">
        <v>2376</v>
      </c>
      <c r="B2229" s="50">
        <v>215.28200000000001</v>
      </c>
      <c r="C2229" s="50">
        <v>3510.45</v>
      </c>
      <c r="D2229" s="51">
        <v>37423874.379768997</v>
      </c>
      <c r="E2229" s="51">
        <v>2559015385</v>
      </c>
      <c r="F2229" s="52">
        <f t="shared" si="72"/>
        <v>3.1482316545983137E-2</v>
      </c>
      <c r="G2229" s="52">
        <f t="shared" si="73"/>
        <v>1.9273262670013912E-2</v>
      </c>
    </row>
    <row r="2230" spans="1:7" ht="15" customHeight="1" x14ac:dyDescent="0.2">
      <c r="A2230" s="19" t="s">
        <v>2377</v>
      </c>
      <c r="B2230" s="50">
        <v>215.70099999999999</v>
      </c>
      <c r="C2230" s="50">
        <v>3509.44</v>
      </c>
      <c r="D2230" s="51">
        <v>26171610.197058</v>
      </c>
      <c r="E2230" s="51">
        <v>2167007972</v>
      </c>
      <c r="F2230" s="52">
        <f t="shared" si="72"/>
        <v>1.944392850799869E-3</v>
      </c>
      <c r="G2230" s="52">
        <f t="shared" si="73"/>
        <v>-2.8775379869741254E-4</v>
      </c>
    </row>
    <row r="2231" spans="1:7" ht="15" customHeight="1" x14ac:dyDescent="0.2">
      <c r="A2231" s="19" t="s">
        <v>2378</v>
      </c>
      <c r="B2231" s="50">
        <v>210.54400000000001</v>
      </c>
      <c r="C2231" s="50">
        <v>3550.5</v>
      </c>
      <c r="D2231" s="51">
        <v>46048359.013778001</v>
      </c>
      <c r="E2231" s="51">
        <v>5061429532</v>
      </c>
      <c r="F2231" s="52">
        <f t="shared" si="72"/>
        <v>-2.4198532045193129E-2</v>
      </c>
      <c r="G2231" s="52">
        <f t="shared" si="73"/>
        <v>1.1631958050304203E-2</v>
      </c>
    </row>
    <row r="2232" spans="1:7" ht="15" customHeight="1" x14ac:dyDescent="0.2">
      <c r="A2232" s="19" t="s">
        <v>2379</v>
      </c>
      <c r="B2232" s="50">
        <v>203.44499999999999</v>
      </c>
      <c r="C2232" s="50">
        <v>3545.53</v>
      </c>
      <c r="D2232" s="51">
        <v>45685499.465078004</v>
      </c>
      <c r="E2232" s="51">
        <v>3455507092</v>
      </c>
      <c r="F2232" s="52">
        <f t="shared" si="72"/>
        <v>-3.4298959324996985E-2</v>
      </c>
      <c r="G2232" s="52">
        <f t="shared" si="73"/>
        <v>-1.4007834839128777E-3</v>
      </c>
    </row>
    <row r="2233" spans="1:7" ht="15" customHeight="1" x14ac:dyDescent="0.2">
      <c r="A2233" s="19" t="s">
        <v>2380</v>
      </c>
      <c r="B2233" s="50">
        <v>208.767</v>
      </c>
      <c r="C2233" s="50">
        <v>3572.66</v>
      </c>
      <c r="D2233" s="51">
        <v>30537256.399728</v>
      </c>
      <c r="E2233" s="51">
        <v>2515389885</v>
      </c>
      <c r="F2233" s="52">
        <f t="shared" si="72"/>
        <v>2.5823099458102784E-2</v>
      </c>
      <c r="G2233" s="52">
        <f t="shared" si="73"/>
        <v>7.622761226929676E-3</v>
      </c>
    </row>
    <row r="2234" spans="1:7" ht="15" customHeight="1" x14ac:dyDescent="0.2">
      <c r="A2234" s="19" t="s">
        <v>2381</v>
      </c>
      <c r="B2234" s="50">
        <v>207.714</v>
      </c>
      <c r="C2234" s="50">
        <v>3537.01</v>
      </c>
      <c r="D2234" s="51">
        <v>22421168.075270001</v>
      </c>
      <c r="E2234" s="51">
        <v>2414732971</v>
      </c>
      <c r="F2234" s="52">
        <f t="shared" si="72"/>
        <v>-5.0566640195037517E-3</v>
      </c>
      <c r="G2234" s="52">
        <f t="shared" si="73"/>
        <v>-1.0028678908945363E-2</v>
      </c>
    </row>
    <row r="2235" spans="1:7" ht="15" customHeight="1" x14ac:dyDescent="0.2">
      <c r="A2235" s="19" t="s">
        <v>2382</v>
      </c>
      <c r="B2235" s="50">
        <v>208.727</v>
      </c>
      <c r="C2235" s="50">
        <v>3585.15</v>
      </c>
      <c r="D2235" s="51">
        <v>19324158.376850002</v>
      </c>
      <c r="E2235" s="51">
        <v>2276724987</v>
      </c>
      <c r="F2235" s="52">
        <f t="shared" si="72"/>
        <v>4.8650444986368313E-3</v>
      </c>
      <c r="G2235" s="52">
        <f t="shared" si="73"/>
        <v>1.3518576706374859E-2</v>
      </c>
    </row>
    <row r="2236" spans="1:7" ht="15" customHeight="1" x14ac:dyDescent="0.2">
      <c r="A2236" s="19" t="s">
        <v>2383</v>
      </c>
      <c r="B2236" s="50">
        <v>209.43299999999999</v>
      </c>
      <c r="C2236" s="50">
        <v>3626.91</v>
      </c>
      <c r="D2236" s="51">
        <v>25882685.669461999</v>
      </c>
      <c r="E2236" s="51">
        <v>2864430679</v>
      </c>
      <c r="F2236" s="52">
        <f t="shared" si="72"/>
        <v>3.3767011231301391E-3</v>
      </c>
      <c r="G2236" s="52">
        <f t="shared" si="73"/>
        <v>1.1580731916656505E-2</v>
      </c>
    </row>
    <row r="2237" spans="1:7" ht="15" customHeight="1" x14ac:dyDescent="0.2">
      <c r="A2237" s="19" t="s">
        <v>2384</v>
      </c>
      <c r="B2237" s="50">
        <v>206.75700000000001</v>
      </c>
      <c r="C2237" s="50">
        <v>3609.53</v>
      </c>
      <c r="D2237" s="51">
        <v>25053687.901581999</v>
      </c>
      <c r="E2237" s="51">
        <v>2343226894</v>
      </c>
      <c r="F2237" s="52">
        <f t="shared" si="72"/>
        <v>-1.2859688496900534E-2</v>
      </c>
      <c r="G2237" s="52">
        <f t="shared" si="73"/>
        <v>-4.8034761341036901E-3</v>
      </c>
    </row>
    <row r="2238" spans="1:7" ht="15" customHeight="1" x14ac:dyDescent="0.2">
      <c r="A2238" s="19" t="s">
        <v>2385</v>
      </c>
      <c r="B2238" s="50">
        <v>204.03399999999999</v>
      </c>
      <c r="C2238" s="50">
        <v>3567.79</v>
      </c>
      <c r="D2238" s="51">
        <v>29352635.429186001</v>
      </c>
      <c r="E2238" s="51">
        <v>2667939337</v>
      </c>
      <c r="F2238" s="52">
        <f t="shared" si="72"/>
        <v>-1.3257544022716179E-2</v>
      </c>
      <c r="G2238" s="52">
        <f t="shared" si="73"/>
        <v>-1.1631213479601318E-2</v>
      </c>
    </row>
    <row r="2239" spans="1:7" ht="15" customHeight="1" x14ac:dyDescent="0.2">
      <c r="A2239" s="19" t="s">
        <v>2386</v>
      </c>
      <c r="B2239" s="50">
        <v>205.33</v>
      </c>
      <c r="C2239" s="50">
        <v>3581.87</v>
      </c>
      <c r="D2239" s="51">
        <v>25648956.197225001</v>
      </c>
      <c r="E2239" s="51">
        <v>2246332374</v>
      </c>
      <c r="F2239" s="52">
        <f t="shared" si="72"/>
        <v>6.3317943438702248E-3</v>
      </c>
      <c r="G2239" s="52">
        <f t="shared" si="73"/>
        <v>3.9386539225387159E-3</v>
      </c>
    </row>
    <row r="2240" spans="1:7" ht="15" customHeight="1" x14ac:dyDescent="0.2">
      <c r="A2240" s="19" t="s">
        <v>2387</v>
      </c>
      <c r="B2240" s="50">
        <v>203.376</v>
      </c>
      <c r="C2240" s="50">
        <v>3557.54</v>
      </c>
      <c r="D2240" s="51">
        <v>23631999.811930999</v>
      </c>
      <c r="E2240" s="51">
        <v>2212968548</v>
      </c>
      <c r="F2240" s="52">
        <f t="shared" si="72"/>
        <v>-9.5619584150942773E-3</v>
      </c>
      <c r="G2240" s="52">
        <f t="shared" si="73"/>
        <v>-6.8157156362698918E-3</v>
      </c>
    </row>
    <row r="2241" spans="1:7" ht="15" customHeight="1" x14ac:dyDescent="0.2">
      <c r="A2241" s="19" t="s">
        <v>2388</v>
      </c>
      <c r="B2241" s="50">
        <v>203.102</v>
      </c>
      <c r="C2241" s="50">
        <v>3577.59</v>
      </c>
      <c r="D2241" s="51">
        <v>26570479.474516001</v>
      </c>
      <c r="E2241" s="51">
        <v>2493130026</v>
      </c>
      <c r="F2241" s="52">
        <f t="shared" si="72"/>
        <v>-1.348166648629467E-3</v>
      </c>
      <c r="G2241" s="52">
        <f t="shared" si="73"/>
        <v>5.6200945950578216E-3</v>
      </c>
    </row>
    <row r="2242" spans="1:7" ht="15" customHeight="1" x14ac:dyDescent="0.2">
      <c r="A2242" s="19" t="s">
        <v>2389</v>
      </c>
      <c r="B2242" s="50">
        <v>206.71700000000001</v>
      </c>
      <c r="C2242" s="50">
        <v>3635.41</v>
      </c>
      <c r="D2242" s="51">
        <v>35153211.784277998</v>
      </c>
      <c r="E2242" s="51">
        <v>3170708990</v>
      </c>
      <c r="F2242" s="52">
        <f t="shared" si="72"/>
        <v>1.7642392201346935E-2</v>
      </c>
      <c r="G2242" s="52">
        <f t="shared" si="73"/>
        <v>1.6032507557285768E-2</v>
      </c>
    </row>
    <row r="2243" spans="1:7" ht="15" customHeight="1" x14ac:dyDescent="0.2">
      <c r="A2243" s="19" t="s">
        <v>2390</v>
      </c>
      <c r="B2243" s="50">
        <v>206.727</v>
      </c>
      <c r="C2243" s="50">
        <v>3629.65</v>
      </c>
      <c r="D2243" s="51">
        <v>21738561.956319001</v>
      </c>
      <c r="E2243" s="51">
        <v>2305668031</v>
      </c>
      <c r="F2243" s="52">
        <f t="shared" si="72"/>
        <v>4.8374144996383662E-5</v>
      </c>
      <c r="G2243" s="52">
        <f t="shared" si="73"/>
        <v>-1.5856720266289198E-3</v>
      </c>
    </row>
    <row r="2244" spans="1:7" ht="15" customHeight="1" x14ac:dyDescent="0.2">
      <c r="A2244" s="19" t="s">
        <v>2391</v>
      </c>
      <c r="B2244" s="50">
        <v>208.05500000000001</v>
      </c>
      <c r="C2244" s="50">
        <v>3638.35</v>
      </c>
      <c r="D2244" s="51">
        <v>15013387.798304001</v>
      </c>
      <c r="E2244" s="51">
        <v>1229199673</v>
      </c>
      <c r="F2244" s="52">
        <f t="shared" si="72"/>
        <v>6.4033855745939932E-3</v>
      </c>
      <c r="G2244" s="52">
        <f t="shared" si="73"/>
        <v>2.3940572799516376E-3</v>
      </c>
    </row>
    <row r="2245" spans="1:7" ht="15" customHeight="1" x14ac:dyDescent="0.2">
      <c r="A2245" s="19" t="s">
        <v>2392</v>
      </c>
      <c r="B2245" s="50">
        <v>206.92099999999999</v>
      </c>
      <c r="C2245" s="50">
        <v>3621.63</v>
      </c>
      <c r="D2245" s="51">
        <v>34206634.655272998</v>
      </c>
      <c r="E2245" s="51">
        <v>3644157125</v>
      </c>
      <c r="F2245" s="52">
        <f t="shared" si="72"/>
        <v>-5.4653899153667808E-3</v>
      </c>
      <c r="G2245" s="52">
        <f t="shared" si="73"/>
        <v>-4.6060814384970977E-3</v>
      </c>
    </row>
    <row r="2246" spans="1:7" ht="15" customHeight="1" x14ac:dyDescent="0.2">
      <c r="A2246" s="19" t="s">
        <v>2393</v>
      </c>
      <c r="B2246" s="50">
        <v>208.99299999999999</v>
      </c>
      <c r="C2246" s="50">
        <v>3662.45</v>
      </c>
      <c r="D2246" s="51">
        <v>31999522.494314998</v>
      </c>
      <c r="E2246" s="51">
        <v>2637657489</v>
      </c>
      <c r="F2246" s="52">
        <f t="shared" ref="F2246:F2309" si="74">LN(B2246/B2245)</f>
        <v>9.9636806716932261E-3</v>
      </c>
      <c r="G2246" s="52">
        <f t="shared" ref="G2246:G2309" si="75">LN(C2246/C2245)</f>
        <v>1.1208121636017976E-2</v>
      </c>
    </row>
    <row r="2247" spans="1:7" ht="15" customHeight="1" x14ac:dyDescent="0.2">
      <c r="A2247" s="19" t="s">
        <v>2394</v>
      </c>
      <c r="B2247" s="50">
        <v>208.18199999999999</v>
      </c>
      <c r="C2247" s="50">
        <v>3669.01</v>
      </c>
      <c r="D2247" s="51">
        <v>24543827.532209001</v>
      </c>
      <c r="E2247" s="51">
        <v>2382771239</v>
      </c>
      <c r="F2247" s="52">
        <f t="shared" si="74"/>
        <v>-3.8880614689685766E-3</v>
      </c>
      <c r="G2247" s="52">
        <f t="shared" si="75"/>
        <v>1.7895485348597621E-3</v>
      </c>
    </row>
    <row r="2248" spans="1:7" ht="15" customHeight="1" x14ac:dyDescent="0.2">
      <c r="A2248" s="19" t="s">
        <v>2395</v>
      </c>
      <c r="B2248" s="50">
        <v>207.08699999999999</v>
      </c>
      <c r="C2248" s="50">
        <v>3666.72</v>
      </c>
      <c r="D2248" s="51">
        <v>25988466.551277999</v>
      </c>
      <c r="E2248" s="51">
        <v>2642754327</v>
      </c>
      <c r="F2248" s="52">
        <f t="shared" si="74"/>
        <v>-5.2737022885790998E-3</v>
      </c>
      <c r="G2248" s="52">
        <f t="shared" si="75"/>
        <v>-6.2434142870242462E-4</v>
      </c>
    </row>
    <row r="2249" spans="1:7" ht="15" customHeight="1" x14ac:dyDescent="0.2">
      <c r="A2249" s="19" t="s">
        <v>2396</v>
      </c>
      <c r="B2249" s="50">
        <v>207.20500000000001</v>
      </c>
      <c r="C2249" s="50">
        <v>3699.12</v>
      </c>
      <c r="D2249" s="51">
        <v>25517873.699724998</v>
      </c>
      <c r="E2249" s="51">
        <v>2591912420</v>
      </c>
      <c r="F2249" s="52">
        <f t="shared" si="74"/>
        <v>5.6964654490511434E-4</v>
      </c>
      <c r="G2249" s="52">
        <f t="shared" si="75"/>
        <v>8.7974240454147031E-3</v>
      </c>
    </row>
    <row r="2250" spans="1:7" ht="15" customHeight="1" x14ac:dyDescent="0.2">
      <c r="A2250" s="19" t="s">
        <v>2397</v>
      </c>
      <c r="B2250" s="50">
        <v>207.136</v>
      </c>
      <c r="C2250" s="50">
        <v>3691.96</v>
      </c>
      <c r="D2250" s="51">
        <v>25452748.633016001</v>
      </c>
      <c r="E2250" s="51">
        <v>2340001316</v>
      </c>
      <c r="F2250" s="52">
        <f t="shared" si="74"/>
        <v>-3.3305900520514949E-4</v>
      </c>
      <c r="G2250" s="52">
        <f t="shared" si="75"/>
        <v>-1.9374711787083175E-3</v>
      </c>
    </row>
    <row r="2251" spans="1:7" ht="15" customHeight="1" x14ac:dyDescent="0.2">
      <c r="A2251" s="19" t="s">
        <v>2398</v>
      </c>
      <c r="B2251" s="50">
        <v>208.797</v>
      </c>
      <c r="C2251" s="50">
        <v>3702.25</v>
      </c>
      <c r="D2251" s="51">
        <v>24071774.716102</v>
      </c>
      <c r="E2251" s="51">
        <v>2264899108</v>
      </c>
      <c r="F2251" s="52">
        <f t="shared" si="74"/>
        <v>7.9869057260738719E-3</v>
      </c>
      <c r="G2251" s="52">
        <f t="shared" si="75"/>
        <v>2.7832605897471193E-3</v>
      </c>
    </row>
    <row r="2252" spans="1:7" ht="15" customHeight="1" x14ac:dyDescent="0.2">
      <c r="A2252" s="19" t="s">
        <v>2399</v>
      </c>
      <c r="B2252" s="50">
        <v>204.732</v>
      </c>
      <c r="C2252" s="50">
        <v>3672.82</v>
      </c>
      <c r="D2252" s="51">
        <v>33539552.689544</v>
      </c>
      <c r="E2252" s="51">
        <v>2756415535</v>
      </c>
      <c r="F2252" s="52">
        <f t="shared" si="74"/>
        <v>-1.966068130840103E-2</v>
      </c>
      <c r="G2252" s="52">
        <f t="shared" si="75"/>
        <v>-7.9809835607026966E-3</v>
      </c>
    </row>
    <row r="2253" spans="1:7" ht="15" customHeight="1" x14ac:dyDescent="0.2">
      <c r="A2253" s="19" t="s">
        <v>2400</v>
      </c>
      <c r="B2253" s="50">
        <v>203.50399999999999</v>
      </c>
      <c r="C2253" s="50">
        <v>3668.1</v>
      </c>
      <c r="D2253" s="51">
        <v>27380838.634638999</v>
      </c>
      <c r="E2253" s="51">
        <v>2412666569</v>
      </c>
      <c r="F2253" s="52">
        <f t="shared" si="74"/>
        <v>-6.0161460716439798E-3</v>
      </c>
      <c r="G2253" s="52">
        <f t="shared" si="75"/>
        <v>-1.2859425386560199E-3</v>
      </c>
    </row>
    <row r="2254" spans="1:7" ht="15" customHeight="1" x14ac:dyDescent="0.2">
      <c r="A2254" s="19" t="s">
        <v>2401</v>
      </c>
      <c r="B2254" s="50">
        <v>206.131</v>
      </c>
      <c r="C2254" s="50">
        <v>3663.46</v>
      </c>
      <c r="D2254" s="51">
        <v>32049306.671234</v>
      </c>
      <c r="E2254" s="51">
        <v>2308878899</v>
      </c>
      <c r="F2254" s="52">
        <f t="shared" si="74"/>
        <v>1.2826228297625426E-2</v>
      </c>
      <c r="G2254" s="52">
        <f t="shared" si="75"/>
        <v>-1.2657607983834493E-3</v>
      </c>
    </row>
    <row r="2255" spans="1:7" ht="15" customHeight="1" x14ac:dyDescent="0.2">
      <c r="A2255" s="19" t="s">
        <v>2402</v>
      </c>
      <c r="B2255" s="50">
        <v>207.048</v>
      </c>
      <c r="C2255" s="50">
        <v>3647.49</v>
      </c>
      <c r="D2255" s="51">
        <v>29792922.242387</v>
      </c>
      <c r="E2255" s="51">
        <v>2541186619</v>
      </c>
      <c r="F2255" s="52">
        <f t="shared" si="74"/>
        <v>4.43876143563316E-3</v>
      </c>
      <c r="G2255" s="52">
        <f t="shared" si="75"/>
        <v>-4.3687962305264194E-3</v>
      </c>
    </row>
    <row r="2256" spans="1:7" ht="15" customHeight="1" x14ac:dyDescent="0.2">
      <c r="A2256" s="19" t="s">
        <v>2403</v>
      </c>
      <c r="B2256" s="50">
        <v>206.98</v>
      </c>
      <c r="C2256" s="50">
        <v>3694.62</v>
      </c>
      <c r="D2256" s="51">
        <v>27951168.770009998</v>
      </c>
      <c r="E2256" s="51">
        <v>2529938661</v>
      </c>
      <c r="F2256" s="52">
        <f t="shared" si="74"/>
        <v>-3.2848020236040456E-4</v>
      </c>
      <c r="G2256" s="52">
        <f t="shared" si="75"/>
        <v>1.2838447626446777E-2</v>
      </c>
    </row>
    <row r="2257" spans="1:7" ht="15" customHeight="1" x14ac:dyDescent="0.2">
      <c r="A2257" s="19" t="s">
        <v>2404</v>
      </c>
      <c r="B2257" s="50">
        <v>211.96199999999999</v>
      </c>
      <c r="C2257" s="50">
        <v>3701.17</v>
      </c>
      <c r="D2257" s="51">
        <v>36232771.617098004</v>
      </c>
      <c r="E2257" s="51">
        <v>2267390776</v>
      </c>
      <c r="F2257" s="52">
        <f t="shared" si="74"/>
        <v>2.3784843082611012E-2</v>
      </c>
      <c r="G2257" s="52">
        <f t="shared" si="75"/>
        <v>1.7712784469306416E-3</v>
      </c>
    </row>
    <row r="2258" spans="1:7" ht="15" customHeight="1" x14ac:dyDescent="0.2">
      <c r="A2258" s="19" t="s">
        <v>2405</v>
      </c>
      <c r="B2258" s="50">
        <v>212.09700000000001</v>
      </c>
      <c r="C2258" s="50">
        <v>3722.48</v>
      </c>
      <c r="D2258" s="51">
        <v>33638707.420884997</v>
      </c>
      <c r="E2258" s="51">
        <v>2192253641</v>
      </c>
      <c r="F2258" s="52">
        <f t="shared" si="74"/>
        <v>6.3670387639783545E-4</v>
      </c>
      <c r="G2258" s="52">
        <f t="shared" si="75"/>
        <v>5.7411269476310561E-3</v>
      </c>
    </row>
    <row r="2259" spans="1:7" ht="15" customHeight="1" x14ac:dyDescent="0.2">
      <c r="A2259" s="19" t="s">
        <v>2406</v>
      </c>
      <c r="B2259" s="50">
        <v>211.286</v>
      </c>
      <c r="C2259" s="50">
        <v>3709.41</v>
      </c>
      <c r="D2259" s="51">
        <v>65542866.382129997</v>
      </c>
      <c r="E2259" s="51">
        <v>4246742281</v>
      </c>
      <c r="F2259" s="52">
        <f t="shared" si="74"/>
        <v>-3.8310512794195333E-3</v>
      </c>
      <c r="G2259" s="52">
        <f t="shared" si="75"/>
        <v>-3.5172785050231921E-3</v>
      </c>
    </row>
    <row r="2260" spans="1:7" ht="15" customHeight="1" x14ac:dyDescent="0.2">
      <c r="A2260" s="19" t="s">
        <v>2407</v>
      </c>
      <c r="B2260" s="50">
        <v>215.16399999999999</v>
      </c>
      <c r="C2260" s="50">
        <v>3694.92</v>
      </c>
      <c r="D2260" s="51">
        <v>38465951.209646001</v>
      </c>
      <c r="E2260" s="51">
        <v>2605975306</v>
      </c>
      <c r="F2260" s="52">
        <f t="shared" si="74"/>
        <v>1.8187862128755422E-2</v>
      </c>
      <c r="G2260" s="52">
        <f t="shared" si="75"/>
        <v>-3.913931036978114E-3</v>
      </c>
    </row>
    <row r="2261" spans="1:7" ht="15" customHeight="1" x14ac:dyDescent="0.2">
      <c r="A2261" s="19" t="s">
        <v>2408</v>
      </c>
      <c r="B2261" s="50">
        <v>216.46299999999999</v>
      </c>
      <c r="C2261" s="50">
        <v>3687.26</v>
      </c>
      <c r="D2261" s="51">
        <v>23425380.018066</v>
      </c>
      <c r="E2261" s="51">
        <v>2208070093</v>
      </c>
      <c r="F2261" s="52">
        <f t="shared" si="74"/>
        <v>6.0191040961449045E-3</v>
      </c>
      <c r="G2261" s="52">
        <f t="shared" si="75"/>
        <v>-2.0752684841428568E-3</v>
      </c>
    </row>
    <row r="2262" spans="1:7" ht="15" customHeight="1" x14ac:dyDescent="0.2">
      <c r="A2262" s="19" t="s">
        <v>2409</v>
      </c>
      <c r="B2262" s="50">
        <v>213.64099999999999</v>
      </c>
      <c r="C2262" s="50">
        <v>3690.01</v>
      </c>
      <c r="D2262" s="51">
        <v>19345425.125565</v>
      </c>
      <c r="E2262" s="51">
        <v>1845296650</v>
      </c>
      <c r="F2262" s="52">
        <f t="shared" si="74"/>
        <v>-1.3122595912510584E-2</v>
      </c>
      <c r="G2262" s="52">
        <f t="shared" si="75"/>
        <v>7.4553327379252537E-4</v>
      </c>
    </row>
    <row r="2263" spans="1:7" ht="15" customHeight="1" x14ac:dyDescent="0.2">
      <c r="A2263" s="19" t="s">
        <v>2410</v>
      </c>
      <c r="B2263" s="50">
        <v>215.322</v>
      </c>
      <c r="C2263" s="50">
        <v>3703.06</v>
      </c>
      <c r="D2263" s="51">
        <v>10914932.513483999</v>
      </c>
      <c r="E2263" s="51">
        <v>818784928</v>
      </c>
      <c r="F2263" s="52">
        <f t="shared" si="74"/>
        <v>7.8375459184488565E-3</v>
      </c>
      <c r="G2263" s="52">
        <f t="shared" si="75"/>
        <v>3.5303368029281483E-3</v>
      </c>
    </row>
    <row r="2264" spans="1:7" ht="15" customHeight="1" x14ac:dyDescent="0.2">
      <c r="A2264" s="19" t="s">
        <v>2411</v>
      </c>
      <c r="B2264" s="50">
        <v>217.441</v>
      </c>
      <c r="C2264" s="50">
        <v>3735.36</v>
      </c>
      <c r="D2264" s="51">
        <v>18552823.065848999</v>
      </c>
      <c r="E2264" s="51">
        <v>1662609796</v>
      </c>
      <c r="F2264" s="52">
        <f t="shared" si="74"/>
        <v>9.792967211634555E-3</v>
      </c>
      <c r="G2264" s="52">
        <f t="shared" si="75"/>
        <v>8.6846946033693542E-3</v>
      </c>
    </row>
    <row r="2265" spans="1:7" ht="15" customHeight="1" x14ac:dyDescent="0.2">
      <c r="A2265" s="19" t="s">
        <v>2412</v>
      </c>
      <c r="B2265" s="50">
        <v>216.65</v>
      </c>
      <c r="C2265" s="50">
        <v>3727.04</v>
      </c>
      <c r="D2265" s="51">
        <v>18004227.564045001</v>
      </c>
      <c r="E2265" s="51">
        <v>1638287436</v>
      </c>
      <c r="F2265" s="52">
        <f t="shared" si="74"/>
        <v>-3.6444011761707232E-3</v>
      </c>
      <c r="G2265" s="52">
        <f t="shared" si="75"/>
        <v>-2.2298465500115035E-3</v>
      </c>
    </row>
    <row r="2266" spans="1:7" ht="15" customHeight="1" x14ac:dyDescent="0.2">
      <c r="A2266" s="19" t="s">
        <v>2413</v>
      </c>
      <c r="B2266" s="50">
        <v>214.286</v>
      </c>
      <c r="C2266" s="50">
        <v>3732.04</v>
      </c>
      <c r="D2266" s="51">
        <v>20972435.831599999</v>
      </c>
      <c r="E2266" s="51">
        <v>1559327835</v>
      </c>
      <c r="F2266" s="52">
        <f t="shared" si="74"/>
        <v>-1.0971576818485896E-2</v>
      </c>
      <c r="G2266" s="52">
        <f t="shared" si="75"/>
        <v>1.3406481091209083E-3</v>
      </c>
    </row>
    <row r="2267" spans="1:7" ht="15" customHeight="1" x14ac:dyDescent="0.2">
      <c r="A2267" s="19" t="s">
        <v>2414</v>
      </c>
      <c r="B2267" s="50">
        <v>215</v>
      </c>
      <c r="C2267" s="50">
        <v>3756.07</v>
      </c>
      <c r="D2267" s="51">
        <v>21665363.060399</v>
      </c>
      <c r="E2267" s="51">
        <v>1658919486</v>
      </c>
      <c r="F2267" s="52">
        <f t="shared" si="74"/>
        <v>3.3264567602301742E-3</v>
      </c>
      <c r="G2267" s="52">
        <f t="shared" si="75"/>
        <v>6.4181969787920831E-3</v>
      </c>
    </row>
    <row r="2268" spans="1:7" ht="15" customHeight="1" x14ac:dyDescent="0.2">
      <c r="A2268" s="19" t="s">
        <v>2415</v>
      </c>
      <c r="B2268" s="50">
        <v>210.429</v>
      </c>
      <c r="C2268" s="50">
        <v>3700.65</v>
      </c>
      <c r="D2268" s="51">
        <v>38412417.810996003</v>
      </c>
      <c r="E2268" s="51">
        <v>2728583078</v>
      </c>
      <c r="F2268" s="52">
        <f t="shared" si="74"/>
        <v>-2.1489724062542057E-2</v>
      </c>
      <c r="G2268" s="52">
        <f t="shared" si="75"/>
        <v>-1.4864718123372964E-2</v>
      </c>
    </row>
    <row r="2269" spans="1:7" ht="15" customHeight="1" x14ac:dyDescent="0.2">
      <c r="A2269" s="19" t="s">
        <v>2416</v>
      </c>
      <c r="B2269" s="50">
        <v>210.62299999999999</v>
      </c>
      <c r="C2269" s="50">
        <v>3726.86</v>
      </c>
      <c r="D2269" s="51">
        <v>24645671.833588999</v>
      </c>
      <c r="E2269" s="51">
        <v>2384682941</v>
      </c>
      <c r="F2269" s="52">
        <f t="shared" si="74"/>
        <v>9.2150144746101054E-4</v>
      </c>
      <c r="G2269" s="52">
        <f t="shared" si="75"/>
        <v>7.0575761707220575E-3</v>
      </c>
    </row>
    <row r="2270" spans="1:7" ht="15" customHeight="1" x14ac:dyDescent="0.2">
      <c r="A2270" s="19" t="s">
        <v>2417</v>
      </c>
      <c r="B2270" s="50">
        <v>205.161</v>
      </c>
      <c r="C2270" s="50">
        <v>3748.14</v>
      </c>
      <c r="D2270" s="51">
        <v>37171507.323591001</v>
      </c>
      <c r="E2270" s="51">
        <v>3191178708</v>
      </c>
      <c r="F2270" s="52">
        <f t="shared" si="74"/>
        <v>-2.6274768758900918E-2</v>
      </c>
      <c r="G2270" s="52">
        <f t="shared" si="75"/>
        <v>5.6936608662176199E-3</v>
      </c>
    </row>
    <row r="2271" spans="1:7" ht="15" customHeight="1" x14ac:dyDescent="0.2">
      <c r="A2271" s="19" t="s">
        <v>2418</v>
      </c>
      <c r="B2271" s="50">
        <v>210.99600000000001</v>
      </c>
      <c r="C2271" s="50">
        <v>3803.79</v>
      </c>
      <c r="D2271" s="51">
        <v>28650901.317446001</v>
      </c>
      <c r="E2271" s="51">
        <v>2585186415</v>
      </c>
      <c r="F2271" s="52">
        <f t="shared" si="74"/>
        <v>2.8044139196721544E-2</v>
      </c>
      <c r="G2271" s="52">
        <f t="shared" si="75"/>
        <v>1.4738221178340893E-2</v>
      </c>
    </row>
    <row r="2272" spans="1:7" ht="15" customHeight="1" x14ac:dyDescent="0.2">
      <c r="A2272" s="19" t="s">
        <v>2419</v>
      </c>
      <c r="B2272" s="50">
        <v>212.29400000000001</v>
      </c>
      <c r="C2272" s="50">
        <v>3824.68</v>
      </c>
      <c r="D2272" s="51">
        <v>23748991.501488999</v>
      </c>
      <c r="E2272" s="51">
        <v>2374809302</v>
      </c>
      <c r="F2272" s="52">
        <f t="shared" si="74"/>
        <v>6.1329304658865654E-3</v>
      </c>
      <c r="G2272" s="52">
        <f t="shared" si="75"/>
        <v>5.4768655361056894E-3</v>
      </c>
    </row>
    <row r="2273" spans="1:7" ht="15" customHeight="1" x14ac:dyDescent="0.2">
      <c r="A2273" s="19" t="s">
        <v>2420</v>
      </c>
      <c r="B2273" s="50">
        <v>210.232</v>
      </c>
      <c r="C2273" s="50">
        <v>3799.61</v>
      </c>
      <c r="D2273" s="51">
        <v>23842951.379999999</v>
      </c>
      <c r="E2273" s="51">
        <v>2335918128</v>
      </c>
      <c r="F2273" s="52">
        <f t="shared" si="74"/>
        <v>-9.7604235944098294E-3</v>
      </c>
      <c r="G2273" s="52">
        <f t="shared" si="75"/>
        <v>-6.5763737616643747E-3</v>
      </c>
    </row>
    <row r="2274" spans="1:7" ht="15" customHeight="1" x14ac:dyDescent="0.2">
      <c r="A2274" s="19" t="s">
        <v>2421</v>
      </c>
      <c r="B2274" s="50">
        <v>207.762</v>
      </c>
      <c r="C2274" s="50">
        <v>3801.19</v>
      </c>
      <c r="D2274" s="51">
        <v>24052245.386634</v>
      </c>
      <c r="E2274" s="51">
        <v>2632132471</v>
      </c>
      <c r="F2274" s="52">
        <f t="shared" si="74"/>
        <v>-1.1818489021614011E-2</v>
      </c>
      <c r="G2274" s="52">
        <f t="shared" si="75"/>
        <v>4.1574571696605784E-4</v>
      </c>
    </row>
    <row r="2275" spans="1:7" ht="15" customHeight="1" x14ac:dyDescent="0.2">
      <c r="A2275" s="19" t="s">
        <v>2422</v>
      </c>
      <c r="B2275" s="50">
        <v>209.119</v>
      </c>
      <c r="C2275" s="50">
        <v>3809.84</v>
      </c>
      <c r="D2275" s="51">
        <v>20780782.210115999</v>
      </c>
      <c r="E2275" s="51">
        <v>2344888465</v>
      </c>
      <c r="F2275" s="52">
        <f t="shared" si="74"/>
        <v>6.510274120831514E-3</v>
      </c>
      <c r="G2275" s="52">
        <f t="shared" si="75"/>
        <v>2.2730179027713113E-3</v>
      </c>
    </row>
    <row r="2276" spans="1:7" ht="15" customHeight="1" x14ac:dyDescent="0.2">
      <c r="A2276" s="19" t="s">
        <v>2423</v>
      </c>
      <c r="B2276" s="50">
        <v>205.89599999999999</v>
      </c>
      <c r="C2276" s="50">
        <v>3795.54</v>
      </c>
      <c r="D2276" s="51">
        <v>30360217.781032</v>
      </c>
      <c r="E2276" s="51">
        <v>2708930219</v>
      </c>
      <c r="F2276" s="52">
        <f t="shared" si="74"/>
        <v>-1.5532280982322807E-2</v>
      </c>
      <c r="G2276" s="52">
        <f t="shared" si="75"/>
        <v>-3.7605002910535887E-3</v>
      </c>
    </row>
    <row r="2277" spans="1:7" ht="15" customHeight="1" x14ac:dyDescent="0.2">
      <c r="A2277" s="19" t="s">
        <v>2424</v>
      </c>
      <c r="B2277" s="50">
        <v>205.54499999999999</v>
      </c>
      <c r="C2277" s="50">
        <v>3768.25</v>
      </c>
      <c r="D2277" s="51">
        <v>32842869.072287999</v>
      </c>
      <c r="E2277" s="51">
        <v>2741656357</v>
      </c>
      <c r="F2277" s="52">
        <f t="shared" si="74"/>
        <v>-1.7061988724998052E-3</v>
      </c>
      <c r="G2277" s="52">
        <f t="shared" si="75"/>
        <v>-7.2159905065941393E-3</v>
      </c>
    </row>
    <row r="2278" spans="1:7" ht="15" customHeight="1" x14ac:dyDescent="0.2">
      <c r="A2278" s="19" t="s">
        <v>2425</v>
      </c>
      <c r="B2278" s="50">
        <v>209.21600000000001</v>
      </c>
      <c r="C2278" s="50">
        <v>3798.91</v>
      </c>
      <c r="D2278" s="51">
        <v>31533508.157118998</v>
      </c>
      <c r="E2278" s="51">
        <v>2485142099</v>
      </c>
      <c r="F2278" s="52">
        <f t="shared" si="74"/>
        <v>1.7702223035471448E-2</v>
      </c>
      <c r="G2278" s="52">
        <f t="shared" si="75"/>
        <v>8.1034807715100084E-3</v>
      </c>
    </row>
    <row r="2279" spans="1:7" ht="15" customHeight="1" x14ac:dyDescent="0.2">
      <c r="A2279" s="19" t="s">
        <v>2426</v>
      </c>
      <c r="B2279" s="50">
        <v>216.83500000000001</v>
      </c>
      <c r="C2279" s="50">
        <v>3851.85</v>
      </c>
      <c r="D2279" s="51">
        <v>39081888.344255999</v>
      </c>
      <c r="E2279" s="51">
        <v>2350471631</v>
      </c>
      <c r="F2279" s="52">
        <f t="shared" si="74"/>
        <v>3.5769484548245425E-2</v>
      </c>
      <c r="G2279" s="52">
        <f t="shared" si="75"/>
        <v>1.3839368887685784E-2</v>
      </c>
    </row>
    <row r="2280" spans="1:7" ht="15" customHeight="1" x14ac:dyDescent="0.2">
      <c r="A2280" s="19" t="s">
        <v>2427</v>
      </c>
      <c r="B2280" s="50">
        <v>217.45099999999999</v>
      </c>
      <c r="C2280" s="50">
        <v>3853.07</v>
      </c>
      <c r="D2280" s="51">
        <v>31811479.879124999</v>
      </c>
      <c r="E2280" s="51">
        <v>2591055660</v>
      </c>
      <c r="F2280" s="52">
        <f t="shared" si="74"/>
        <v>2.8368421414175834E-3</v>
      </c>
      <c r="G2280" s="52">
        <f t="shared" si="75"/>
        <v>3.1668077285579088E-4</v>
      </c>
    </row>
    <row r="2281" spans="1:7" ht="15" customHeight="1" x14ac:dyDescent="0.2">
      <c r="A2281" s="19" t="s">
        <v>2428</v>
      </c>
      <c r="B2281" s="50">
        <v>218.40700000000001</v>
      </c>
      <c r="C2281" s="50">
        <v>3841.47</v>
      </c>
      <c r="D2281" s="51">
        <v>31214667.665849</v>
      </c>
      <c r="E2281" s="51">
        <v>2290691535</v>
      </c>
      <c r="F2281" s="52">
        <f t="shared" si="74"/>
        <v>4.3867568477616086E-3</v>
      </c>
      <c r="G2281" s="52">
        <f t="shared" si="75"/>
        <v>-3.0151272949282431E-3</v>
      </c>
    </row>
    <row r="2282" spans="1:7" ht="15" customHeight="1" x14ac:dyDescent="0.2">
      <c r="A2282" s="19" t="s">
        <v>2429</v>
      </c>
      <c r="B2282" s="50">
        <v>221.85499999999999</v>
      </c>
      <c r="C2282" s="50">
        <v>3855.36</v>
      </c>
      <c r="D2282" s="51">
        <v>34296992.741853997</v>
      </c>
      <c r="E2282" s="51">
        <v>2796458161</v>
      </c>
      <c r="F2282" s="52">
        <f t="shared" si="74"/>
        <v>1.5663720682509638E-2</v>
      </c>
      <c r="G2282" s="52">
        <f t="shared" si="75"/>
        <v>3.609282023548102E-3</v>
      </c>
    </row>
    <row r="2283" spans="1:7" ht="15" customHeight="1" x14ac:dyDescent="0.2">
      <c r="A2283" s="19" t="s">
        <v>2430</v>
      </c>
      <c r="B2283" s="50">
        <v>224.58</v>
      </c>
      <c r="C2283" s="50">
        <v>3849.62</v>
      </c>
      <c r="D2283" s="51">
        <v>50867657.974403001</v>
      </c>
      <c r="E2283" s="51">
        <v>2562368503</v>
      </c>
      <c r="F2283" s="52">
        <f t="shared" si="74"/>
        <v>1.2207975822713001E-2</v>
      </c>
      <c r="G2283" s="52">
        <f t="shared" si="75"/>
        <v>-1.4899457394751568E-3</v>
      </c>
    </row>
    <row r="2284" spans="1:7" ht="15" customHeight="1" x14ac:dyDescent="0.2">
      <c r="A2284" s="19" t="s">
        <v>2431</v>
      </c>
      <c r="B2284" s="50">
        <v>225.11600000000001</v>
      </c>
      <c r="C2284" s="50">
        <v>3750.77</v>
      </c>
      <c r="D2284" s="51">
        <v>72283601.550816</v>
      </c>
      <c r="E2284" s="51">
        <v>3808384652</v>
      </c>
      <c r="F2284" s="52">
        <f t="shared" si="74"/>
        <v>2.3838337624778028E-3</v>
      </c>
      <c r="G2284" s="52">
        <f t="shared" si="75"/>
        <v>-2.601328989204868E-2</v>
      </c>
    </row>
    <row r="2285" spans="1:7" ht="15" customHeight="1" x14ac:dyDescent="0.2">
      <c r="A2285" s="19" t="s">
        <v>2432</v>
      </c>
      <c r="B2285" s="50">
        <v>230.959</v>
      </c>
      <c r="C2285" s="50">
        <v>3787.38</v>
      </c>
      <c r="D2285" s="51">
        <v>50807198.446588002</v>
      </c>
      <c r="E2285" s="51">
        <v>3261772860</v>
      </c>
      <c r="F2285" s="52">
        <f t="shared" si="74"/>
        <v>2.5624380684365827E-2</v>
      </c>
      <c r="G2285" s="52">
        <f t="shared" si="75"/>
        <v>9.7133349275994544E-3</v>
      </c>
    </row>
    <row r="2286" spans="1:7" ht="15" customHeight="1" x14ac:dyDescent="0.2">
      <c r="A2286" s="19" t="s">
        <v>2433</v>
      </c>
      <c r="B2286" s="50">
        <v>224.23</v>
      </c>
      <c r="C2286" s="50">
        <v>3714.24</v>
      </c>
      <c r="D2286" s="51">
        <v>43970971.767576002</v>
      </c>
      <c r="E2286" s="51">
        <v>3315454292</v>
      </c>
      <c r="F2286" s="52">
        <f t="shared" si="74"/>
        <v>-2.9567894805796979E-2</v>
      </c>
      <c r="G2286" s="52">
        <f t="shared" si="75"/>
        <v>-1.9500405967127862E-2</v>
      </c>
    </row>
    <row r="2287" spans="1:7" ht="15" customHeight="1" x14ac:dyDescent="0.2">
      <c r="A2287" s="19" t="s">
        <v>2434</v>
      </c>
      <c r="B2287" s="50">
        <v>231.65299999999999</v>
      </c>
      <c r="C2287" s="50">
        <v>3773.86</v>
      </c>
      <c r="D2287" s="51">
        <v>34464689.020764999</v>
      </c>
      <c r="E2287" s="51">
        <v>2457573861</v>
      </c>
      <c r="F2287" s="52">
        <f t="shared" si="74"/>
        <v>3.2568251565343695E-2</v>
      </c>
      <c r="G2287" s="52">
        <f t="shared" si="75"/>
        <v>1.5924269140718334E-2</v>
      </c>
    </row>
    <row r="2288" spans="1:7" ht="15" customHeight="1" x14ac:dyDescent="0.2">
      <c r="A2288" s="19" t="s">
        <v>2435</v>
      </c>
      <c r="B2288" s="50">
        <v>231.51599999999999</v>
      </c>
      <c r="C2288" s="50">
        <v>3826.31</v>
      </c>
      <c r="D2288" s="51">
        <v>26811350.077714</v>
      </c>
      <c r="E2288" s="51">
        <v>2415604684</v>
      </c>
      <c r="F2288" s="52">
        <f t="shared" si="74"/>
        <v>-5.9157674194691473E-4</v>
      </c>
      <c r="G2288" s="52">
        <f t="shared" si="75"/>
        <v>1.3802541965649213E-2</v>
      </c>
    </row>
    <row r="2289" spans="1:7" ht="15" customHeight="1" x14ac:dyDescent="0.2">
      <c r="A2289" s="19" t="s">
        <v>2436</v>
      </c>
      <c r="B2289" s="50">
        <v>234.887</v>
      </c>
      <c r="C2289" s="50">
        <v>3830.17</v>
      </c>
      <c r="D2289" s="51">
        <v>28096003.191672999</v>
      </c>
      <c r="E2289" s="51">
        <v>2273801634</v>
      </c>
      <c r="F2289" s="52">
        <f t="shared" si="74"/>
        <v>1.4455561825546472E-2</v>
      </c>
      <c r="G2289" s="52">
        <f t="shared" si="75"/>
        <v>1.0082963259948519E-3</v>
      </c>
    </row>
    <row r="2290" spans="1:7" ht="15" customHeight="1" x14ac:dyDescent="0.2">
      <c r="A2290" s="19" t="s">
        <v>2437</v>
      </c>
      <c r="B2290" s="50">
        <v>233.92</v>
      </c>
      <c r="C2290" s="50">
        <v>3871.74</v>
      </c>
      <c r="D2290" s="51">
        <v>26169692.585836001</v>
      </c>
      <c r="E2290" s="51">
        <v>2367356951</v>
      </c>
      <c r="F2290" s="52">
        <f t="shared" si="74"/>
        <v>-4.1253708729689217E-3</v>
      </c>
      <c r="G2290" s="52">
        <f t="shared" si="75"/>
        <v>1.0794829768938023E-2</v>
      </c>
    </row>
    <row r="2291" spans="1:7" ht="15" customHeight="1" x14ac:dyDescent="0.2">
      <c r="A2291" s="19" t="s">
        <v>2438</v>
      </c>
      <c r="B2291" s="50">
        <v>234.10400000000001</v>
      </c>
      <c r="C2291" s="50">
        <v>3886.83</v>
      </c>
      <c r="D2291" s="51">
        <v>18678268.421117999</v>
      </c>
      <c r="E2291" s="51">
        <v>2152289897</v>
      </c>
      <c r="F2291" s="52">
        <f t="shared" si="74"/>
        <v>7.8628450455425671E-4</v>
      </c>
      <c r="G2291" s="52">
        <f t="shared" si="75"/>
        <v>3.8898969855535024E-3</v>
      </c>
    </row>
    <row r="2292" spans="1:7" ht="15" customHeight="1" x14ac:dyDescent="0.2">
      <c r="A2292" s="19" t="s">
        <v>2439</v>
      </c>
      <c r="B2292" s="50">
        <v>234.369</v>
      </c>
      <c r="C2292" s="50">
        <v>3915.59</v>
      </c>
      <c r="D2292" s="51">
        <v>22979012.749414999</v>
      </c>
      <c r="E2292" s="51">
        <v>2161333144</v>
      </c>
      <c r="F2292" s="52">
        <f t="shared" si="74"/>
        <v>1.131335331021825E-3</v>
      </c>
      <c r="G2292" s="52">
        <f t="shared" si="75"/>
        <v>7.3721051298863676E-3</v>
      </c>
    </row>
    <row r="2293" spans="1:7" ht="15" customHeight="1" x14ac:dyDescent="0.2">
      <c r="A2293" s="19" t="s">
        <v>2440</v>
      </c>
      <c r="B2293" s="50">
        <v>235.636</v>
      </c>
      <c r="C2293" s="50">
        <v>3911.23</v>
      </c>
      <c r="D2293" s="51">
        <v>24378762.465707</v>
      </c>
      <c r="E2293" s="51">
        <v>2067393950</v>
      </c>
      <c r="F2293" s="52">
        <f t="shared" si="74"/>
        <v>5.3914450657377181E-3</v>
      </c>
      <c r="G2293" s="52">
        <f t="shared" si="75"/>
        <v>-1.1141179817578345E-3</v>
      </c>
    </row>
    <row r="2294" spans="1:7" ht="15" customHeight="1" x14ac:dyDescent="0.2">
      <c r="A2294" s="19" t="s">
        <v>2441</v>
      </c>
      <c r="B2294" s="50">
        <v>234.71</v>
      </c>
      <c r="C2294" s="50">
        <v>3909.88</v>
      </c>
      <c r="D2294" s="51">
        <v>22952916.65092</v>
      </c>
      <c r="E2294" s="51">
        <v>2291313102</v>
      </c>
      <c r="F2294" s="52">
        <f t="shared" si="74"/>
        <v>-3.9375319292769091E-3</v>
      </c>
      <c r="G2294" s="52">
        <f t="shared" si="75"/>
        <v>-3.4521954387729651E-4</v>
      </c>
    </row>
    <row r="2295" spans="1:7" ht="15" customHeight="1" x14ac:dyDescent="0.2">
      <c r="A2295" s="19" t="s">
        <v>2442</v>
      </c>
      <c r="B2295" s="50">
        <v>236.33199999999999</v>
      </c>
      <c r="C2295" s="50">
        <v>3916.38</v>
      </c>
      <c r="D2295" s="51">
        <v>16295016.553719999</v>
      </c>
      <c r="E2295" s="51">
        <v>2126812632</v>
      </c>
      <c r="F2295" s="52">
        <f t="shared" si="74"/>
        <v>6.8868865657103198E-3</v>
      </c>
      <c r="G2295" s="52">
        <f t="shared" si="75"/>
        <v>1.6610747648429303E-3</v>
      </c>
    </row>
    <row r="2296" spans="1:7" ht="15" customHeight="1" x14ac:dyDescent="0.2">
      <c r="A2296" s="19" t="s">
        <v>2443</v>
      </c>
      <c r="B2296" s="50">
        <v>236.821</v>
      </c>
      <c r="C2296" s="50">
        <v>3934.83</v>
      </c>
      <c r="D2296" s="51">
        <v>17133010.610881001</v>
      </c>
      <c r="E2296" s="51">
        <v>1829607166</v>
      </c>
      <c r="F2296" s="52">
        <f t="shared" si="74"/>
        <v>2.0669854110678073E-3</v>
      </c>
      <c r="G2296" s="52">
        <f t="shared" si="75"/>
        <v>4.6999211490260486E-3</v>
      </c>
    </row>
    <row r="2297" spans="1:7" ht="15" customHeight="1" x14ac:dyDescent="0.2">
      <c r="A2297" s="19" t="s">
        <v>2444</v>
      </c>
      <c r="B2297" s="50">
        <v>235.56899999999999</v>
      </c>
      <c r="C2297" s="50">
        <v>3932.59</v>
      </c>
      <c r="D2297" s="51">
        <v>27651548.415155999</v>
      </c>
      <c r="E2297" s="51">
        <v>2305147298</v>
      </c>
      <c r="F2297" s="52">
        <f t="shared" si="74"/>
        <v>-5.3007173374345516E-3</v>
      </c>
      <c r="G2297" s="52">
        <f t="shared" si="75"/>
        <v>-5.6943700997991403E-4</v>
      </c>
    </row>
    <row r="2298" spans="1:7" ht="15" customHeight="1" x14ac:dyDescent="0.2">
      <c r="A2298" s="19" t="s">
        <v>2445</v>
      </c>
      <c r="B2298" s="50">
        <v>236.59399999999999</v>
      </c>
      <c r="C2298" s="50">
        <v>3931.33</v>
      </c>
      <c r="D2298" s="51">
        <v>22370061.125418</v>
      </c>
      <c r="E2298" s="51">
        <v>2161952392</v>
      </c>
      <c r="F2298" s="52">
        <f t="shared" si="74"/>
        <v>4.3417277938123892E-3</v>
      </c>
      <c r="G2298" s="52">
        <f t="shared" si="75"/>
        <v>-3.2045087202880161E-4</v>
      </c>
    </row>
    <row r="2299" spans="1:7" ht="15" customHeight="1" x14ac:dyDescent="0.2">
      <c r="A2299" s="19" t="s">
        <v>2446</v>
      </c>
      <c r="B2299" s="50">
        <v>236.203</v>
      </c>
      <c r="C2299" s="50">
        <v>3913.97</v>
      </c>
      <c r="D2299" s="51">
        <v>17469845.728349</v>
      </c>
      <c r="E2299" s="51">
        <v>2025989354</v>
      </c>
      <c r="F2299" s="52">
        <f t="shared" si="74"/>
        <v>-1.6539871832408398E-3</v>
      </c>
      <c r="G2299" s="52">
        <f t="shared" si="75"/>
        <v>-4.4255868696270202E-3</v>
      </c>
    </row>
    <row r="2300" spans="1:7" ht="15" customHeight="1" x14ac:dyDescent="0.2">
      <c r="A2300" s="19" t="s">
        <v>2447</v>
      </c>
      <c r="B2300" s="50">
        <v>233.46</v>
      </c>
      <c r="C2300" s="50">
        <v>3906.71</v>
      </c>
      <c r="D2300" s="51">
        <v>26074980.201051001</v>
      </c>
      <c r="E2300" s="51">
        <v>2315685076</v>
      </c>
      <c r="F2300" s="52">
        <f t="shared" si="74"/>
        <v>-1.1680848558848423E-2</v>
      </c>
      <c r="G2300" s="52">
        <f t="shared" si="75"/>
        <v>-1.8566165820490526E-3</v>
      </c>
    </row>
    <row r="2301" spans="1:7" ht="15" customHeight="1" x14ac:dyDescent="0.2">
      <c r="A2301" s="19" t="s">
        <v>2448</v>
      </c>
      <c r="B2301" s="50">
        <v>227.197</v>
      </c>
      <c r="C2301" s="50">
        <v>3876.5</v>
      </c>
      <c r="D2301" s="51">
        <v>37618976.220473997</v>
      </c>
      <c r="E2301" s="51">
        <v>2752794505</v>
      </c>
      <c r="F2301" s="52">
        <f t="shared" si="74"/>
        <v>-2.7193273690049567E-2</v>
      </c>
      <c r="G2301" s="52">
        <f t="shared" si="75"/>
        <v>-7.7629028925333757E-3</v>
      </c>
    </row>
    <row r="2302" spans="1:7" ht="15" customHeight="1" x14ac:dyDescent="0.2">
      <c r="A2302" s="19" t="s">
        <v>2449</v>
      </c>
      <c r="B2302" s="50">
        <v>226.00800000000001</v>
      </c>
      <c r="C2302" s="50">
        <v>3881.37</v>
      </c>
      <c r="D2302" s="51">
        <v>31141852.701701999</v>
      </c>
      <c r="E2302" s="51">
        <v>2947617135</v>
      </c>
      <c r="F2302" s="52">
        <f t="shared" si="74"/>
        <v>-5.247085658595772E-3</v>
      </c>
      <c r="G2302" s="52">
        <f t="shared" si="75"/>
        <v>1.2554994192235645E-3</v>
      </c>
    </row>
    <row r="2303" spans="1:7" ht="15" customHeight="1" x14ac:dyDescent="0.2">
      <c r="A2303" s="19" t="s">
        <v>2450</v>
      </c>
      <c r="B2303" s="50">
        <v>227.23599999999999</v>
      </c>
      <c r="C2303" s="50">
        <v>3925.43</v>
      </c>
      <c r="D2303" s="51">
        <v>27186764.707265001</v>
      </c>
      <c r="E2303" s="51">
        <v>2788164696</v>
      </c>
      <c r="F2303" s="52">
        <f t="shared" si="74"/>
        <v>5.4187281233628835E-3</v>
      </c>
      <c r="G2303" s="52">
        <f t="shared" si="75"/>
        <v>1.1287715277782164E-2</v>
      </c>
    </row>
    <row r="2304" spans="1:7" ht="15" customHeight="1" x14ac:dyDescent="0.2">
      <c r="A2304" s="19" t="s">
        <v>2451</v>
      </c>
      <c r="B2304" s="50">
        <v>221.845</v>
      </c>
      <c r="C2304" s="50">
        <v>3829.34</v>
      </c>
      <c r="D2304" s="51">
        <v>40813810.710575998</v>
      </c>
      <c r="E2304" s="51">
        <v>2924371959</v>
      </c>
      <c r="F2304" s="52">
        <f t="shared" si="74"/>
        <v>-2.4010185179027605E-2</v>
      </c>
      <c r="G2304" s="52">
        <f t="shared" si="75"/>
        <v>-2.4783434790564104E-2</v>
      </c>
    </row>
    <row r="2305" spans="1:7" ht="15" customHeight="1" x14ac:dyDescent="0.2">
      <c r="A2305" s="19" t="s">
        <v>2452</v>
      </c>
      <c r="B2305" s="50">
        <v>225.136</v>
      </c>
      <c r="C2305" s="50">
        <v>3811.15</v>
      </c>
      <c r="D2305" s="51">
        <v>39035396.766213</v>
      </c>
      <c r="E2305" s="51">
        <v>3129018166</v>
      </c>
      <c r="F2305" s="52">
        <f t="shared" si="74"/>
        <v>1.4725724225692757E-2</v>
      </c>
      <c r="G2305" s="52">
        <f t="shared" si="75"/>
        <v>-4.7614837180722748E-3</v>
      </c>
    </row>
    <row r="2306" spans="1:7" ht="15" customHeight="1" x14ac:dyDescent="0.2">
      <c r="A2306" s="19" t="s">
        <v>2453</v>
      </c>
      <c r="B2306" s="50">
        <v>229.55099999999999</v>
      </c>
      <c r="C2306" s="50">
        <v>3901.82</v>
      </c>
      <c r="D2306" s="51">
        <v>26147475.733963002</v>
      </c>
      <c r="E2306" s="51">
        <v>2406893663</v>
      </c>
      <c r="F2306" s="52">
        <f t="shared" si="74"/>
        <v>1.9420562989221419E-2</v>
      </c>
      <c r="G2306" s="52">
        <f t="shared" si="75"/>
        <v>2.3512130081996933E-2</v>
      </c>
    </row>
    <row r="2307" spans="1:7" ht="15" customHeight="1" x14ac:dyDescent="0.2">
      <c r="A2307" s="19" t="s">
        <v>2454</v>
      </c>
      <c r="B2307" s="50">
        <v>226.57499999999999</v>
      </c>
      <c r="C2307" s="50">
        <v>3870.29</v>
      </c>
      <c r="D2307" s="51">
        <v>23546049.262091</v>
      </c>
      <c r="E2307" s="51">
        <v>2296374171</v>
      </c>
      <c r="F2307" s="52">
        <f t="shared" si="74"/>
        <v>-1.3049211094276075E-2</v>
      </c>
      <c r="G2307" s="52">
        <f t="shared" si="75"/>
        <v>-8.113671312552936E-3</v>
      </c>
    </row>
    <row r="2308" spans="1:7" ht="15" customHeight="1" x14ac:dyDescent="0.2">
      <c r="A2308" s="19" t="s">
        <v>2455</v>
      </c>
      <c r="B2308" s="50">
        <v>220.47800000000001</v>
      </c>
      <c r="C2308" s="50">
        <v>3819.72</v>
      </c>
      <c r="D2308" s="51">
        <v>35123829.229812004</v>
      </c>
      <c r="E2308" s="51">
        <v>2718938203</v>
      </c>
      <c r="F2308" s="52">
        <f t="shared" si="74"/>
        <v>-2.7278099274256101E-2</v>
      </c>
      <c r="G2308" s="52">
        <f t="shared" si="75"/>
        <v>-1.3152318131987126E-2</v>
      </c>
    </row>
    <row r="2309" spans="1:7" ht="15" customHeight="1" x14ac:dyDescent="0.2">
      <c r="A2309" s="19" t="s">
        <v>2456</v>
      </c>
      <c r="B2309" s="50">
        <v>219.666</v>
      </c>
      <c r="C2309" s="50">
        <v>3768.47</v>
      </c>
      <c r="D2309" s="51">
        <v>46166117.543062001</v>
      </c>
      <c r="E2309" s="51">
        <v>3471696122</v>
      </c>
      <c r="F2309" s="52">
        <f t="shared" si="74"/>
        <v>-3.6897057381628153E-3</v>
      </c>
      <c r="G2309" s="52">
        <f t="shared" si="75"/>
        <v>-1.3508037960082262E-2</v>
      </c>
    </row>
    <row r="2310" spans="1:7" ht="15" customHeight="1" x14ac:dyDescent="0.2">
      <c r="A2310" s="19" t="s">
        <v>2457</v>
      </c>
      <c r="B2310" s="50">
        <v>224.386</v>
      </c>
      <c r="C2310" s="50">
        <v>3841.94</v>
      </c>
      <c r="D2310" s="51">
        <v>43219290.691845</v>
      </c>
      <c r="E2310" s="51">
        <v>3320705802</v>
      </c>
      <c r="F2310" s="52">
        <f t="shared" ref="F2310:F2373" si="76">LN(B2310/B2309)</f>
        <v>2.1259572182065187E-2</v>
      </c>
      <c r="G2310" s="52">
        <f t="shared" ref="G2310:G2373" si="77">LN(C2310/C2309)</f>
        <v>1.9308363815583877E-2</v>
      </c>
    </row>
    <row r="2311" spans="1:7" ht="15" customHeight="1" x14ac:dyDescent="0.2">
      <c r="A2311" s="19" t="s">
        <v>2458</v>
      </c>
      <c r="B2311" s="50">
        <v>220.31200000000001</v>
      </c>
      <c r="C2311" s="50">
        <v>3821.35</v>
      </c>
      <c r="D2311" s="51">
        <v>36401552.119332999</v>
      </c>
      <c r="E2311" s="51">
        <v>2998653462</v>
      </c>
      <c r="F2311" s="52">
        <f t="shared" si="76"/>
        <v>-1.8323059610025335E-2</v>
      </c>
      <c r="G2311" s="52">
        <f t="shared" si="77"/>
        <v>-5.3736840305412389E-3</v>
      </c>
    </row>
    <row r="2312" spans="1:7" ht="15" customHeight="1" x14ac:dyDescent="0.2">
      <c r="A2312" s="19" t="s">
        <v>2459</v>
      </c>
      <c r="B2312" s="50">
        <v>226.48599999999999</v>
      </c>
      <c r="C2312" s="50">
        <v>3875.44</v>
      </c>
      <c r="D2312" s="51">
        <v>34144316.897679999</v>
      </c>
      <c r="E2312" s="51">
        <v>2786916293</v>
      </c>
      <c r="F2312" s="52">
        <f t="shared" si="76"/>
        <v>2.7638409357770576E-2</v>
      </c>
      <c r="G2312" s="52">
        <f t="shared" si="77"/>
        <v>1.4055441418613446E-2</v>
      </c>
    </row>
    <row r="2313" spans="1:7" ht="15" customHeight="1" x14ac:dyDescent="0.2">
      <c r="A2313" s="19" t="s">
        <v>2460</v>
      </c>
      <c r="B2313" s="50">
        <v>225.17599999999999</v>
      </c>
      <c r="C2313" s="50">
        <v>3898.81</v>
      </c>
      <c r="D2313" s="51">
        <v>30703394.427554999</v>
      </c>
      <c r="E2313" s="51">
        <v>2661081667</v>
      </c>
      <c r="F2313" s="52">
        <f t="shared" si="76"/>
        <v>-5.8008142079507951E-3</v>
      </c>
      <c r="G2313" s="52">
        <f t="shared" si="77"/>
        <v>6.0121736231132121E-3</v>
      </c>
    </row>
    <row r="2314" spans="1:7" ht="15" customHeight="1" x14ac:dyDescent="0.2">
      <c r="A2314" s="19" t="s">
        <v>2461</v>
      </c>
      <c r="B2314" s="50">
        <v>229.738</v>
      </c>
      <c r="C2314" s="50">
        <v>3939.34</v>
      </c>
      <c r="D2314" s="51">
        <v>30869336.906132001</v>
      </c>
      <c r="E2314" s="51">
        <v>2570250267</v>
      </c>
      <c r="F2314" s="52">
        <f t="shared" si="76"/>
        <v>2.0057210535912726E-2</v>
      </c>
      <c r="G2314" s="52">
        <f t="shared" si="77"/>
        <v>1.0341818218279307E-2</v>
      </c>
    </row>
    <row r="2315" spans="1:7" ht="15" customHeight="1" x14ac:dyDescent="0.2">
      <c r="A2315" s="19" t="s">
        <v>2462</v>
      </c>
      <c r="B2315" s="50">
        <v>228.41</v>
      </c>
      <c r="C2315" s="50">
        <v>3943.34</v>
      </c>
      <c r="D2315" s="51">
        <v>23382145.205267999</v>
      </c>
      <c r="E2315" s="51">
        <v>2277434098</v>
      </c>
      <c r="F2315" s="52">
        <f t="shared" si="76"/>
        <v>-5.7972695256563499E-3</v>
      </c>
      <c r="G2315" s="52">
        <f t="shared" si="77"/>
        <v>1.0148833501624158E-3</v>
      </c>
    </row>
    <row r="2316" spans="1:7" ht="15" customHeight="1" x14ac:dyDescent="0.2">
      <c r="A2316" s="19" t="s">
        <v>2463</v>
      </c>
      <c r="B2316" s="50">
        <v>227.49199999999999</v>
      </c>
      <c r="C2316" s="50">
        <v>3968.94</v>
      </c>
      <c r="D2316" s="51">
        <v>26880135.293981001</v>
      </c>
      <c r="E2316" s="51">
        <v>2393441121</v>
      </c>
      <c r="F2316" s="52">
        <f t="shared" si="76"/>
        <v>-4.0271867229996084E-3</v>
      </c>
      <c r="G2316" s="52">
        <f t="shared" si="77"/>
        <v>6.4709765908568051E-3</v>
      </c>
    </row>
    <row r="2317" spans="1:7" ht="15" customHeight="1" x14ac:dyDescent="0.2">
      <c r="A2317" s="19" t="s">
        <v>2464</v>
      </c>
      <c r="B2317" s="50">
        <v>230.30500000000001</v>
      </c>
      <c r="C2317" s="50">
        <v>3962.71</v>
      </c>
      <c r="D2317" s="51">
        <v>28995569.66688</v>
      </c>
      <c r="E2317" s="51">
        <v>2372381008</v>
      </c>
      <c r="F2317" s="52">
        <f t="shared" si="76"/>
        <v>1.2289444465404691E-2</v>
      </c>
      <c r="G2317" s="52">
        <f t="shared" si="77"/>
        <v>-1.5709218841469892E-3</v>
      </c>
    </row>
    <row r="2318" spans="1:7" ht="15" customHeight="1" x14ac:dyDescent="0.2">
      <c r="A2318" s="19" t="s">
        <v>2465</v>
      </c>
      <c r="B2318" s="50">
        <v>229.649</v>
      </c>
      <c r="C2318" s="50">
        <v>3974.12</v>
      </c>
      <c r="D2318" s="51">
        <v>30512741.076313999</v>
      </c>
      <c r="E2318" s="51">
        <v>2458783556</v>
      </c>
      <c r="F2318" s="52">
        <f t="shared" si="76"/>
        <v>-2.8524610930534054E-3</v>
      </c>
      <c r="G2318" s="52">
        <f t="shared" si="77"/>
        <v>2.8752053049775832E-3</v>
      </c>
    </row>
    <row r="2319" spans="1:7" ht="15" customHeight="1" x14ac:dyDescent="0.2">
      <c r="A2319" s="19" t="s">
        <v>2466</v>
      </c>
      <c r="B2319" s="50">
        <v>223.535</v>
      </c>
      <c r="C2319" s="50">
        <v>3915.46</v>
      </c>
      <c r="D2319" s="51">
        <v>35973010.546902001</v>
      </c>
      <c r="E2319" s="51">
        <v>2686354391</v>
      </c>
      <c r="F2319" s="52">
        <f t="shared" si="76"/>
        <v>-2.6984054964127955E-2</v>
      </c>
      <c r="G2319" s="52">
        <f t="shared" si="77"/>
        <v>-1.4870520601810135E-2</v>
      </c>
    </row>
    <row r="2320" spans="1:7" ht="15" customHeight="1" x14ac:dyDescent="0.2">
      <c r="A2320" s="19" t="s">
        <v>2467</v>
      </c>
      <c r="B2320" s="50">
        <v>223.17400000000001</v>
      </c>
      <c r="C2320" s="50">
        <v>3913.1</v>
      </c>
      <c r="D2320" s="51">
        <v>47923823.743371002</v>
      </c>
      <c r="E2320" s="51">
        <v>4647053019</v>
      </c>
      <c r="F2320" s="52">
        <f t="shared" si="76"/>
        <v>-1.6162650789980429E-3</v>
      </c>
      <c r="G2320" s="52">
        <f t="shared" si="77"/>
        <v>-6.0292060646939332E-4</v>
      </c>
    </row>
    <row r="2321" spans="1:7" ht="15" customHeight="1" x14ac:dyDescent="0.2">
      <c r="A2321" s="19" t="s">
        <v>2468</v>
      </c>
      <c r="B2321" s="50">
        <v>228.642</v>
      </c>
      <c r="C2321" s="50">
        <v>3940.59</v>
      </c>
      <c r="D2321" s="51">
        <v>31095811.603606999</v>
      </c>
      <c r="E2321" s="51">
        <v>2362949344</v>
      </c>
      <c r="F2321" s="52">
        <f t="shared" si="76"/>
        <v>2.4205725252318254E-2</v>
      </c>
      <c r="G2321" s="52">
        <f t="shared" si="77"/>
        <v>7.0005595506540804E-3</v>
      </c>
    </row>
    <row r="2322" spans="1:7" ht="15" customHeight="1" x14ac:dyDescent="0.2">
      <c r="A2322" s="19" t="s">
        <v>2469</v>
      </c>
      <c r="B2322" s="50">
        <v>230.17599999999999</v>
      </c>
      <c r="C2322" s="50">
        <v>3910.52</v>
      </c>
      <c r="D2322" s="51">
        <v>32655784.750799999</v>
      </c>
      <c r="E2322" s="51">
        <v>2494379928</v>
      </c>
      <c r="F2322" s="52">
        <f t="shared" si="76"/>
        <v>6.6867721658591074E-3</v>
      </c>
      <c r="G2322" s="52">
        <f t="shared" si="77"/>
        <v>-7.6601008099493138E-3</v>
      </c>
    </row>
    <row r="2323" spans="1:7" ht="15" customHeight="1" x14ac:dyDescent="0.2">
      <c r="A2323" s="19" t="s">
        <v>2470</v>
      </c>
      <c r="B2323" s="50">
        <v>228.126</v>
      </c>
      <c r="C2323" s="50">
        <v>3889.14</v>
      </c>
      <c r="D2323" s="51">
        <v>26444004.158280998</v>
      </c>
      <c r="E2323" s="51">
        <v>2414378604</v>
      </c>
      <c r="F2323" s="52">
        <f t="shared" si="76"/>
        <v>-8.9461257961535763E-3</v>
      </c>
      <c r="G2323" s="52">
        <f t="shared" si="77"/>
        <v>-5.4823039848238466E-3</v>
      </c>
    </row>
    <row r="2324" spans="1:7" ht="15" customHeight="1" x14ac:dyDescent="0.2">
      <c r="A2324" s="19" t="s">
        <v>2471</v>
      </c>
      <c r="B2324" s="50">
        <v>225.096</v>
      </c>
      <c r="C2324" s="50">
        <v>3909.52</v>
      </c>
      <c r="D2324" s="51">
        <v>35157196.484160997</v>
      </c>
      <c r="E2324" s="51">
        <v>2385059895</v>
      </c>
      <c r="F2324" s="52">
        <f t="shared" si="76"/>
        <v>-1.3371130014044991E-2</v>
      </c>
      <c r="G2324" s="52">
        <f t="shared" si="77"/>
        <v>5.2265508159267142E-3</v>
      </c>
    </row>
    <row r="2325" spans="1:7" ht="15" customHeight="1" x14ac:dyDescent="0.2">
      <c r="A2325" s="19" t="s">
        <v>2472</v>
      </c>
      <c r="B2325" s="50">
        <v>229.11199999999999</v>
      </c>
      <c r="C2325" s="50">
        <v>3974.54</v>
      </c>
      <c r="D2325" s="51">
        <v>26299219.903703</v>
      </c>
      <c r="E2325" s="51">
        <v>2655374920</v>
      </c>
      <c r="F2325" s="52">
        <f t="shared" si="76"/>
        <v>1.7683989086831633E-2</v>
      </c>
      <c r="G2325" s="52">
        <f t="shared" si="77"/>
        <v>1.6494413826353246E-2</v>
      </c>
    </row>
    <row r="2326" spans="1:7" ht="15" customHeight="1" x14ac:dyDescent="0.2">
      <c r="A2326" s="19" t="s">
        <v>2473</v>
      </c>
      <c r="B2326" s="50">
        <v>227.911</v>
      </c>
      <c r="C2326" s="50">
        <v>3971.09</v>
      </c>
      <c r="D2326" s="51">
        <v>26038705.303415</v>
      </c>
      <c r="E2326" s="51">
        <v>2418405500</v>
      </c>
      <c r="F2326" s="52">
        <f t="shared" si="76"/>
        <v>-5.2557650910668502E-3</v>
      </c>
      <c r="G2326" s="52">
        <f t="shared" si="77"/>
        <v>-8.6840193082478952E-4</v>
      </c>
    </row>
    <row r="2327" spans="1:7" ht="15" customHeight="1" x14ac:dyDescent="0.2">
      <c r="A2327" s="19" t="s">
        <v>2474</v>
      </c>
      <c r="B2327" s="50">
        <v>224.63</v>
      </c>
      <c r="C2327" s="50">
        <v>3958.55</v>
      </c>
      <c r="D2327" s="51">
        <v>25589259.413863</v>
      </c>
      <c r="E2327" s="51">
        <v>2134267391</v>
      </c>
      <c r="F2327" s="52">
        <f t="shared" si="76"/>
        <v>-1.4500597693433079E-2</v>
      </c>
      <c r="G2327" s="52">
        <f t="shared" si="77"/>
        <v>-3.1628196118815713E-3</v>
      </c>
    </row>
    <row r="2328" spans="1:7" ht="15" customHeight="1" x14ac:dyDescent="0.2">
      <c r="A2328" s="19" t="s">
        <v>2475</v>
      </c>
      <c r="B2328" s="50">
        <v>228.43</v>
      </c>
      <c r="C2328" s="50">
        <v>3972.89</v>
      </c>
      <c r="D2328" s="51">
        <v>45026290.660222001</v>
      </c>
      <c r="E2328" s="51">
        <v>2420427567</v>
      </c>
      <c r="F2328" s="52">
        <f t="shared" si="76"/>
        <v>1.6775213490699593E-2</v>
      </c>
      <c r="G2328" s="52">
        <f t="shared" si="77"/>
        <v>3.6159929659948988E-3</v>
      </c>
    </row>
    <row r="2329" spans="1:7" ht="15" customHeight="1" x14ac:dyDescent="0.2">
      <c r="A2329" s="19" t="s">
        <v>2476</v>
      </c>
      <c r="B2329" s="50">
        <v>234.797</v>
      </c>
      <c r="C2329" s="50">
        <v>4019.87</v>
      </c>
      <c r="D2329" s="51">
        <v>31313573.609402001</v>
      </c>
      <c r="E2329" s="51">
        <v>2178187603</v>
      </c>
      <c r="F2329" s="52">
        <f t="shared" si="76"/>
        <v>2.7491493373192767E-2</v>
      </c>
      <c r="G2329" s="52">
        <f t="shared" si="77"/>
        <v>1.1755774236888511E-2</v>
      </c>
    </row>
    <row r="2330" spans="1:7" ht="15" customHeight="1" x14ac:dyDescent="0.2">
      <c r="A2330" s="19" t="s">
        <v>2477</v>
      </c>
      <c r="B2330" s="50">
        <v>241.322</v>
      </c>
      <c r="C2330" s="50">
        <v>4077.91</v>
      </c>
      <c r="D2330" s="51">
        <v>38097560.995793</v>
      </c>
      <c r="E2330" s="51">
        <v>2241318486</v>
      </c>
      <c r="F2330" s="52">
        <f t="shared" si="76"/>
        <v>2.7410830247951039E-2</v>
      </c>
      <c r="G2330" s="52">
        <f t="shared" si="77"/>
        <v>1.4335038467166317E-2</v>
      </c>
    </row>
    <row r="2331" spans="1:7" ht="15" customHeight="1" x14ac:dyDescent="0.2">
      <c r="A2331" s="19" t="s">
        <v>2478</v>
      </c>
      <c r="B2331" s="50">
        <v>240.13900000000001</v>
      </c>
      <c r="C2331" s="50">
        <v>4073.94</v>
      </c>
      <c r="D2331" s="51">
        <v>23669354.837616</v>
      </c>
      <c r="E2331" s="51">
        <v>2147071522</v>
      </c>
      <c r="F2331" s="52">
        <f t="shared" si="76"/>
        <v>-4.9142189325488668E-3</v>
      </c>
      <c r="G2331" s="52">
        <f t="shared" si="77"/>
        <v>-9.7401211108184122E-4</v>
      </c>
    </row>
    <row r="2332" spans="1:7" ht="15" customHeight="1" x14ac:dyDescent="0.2">
      <c r="A2332" s="19" t="s">
        <v>2479</v>
      </c>
      <c r="B2332" s="50">
        <v>242.114</v>
      </c>
      <c r="C2332" s="50">
        <v>4079.95</v>
      </c>
      <c r="D2332" s="51">
        <v>23450447.179414</v>
      </c>
      <c r="E2332" s="51">
        <v>1963233249</v>
      </c>
      <c r="F2332" s="52">
        <f t="shared" si="76"/>
        <v>8.1907672597757285E-3</v>
      </c>
      <c r="G2332" s="52">
        <f t="shared" si="77"/>
        <v>1.4741432833555816E-3</v>
      </c>
    </row>
    <row r="2333" spans="1:7" ht="15" customHeight="1" x14ac:dyDescent="0.2">
      <c r="A2333" s="19" t="s">
        <v>2480</v>
      </c>
      <c r="B2333" s="50">
        <v>245.36600000000001</v>
      </c>
      <c r="C2333" s="50">
        <v>4097.17</v>
      </c>
      <c r="D2333" s="51">
        <v>24384922.778965998</v>
      </c>
      <c r="E2333" s="51">
        <v>2011933177</v>
      </c>
      <c r="F2333" s="52">
        <f t="shared" si="76"/>
        <v>1.3342283754566652E-2</v>
      </c>
      <c r="G2333" s="52">
        <f t="shared" si="77"/>
        <v>4.2117580408072355E-3</v>
      </c>
    </row>
    <row r="2334" spans="1:7" ht="15" customHeight="1" x14ac:dyDescent="0.2">
      <c r="A2334" s="19" t="s">
        <v>2481</v>
      </c>
      <c r="B2334" s="50">
        <v>247.876</v>
      </c>
      <c r="C2334" s="50">
        <v>4128.8</v>
      </c>
      <c r="D2334" s="51">
        <v>25109122.530365001</v>
      </c>
      <c r="E2334" s="51">
        <v>1880708120</v>
      </c>
      <c r="F2334" s="52">
        <f t="shared" si="76"/>
        <v>1.0177647752584174E-2</v>
      </c>
      <c r="G2334" s="52">
        <f t="shared" si="77"/>
        <v>7.6903163725556868E-3</v>
      </c>
    </row>
    <row r="2335" spans="1:7" ht="15" customHeight="1" x14ac:dyDescent="0.2">
      <c r="A2335" s="19" t="s">
        <v>2482</v>
      </c>
      <c r="B2335" s="50">
        <v>247.935</v>
      </c>
      <c r="C2335" s="50">
        <v>4127.99</v>
      </c>
      <c r="D2335" s="51">
        <v>28021700.619887002</v>
      </c>
      <c r="E2335" s="51">
        <v>1923094540</v>
      </c>
      <c r="F2335" s="52">
        <f t="shared" si="76"/>
        <v>2.379939141265079E-4</v>
      </c>
      <c r="G2335" s="52">
        <f t="shared" si="77"/>
        <v>-1.9620215667317165E-4</v>
      </c>
    </row>
    <row r="2336" spans="1:7" ht="15" customHeight="1" x14ac:dyDescent="0.2">
      <c r="A2336" s="19" t="s">
        <v>2483</v>
      </c>
      <c r="B2336" s="50">
        <v>250.43600000000001</v>
      </c>
      <c r="C2336" s="50">
        <v>4141.59</v>
      </c>
      <c r="D2336" s="51">
        <v>24604021.891146</v>
      </c>
      <c r="E2336" s="51">
        <v>2060718961</v>
      </c>
      <c r="F2336" s="52">
        <f t="shared" si="76"/>
        <v>1.0036783822656794E-2</v>
      </c>
      <c r="G2336" s="52">
        <f t="shared" si="77"/>
        <v>3.289166381145364E-3</v>
      </c>
    </row>
    <row r="2337" spans="1:7" ht="15" customHeight="1" x14ac:dyDescent="0.2">
      <c r="A2337" s="19" t="s">
        <v>2484</v>
      </c>
      <c r="B2337" s="50">
        <v>247.63200000000001</v>
      </c>
      <c r="C2337" s="50">
        <v>4124.66</v>
      </c>
      <c r="D2337" s="51">
        <v>23812840.890896</v>
      </c>
      <c r="E2337" s="51">
        <v>2092018943</v>
      </c>
      <c r="F2337" s="52">
        <f t="shared" si="76"/>
        <v>-1.1259625689679425E-2</v>
      </c>
      <c r="G2337" s="52">
        <f t="shared" si="77"/>
        <v>-4.0961799296970009E-3</v>
      </c>
    </row>
    <row r="2338" spans="1:7" ht="15" customHeight="1" x14ac:dyDescent="0.2">
      <c r="A2338" s="19" t="s">
        <v>2485</v>
      </c>
      <c r="B2338" s="50">
        <v>251.423</v>
      </c>
      <c r="C2338" s="50">
        <v>4170.42</v>
      </c>
      <c r="D2338" s="51">
        <v>26451595.769184999</v>
      </c>
      <c r="E2338" s="51">
        <v>2130933628</v>
      </c>
      <c r="F2338" s="52">
        <f t="shared" si="76"/>
        <v>1.5193006470054947E-2</v>
      </c>
      <c r="G2338" s="52">
        <f t="shared" si="77"/>
        <v>1.1033158016154329E-2</v>
      </c>
    </row>
    <row r="2339" spans="1:7" ht="15" customHeight="1" x14ac:dyDescent="0.2">
      <c r="A2339" s="19" t="s">
        <v>2486</v>
      </c>
      <c r="B2339" s="50">
        <v>252.62100000000001</v>
      </c>
      <c r="C2339" s="50">
        <v>4185.47</v>
      </c>
      <c r="D2339" s="51">
        <v>25678614.158746</v>
      </c>
      <c r="E2339" s="51">
        <v>2205786949</v>
      </c>
      <c r="F2339" s="52">
        <f t="shared" si="76"/>
        <v>4.7535622123007146E-3</v>
      </c>
      <c r="G2339" s="52">
        <f t="shared" si="77"/>
        <v>3.6022533265398387E-3</v>
      </c>
    </row>
    <row r="2340" spans="1:7" ht="15" customHeight="1" x14ac:dyDescent="0.2">
      <c r="A2340" s="19" t="s">
        <v>2487</v>
      </c>
      <c r="B2340" s="50">
        <v>250.679</v>
      </c>
      <c r="C2340" s="50">
        <v>4163.26</v>
      </c>
      <c r="D2340" s="51">
        <v>23955610.271535002</v>
      </c>
      <c r="E2340" s="51">
        <v>1999877307</v>
      </c>
      <c r="F2340" s="52">
        <f t="shared" si="76"/>
        <v>-7.7171056537548447E-3</v>
      </c>
      <c r="G2340" s="52">
        <f t="shared" si="77"/>
        <v>-5.3205822668759327E-3</v>
      </c>
    </row>
    <row r="2341" spans="1:7" ht="15" customHeight="1" x14ac:dyDescent="0.2">
      <c r="A2341" s="19" t="s">
        <v>2488</v>
      </c>
      <c r="B2341" s="50">
        <v>250.221</v>
      </c>
      <c r="C2341" s="50">
        <v>4134.9399999999996</v>
      </c>
      <c r="D2341" s="51">
        <v>20357112.987824999</v>
      </c>
      <c r="E2341" s="51">
        <v>2292083378</v>
      </c>
      <c r="F2341" s="52">
        <f t="shared" si="76"/>
        <v>-1.828708834641865E-3</v>
      </c>
      <c r="G2341" s="52">
        <f t="shared" si="77"/>
        <v>-6.8256031307080047E-3</v>
      </c>
    </row>
    <row r="2342" spans="1:7" ht="15" customHeight="1" x14ac:dyDescent="0.2">
      <c r="A2342" s="19" t="s">
        <v>2489</v>
      </c>
      <c r="B2342" s="50">
        <v>252.46799999999999</v>
      </c>
      <c r="C2342" s="50">
        <v>4173.42</v>
      </c>
      <c r="D2342" s="51">
        <v>24803139.146276999</v>
      </c>
      <c r="E2342" s="51">
        <v>2126513143</v>
      </c>
      <c r="F2342" s="52">
        <f t="shared" si="76"/>
        <v>8.9399806465203478E-3</v>
      </c>
      <c r="G2342" s="52">
        <f t="shared" si="77"/>
        <v>9.2630254691135495E-3</v>
      </c>
    </row>
    <row r="2343" spans="1:7" ht="15" customHeight="1" x14ac:dyDescent="0.2">
      <c r="A2343" s="19" t="s">
        <v>2490</v>
      </c>
      <c r="B2343" s="50">
        <v>249.155</v>
      </c>
      <c r="C2343" s="50">
        <v>4134.9799999999996</v>
      </c>
      <c r="D2343" s="51">
        <v>26429581.63329</v>
      </c>
      <c r="E2343" s="51">
        <v>2392241341</v>
      </c>
      <c r="F2343" s="52">
        <f t="shared" si="76"/>
        <v>-1.3209315252845301E-2</v>
      </c>
      <c r="G2343" s="52">
        <f t="shared" si="77"/>
        <v>-9.2533518567931589E-3</v>
      </c>
    </row>
    <row r="2344" spans="1:7" ht="15" customHeight="1" x14ac:dyDescent="0.2">
      <c r="A2344" s="19" t="s">
        <v>2491</v>
      </c>
      <c r="B2344" s="50">
        <v>253.01300000000001</v>
      </c>
      <c r="C2344" s="50">
        <v>4180.17</v>
      </c>
      <c r="D2344" s="51">
        <v>22190648.272643998</v>
      </c>
      <c r="E2344" s="51">
        <v>2008642236</v>
      </c>
      <c r="F2344" s="52">
        <f t="shared" si="76"/>
        <v>1.5365678048610058E-2</v>
      </c>
      <c r="G2344" s="52">
        <f t="shared" si="77"/>
        <v>1.0869423861541933E-2</v>
      </c>
    </row>
    <row r="2345" spans="1:7" ht="15" customHeight="1" x14ac:dyDescent="0.2">
      <c r="A2345" s="19" t="s">
        <v>2492</v>
      </c>
      <c r="B2345" s="50">
        <v>253.39500000000001</v>
      </c>
      <c r="C2345" s="50">
        <v>4187.62</v>
      </c>
      <c r="D2345" s="51">
        <v>20398884.764616001</v>
      </c>
      <c r="E2345" s="51">
        <v>1937952599</v>
      </c>
      <c r="F2345" s="52">
        <f t="shared" si="76"/>
        <v>1.5086652361531675E-3</v>
      </c>
      <c r="G2345" s="52">
        <f t="shared" si="77"/>
        <v>1.7806378908788009E-3</v>
      </c>
    </row>
    <row r="2346" spans="1:7" ht="15" customHeight="1" x14ac:dyDescent="0.2">
      <c r="A2346" s="19" t="s">
        <v>2493</v>
      </c>
      <c r="B2346" s="50">
        <v>253.80500000000001</v>
      </c>
      <c r="C2346" s="50">
        <v>4186.72</v>
      </c>
      <c r="D2346" s="51">
        <v>32011551.332685001</v>
      </c>
      <c r="E2346" s="51">
        <v>2034702320</v>
      </c>
      <c r="F2346" s="52">
        <f t="shared" si="76"/>
        <v>1.6167195950481268E-3</v>
      </c>
      <c r="G2346" s="52">
        <f t="shared" si="77"/>
        <v>-2.1494231269923608E-4</v>
      </c>
    </row>
    <row r="2347" spans="1:7" ht="15" customHeight="1" x14ac:dyDescent="0.2">
      <c r="A2347" s="19" t="s">
        <v>2494</v>
      </c>
      <c r="B2347" s="50">
        <v>246.626</v>
      </c>
      <c r="C2347" s="50">
        <v>4183.18</v>
      </c>
      <c r="D2347" s="51">
        <v>48411403.784153998</v>
      </c>
      <c r="E2347" s="51">
        <v>2145349329</v>
      </c>
      <c r="F2347" s="52">
        <f t="shared" si="76"/>
        <v>-2.8693236564314283E-2</v>
      </c>
      <c r="G2347" s="52">
        <f t="shared" si="77"/>
        <v>-8.4588829283031668E-4</v>
      </c>
    </row>
    <row r="2348" spans="1:7" ht="15" customHeight="1" x14ac:dyDescent="0.2">
      <c r="A2348" s="19" t="s">
        <v>2495</v>
      </c>
      <c r="B2348" s="50">
        <v>244.643</v>
      </c>
      <c r="C2348" s="50">
        <v>4211.47</v>
      </c>
      <c r="D2348" s="51">
        <v>41894263.312743999</v>
      </c>
      <c r="E2348" s="51">
        <v>2502878449</v>
      </c>
      <c r="F2348" s="52">
        <f t="shared" si="76"/>
        <v>-8.0730140510327439E-3</v>
      </c>
      <c r="G2348" s="52">
        <f t="shared" si="77"/>
        <v>6.7400325437081072E-3</v>
      </c>
    </row>
    <row r="2349" spans="1:7" ht="15" customHeight="1" x14ac:dyDescent="0.2">
      <c r="A2349" s="19" t="s">
        <v>2496</v>
      </c>
      <c r="B2349" s="50">
        <v>244.322</v>
      </c>
      <c r="C2349" s="50">
        <v>4181.17</v>
      </c>
      <c r="D2349" s="51">
        <v>31940212.714179002</v>
      </c>
      <c r="E2349" s="51">
        <v>2428162998</v>
      </c>
      <c r="F2349" s="52">
        <f t="shared" si="76"/>
        <v>-1.3129776000923934E-3</v>
      </c>
      <c r="G2349" s="52">
        <f t="shared" si="77"/>
        <v>-7.2206437182024286E-3</v>
      </c>
    </row>
    <row r="2350" spans="1:7" ht="15" customHeight="1" x14ac:dyDescent="0.2">
      <c r="A2350" s="19" t="s">
        <v>2497</v>
      </c>
      <c r="B2350" s="50">
        <v>244.00700000000001</v>
      </c>
      <c r="C2350" s="50">
        <v>4192.66</v>
      </c>
      <c r="D2350" s="51">
        <v>20257708.444876999</v>
      </c>
      <c r="E2350" s="51">
        <v>2182103434</v>
      </c>
      <c r="F2350" s="52">
        <f t="shared" si="76"/>
        <v>-1.2901140161257888E-3</v>
      </c>
      <c r="G2350" s="52">
        <f t="shared" si="77"/>
        <v>2.7442656970409606E-3</v>
      </c>
    </row>
    <row r="2351" spans="1:7" ht="15" customHeight="1" x14ac:dyDescent="0.2">
      <c r="A2351" s="19" t="s">
        <v>2498</v>
      </c>
      <c r="B2351" s="50">
        <v>240.071</v>
      </c>
      <c r="C2351" s="50">
        <v>4164.66</v>
      </c>
      <c r="D2351" s="51">
        <v>33809403.486708</v>
      </c>
      <c r="E2351" s="51">
        <v>2552420121</v>
      </c>
      <c r="F2351" s="52">
        <f t="shared" si="76"/>
        <v>-1.6262200481011835E-2</v>
      </c>
      <c r="G2351" s="52">
        <f t="shared" si="77"/>
        <v>-6.7007377404054557E-3</v>
      </c>
    </row>
    <row r="2352" spans="1:7" ht="15" customHeight="1" x14ac:dyDescent="0.2">
      <c r="A2352" s="19" t="s">
        <v>2499</v>
      </c>
      <c r="B2352" s="50">
        <v>238.78399999999999</v>
      </c>
      <c r="C2352" s="50">
        <v>4167.59</v>
      </c>
      <c r="D2352" s="51">
        <v>22605616.065257002</v>
      </c>
      <c r="E2352" s="51">
        <v>1769152889</v>
      </c>
      <c r="F2352" s="52">
        <f t="shared" si="76"/>
        <v>-5.3753353265797001E-3</v>
      </c>
      <c r="G2352" s="52">
        <f t="shared" si="77"/>
        <v>7.0329145687402232E-4</v>
      </c>
    </row>
    <row r="2353" spans="1:7" ht="15" customHeight="1" x14ac:dyDescent="0.2">
      <c r="A2353" s="19" t="s">
        <v>2500</v>
      </c>
      <c r="B2353" s="50">
        <v>241.94800000000001</v>
      </c>
      <c r="C2353" s="50">
        <v>4201.62</v>
      </c>
      <c r="D2353" s="51">
        <v>27342970.676105998</v>
      </c>
      <c r="E2353" s="51">
        <v>2239080813</v>
      </c>
      <c r="F2353" s="52">
        <f t="shared" si="76"/>
        <v>1.3163449435773616E-2</v>
      </c>
      <c r="G2353" s="52">
        <f t="shared" si="77"/>
        <v>8.1322341159119176E-3</v>
      </c>
    </row>
    <row r="2354" spans="1:7" ht="15" customHeight="1" x14ac:dyDescent="0.2">
      <c r="A2354" s="19" t="s">
        <v>2501</v>
      </c>
      <c r="B2354" s="50">
        <v>244.59299999999999</v>
      </c>
      <c r="C2354" s="50">
        <v>4232.6000000000004</v>
      </c>
      <c r="D2354" s="51">
        <v>27902221.052446999</v>
      </c>
      <c r="E2354" s="51">
        <v>2048519190</v>
      </c>
      <c r="F2354" s="52">
        <f t="shared" si="76"/>
        <v>1.0872777657013648E-2</v>
      </c>
      <c r="G2354" s="52">
        <f t="shared" si="77"/>
        <v>7.3462962378118236E-3</v>
      </c>
    </row>
    <row r="2355" spans="1:7" ht="15" customHeight="1" x14ac:dyDescent="0.2">
      <c r="A2355" s="19" t="s">
        <v>2502</v>
      </c>
      <c r="B2355" s="50">
        <v>239.476</v>
      </c>
      <c r="C2355" s="50">
        <v>4188.43</v>
      </c>
      <c r="D2355" s="51">
        <v>30242099.891608</v>
      </c>
      <c r="E2355" s="51">
        <v>2320014566</v>
      </c>
      <c r="F2355" s="52">
        <f t="shared" si="76"/>
        <v>-2.1142401630011184E-2</v>
      </c>
      <c r="G2355" s="52">
        <f t="shared" si="77"/>
        <v>-1.0490499399026396E-2</v>
      </c>
    </row>
    <row r="2356" spans="1:7" ht="15" customHeight="1" x14ac:dyDescent="0.2">
      <c r="A2356" s="19" t="s">
        <v>2503</v>
      </c>
      <c r="B2356" s="50">
        <v>238.547</v>
      </c>
      <c r="C2356" s="50">
        <v>4152.1000000000004</v>
      </c>
      <c r="D2356" s="51">
        <v>34723417.058541</v>
      </c>
      <c r="E2356" s="51">
        <v>2432749321</v>
      </c>
      <c r="F2356" s="52">
        <f t="shared" si="76"/>
        <v>-3.8868471583093471E-3</v>
      </c>
      <c r="G2356" s="52">
        <f t="shared" si="77"/>
        <v>-8.711731693215893E-3</v>
      </c>
    </row>
    <row r="2357" spans="1:7" ht="15" customHeight="1" x14ac:dyDescent="0.2">
      <c r="A2357" s="19" t="s">
        <v>2504</v>
      </c>
      <c r="B2357" s="50">
        <v>231.55600000000001</v>
      </c>
      <c r="C2357" s="50">
        <v>4063.04</v>
      </c>
      <c r="D2357" s="51">
        <v>37864045.501529001</v>
      </c>
      <c r="E2357" s="51">
        <v>2406683784</v>
      </c>
      <c r="F2357" s="52">
        <f t="shared" si="76"/>
        <v>-2.9744610982166589E-2</v>
      </c>
      <c r="G2357" s="52">
        <f t="shared" si="77"/>
        <v>-2.1682768452684537E-2</v>
      </c>
    </row>
    <row r="2358" spans="1:7" ht="15" customHeight="1" x14ac:dyDescent="0.2">
      <c r="A2358" s="19" t="s">
        <v>2505</v>
      </c>
      <c r="B2358" s="50">
        <v>235.464</v>
      </c>
      <c r="C2358" s="50">
        <v>4112.5</v>
      </c>
      <c r="D2358" s="51">
        <v>30576940.611499</v>
      </c>
      <c r="E2358" s="51">
        <v>2163353723</v>
      </c>
      <c r="F2358" s="52">
        <f t="shared" si="76"/>
        <v>1.673629060820668E-2</v>
      </c>
      <c r="G2358" s="52">
        <f t="shared" si="77"/>
        <v>1.2099654192200689E-2</v>
      </c>
    </row>
    <row r="2359" spans="1:7" ht="15" customHeight="1" x14ac:dyDescent="0.2">
      <c r="A2359" s="19" t="s">
        <v>2506</v>
      </c>
      <c r="B2359" s="50">
        <v>240.423</v>
      </c>
      <c r="C2359" s="50">
        <v>4173.8500000000004</v>
      </c>
      <c r="D2359" s="51">
        <v>24669679.343246002</v>
      </c>
      <c r="E2359" s="51">
        <v>1904970402</v>
      </c>
      <c r="F2359" s="52">
        <f t="shared" si="76"/>
        <v>2.0841836432271648E-2</v>
      </c>
      <c r="G2359" s="52">
        <f t="shared" si="77"/>
        <v>1.480775516646066E-2</v>
      </c>
    </row>
    <row r="2360" spans="1:7" ht="15" customHeight="1" x14ac:dyDescent="0.2">
      <c r="A2360" s="19" t="s">
        <v>2507</v>
      </c>
      <c r="B2360" s="50">
        <v>237.54300000000001</v>
      </c>
      <c r="C2360" s="50">
        <v>4163.29</v>
      </c>
      <c r="D2360" s="51">
        <v>25773144.303916</v>
      </c>
      <c r="E2360" s="51">
        <v>2278897644</v>
      </c>
      <c r="F2360" s="52">
        <f t="shared" si="76"/>
        <v>-1.2051212243245683E-2</v>
      </c>
      <c r="G2360" s="52">
        <f t="shared" si="77"/>
        <v>-2.5332441694025701E-3</v>
      </c>
    </row>
    <row r="2361" spans="1:7" ht="15" customHeight="1" x14ac:dyDescent="0.2">
      <c r="A2361" s="19" t="s">
        <v>2508</v>
      </c>
      <c r="B2361" s="50">
        <v>235.511</v>
      </c>
      <c r="C2361" s="50">
        <v>4127.83</v>
      </c>
      <c r="D2361" s="51">
        <v>20816525.746179</v>
      </c>
      <c r="E2361" s="51">
        <v>2324677838</v>
      </c>
      <c r="F2361" s="52">
        <f t="shared" si="76"/>
        <v>-8.591038223078518E-3</v>
      </c>
      <c r="G2361" s="52">
        <f t="shared" si="77"/>
        <v>-8.5537819278382349E-3</v>
      </c>
    </row>
    <row r="2362" spans="1:7" ht="15" customHeight="1" x14ac:dyDescent="0.2">
      <c r="A2362" s="19" t="s">
        <v>2509</v>
      </c>
      <c r="B2362" s="50">
        <v>236.096</v>
      </c>
      <c r="C2362" s="50">
        <v>4115.68</v>
      </c>
      <c r="D2362" s="51">
        <v>26506328.058781002</v>
      </c>
      <c r="E2362" s="51">
        <v>2414067271</v>
      </c>
      <c r="F2362" s="52">
        <f t="shared" si="76"/>
        <v>2.4808804790638042E-3</v>
      </c>
      <c r="G2362" s="52">
        <f t="shared" si="77"/>
        <v>-2.9477755951036366E-3</v>
      </c>
    </row>
    <row r="2363" spans="1:7" ht="15" customHeight="1" x14ac:dyDescent="0.2">
      <c r="A2363" s="19" t="s">
        <v>2510</v>
      </c>
      <c r="B2363" s="50">
        <v>239.35</v>
      </c>
      <c r="C2363" s="50">
        <v>4159.12</v>
      </c>
      <c r="D2363" s="51">
        <v>22449932.243627001</v>
      </c>
      <c r="E2363" s="51">
        <v>2159532191</v>
      </c>
      <c r="F2363" s="52">
        <f t="shared" si="76"/>
        <v>1.3688413864307625E-2</v>
      </c>
      <c r="G2363" s="52">
        <f t="shared" si="77"/>
        <v>1.0499443868610717E-2</v>
      </c>
    </row>
    <row r="2364" spans="1:7" ht="15" customHeight="1" x14ac:dyDescent="0.2">
      <c r="A2364" s="19" t="s">
        <v>2511</v>
      </c>
      <c r="B2364" s="50">
        <v>238.078</v>
      </c>
      <c r="C2364" s="50">
        <v>4155.8599999999997</v>
      </c>
      <c r="D2364" s="51">
        <v>22514131.778811</v>
      </c>
      <c r="E2364" s="51">
        <v>2196798084</v>
      </c>
      <c r="F2364" s="52">
        <f t="shared" si="76"/>
        <v>-5.3285647667100913E-3</v>
      </c>
      <c r="G2364" s="52">
        <f t="shared" si="77"/>
        <v>-7.8412700139645676E-4</v>
      </c>
    </row>
    <row r="2365" spans="1:7" ht="15" customHeight="1" x14ac:dyDescent="0.2">
      <c r="A2365" s="19" t="s">
        <v>2512</v>
      </c>
      <c r="B2365" s="50">
        <v>243.52</v>
      </c>
      <c r="C2365" s="50">
        <v>4197.05</v>
      </c>
      <c r="D2365" s="51">
        <v>22049174.021850001</v>
      </c>
      <c r="E2365" s="51">
        <v>1848676717</v>
      </c>
      <c r="F2365" s="52">
        <f t="shared" si="76"/>
        <v>2.2600723601513151E-2</v>
      </c>
      <c r="G2365" s="52">
        <f t="shared" si="77"/>
        <v>9.8625111190549994E-3</v>
      </c>
    </row>
    <row r="2366" spans="1:7" ht="15" customHeight="1" x14ac:dyDescent="0.2">
      <c r="A2366" s="19" t="s">
        <v>2513</v>
      </c>
      <c r="B2366" s="50">
        <v>244.43700000000001</v>
      </c>
      <c r="C2366" s="50">
        <v>4188.13</v>
      </c>
      <c r="D2366" s="51">
        <v>18231529.506510999</v>
      </c>
      <c r="E2366" s="51">
        <v>2117333013</v>
      </c>
      <c r="F2366" s="52">
        <f t="shared" si="76"/>
        <v>3.7585323276632791E-3</v>
      </c>
      <c r="G2366" s="52">
        <f t="shared" si="77"/>
        <v>-2.1275639556263349E-3</v>
      </c>
    </row>
    <row r="2367" spans="1:7" ht="15" customHeight="1" x14ac:dyDescent="0.2">
      <c r="A2367" s="19" t="s">
        <v>2514</v>
      </c>
      <c r="B2367" s="50">
        <v>244.214</v>
      </c>
      <c r="C2367" s="50">
        <v>4195.99</v>
      </c>
      <c r="D2367" s="51">
        <v>18300830.727081001</v>
      </c>
      <c r="E2367" s="51">
        <v>2087338274</v>
      </c>
      <c r="F2367" s="52">
        <f t="shared" si="76"/>
        <v>-9.1271691035480092E-4</v>
      </c>
      <c r="G2367" s="52">
        <f t="shared" si="77"/>
        <v>1.8749737128450623E-3</v>
      </c>
    </row>
    <row r="2368" spans="1:7" ht="15" customHeight="1" x14ac:dyDescent="0.2">
      <c r="A2368" s="19" t="s">
        <v>2515</v>
      </c>
      <c r="B2368" s="50">
        <v>242.10499999999999</v>
      </c>
      <c r="C2368" s="50">
        <v>4200.88</v>
      </c>
      <c r="D2368" s="51">
        <v>25153647.353916999</v>
      </c>
      <c r="E2368" s="51">
        <v>3407781249</v>
      </c>
      <c r="F2368" s="52">
        <f t="shared" si="76"/>
        <v>-8.6733737369960387E-3</v>
      </c>
      <c r="G2368" s="52">
        <f t="shared" si="77"/>
        <v>1.1647198427041133E-3</v>
      </c>
    </row>
    <row r="2369" spans="1:7" ht="15" customHeight="1" x14ac:dyDescent="0.2">
      <c r="A2369" s="19" t="s">
        <v>2516</v>
      </c>
      <c r="B2369" s="50">
        <v>242.45500000000001</v>
      </c>
      <c r="C2369" s="50">
        <v>4204.1099999999997</v>
      </c>
      <c r="D2369" s="51">
        <v>18819163.190891001</v>
      </c>
      <c r="E2369" s="51">
        <v>1958464949</v>
      </c>
      <c r="F2369" s="52">
        <f t="shared" si="76"/>
        <v>1.4446097939072385E-3</v>
      </c>
      <c r="G2369" s="52">
        <f t="shared" si="77"/>
        <v>7.6859107720652112E-4</v>
      </c>
    </row>
    <row r="2370" spans="1:7" ht="15" customHeight="1" x14ac:dyDescent="0.2">
      <c r="A2370" s="19" t="s">
        <v>2517</v>
      </c>
      <c r="B2370" s="50">
        <v>240.24799999999999</v>
      </c>
      <c r="C2370" s="50">
        <v>4202.04</v>
      </c>
      <c r="D2370" s="51">
        <v>23904593.417672999</v>
      </c>
      <c r="E2370" s="51">
        <v>2096973335</v>
      </c>
      <c r="F2370" s="52">
        <f t="shared" si="76"/>
        <v>-9.1444029935996273E-3</v>
      </c>
      <c r="G2370" s="52">
        <f t="shared" si="77"/>
        <v>-4.9249657496948439E-4</v>
      </c>
    </row>
    <row r="2371" spans="1:7" ht="15" customHeight="1" x14ac:dyDescent="0.2">
      <c r="A2371" s="19" t="s">
        <v>2518</v>
      </c>
      <c r="B2371" s="50">
        <v>240.149</v>
      </c>
      <c r="C2371" s="50">
        <v>4208.12</v>
      </c>
      <c r="D2371" s="51">
        <v>19984629.549373999</v>
      </c>
      <c r="E2371" s="51">
        <v>2028836814</v>
      </c>
      <c r="F2371" s="52">
        <f t="shared" si="76"/>
        <v>-4.1215911590401327E-4</v>
      </c>
      <c r="G2371" s="52">
        <f t="shared" si="77"/>
        <v>1.4458704850342234E-3</v>
      </c>
    </row>
    <row r="2372" spans="1:7" ht="15" customHeight="1" x14ac:dyDescent="0.2">
      <c r="A2372" s="19" t="s">
        <v>2519</v>
      </c>
      <c r="B2372" s="50">
        <v>238.596</v>
      </c>
      <c r="C2372" s="50">
        <v>4192.8500000000004</v>
      </c>
      <c r="D2372" s="51">
        <v>26061364.444688</v>
      </c>
      <c r="E2372" s="51">
        <v>2194432214</v>
      </c>
      <c r="F2372" s="52">
        <f t="shared" si="76"/>
        <v>-6.4878189740926635E-3</v>
      </c>
      <c r="G2372" s="52">
        <f t="shared" si="77"/>
        <v>-3.6352984992414229E-3</v>
      </c>
    </row>
    <row r="2373" spans="1:7" ht="15" customHeight="1" x14ac:dyDescent="0.2">
      <c r="A2373" s="19" t="s">
        <v>2520</v>
      </c>
      <c r="B2373" s="50">
        <v>243.529</v>
      </c>
      <c r="C2373" s="50">
        <v>4229.8900000000003</v>
      </c>
      <c r="D2373" s="51">
        <v>26033954.787622999</v>
      </c>
      <c r="E2373" s="51">
        <v>1872715862</v>
      </c>
      <c r="F2373" s="52">
        <f t="shared" si="76"/>
        <v>2.0464286876513995E-2</v>
      </c>
      <c r="G2373" s="52">
        <f t="shared" si="77"/>
        <v>8.7952943520972007E-3</v>
      </c>
    </row>
    <row r="2374" spans="1:7" ht="15" customHeight="1" x14ac:dyDescent="0.2">
      <c r="A2374" s="19" t="s">
        <v>2521</v>
      </c>
      <c r="B2374" s="50">
        <v>246.48099999999999</v>
      </c>
      <c r="C2374" s="50">
        <v>4226.5200000000004</v>
      </c>
      <c r="D2374" s="51">
        <v>23766455.789933</v>
      </c>
      <c r="E2374" s="51">
        <v>1745172301</v>
      </c>
      <c r="F2374" s="52">
        <f t="shared" ref="F2374:F2437" si="78">LN(B2374/B2373)</f>
        <v>1.2048879464034112E-2</v>
      </c>
      <c r="G2374" s="52">
        <f t="shared" ref="G2374:G2437" si="79">LN(C2374/C2373)</f>
        <v>-7.9702856848250638E-4</v>
      </c>
    </row>
    <row r="2375" spans="1:7" ht="15" customHeight="1" x14ac:dyDescent="0.2">
      <c r="A2375" s="19" t="s">
        <v>2522</v>
      </c>
      <c r="B2375" s="50">
        <v>245.268</v>
      </c>
      <c r="C2375" s="50">
        <v>4227.26</v>
      </c>
      <c r="D2375" s="51">
        <v>23123698.717459001</v>
      </c>
      <c r="E2375" s="51">
        <v>2109263760</v>
      </c>
      <c r="F2375" s="52">
        <f t="shared" si="78"/>
        <v>-4.9334211568515442E-3</v>
      </c>
      <c r="G2375" s="52">
        <f t="shared" si="79"/>
        <v>1.7506961427659565E-4</v>
      </c>
    </row>
    <row r="2376" spans="1:7" ht="15" customHeight="1" x14ac:dyDescent="0.2">
      <c r="A2376" s="19" t="s">
        <v>2523</v>
      </c>
      <c r="B2376" s="50">
        <v>246.26400000000001</v>
      </c>
      <c r="C2376" s="50">
        <v>4219.55</v>
      </c>
      <c r="D2376" s="51">
        <v>18471810.390508</v>
      </c>
      <c r="E2376" s="51">
        <v>1792953976</v>
      </c>
      <c r="F2376" s="52">
        <f t="shared" si="78"/>
        <v>4.0526409803765956E-3</v>
      </c>
      <c r="G2376" s="52">
        <f t="shared" si="79"/>
        <v>-1.8255417468125729E-3</v>
      </c>
    </row>
    <row r="2377" spans="1:7" ht="15" customHeight="1" x14ac:dyDescent="0.2">
      <c r="A2377" s="19" t="s">
        <v>2524</v>
      </c>
      <c r="B2377" s="50">
        <v>249.80099999999999</v>
      </c>
      <c r="C2377" s="50">
        <v>4239.18</v>
      </c>
      <c r="D2377" s="51">
        <v>25295114.437984001</v>
      </c>
      <c r="E2377" s="51">
        <v>1949114428</v>
      </c>
      <c r="F2377" s="52">
        <f t="shared" si="78"/>
        <v>1.4260469658008786E-2</v>
      </c>
      <c r="G2377" s="52">
        <f t="shared" si="79"/>
        <v>4.641367023082649E-3</v>
      </c>
    </row>
    <row r="2378" spans="1:7" ht="15" customHeight="1" x14ac:dyDescent="0.2">
      <c r="A2378" s="19" t="s">
        <v>2525</v>
      </c>
      <c r="B2378" s="50">
        <v>250.43600000000001</v>
      </c>
      <c r="C2378" s="50">
        <v>4247.4399999999996</v>
      </c>
      <c r="D2378" s="51">
        <v>19565535.769986998</v>
      </c>
      <c r="E2378" s="51">
        <v>1679469973</v>
      </c>
      <c r="F2378" s="52">
        <f t="shared" si="78"/>
        <v>2.5387979740566797E-3</v>
      </c>
      <c r="G2378" s="52">
        <f t="shared" si="79"/>
        <v>1.9465941937430961E-3</v>
      </c>
    </row>
    <row r="2379" spans="1:7" ht="15" customHeight="1" x14ac:dyDescent="0.2">
      <c r="A2379" s="19" t="s">
        <v>2526</v>
      </c>
      <c r="B2379" s="50">
        <v>252.38</v>
      </c>
      <c r="C2379" s="50">
        <v>4255.1499999999996</v>
      </c>
      <c r="D2379" s="51">
        <v>19720801.873847999</v>
      </c>
      <c r="E2379" s="51">
        <v>1846240506</v>
      </c>
      <c r="F2379" s="52">
        <f t="shared" si="78"/>
        <v>7.7324893646812907E-3</v>
      </c>
      <c r="G2379" s="52">
        <f t="shared" si="79"/>
        <v>1.8135655401930488E-3</v>
      </c>
    </row>
    <row r="2380" spans="1:7" ht="15" customHeight="1" x14ac:dyDescent="0.2">
      <c r="A2380" s="19" t="s">
        <v>2527</v>
      </c>
      <c r="B2380" s="50">
        <v>250.89400000000001</v>
      </c>
      <c r="C2380" s="50">
        <v>4246.59</v>
      </c>
      <c r="D2380" s="51">
        <v>18576123.117228001</v>
      </c>
      <c r="E2380" s="51">
        <v>1830754386</v>
      </c>
      <c r="F2380" s="52">
        <f t="shared" si="78"/>
        <v>-5.9053490482542676E-3</v>
      </c>
      <c r="G2380" s="52">
        <f t="shared" si="79"/>
        <v>-2.0137061101785226E-3</v>
      </c>
    </row>
    <row r="2381" spans="1:7" ht="15" customHeight="1" x14ac:dyDescent="0.2">
      <c r="A2381" s="19" t="s">
        <v>2528</v>
      </c>
      <c r="B2381" s="50">
        <v>249.93600000000001</v>
      </c>
      <c r="C2381" s="50">
        <v>4223.7</v>
      </c>
      <c r="D2381" s="51">
        <v>28030555.622276001</v>
      </c>
      <c r="E2381" s="51">
        <v>2220452064</v>
      </c>
      <c r="F2381" s="52">
        <f t="shared" si="78"/>
        <v>-3.8256540878572323E-3</v>
      </c>
      <c r="G2381" s="52">
        <f t="shared" si="79"/>
        <v>-5.404786783292966E-3</v>
      </c>
    </row>
    <row r="2382" spans="1:7" ht="15" customHeight="1" x14ac:dyDescent="0.2">
      <c r="A2382" s="19" t="s">
        <v>2529</v>
      </c>
      <c r="B2382" s="50">
        <v>253.346</v>
      </c>
      <c r="C2382" s="50">
        <v>4221.8599999999997</v>
      </c>
      <c r="D2382" s="51">
        <v>28386427.612725999</v>
      </c>
      <c r="E2382" s="51">
        <v>2583091087</v>
      </c>
      <c r="F2382" s="52">
        <f t="shared" si="78"/>
        <v>1.3551258273655848E-2</v>
      </c>
      <c r="G2382" s="52">
        <f t="shared" si="79"/>
        <v>-4.3573191809956221E-4</v>
      </c>
    </row>
    <row r="2383" spans="1:7" ht="15" customHeight="1" x14ac:dyDescent="0.2">
      <c r="A2383" s="19" t="s">
        <v>2530</v>
      </c>
      <c r="B2383" s="50">
        <v>251.93100000000001</v>
      </c>
      <c r="C2383" s="50">
        <v>4166.45</v>
      </c>
      <c r="D2383" s="51">
        <v>38310084.124582998</v>
      </c>
      <c r="E2383" s="51">
        <v>3608789593</v>
      </c>
      <c r="F2383" s="52">
        <f t="shared" si="78"/>
        <v>-5.6009028673666434E-3</v>
      </c>
      <c r="G2383" s="52">
        <f t="shared" si="79"/>
        <v>-1.3211434948255869E-2</v>
      </c>
    </row>
    <row r="2384" spans="1:7" ht="15" customHeight="1" x14ac:dyDescent="0.2">
      <c r="A2384" s="19" t="s">
        <v>2531</v>
      </c>
      <c r="B2384" s="50">
        <v>255.03399999999999</v>
      </c>
      <c r="C2384" s="50">
        <v>4224.79</v>
      </c>
      <c r="D2384" s="51">
        <v>27491118.173007</v>
      </c>
      <c r="E2384" s="51">
        <v>2040521589</v>
      </c>
      <c r="F2384" s="52">
        <f t="shared" si="78"/>
        <v>1.22416291087185E-2</v>
      </c>
      <c r="G2384" s="52">
        <f t="shared" si="79"/>
        <v>1.3905201143734752E-2</v>
      </c>
    </row>
    <row r="2385" spans="1:7" ht="15" customHeight="1" x14ac:dyDescent="0.2">
      <c r="A2385" s="19" t="s">
        <v>2532</v>
      </c>
      <c r="B2385" s="50">
        <v>257.82900000000001</v>
      </c>
      <c r="C2385" s="50">
        <v>4246.4399999999996</v>
      </c>
      <c r="D2385" s="51">
        <v>25429469.057999</v>
      </c>
      <c r="E2385" s="51">
        <v>1786553582</v>
      </c>
      <c r="F2385" s="52">
        <f t="shared" si="78"/>
        <v>1.0899704877426966E-2</v>
      </c>
      <c r="G2385" s="52">
        <f t="shared" si="79"/>
        <v>5.1114294233350907E-3</v>
      </c>
    </row>
    <row r="2386" spans="1:7" ht="15" customHeight="1" x14ac:dyDescent="0.2">
      <c r="A2386" s="19" t="s">
        <v>2533</v>
      </c>
      <c r="B2386" s="50">
        <v>257.60399999999998</v>
      </c>
      <c r="C2386" s="50">
        <v>4241.84</v>
      </c>
      <c r="D2386" s="51">
        <v>20099940.12968</v>
      </c>
      <c r="E2386" s="51">
        <v>1771820909</v>
      </c>
      <c r="F2386" s="52">
        <f t="shared" si="78"/>
        <v>-8.7305242113588151E-4</v>
      </c>
      <c r="G2386" s="52">
        <f t="shared" si="79"/>
        <v>-1.0838474815418405E-3</v>
      </c>
    </row>
    <row r="2387" spans="1:7" ht="15" customHeight="1" x14ac:dyDescent="0.2">
      <c r="A2387" s="19" t="s">
        <v>2534</v>
      </c>
      <c r="B2387" s="50">
        <v>258.97000000000003</v>
      </c>
      <c r="C2387" s="50">
        <v>4266.49</v>
      </c>
      <c r="D2387" s="51">
        <v>22085546.182201002</v>
      </c>
      <c r="E2387" s="51">
        <v>1871426376</v>
      </c>
      <c r="F2387" s="52">
        <f t="shared" si="78"/>
        <v>5.2887028149302042E-3</v>
      </c>
      <c r="G2387" s="52">
        <f t="shared" si="79"/>
        <v>5.7943377765723673E-3</v>
      </c>
    </row>
    <row r="2388" spans="1:7" ht="15" customHeight="1" x14ac:dyDescent="0.2">
      <c r="A2388" s="19" t="s">
        <v>2535</v>
      </c>
      <c r="B2388" s="50">
        <v>257.36</v>
      </c>
      <c r="C2388" s="50">
        <v>4280.7</v>
      </c>
      <c r="D2388" s="51">
        <v>26373801.977818001</v>
      </c>
      <c r="E2388" s="51">
        <v>2751790926</v>
      </c>
      <c r="F2388" s="52">
        <f t="shared" si="78"/>
        <v>-6.2363419441108948E-3</v>
      </c>
      <c r="G2388" s="52">
        <f t="shared" si="79"/>
        <v>3.3250724723028176E-3</v>
      </c>
    </row>
    <row r="2389" spans="1:7" ht="15" customHeight="1" x14ac:dyDescent="0.2">
      <c r="A2389" s="19" t="s">
        <v>2536</v>
      </c>
      <c r="B2389" s="50">
        <v>260.95499999999998</v>
      </c>
      <c r="C2389" s="50">
        <v>4290.6099999999997</v>
      </c>
      <c r="D2389" s="51">
        <v>20173407.265932001</v>
      </c>
      <c r="E2389" s="51">
        <v>1992399601</v>
      </c>
      <c r="F2389" s="52">
        <f t="shared" si="78"/>
        <v>1.3872095733852344E-2</v>
      </c>
      <c r="G2389" s="52">
        <f t="shared" si="79"/>
        <v>2.3123663514123699E-3</v>
      </c>
    </row>
    <row r="2390" spans="1:7" ht="15" customHeight="1" x14ac:dyDescent="0.2">
      <c r="A2390" s="19" t="s">
        <v>2537</v>
      </c>
      <c r="B2390" s="50">
        <v>263.553</v>
      </c>
      <c r="C2390" s="50">
        <v>4291.8</v>
      </c>
      <c r="D2390" s="51">
        <v>20531551.108651999</v>
      </c>
      <c r="E2390" s="51">
        <v>1830630923</v>
      </c>
      <c r="F2390" s="52">
        <f t="shared" si="78"/>
        <v>9.9065076110778586E-3</v>
      </c>
      <c r="G2390" s="52">
        <f t="shared" si="79"/>
        <v>2.7731138634168957E-4</v>
      </c>
    </row>
    <row r="2391" spans="1:7" ht="15" customHeight="1" x14ac:dyDescent="0.2">
      <c r="A2391" s="19" t="s">
        <v>2538</v>
      </c>
      <c r="B2391" s="50">
        <v>263.06400000000002</v>
      </c>
      <c r="C2391" s="50">
        <v>4297.5</v>
      </c>
      <c r="D2391" s="51">
        <v>22301377.267138001</v>
      </c>
      <c r="E2391" s="51">
        <v>1949896699</v>
      </c>
      <c r="F2391" s="52">
        <f t="shared" si="78"/>
        <v>-1.8571376941690541E-3</v>
      </c>
      <c r="G2391" s="52">
        <f t="shared" si="79"/>
        <v>1.3272329146112091E-3</v>
      </c>
    </row>
    <row r="2392" spans="1:7" ht="15" customHeight="1" x14ac:dyDescent="0.2">
      <c r="A2392" s="19" t="s">
        <v>2539</v>
      </c>
      <c r="B2392" s="50">
        <v>263.73899999999998</v>
      </c>
      <c r="C2392" s="50">
        <v>4319.9399999999996</v>
      </c>
      <c r="D2392" s="51">
        <v>17223397.364369001</v>
      </c>
      <c r="E2392" s="51">
        <v>1803458464</v>
      </c>
      <c r="F2392" s="52">
        <f t="shared" si="78"/>
        <v>2.5626291778804897E-3</v>
      </c>
      <c r="G2392" s="52">
        <f t="shared" si="79"/>
        <v>5.2080549958111134E-3</v>
      </c>
    </row>
    <row r="2393" spans="1:7" ht="15" customHeight="1" x14ac:dyDescent="0.2">
      <c r="A2393" s="19" t="s">
        <v>2540</v>
      </c>
      <c r="B2393" s="50">
        <v>269.62</v>
      </c>
      <c r="C2393" s="50">
        <v>4352.34</v>
      </c>
      <c r="D2393" s="51">
        <v>27262805.722116001</v>
      </c>
      <c r="E2393" s="51">
        <v>1535619737</v>
      </c>
      <c r="F2393" s="52">
        <f t="shared" si="78"/>
        <v>2.2053582503505444E-2</v>
      </c>
      <c r="G2393" s="52">
        <f t="shared" si="79"/>
        <v>7.4721182313641664E-3</v>
      </c>
    </row>
    <row r="2394" spans="1:7" ht="15" customHeight="1" x14ac:dyDescent="0.2">
      <c r="A2394" s="19" t="s">
        <v>2541</v>
      </c>
      <c r="B2394" s="50">
        <v>269.63</v>
      </c>
      <c r="C2394" s="50">
        <v>4343.54</v>
      </c>
      <c r="D2394" s="51">
        <v>32505570.165240001</v>
      </c>
      <c r="E2394" s="51">
        <v>2075709900</v>
      </c>
      <c r="F2394" s="52">
        <f t="shared" si="78"/>
        <v>3.7088548914691486E-5</v>
      </c>
      <c r="G2394" s="52">
        <f t="shared" si="79"/>
        <v>-2.0239476634912454E-3</v>
      </c>
    </row>
    <row r="2395" spans="1:7" ht="15" customHeight="1" x14ac:dyDescent="0.2">
      <c r="A2395" s="19" t="s">
        <v>2542</v>
      </c>
      <c r="B2395" s="50">
        <v>271.83499999999998</v>
      </c>
      <c r="C2395" s="50">
        <v>4358.13</v>
      </c>
      <c r="D2395" s="51">
        <v>23952705.699703</v>
      </c>
      <c r="E2395" s="51">
        <v>1932877201</v>
      </c>
      <c r="F2395" s="52">
        <f t="shared" si="78"/>
        <v>8.1446157701780993E-3</v>
      </c>
      <c r="G2395" s="52">
        <f t="shared" si="79"/>
        <v>3.3533824363036076E-3</v>
      </c>
    </row>
    <row r="2396" spans="1:7" ht="15" customHeight="1" x14ac:dyDescent="0.2">
      <c r="A2396" s="19" t="s">
        <v>2543</v>
      </c>
      <c r="B2396" s="50">
        <v>269.392</v>
      </c>
      <c r="C2396" s="50">
        <v>4320.82</v>
      </c>
      <c r="D2396" s="51">
        <v>25351723.386080999</v>
      </c>
      <c r="E2396" s="51">
        <v>2063982824</v>
      </c>
      <c r="F2396" s="52">
        <f t="shared" si="78"/>
        <v>-9.0276966665670862E-3</v>
      </c>
      <c r="G2396" s="52">
        <f t="shared" si="79"/>
        <v>-8.5978672165738772E-3</v>
      </c>
    </row>
    <row r="2397" spans="1:7" ht="15" customHeight="1" x14ac:dyDescent="0.2">
      <c r="A2397" s="19" t="s">
        <v>2544</v>
      </c>
      <c r="B2397" s="50">
        <v>269.90199999999999</v>
      </c>
      <c r="C2397" s="50">
        <v>4369.55</v>
      </c>
      <c r="D2397" s="51">
        <v>24628893.503242999</v>
      </c>
      <c r="E2397" s="51">
        <v>1791690914</v>
      </c>
      <c r="F2397" s="52">
        <f t="shared" si="78"/>
        <v>1.8913622329682219E-3</v>
      </c>
      <c r="G2397" s="52">
        <f t="shared" si="79"/>
        <v>1.1214829918570923E-2</v>
      </c>
    </row>
    <row r="2398" spans="1:7" ht="15" customHeight="1" x14ac:dyDescent="0.2">
      <c r="A2398" s="19" t="s">
        <v>2545</v>
      </c>
      <c r="B2398" s="50">
        <v>269.29399999999998</v>
      </c>
      <c r="C2398" s="50">
        <v>4384.63</v>
      </c>
      <c r="D2398" s="51">
        <v>19495473.852600001</v>
      </c>
      <c r="E2398" s="51">
        <v>1707501002</v>
      </c>
      <c r="F2398" s="52">
        <f t="shared" si="78"/>
        <v>-2.2552105642080875E-3</v>
      </c>
      <c r="G2398" s="52">
        <f t="shared" si="79"/>
        <v>3.4452147239393167E-3</v>
      </c>
    </row>
    <row r="2399" spans="1:7" ht="15" customHeight="1" x14ac:dyDescent="0.2">
      <c r="A2399" s="19" t="s">
        <v>2546</v>
      </c>
      <c r="B2399" s="50">
        <v>272.85199999999998</v>
      </c>
      <c r="C2399" s="50">
        <v>4369.21</v>
      </c>
      <c r="D2399" s="51">
        <v>26897974.299835999</v>
      </c>
      <c r="E2399" s="51">
        <v>1764023047</v>
      </c>
      <c r="F2399" s="52">
        <f t="shared" si="78"/>
        <v>1.312580405598994E-2</v>
      </c>
      <c r="G2399" s="52">
        <f t="shared" si="79"/>
        <v>-3.5230289676471218E-3</v>
      </c>
    </row>
    <row r="2400" spans="1:7" ht="15" customHeight="1" x14ac:dyDescent="0.2">
      <c r="A2400" s="19" t="s">
        <v>2547</v>
      </c>
      <c r="B2400" s="50">
        <v>274.34500000000003</v>
      </c>
      <c r="C2400" s="50">
        <v>4374.3</v>
      </c>
      <c r="D2400" s="51">
        <v>23801977.157476999</v>
      </c>
      <c r="E2400" s="51">
        <v>2028264492</v>
      </c>
      <c r="F2400" s="52">
        <f t="shared" si="78"/>
        <v>5.4569148035081977E-3</v>
      </c>
      <c r="G2400" s="52">
        <f t="shared" si="79"/>
        <v>1.1642922750682311E-3</v>
      </c>
    </row>
    <row r="2401" spans="1:7" ht="15" customHeight="1" x14ac:dyDescent="0.2">
      <c r="A2401" s="19" t="s">
        <v>2548</v>
      </c>
      <c r="B2401" s="50">
        <v>272.90100000000001</v>
      </c>
      <c r="C2401" s="50">
        <v>4360.03</v>
      </c>
      <c r="D2401" s="51">
        <v>23277372.784240998</v>
      </c>
      <c r="E2401" s="51">
        <v>1995704829</v>
      </c>
      <c r="F2401" s="52">
        <f t="shared" si="78"/>
        <v>-5.2773463902088856E-3</v>
      </c>
      <c r="G2401" s="52">
        <f t="shared" si="79"/>
        <v>-3.267568936996537E-3</v>
      </c>
    </row>
    <row r="2402" spans="1:7" ht="15" customHeight="1" x14ac:dyDescent="0.2">
      <c r="A2402" s="19" t="s">
        <v>2549</v>
      </c>
      <c r="B2402" s="50">
        <v>272.62599999999998</v>
      </c>
      <c r="C2402" s="50">
        <v>4327.16</v>
      </c>
      <c r="D2402" s="51">
        <v>26966681.705931</v>
      </c>
      <c r="E2402" s="51">
        <v>2026420335</v>
      </c>
      <c r="F2402" s="52">
        <f t="shared" si="78"/>
        <v>-1.0081994962451567E-3</v>
      </c>
      <c r="G2402" s="52">
        <f t="shared" si="79"/>
        <v>-7.5675003916981084E-3</v>
      </c>
    </row>
    <row r="2403" spans="1:7" ht="15" customHeight="1" x14ac:dyDescent="0.2">
      <c r="A2403" s="19" t="s">
        <v>2550</v>
      </c>
      <c r="B2403" s="50">
        <v>269.00299999999999</v>
      </c>
      <c r="C2403" s="50">
        <v>4258.49</v>
      </c>
      <c r="D2403" s="51">
        <v>33916443.664737999</v>
      </c>
      <c r="E2403" s="51">
        <v>2838151098</v>
      </c>
      <c r="F2403" s="52">
        <f t="shared" si="78"/>
        <v>-1.3378360601240121E-2</v>
      </c>
      <c r="G2403" s="52">
        <f t="shared" si="79"/>
        <v>-1.5996800327963308E-2</v>
      </c>
    </row>
    <row r="2404" spans="1:7" ht="15" customHeight="1" x14ac:dyDescent="0.2">
      <c r="A2404" s="19" t="s">
        <v>2551</v>
      </c>
      <c r="B2404" s="50">
        <v>271.24900000000002</v>
      </c>
      <c r="C2404" s="50">
        <v>4323.0600000000004</v>
      </c>
      <c r="D2404" s="51">
        <v>27041745.998353999</v>
      </c>
      <c r="E2404" s="51">
        <v>2430577637</v>
      </c>
      <c r="F2404" s="52">
        <f t="shared" si="78"/>
        <v>8.3146862559208001E-3</v>
      </c>
      <c r="G2404" s="52">
        <f t="shared" si="79"/>
        <v>1.5048847488145101E-2</v>
      </c>
    </row>
    <row r="2405" spans="1:7" ht="15" customHeight="1" x14ac:dyDescent="0.2">
      <c r="A2405" s="19" t="s">
        <v>2552</v>
      </c>
      <c r="B2405" s="50">
        <v>273.26100000000002</v>
      </c>
      <c r="C2405" s="50">
        <v>4358.6899999999996</v>
      </c>
      <c r="D2405" s="51">
        <v>25089879.869954001</v>
      </c>
      <c r="E2405" s="51">
        <v>2101370626</v>
      </c>
      <c r="F2405" s="52">
        <f t="shared" si="78"/>
        <v>7.3901642101242377E-3</v>
      </c>
      <c r="G2405" s="52">
        <f t="shared" si="79"/>
        <v>8.2080686588838214E-3</v>
      </c>
    </row>
    <row r="2406" spans="1:7" ht="15" customHeight="1" x14ac:dyDescent="0.2">
      <c r="A2406" s="19" t="s">
        <v>2553</v>
      </c>
      <c r="B2406" s="50">
        <v>277.86099999999999</v>
      </c>
      <c r="C2406" s="50">
        <v>4367.4799999999996</v>
      </c>
      <c r="D2406" s="51">
        <v>24080425.978696998</v>
      </c>
      <c r="E2406" s="51">
        <v>1845434194</v>
      </c>
      <c r="F2406" s="52">
        <f t="shared" si="78"/>
        <v>1.66936062269014E-2</v>
      </c>
      <c r="G2406" s="52">
        <f t="shared" si="79"/>
        <v>2.0146302382427882E-3</v>
      </c>
    </row>
    <row r="2407" spans="1:7" ht="15" customHeight="1" x14ac:dyDescent="0.2">
      <c r="A2407" s="19" t="s">
        <v>2554</v>
      </c>
      <c r="B2407" s="50">
        <v>281.291</v>
      </c>
      <c r="C2407" s="50">
        <v>4411.79</v>
      </c>
      <c r="D2407" s="51">
        <v>23446094.928846002</v>
      </c>
      <c r="E2407" s="51">
        <v>1752390418</v>
      </c>
      <c r="F2407" s="52">
        <f t="shared" si="78"/>
        <v>1.2268732022905137E-2</v>
      </c>
      <c r="G2407" s="52">
        <f t="shared" si="79"/>
        <v>1.0094319060166316E-2</v>
      </c>
    </row>
    <row r="2408" spans="1:7" ht="15" customHeight="1" x14ac:dyDescent="0.2">
      <c r="A2408" s="19" t="s">
        <v>2555</v>
      </c>
      <c r="B2408" s="50">
        <v>280.69400000000002</v>
      </c>
      <c r="C2408" s="50">
        <v>4422.3</v>
      </c>
      <c r="D2408" s="51">
        <v>23866247.336105999</v>
      </c>
      <c r="E2408" s="51">
        <v>1812247096</v>
      </c>
      <c r="F2408" s="52">
        <f t="shared" si="78"/>
        <v>-2.1246126660691275E-3</v>
      </c>
      <c r="G2408" s="52">
        <f t="shared" si="79"/>
        <v>2.3794199422129485E-3</v>
      </c>
    </row>
    <row r="2409" spans="1:7" ht="15" customHeight="1" x14ac:dyDescent="0.2">
      <c r="A2409" s="19" t="s">
        <v>2556</v>
      </c>
      <c r="B2409" s="50">
        <v>278.25200000000001</v>
      </c>
      <c r="C2409" s="50">
        <v>4401.46</v>
      </c>
      <c r="D2409" s="51">
        <v>34604789.307724997</v>
      </c>
      <c r="E2409" s="51">
        <v>2085640391</v>
      </c>
      <c r="F2409" s="52">
        <f t="shared" si="78"/>
        <v>-8.7379300951958925E-3</v>
      </c>
      <c r="G2409" s="52">
        <f t="shared" si="79"/>
        <v>-4.7236186726493743E-3</v>
      </c>
    </row>
    <row r="2410" spans="1:7" ht="15" customHeight="1" x14ac:dyDescent="0.2">
      <c r="A2410" s="19" t="s">
        <v>2557</v>
      </c>
      <c r="B2410" s="50">
        <v>277.94099999999997</v>
      </c>
      <c r="C2410" s="50">
        <v>4400.6400000000003</v>
      </c>
      <c r="D2410" s="51">
        <v>34566459.607247002</v>
      </c>
      <c r="E2410" s="51">
        <v>2118843918</v>
      </c>
      <c r="F2410" s="52">
        <f t="shared" si="78"/>
        <v>-1.1183169598045386E-3</v>
      </c>
      <c r="G2410" s="52">
        <f t="shared" si="79"/>
        <v>-1.8631917437244311E-4</v>
      </c>
    </row>
    <row r="2411" spans="1:7" ht="15" customHeight="1" x14ac:dyDescent="0.2">
      <c r="A2411" s="19" t="s">
        <v>2558</v>
      </c>
      <c r="B2411" s="50">
        <v>278.21300000000002</v>
      </c>
      <c r="C2411" s="50">
        <v>4419.1499999999996</v>
      </c>
      <c r="D2411" s="51">
        <v>18709338.227742001</v>
      </c>
      <c r="E2411" s="51">
        <v>2019354788</v>
      </c>
      <c r="F2411" s="52">
        <f t="shared" si="78"/>
        <v>9.7814641875036234E-4</v>
      </c>
      <c r="G2411" s="52">
        <f t="shared" si="79"/>
        <v>4.1973850116203163E-3</v>
      </c>
    </row>
    <row r="2412" spans="1:7" ht="15" customHeight="1" x14ac:dyDescent="0.2">
      <c r="A2412" s="19" t="s">
        <v>2559</v>
      </c>
      <c r="B2412" s="50">
        <v>276.66800000000001</v>
      </c>
      <c r="C2412" s="50">
        <v>4395.26</v>
      </c>
      <c r="D2412" s="51">
        <v>21568575.39641</v>
      </c>
      <c r="E2412" s="51">
        <v>2245846882</v>
      </c>
      <c r="F2412" s="52">
        <f t="shared" si="78"/>
        <v>-5.5687759815111785E-3</v>
      </c>
      <c r="G2412" s="52">
        <f t="shared" si="79"/>
        <v>-5.4206823821932627E-3</v>
      </c>
    </row>
    <row r="2413" spans="1:7" ht="15" customHeight="1" x14ac:dyDescent="0.2">
      <c r="A2413" s="19" t="s">
        <v>2560</v>
      </c>
      <c r="B2413" s="50">
        <v>276.58199999999999</v>
      </c>
      <c r="C2413" s="50">
        <v>4387.16</v>
      </c>
      <c r="D2413" s="51">
        <v>16751791.956754001</v>
      </c>
      <c r="E2413" s="51">
        <v>1983436641</v>
      </c>
      <c r="F2413" s="52">
        <f t="shared" si="78"/>
        <v>-3.108901968104942E-4</v>
      </c>
      <c r="G2413" s="52">
        <f t="shared" si="79"/>
        <v>-1.8445946098472469E-3</v>
      </c>
    </row>
    <row r="2414" spans="1:7" ht="15" customHeight="1" x14ac:dyDescent="0.2">
      <c r="A2414" s="19" t="s">
        <v>2561</v>
      </c>
      <c r="B2414" s="50">
        <v>278.81799999999998</v>
      </c>
      <c r="C2414" s="50">
        <v>4423.1499999999996</v>
      </c>
      <c r="D2414" s="51">
        <v>18411478.839947999</v>
      </c>
      <c r="E2414" s="51">
        <v>2174964518</v>
      </c>
      <c r="F2414" s="52">
        <f t="shared" si="78"/>
        <v>8.0518980214167157E-3</v>
      </c>
      <c r="G2414" s="52">
        <f t="shared" si="79"/>
        <v>8.170019032652822E-3</v>
      </c>
    </row>
    <row r="2415" spans="1:7" ht="15" customHeight="1" x14ac:dyDescent="0.2">
      <c r="A2415" s="19" t="s">
        <v>2562</v>
      </c>
      <c r="B2415" s="50">
        <v>278.22300000000001</v>
      </c>
      <c r="C2415" s="50">
        <v>4402.66</v>
      </c>
      <c r="D2415" s="51">
        <v>16673471.922907</v>
      </c>
      <c r="E2415" s="51">
        <v>2331475675</v>
      </c>
      <c r="F2415" s="52">
        <f t="shared" si="78"/>
        <v>-2.1362888056171226E-3</v>
      </c>
      <c r="G2415" s="52">
        <f t="shared" si="79"/>
        <v>-4.6432082296428796E-3</v>
      </c>
    </row>
    <row r="2416" spans="1:7" ht="15" customHeight="1" x14ac:dyDescent="0.2">
      <c r="A2416" s="19" t="s">
        <v>2563</v>
      </c>
      <c r="B2416" s="50">
        <v>281.14299999999997</v>
      </c>
      <c r="C2416" s="50">
        <v>4429.1000000000004</v>
      </c>
      <c r="D2416" s="51">
        <v>14314107.778450999</v>
      </c>
      <c r="E2416" s="51">
        <v>1960628313</v>
      </c>
      <c r="F2416" s="52">
        <f t="shared" si="78"/>
        <v>1.0440486279818679E-2</v>
      </c>
      <c r="G2416" s="52">
        <f t="shared" si="79"/>
        <v>5.9874994315475697E-3</v>
      </c>
    </row>
    <row r="2417" spans="1:7" ht="15" customHeight="1" x14ac:dyDescent="0.2">
      <c r="A2417" s="19" t="s">
        <v>2564</v>
      </c>
      <c r="B2417" s="50">
        <v>281.08300000000003</v>
      </c>
      <c r="C2417" s="50">
        <v>4436.5200000000004</v>
      </c>
      <c r="D2417" s="51">
        <v>17083359.530310001</v>
      </c>
      <c r="E2417" s="51">
        <v>1838165082</v>
      </c>
      <c r="F2417" s="52">
        <f t="shared" si="78"/>
        <v>-2.1343730182423279E-4</v>
      </c>
      <c r="G2417" s="52">
        <f t="shared" si="79"/>
        <v>1.6738821949274498E-3</v>
      </c>
    </row>
    <row r="2418" spans="1:7" ht="15" customHeight="1" x14ac:dyDescent="0.2">
      <c r="A2418" s="19" t="s">
        <v>2565</v>
      </c>
      <c r="B2418" s="50">
        <v>279.99099999999999</v>
      </c>
      <c r="C2418" s="50">
        <v>4432.3500000000004</v>
      </c>
      <c r="D2418" s="51">
        <v>16597605.980944</v>
      </c>
      <c r="E2418" s="51">
        <v>1716583532</v>
      </c>
      <c r="F2418" s="52">
        <f t="shared" si="78"/>
        <v>-3.8925395894993139E-3</v>
      </c>
      <c r="G2418" s="52">
        <f t="shared" si="79"/>
        <v>-9.4036789518653135E-4</v>
      </c>
    </row>
    <row r="2419" spans="1:7" ht="15" customHeight="1" x14ac:dyDescent="0.2">
      <c r="A2419" s="19" t="s">
        <v>2566</v>
      </c>
      <c r="B2419" s="50">
        <v>278.154</v>
      </c>
      <c r="C2419" s="50">
        <v>4436.75</v>
      </c>
      <c r="D2419" s="51">
        <v>19170972.671284001</v>
      </c>
      <c r="E2419" s="51">
        <v>1916238169</v>
      </c>
      <c r="F2419" s="52">
        <f t="shared" si="78"/>
        <v>-6.5825426477914275E-3</v>
      </c>
      <c r="G2419" s="52">
        <f t="shared" si="79"/>
        <v>9.922089864754615E-4</v>
      </c>
    </row>
    <row r="2420" spans="1:7" ht="15" customHeight="1" x14ac:dyDescent="0.2">
      <c r="A2420" s="19" t="s">
        <v>2567</v>
      </c>
      <c r="B2420" s="50">
        <v>278.65199999999999</v>
      </c>
      <c r="C2420" s="50">
        <v>4442.41</v>
      </c>
      <c r="D2420" s="51">
        <v>14371535.780995</v>
      </c>
      <c r="E2420" s="51">
        <v>1871786539</v>
      </c>
      <c r="F2420" s="52">
        <f t="shared" si="78"/>
        <v>1.7887743048318238E-3</v>
      </c>
      <c r="G2420" s="52">
        <f t="shared" si="79"/>
        <v>1.2748955456659639E-3</v>
      </c>
    </row>
    <row r="2421" spans="1:7" ht="15" customHeight="1" x14ac:dyDescent="0.2">
      <c r="A2421" s="19" t="s">
        <v>2568</v>
      </c>
      <c r="B2421" s="50">
        <v>281.42700000000002</v>
      </c>
      <c r="C2421" s="50">
        <v>4460.83</v>
      </c>
      <c r="D2421" s="51">
        <v>15004292.198672</v>
      </c>
      <c r="E2421" s="51">
        <v>1628478428</v>
      </c>
      <c r="F2421" s="52">
        <f t="shared" si="78"/>
        <v>9.9093974522321791E-3</v>
      </c>
      <c r="G2421" s="52">
        <f t="shared" si="79"/>
        <v>4.1378253942716235E-3</v>
      </c>
    </row>
    <row r="2422" spans="1:7" ht="15" customHeight="1" x14ac:dyDescent="0.2">
      <c r="A2422" s="19" t="s">
        <v>2569</v>
      </c>
      <c r="B2422" s="50">
        <v>284.38499999999999</v>
      </c>
      <c r="C2422" s="50">
        <v>4468</v>
      </c>
      <c r="D2422" s="51">
        <v>18792495.801918</v>
      </c>
      <c r="E2422" s="51">
        <v>1532626658</v>
      </c>
      <c r="F2422" s="52">
        <f t="shared" si="78"/>
        <v>1.0455865017324772E-2</v>
      </c>
      <c r="G2422" s="52">
        <f t="shared" si="79"/>
        <v>1.6060338344795659E-3</v>
      </c>
    </row>
    <row r="2423" spans="1:7" ht="15" customHeight="1" x14ac:dyDescent="0.2">
      <c r="A2423" s="19" t="s">
        <v>2570</v>
      </c>
      <c r="B2423" s="50">
        <v>286.07600000000002</v>
      </c>
      <c r="C2423" s="50">
        <v>4479.71</v>
      </c>
      <c r="D2423" s="51">
        <v>23186545.788988002</v>
      </c>
      <c r="E2423" s="51">
        <v>1750996492</v>
      </c>
      <c r="F2423" s="52">
        <f t="shared" si="78"/>
        <v>5.9285558623792438E-3</v>
      </c>
      <c r="G2423" s="52">
        <f t="shared" si="79"/>
        <v>2.6174309818667143E-3</v>
      </c>
    </row>
    <row r="2424" spans="1:7" ht="15" customHeight="1" x14ac:dyDescent="0.2">
      <c r="A2424" s="19" t="s">
        <v>2571</v>
      </c>
      <c r="B2424" s="50">
        <v>284.61200000000002</v>
      </c>
      <c r="C2424" s="50">
        <v>4448.08</v>
      </c>
      <c r="D2424" s="51">
        <v>20673082.693257999</v>
      </c>
      <c r="E2424" s="51">
        <v>1917517410</v>
      </c>
      <c r="F2424" s="52">
        <f t="shared" si="78"/>
        <v>-5.1306605763124158E-3</v>
      </c>
      <c r="G2424" s="52">
        <f t="shared" si="79"/>
        <v>-7.0857697907681849E-3</v>
      </c>
    </row>
    <row r="2425" spans="1:7" ht="15" customHeight="1" x14ac:dyDescent="0.2">
      <c r="A2425" s="19" t="s">
        <v>2572</v>
      </c>
      <c r="B2425" s="50">
        <v>282.863</v>
      </c>
      <c r="C2425" s="50">
        <v>4400.2700000000004</v>
      </c>
      <c r="D2425" s="51">
        <v>22419646.681634001</v>
      </c>
      <c r="E2425" s="51">
        <v>1930293587</v>
      </c>
      <c r="F2425" s="52">
        <f t="shared" si="78"/>
        <v>-6.1641677185918613E-3</v>
      </c>
      <c r="G2425" s="52">
        <f t="shared" si="79"/>
        <v>-1.0806639720144598E-2</v>
      </c>
    </row>
    <row r="2426" spans="1:7" ht="15" customHeight="1" x14ac:dyDescent="0.2">
      <c r="A2426" s="19" t="s">
        <v>2573</v>
      </c>
      <c r="B2426" s="50">
        <v>288.74299999999999</v>
      </c>
      <c r="C2426" s="50">
        <v>4405.8</v>
      </c>
      <c r="D2426" s="51">
        <v>30680660.547561999</v>
      </c>
      <c r="E2426" s="51">
        <v>2214340942</v>
      </c>
      <c r="F2426" s="52">
        <f t="shared" si="78"/>
        <v>2.057433762832234E-2</v>
      </c>
      <c r="G2426" s="52">
        <f t="shared" si="79"/>
        <v>1.2559520255743905E-3</v>
      </c>
    </row>
    <row r="2427" spans="1:7" ht="15" customHeight="1" x14ac:dyDescent="0.2">
      <c r="A2427" s="19" t="s">
        <v>2574</v>
      </c>
      <c r="B2427" s="50">
        <v>296.11599999999999</v>
      </c>
      <c r="C2427" s="50">
        <v>4441.67</v>
      </c>
      <c r="D2427" s="51">
        <v>41952864.610783003</v>
      </c>
      <c r="E2427" s="51">
        <v>1834179903</v>
      </c>
      <c r="F2427" s="52">
        <f t="shared" si="78"/>
        <v>2.5214250328472423E-2</v>
      </c>
      <c r="G2427" s="52">
        <f t="shared" si="79"/>
        <v>8.1085771490773013E-3</v>
      </c>
    </row>
    <row r="2428" spans="1:7" ht="15" customHeight="1" x14ac:dyDescent="0.2">
      <c r="A2428" s="19" t="s">
        <v>2575</v>
      </c>
      <c r="B2428" s="50">
        <v>296.39999999999998</v>
      </c>
      <c r="C2428" s="50">
        <v>4479.53</v>
      </c>
      <c r="D2428" s="51">
        <v>23465108.254012998</v>
      </c>
      <c r="E2428" s="51">
        <v>1854558750</v>
      </c>
      <c r="F2428" s="52">
        <f t="shared" si="78"/>
        <v>9.5862397555078786E-4</v>
      </c>
      <c r="G2428" s="52">
        <f t="shared" si="79"/>
        <v>8.487698356534068E-3</v>
      </c>
    </row>
    <row r="2429" spans="1:7" ht="15" customHeight="1" x14ac:dyDescent="0.2">
      <c r="A2429" s="19" t="s">
        <v>2576</v>
      </c>
      <c r="B2429" s="50">
        <v>294.43799999999999</v>
      </c>
      <c r="C2429" s="50">
        <v>4486.2299999999996</v>
      </c>
      <c r="D2429" s="51">
        <v>18681278.446210001</v>
      </c>
      <c r="E2429" s="51">
        <v>1743330697</v>
      </c>
      <c r="F2429" s="52">
        <f t="shared" si="78"/>
        <v>-6.6414388098554548E-3</v>
      </c>
      <c r="G2429" s="52">
        <f t="shared" si="79"/>
        <v>1.4945751943348515E-3</v>
      </c>
    </row>
    <row r="2430" spans="1:7" ht="15" customHeight="1" x14ac:dyDescent="0.2">
      <c r="A2430" s="19" t="s">
        <v>2577</v>
      </c>
      <c r="B2430" s="50">
        <v>293.84100000000001</v>
      </c>
      <c r="C2430" s="50">
        <v>4496.1899999999996</v>
      </c>
      <c r="D2430" s="51">
        <v>20562464.271113999</v>
      </c>
      <c r="E2430" s="51">
        <v>1777933554</v>
      </c>
      <c r="F2430" s="52">
        <f t="shared" si="78"/>
        <v>-2.0296498938225664E-3</v>
      </c>
      <c r="G2430" s="52">
        <f t="shared" si="79"/>
        <v>2.2176660815180892E-3</v>
      </c>
    </row>
    <row r="2431" spans="1:7" ht="15" customHeight="1" x14ac:dyDescent="0.2">
      <c r="A2431" s="19" t="s">
        <v>2578</v>
      </c>
      <c r="B2431" s="50">
        <v>290.988</v>
      </c>
      <c r="C2431" s="50">
        <v>4470</v>
      </c>
      <c r="D2431" s="51">
        <v>18157412.245793998</v>
      </c>
      <c r="E2431" s="51">
        <v>1642206826</v>
      </c>
      <c r="F2431" s="52">
        <f t="shared" si="78"/>
        <v>-9.7567755104363742E-3</v>
      </c>
      <c r="G2431" s="52">
        <f t="shared" si="79"/>
        <v>-5.8419628594696153E-3</v>
      </c>
    </row>
    <row r="2432" spans="1:7" ht="15" customHeight="1" x14ac:dyDescent="0.2">
      <c r="A2432" s="19" t="s">
        <v>2579</v>
      </c>
      <c r="B2432" s="50">
        <v>291.60399999999998</v>
      </c>
      <c r="C2432" s="50">
        <v>4509.37</v>
      </c>
      <c r="D2432" s="51">
        <v>23234434.878681</v>
      </c>
      <c r="E2432" s="51">
        <v>1665809773</v>
      </c>
      <c r="F2432" s="52">
        <f t="shared" si="78"/>
        <v>2.1146882537276318E-3</v>
      </c>
      <c r="G2432" s="52">
        <f t="shared" si="79"/>
        <v>8.7690455528976891E-3</v>
      </c>
    </row>
    <row r="2433" spans="1:7" ht="15" customHeight="1" x14ac:dyDescent="0.2">
      <c r="A2433" s="19" t="s">
        <v>2580</v>
      </c>
      <c r="B2433" s="50">
        <v>295.37599999999998</v>
      </c>
      <c r="C2433" s="50">
        <v>4528.79</v>
      </c>
      <c r="D2433" s="51">
        <v>16802744.310077999</v>
      </c>
      <c r="E2433" s="51">
        <v>1564582288</v>
      </c>
      <c r="F2433" s="52">
        <f t="shared" si="78"/>
        <v>1.2852403566668632E-2</v>
      </c>
      <c r="G2433" s="52">
        <f t="shared" si="79"/>
        <v>4.2973414690568616E-3</v>
      </c>
    </row>
    <row r="2434" spans="1:7" ht="15" customHeight="1" x14ac:dyDescent="0.2">
      <c r="A2434" s="19" t="s">
        <v>2581</v>
      </c>
      <c r="B2434" s="50">
        <v>293.714</v>
      </c>
      <c r="C2434" s="50">
        <v>4522.68</v>
      </c>
      <c r="D2434" s="51">
        <v>27016385.001223002</v>
      </c>
      <c r="E2434" s="51">
        <v>2177504229</v>
      </c>
      <c r="F2434" s="52">
        <f t="shared" si="78"/>
        <v>-5.6426162715901866E-3</v>
      </c>
      <c r="G2434" s="52">
        <f t="shared" si="79"/>
        <v>-1.3500571571324227E-3</v>
      </c>
    </row>
    <row r="2435" spans="1:7" ht="15" customHeight="1" x14ac:dyDescent="0.2">
      <c r="A2435" s="19" t="s">
        <v>2582</v>
      </c>
      <c r="B2435" s="50">
        <v>293.666</v>
      </c>
      <c r="C2435" s="50">
        <v>4524.09</v>
      </c>
      <c r="D2435" s="51">
        <v>19511803.750635002</v>
      </c>
      <c r="E2435" s="51">
        <v>1943483583</v>
      </c>
      <c r="F2435" s="52">
        <f t="shared" si="78"/>
        <v>-1.6343763868998108E-4</v>
      </c>
      <c r="G2435" s="52">
        <f t="shared" si="79"/>
        <v>3.1171346489786849E-4</v>
      </c>
    </row>
    <row r="2436" spans="1:7" ht="15" customHeight="1" x14ac:dyDescent="0.2">
      <c r="A2436" s="19" t="s">
        <v>2583</v>
      </c>
      <c r="B2436" s="50">
        <v>293.00200000000001</v>
      </c>
      <c r="C2436" s="50">
        <v>4536.95</v>
      </c>
      <c r="D2436" s="51">
        <v>16743617.793375</v>
      </c>
      <c r="E2436" s="51">
        <v>1778239902</v>
      </c>
      <c r="F2436" s="52">
        <f t="shared" si="78"/>
        <v>-2.2636321855961615E-3</v>
      </c>
      <c r="G2436" s="52">
        <f t="shared" si="79"/>
        <v>2.8385281677768184E-3</v>
      </c>
    </row>
    <row r="2437" spans="1:7" ht="15" customHeight="1" x14ac:dyDescent="0.2">
      <c r="A2437" s="19" t="s">
        <v>2584</v>
      </c>
      <c r="B2437" s="50">
        <v>292.99299999999999</v>
      </c>
      <c r="C2437" s="50">
        <v>4535.43</v>
      </c>
      <c r="D2437" s="51">
        <v>15161881.345709</v>
      </c>
      <c r="E2437" s="51">
        <v>1529886805</v>
      </c>
      <c r="F2437" s="52">
        <f t="shared" si="78"/>
        <v>-3.0716985642308516E-5</v>
      </c>
      <c r="G2437" s="52">
        <f t="shared" si="79"/>
        <v>-3.3508296923669389E-4</v>
      </c>
    </row>
    <row r="2438" spans="1:7" ht="15" customHeight="1" x14ac:dyDescent="0.2">
      <c r="A2438" s="19" t="s">
        <v>2585</v>
      </c>
      <c r="B2438" s="50">
        <v>292.053</v>
      </c>
      <c r="C2438" s="50">
        <v>4520.03</v>
      </c>
      <c r="D2438" s="51">
        <v>17662006.139772002</v>
      </c>
      <c r="E2438" s="51">
        <v>1805777278</v>
      </c>
      <c r="F2438" s="52">
        <f t="shared" ref="F2438:F2501" si="80">LN(B2438/B2437)</f>
        <v>-3.2134252994733682E-3</v>
      </c>
      <c r="G2438" s="52">
        <f t="shared" ref="G2438:G2501" si="81">LN(C2438/C2437)</f>
        <v>-3.401266163481994E-3</v>
      </c>
    </row>
    <row r="2439" spans="1:7" ht="15" customHeight="1" x14ac:dyDescent="0.2">
      <c r="A2439" s="19" t="s">
        <v>2586</v>
      </c>
      <c r="B2439" s="50">
        <v>292.08199999999999</v>
      </c>
      <c r="C2439" s="50">
        <v>4514.07</v>
      </c>
      <c r="D2439" s="51">
        <v>15465300.065562</v>
      </c>
      <c r="E2439" s="51">
        <v>1783658630</v>
      </c>
      <c r="F2439" s="52">
        <f t="shared" si="80"/>
        <v>9.9292115773954386E-5</v>
      </c>
      <c r="G2439" s="52">
        <f t="shared" si="81"/>
        <v>-1.3194454045593487E-3</v>
      </c>
    </row>
    <row r="2440" spans="1:7" ht="15" customHeight="1" x14ac:dyDescent="0.2">
      <c r="A2440" s="19" t="s">
        <v>2587</v>
      </c>
      <c r="B2440" s="50">
        <v>289.21199999999999</v>
      </c>
      <c r="C2440" s="50">
        <v>4493.28</v>
      </c>
      <c r="D2440" s="51">
        <v>20481207.927073002</v>
      </c>
      <c r="E2440" s="51">
        <v>1837254326</v>
      </c>
      <c r="F2440" s="52">
        <f t="shared" si="80"/>
        <v>-9.8746015632952579E-3</v>
      </c>
      <c r="G2440" s="52">
        <f t="shared" si="81"/>
        <v>-4.6162382762889205E-3</v>
      </c>
    </row>
    <row r="2441" spans="1:7" ht="15" customHeight="1" x14ac:dyDescent="0.2">
      <c r="A2441" s="19" t="s">
        <v>2588</v>
      </c>
      <c r="B2441" s="50">
        <v>287.70800000000003</v>
      </c>
      <c r="C2441" s="50">
        <v>4458.58</v>
      </c>
      <c r="D2441" s="51">
        <v>20179404.792118002</v>
      </c>
      <c r="E2441" s="51">
        <v>1860497153</v>
      </c>
      <c r="F2441" s="52">
        <f t="shared" si="80"/>
        <v>-5.2139062856630851E-3</v>
      </c>
      <c r="G2441" s="52">
        <f t="shared" si="81"/>
        <v>-7.7526176231305427E-3</v>
      </c>
    </row>
    <row r="2442" spans="1:7" ht="15" customHeight="1" x14ac:dyDescent="0.2">
      <c r="A2442" s="19" t="s">
        <v>2589</v>
      </c>
      <c r="B2442" s="50">
        <v>288.95800000000003</v>
      </c>
      <c r="C2442" s="50">
        <v>4468.7299999999996</v>
      </c>
      <c r="D2442" s="51">
        <v>24310784.018068001</v>
      </c>
      <c r="E2442" s="51">
        <v>2060402092</v>
      </c>
      <c r="F2442" s="52">
        <f t="shared" si="80"/>
        <v>4.3352719174302775E-3</v>
      </c>
      <c r="G2442" s="52">
        <f t="shared" si="81"/>
        <v>2.273922239413449E-3</v>
      </c>
    </row>
    <row r="2443" spans="1:7" ht="15" customHeight="1" x14ac:dyDescent="0.2">
      <c r="A2443" s="19" t="s">
        <v>2590</v>
      </c>
      <c r="B2443" s="50">
        <v>291.67399999999998</v>
      </c>
      <c r="C2443" s="50">
        <v>4443.05</v>
      </c>
      <c r="D2443" s="51">
        <v>22461219.837722</v>
      </c>
      <c r="E2443" s="51">
        <v>2021922303</v>
      </c>
      <c r="F2443" s="52">
        <f t="shared" si="80"/>
        <v>9.3553913991038171E-3</v>
      </c>
      <c r="G2443" s="52">
        <f t="shared" si="81"/>
        <v>-5.7631743778016721E-3</v>
      </c>
    </row>
    <row r="2444" spans="1:7" ht="15" customHeight="1" x14ac:dyDescent="0.2">
      <c r="A2444" s="19" t="s">
        <v>2591</v>
      </c>
      <c r="B2444" s="50">
        <v>296.565</v>
      </c>
      <c r="C2444" s="50">
        <v>4480.7</v>
      </c>
      <c r="D2444" s="51">
        <v>29144948.816904999</v>
      </c>
      <c r="E2444" s="51">
        <v>2126502586</v>
      </c>
      <c r="F2444" s="52">
        <f t="shared" si="80"/>
        <v>1.6629678464382402E-2</v>
      </c>
      <c r="G2444" s="52">
        <f t="shared" si="81"/>
        <v>8.4382066732456781E-3</v>
      </c>
    </row>
    <row r="2445" spans="1:7" ht="15" customHeight="1" x14ac:dyDescent="0.2">
      <c r="A2445" s="19" t="s">
        <v>2592</v>
      </c>
      <c r="B2445" s="50">
        <v>296.95800000000003</v>
      </c>
      <c r="C2445" s="50">
        <v>4473.75</v>
      </c>
      <c r="D2445" s="51">
        <v>20094560.989601001</v>
      </c>
      <c r="E2445" s="51">
        <v>1846633558</v>
      </c>
      <c r="F2445" s="52">
        <f t="shared" si="80"/>
        <v>1.3242959664096397E-3</v>
      </c>
      <c r="G2445" s="52">
        <f t="shared" si="81"/>
        <v>-1.5523011230354105E-3</v>
      </c>
    </row>
    <row r="2446" spans="1:7" ht="15" customHeight="1" x14ac:dyDescent="0.2">
      <c r="A2446" s="19" t="s">
        <v>2593</v>
      </c>
      <c r="B2446" s="50">
        <v>291.75</v>
      </c>
      <c r="C2446" s="50">
        <v>4432.99</v>
      </c>
      <c r="D2446" s="51">
        <v>42523105.673983</v>
      </c>
      <c r="E2446" s="51">
        <v>3770722859</v>
      </c>
      <c r="F2446" s="52">
        <f t="shared" si="80"/>
        <v>-1.7693443494697703E-2</v>
      </c>
      <c r="G2446" s="52">
        <f t="shared" si="81"/>
        <v>-9.1526831464338165E-3</v>
      </c>
    </row>
    <row r="2447" spans="1:7" ht="15" customHeight="1" x14ac:dyDescent="0.2">
      <c r="A2447" s="19" t="s">
        <v>2594</v>
      </c>
      <c r="B2447" s="50">
        <v>286.33199999999999</v>
      </c>
      <c r="C2447" s="50">
        <v>4357.7299999999996</v>
      </c>
      <c r="D2447" s="51">
        <v>39343266.023166999</v>
      </c>
      <c r="E2447" s="51">
        <v>2601202238</v>
      </c>
      <c r="F2447" s="52">
        <f t="shared" si="80"/>
        <v>-1.8745294438777215E-2</v>
      </c>
      <c r="G2447" s="52">
        <f t="shared" si="81"/>
        <v>-1.7123020373769459E-2</v>
      </c>
    </row>
    <row r="2448" spans="1:7" ht="15" customHeight="1" x14ac:dyDescent="0.2">
      <c r="A2448" s="19" t="s">
        <v>2595</v>
      </c>
      <c r="B2448" s="50">
        <v>286.82</v>
      </c>
      <c r="C2448" s="50">
        <v>4354.1899999999996</v>
      </c>
      <c r="D2448" s="51">
        <v>22986092.45129</v>
      </c>
      <c r="E2448" s="51">
        <v>1926605020</v>
      </c>
      <c r="F2448" s="52">
        <f t="shared" si="80"/>
        <v>1.7028645731781155E-3</v>
      </c>
      <c r="G2448" s="52">
        <f t="shared" si="81"/>
        <v>-8.1267968365917188E-4</v>
      </c>
    </row>
    <row r="2449" spans="1:7" ht="15" customHeight="1" x14ac:dyDescent="0.2">
      <c r="A2449" s="19" t="s">
        <v>2596</v>
      </c>
      <c r="B2449" s="50">
        <v>290.50099999999998</v>
      </c>
      <c r="C2449" s="50">
        <v>4395.6400000000003</v>
      </c>
      <c r="D2449" s="51">
        <v>27366872.732503001</v>
      </c>
      <c r="E2449" s="51">
        <v>2024995238</v>
      </c>
      <c r="F2449" s="52">
        <f t="shared" si="80"/>
        <v>1.2752177325766613E-2</v>
      </c>
      <c r="G2449" s="52">
        <f t="shared" si="81"/>
        <v>9.4745406640912491E-3</v>
      </c>
    </row>
    <row r="2450" spans="1:7" ht="15" customHeight="1" x14ac:dyDescent="0.2">
      <c r="A2450" s="19" t="s">
        <v>2597</v>
      </c>
      <c r="B2450" s="50">
        <v>291.44799999999998</v>
      </c>
      <c r="C2450" s="50">
        <v>4448.9799999999996</v>
      </c>
      <c r="D2450" s="51">
        <v>19122031.096627999</v>
      </c>
      <c r="E2450" s="51">
        <v>1974708404</v>
      </c>
      <c r="F2450" s="52">
        <f t="shared" si="80"/>
        <v>3.2545836006591532E-3</v>
      </c>
      <c r="G2450" s="52">
        <f t="shared" si="81"/>
        <v>1.2061715863250257E-2</v>
      </c>
    </row>
    <row r="2451" spans="1:7" ht="15" customHeight="1" x14ac:dyDescent="0.2">
      <c r="A2451" s="19" t="s">
        <v>2598</v>
      </c>
      <c r="B2451" s="50">
        <v>291.24299999999999</v>
      </c>
      <c r="C2451" s="50">
        <v>4455.4799999999996</v>
      </c>
      <c r="D2451" s="51">
        <v>15416129.15566</v>
      </c>
      <c r="E2451" s="51">
        <v>1687771288</v>
      </c>
      <c r="F2451" s="52">
        <f t="shared" si="80"/>
        <v>-7.0363197117483025E-4</v>
      </c>
      <c r="G2451" s="52">
        <f t="shared" si="81"/>
        <v>1.4599428049598621E-3</v>
      </c>
    </row>
    <row r="2452" spans="1:7" ht="15" customHeight="1" x14ac:dyDescent="0.2">
      <c r="A2452" s="19" t="s">
        <v>2599</v>
      </c>
      <c r="B2452" s="50">
        <v>286.20299999999997</v>
      </c>
      <c r="C2452" s="50">
        <v>4443.1099999999997</v>
      </c>
      <c r="D2452" s="51">
        <v>24227318.274657998</v>
      </c>
      <c r="E2452" s="51">
        <v>2044774771</v>
      </c>
      <c r="F2452" s="52">
        <f t="shared" si="80"/>
        <v>-1.745662100861077E-2</v>
      </c>
      <c r="G2452" s="52">
        <f t="shared" si="81"/>
        <v>-2.7802175328761427E-3</v>
      </c>
    </row>
    <row r="2453" spans="1:7" ht="15" customHeight="1" x14ac:dyDescent="0.2">
      <c r="A2453" s="19" t="s">
        <v>2600</v>
      </c>
      <c r="B2453" s="50">
        <v>275.85000000000002</v>
      </c>
      <c r="C2453" s="50">
        <v>4352.63</v>
      </c>
      <c r="D2453" s="51">
        <v>44387330.928926997</v>
      </c>
      <c r="E2453" s="51">
        <v>2411082003</v>
      </c>
      <c r="F2453" s="52">
        <f t="shared" si="80"/>
        <v>-3.6844109529266408E-2</v>
      </c>
      <c r="G2453" s="52">
        <f t="shared" si="81"/>
        <v>-2.0574321587474437E-2</v>
      </c>
    </row>
    <row r="2454" spans="1:7" ht="15" customHeight="1" x14ac:dyDescent="0.2">
      <c r="A2454" s="19" t="s">
        <v>2601</v>
      </c>
      <c r="B2454" s="50">
        <v>276.31900000000002</v>
      </c>
      <c r="C2454" s="50">
        <v>4359.46</v>
      </c>
      <c r="D2454" s="51">
        <v>27086643.491675999</v>
      </c>
      <c r="E2454" s="51">
        <v>1899919741</v>
      </c>
      <c r="F2454" s="52">
        <f t="shared" si="80"/>
        <v>1.6987556809077017E-3</v>
      </c>
      <c r="G2454" s="52">
        <f t="shared" si="81"/>
        <v>1.5679363733049781E-3</v>
      </c>
    </row>
    <row r="2455" spans="1:7" ht="15" customHeight="1" x14ac:dyDescent="0.2">
      <c r="A2455" s="19" t="s">
        <v>2602</v>
      </c>
      <c r="B2455" s="50">
        <v>274.29599999999999</v>
      </c>
      <c r="C2455" s="50">
        <v>4307.54</v>
      </c>
      <c r="D2455" s="51">
        <v>33243174.766479999</v>
      </c>
      <c r="E2455" s="51">
        <v>2292980186</v>
      </c>
      <c r="F2455" s="52">
        <f t="shared" si="80"/>
        <v>-7.3481801359410338E-3</v>
      </c>
      <c r="G2455" s="52">
        <f t="shared" si="81"/>
        <v>-1.1981220973814677E-2</v>
      </c>
    </row>
    <row r="2456" spans="1:7" ht="15" customHeight="1" x14ac:dyDescent="0.2">
      <c r="A2456" s="19" t="s">
        <v>2603</v>
      </c>
      <c r="B2456" s="50">
        <v>281.27100000000002</v>
      </c>
      <c r="C2456" s="50">
        <v>4357.04</v>
      </c>
      <c r="D2456" s="51">
        <v>30923038.210942999</v>
      </c>
      <c r="E2456" s="51">
        <v>2202907200</v>
      </c>
      <c r="F2456" s="52">
        <f t="shared" si="80"/>
        <v>2.5110802134473247E-2</v>
      </c>
      <c r="G2456" s="52">
        <f t="shared" si="81"/>
        <v>1.1425952216359555E-2</v>
      </c>
    </row>
    <row r="2457" spans="1:7" ht="15" customHeight="1" x14ac:dyDescent="0.2">
      <c r="A2457" s="19" t="s">
        <v>2604</v>
      </c>
      <c r="B2457" s="50">
        <v>275.45100000000002</v>
      </c>
      <c r="C2457" s="50">
        <v>4300.46</v>
      </c>
      <c r="D2457" s="51">
        <v>32222672.854554001</v>
      </c>
      <c r="E2457" s="51">
        <v>2352030389</v>
      </c>
      <c r="F2457" s="52">
        <f t="shared" si="80"/>
        <v>-2.0908863062799897E-2</v>
      </c>
      <c r="G2457" s="52">
        <f t="shared" si="81"/>
        <v>-1.3070933999937525E-2</v>
      </c>
    </row>
    <row r="2458" spans="1:7" ht="15" customHeight="1" x14ac:dyDescent="0.2">
      <c r="A2458" s="19" t="s">
        <v>2605</v>
      </c>
      <c r="B2458" s="50">
        <v>280.95100000000002</v>
      </c>
      <c r="C2458" s="50">
        <v>4345.72</v>
      </c>
      <c r="D2458" s="51">
        <v>25688129.523782998</v>
      </c>
      <c r="E2458" s="51">
        <v>2026525955</v>
      </c>
      <c r="F2458" s="52">
        <f t="shared" si="80"/>
        <v>1.9770522568990721E-2</v>
      </c>
      <c r="G2458" s="52">
        <f t="shared" si="81"/>
        <v>1.0469458977261837E-2</v>
      </c>
    </row>
    <row r="2459" spans="1:7" ht="15" customHeight="1" x14ac:dyDescent="0.2">
      <c r="A2459" s="19" t="s">
        <v>2606</v>
      </c>
      <c r="B2459" s="50">
        <v>285.178</v>
      </c>
      <c r="C2459" s="50">
        <v>4363.55</v>
      </c>
      <c r="D2459" s="51">
        <v>28781365.428838</v>
      </c>
      <c r="E2459" s="51">
        <v>2062682920</v>
      </c>
      <c r="F2459" s="52">
        <f t="shared" si="80"/>
        <v>1.4933269810786146E-2</v>
      </c>
      <c r="G2459" s="52">
        <f t="shared" si="81"/>
        <v>4.0944935476352412E-3</v>
      </c>
    </row>
    <row r="2460" spans="1:7" ht="15" customHeight="1" x14ac:dyDescent="0.2">
      <c r="A2460" s="19" t="s">
        <v>2607</v>
      </c>
      <c r="B2460" s="50">
        <v>286.86900000000003</v>
      </c>
      <c r="C2460" s="50">
        <v>4399.76</v>
      </c>
      <c r="D2460" s="51">
        <v>20998682.431350999</v>
      </c>
      <c r="E2460" s="51">
        <v>1942954035</v>
      </c>
      <c r="F2460" s="52">
        <f t="shared" si="80"/>
        <v>5.9121188485507861E-3</v>
      </c>
      <c r="G2460" s="52">
        <f t="shared" si="81"/>
        <v>8.2640477350165494E-3</v>
      </c>
    </row>
    <row r="2461" spans="1:7" ht="15" customHeight="1" x14ac:dyDescent="0.2">
      <c r="A2461" s="19" t="s">
        <v>2608</v>
      </c>
      <c r="B2461" s="50">
        <v>286.86900000000003</v>
      </c>
      <c r="C2461" s="50">
        <v>4391.34</v>
      </c>
      <c r="D2461" s="51">
        <v>18177574.294822</v>
      </c>
      <c r="E2461" s="51">
        <v>1683911086</v>
      </c>
      <c r="F2461" s="52">
        <f t="shared" si="80"/>
        <v>0</v>
      </c>
      <c r="G2461" s="52">
        <f t="shared" si="81"/>
        <v>-1.9155742909790841E-3</v>
      </c>
    </row>
    <row r="2462" spans="1:7" ht="15" customHeight="1" x14ac:dyDescent="0.2">
      <c r="A2462" s="19" t="s">
        <v>2609</v>
      </c>
      <c r="B2462" s="50">
        <v>286.26299999999998</v>
      </c>
      <c r="C2462" s="50">
        <v>4361.1899999999996</v>
      </c>
      <c r="D2462" s="51">
        <v>19835367.114606999</v>
      </c>
      <c r="E2462" s="51">
        <v>1684626168</v>
      </c>
      <c r="F2462" s="52">
        <f t="shared" si="80"/>
        <v>-2.114696879019697E-3</v>
      </c>
      <c r="G2462" s="52">
        <f t="shared" si="81"/>
        <v>-6.8894637904681668E-3</v>
      </c>
    </row>
    <row r="2463" spans="1:7" ht="15" customHeight="1" x14ac:dyDescent="0.2">
      <c r="A2463" s="19" t="s">
        <v>2610</v>
      </c>
      <c r="B2463" s="50">
        <v>284.96199999999999</v>
      </c>
      <c r="C2463" s="50">
        <v>4350.6499999999996</v>
      </c>
      <c r="D2463" s="51">
        <v>18474039.242419999</v>
      </c>
      <c r="E2463" s="51">
        <v>1951341517</v>
      </c>
      <c r="F2463" s="52">
        <f t="shared" si="80"/>
        <v>-4.5551306387498752E-3</v>
      </c>
      <c r="G2463" s="52">
        <f t="shared" si="81"/>
        <v>-2.4196966754627294E-3</v>
      </c>
    </row>
    <row r="2464" spans="1:7" ht="15" customHeight="1" x14ac:dyDescent="0.2">
      <c r="A2464" s="19" t="s">
        <v>2611</v>
      </c>
      <c r="B2464" s="50">
        <v>288.29199999999997</v>
      </c>
      <c r="C2464" s="50">
        <v>4363.8</v>
      </c>
      <c r="D2464" s="51">
        <v>24075492.199473001</v>
      </c>
      <c r="E2464" s="51">
        <v>1928089452</v>
      </c>
      <c r="F2464" s="52">
        <f t="shared" si="80"/>
        <v>1.1618017341009295E-2</v>
      </c>
      <c r="G2464" s="52">
        <f t="shared" si="81"/>
        <v>3.0179781813102643E-3</v>
      </c>
    </row>
    <row r="2465" spans="1:7" ht="15" customHeight="1" x14ac:dyDescent="0.2">
      <c r="A2465" s="19" t="s">
        <v>2612</v>
      </c>
      <c r="B2465" s="50">
        <v>294.56400000000002</v>
      </c>
      <c r="C2465" s="50">
        <v>4438.26</v>
      </c>
      <c r="D2465" s="51">
        <v>28021137.519954</v>
      </c>
      <c r="E2465" s="51">
        <v>1941352446</v>
      </c>
      <c r="F2465" s="52">
        <f t="shared" si="80"/>
        <v>2.1522441582236221E-2</v>
      </c>
      <c r="G2465" s="52">
        <f t="shared" si="81"/>
        <v>1.6919170336133042E-2</v>
      </c>
    </row>
    <row r="2466" spans="1:7" ht="15" customHeight="1" x14ac:dyDescent="0.2">
      <c r="A2466" s="19" t="s">
        <v>2613</v>
      </c>
      <c r="B2466" s="50">
        <v>295.97000000000003</v>
      </c>
      <c r="C2466" s="50">
        <v>4471.37</v>
      </c>
      <c r="D2466" s="51">
        <v>26090804.332965001</v>
      </c>
      <c r="E2466" s="51">
        <v>2048713822</v>
      </c>
      <c r="F2466" s="52">
        <f t="shared" si="80"/>
        <v>4.7618008674305068E-3</v>
      </c>
      <c r="G2466" s="52">
        <f t="shared" si="81"/>
        <v>7.4324416209213713E-3</v>
      </c>
    </row>
    <row r="2467" spans="1:7" ht="15" customHeight="1" x14ac:dyDescent="0.2">
      <c r="A2467" s="19" t="s">
        <v>2614</v>
      </c>
      <c r="B2467" s="50">
        <v>298.98099999999999</v>
      </c>
      <c r="C2467" s="50">
        <v>4486.46</v>
      </c>
      <c r="D2467" s="51">
        <v>23361442.580304999</v>
      </c>
      <c r="E2467" s="51">
        <v>1871645425</v>
      </c>
      <c r="F2467" s="52">
        <f t="shared" si="80"/>
        <v>1.0121928384792244E-2</v>
      </c>
      <c r="G2467" s="52">
        <f t="shared" si="81"/>
        <v>3.3691227169670899E-3</v>
      </c>
    </row>
    <row r="2468" spans="1:7" ht="15" customHeight="1" x14ac:dyDescent="0.2">
      <c r="A2468" s="19" t="s">
        <v>2615</v>
      </c>
      <c r="B2468" s="50">
        <v>299.89699999999999</v>
      </c>
      <c r="C2468" s="50">
        <v>4519.63</v>
      </c>
      <c r="D2468" s="51">
        <v>18173914.145263001</v>
      </c>
      <c r="E2468" s="51">
        <v>1701720108</v>
      </c>
      <c r="F2468" s="52">
        <f t="shared" si="80"/>
        <v>3.0590561493787911E-3</v>
      </c>
      <c r="G2468" s="52">
        <f t="shared" si="81"/>
        <v>7.366160006043284E-3</v>
      </c>
    </row>
    <row r="2469" spans="1:7" ht="15" customHeight="1" x14ac:dyDescent="0.2">
      <c r="A2469" s="19" t="s">
        <v>2616</v>
      </c>
      <c r="B2469" s="50">
        <v>299.09500000000003</v>
      </c>
      <c r="C2469" s="50">
        <v>4536.1899999999996</v>
      </c>
      <c r="D2469" s="51">
        <v>16996997.405611001</v>
      </c>
      <c r="E2469" s="51">
        <v>1842279378</v>
      </c>
      <c r="F2469" s="52">
        <f t="shared" si="80"/>
        <v>-2.6778336914280126E-3</v>
      </c>
      <c r="G2469" s="52">
        <f t="shared" si="81"/>
        <v>3.6573205869523144E-3</v>
      </c>
    </row>
    <row r="2470" spans="1:7" ht="15" customHeight="1" x14ac:dyDescent="0.2">
      <c r="A2470" s="19" t="s">
        <v>2617</v>
      </c>
      <c r="B2470" s="50">
        <v>302.35000000000002</v>
      </c>
      <c r="C2470" s="50">
        <v>4549.78</v>
      </c>
      <c r="D2470" s="51">
        <v>17388626.241758</v>
      </c>
      <c r="E2470" s="51">
        <v>1903670277</v>
      </c>
      <c r="F2470" s="52">
        <f t="shared" si="80"/>
        <v>1.0824038040165216E-2</v>
      </c>
      <c r="G2470" s="52">
        <f t="shared" si="81"/>
        <v>2.9914274720985803E-3</v>
      </c>
    </row>
    <row r="2471" spans="1:7" ht="15" customHeight="1" x14ac:dyDescent="0.2">
      <c r="A2471" s="19" t="s">
        <v>2618</v>
      </c>
      <c r="B2471" s="50">
        <v>300.79500000000002</v>
      </c>
      <c r="C2471" s="50">
        <v>4544.8999999999996</v>
      </c>
      <c r="D2471" s="51">
        <v>17934632.507693</v>
      </c>
      <c r="E2471" s="51">
        <v>1820296105</v>
      </c>
      <c r="F2471" s="52">
        <f t="shared" si="80"/>
        <v>-5.1563171221153791E-3</v>
      </c>
      <c r="G2471" s="52">
        <f t="shared" si="81"/>
        <v>-1.0731549583585973E-3</v>
      </c>
    </row>
    <row r="2472" spans="1:7" ht="15" customHeight="1" x14ac:dyDescent="0.2">
      <c r="A2472" s="19" t="s">
        <v>2619</v>
      </c>
      <c r="B2472" s="50">
        <v>299.79899999999998</v>
      </c>
      <c r="C2472" s="50">
        <v>4566.4799999999996</v>
      </c>
      <c r="D2472" s="51">
        <v>18042693.432325002</v>
      </c>
      <c r="E2472" s="51">
        <v>1849843381</v>
      </c>
      <c r="F2472" s="52">
        <f t="shared" si="80"/>
        <v>-3.3167194912104101E-3</v>
      </c>
      <c r="G2472" s="52">
        <f t="shared" si="81"/>
        <v>4.7369422309476855E-3</v>
      </c>
    </row>
    <row r="2473" spans="1:7" ht="15" customHeight="1" x14ac:dyDescent="0.2">
      <c r="A2473" s="19" t="s">
        <v>2620</v>
      </c>
      <c r="B2473" s="50">
        <v>301.714</v>
      </c>
      <c r="C2473" s="50">
        <v>4574.79</v>
      </c>
      <c r="D2473" s="51">
        <v>28889069.040968999</v>
      </c>
      <c r="E2473" s="51">
        <v>2018287292</v>
      </c>
      <c r="F2473" s="52">
        <f t="shared" si="80"/>
        <v>6.3672986947972809E-3</v>
      </c>
      <c r="G2473" s="52">
        <f t="shared" si="81"/>
        <v>1.818128616510003E-3</v>
      </c>
    </row>
    <row r="2474" spans="1:7" ht="15" customHeight="1" x14ac:dyDescent="0.2">
      <c r="A2474" s="19" t="s">
        <v>2621</v>
      </c>
      <c r="B2474" s="50">
        <v>314.42200000000003</v>
      </c>
      <c r="C2474" s="50">
        <v>4551.68</v>
      </c>
      <c r="D2474" s="51">
        <v>54051284.728216998</v>
      </c>
      <c r="E2474" s="51">
        <v>2255666226</v>
      </c>
      <c r="F2474" s="52">
        <f t="shared" si="80"/>
        <v>4.1256483860960591E-2</v>
      </c>
      <c r="G2474" s="52">
        <f t="shared" si="81"/>
        <v>-5.0644004514438486E-3</v>
      </c>
    </row>
    <row r="2475" spans="1:7" ht="15" customHeight="1" x14ac:dyDescent="0.2">
      <c r="A2475" s="19" t="s">
        <v>2622</v>
      </c>
      <c r="B2475" s="50">
        <v>315.57400000000001</v>
      </c>
      <c r="C2475" s="50">
        <v>4596.42</v>
      </c>
      <c r="D2475" s="51">
        <v>27029340.394935999</v>
      </c>
      <c r="E2475" s="51">
        <v>2180879850</v>
      </c>
      <c r="F2475" s="52">
        <f t="shared" si="80"/>
        <v>3.6571701534278377E-3</v>
      </c>
      <c r="G2475" s="52">
        <f t="shared" si="81"/>
        <v>9.7813440400895506E-3</v>
      </c>
    </row>
    <row r="2476" spans="1:7" ht="15" customHeight="1" x14ac:dyDescent="0.2">
      <c r="A2476" s="19" t="s">
        <v>2623</v>
      </c>
      <c r="B2476" s="50">
        <v>322.64400000000001</v>
      </c>
      <c r="C2476" s="50">
        <v>4605.38</v>
      </c>
      <c r="D2476" s="51">
        <v>35732891.426159002</v>
      </c>
      <c r="E2476" s="51">
        <v>2350301616</v>
      </c>
      <c r="F2476" s="52">
        <f t="shared" si="80"/>
        <v>2.2156345391999576E-2</v>
      </c>
      <c r="G2476" s="52">
        <f t="shared" si="81"/>
        <v>1.9474456805769699E-3</v>
      </c>
    </row>
    <row r="2477" spans="1:7" ht="15" customHeight="1" x14ac:dyDescent="0.2">
      <c r="A2477" s="19" t="s">
        <v>2624</v>
      </c>
      <c r="B2477" s="50">
        <v>320.45800000000003</v>
      </c>
      <c r="C2477" s="50">
        <v>4613.67</v>
      </c>
      <c r="D2477" s="51">
        <v>27826140.108690999</v>
      </c>
      <c r="E2477" s="51">
        <v>2033758725</v>
      </c>
      <c r="F2477" s="52">
        <f t="shared" si="80"/>
        <v>-6.7983256753441764E-3</v>
      </c>
      <c r="G2477" s="52">
        <f t="shared" si="81"/>
        <v>1.7984504334932693E-3</v>
      </c>
    </row>
    <row r="2478" spans="1:7" ht="15" customHeight="1" x14ac:dyDescent="0.2">
      <c r="A2478" s="19" t="s">
        <v>2625</v>
      </c>
      <c r="B2478" s="50">
        <v>324.11</v>
      </c>
      <c r="C2478" s="50">
        <v>4630.6499999999996</v>
      </c>
      <c r="D2478" s="51">
        <v>27223767.539540999</v>
      </c>
      <c r="E2478" s="51">
        <v>2156232672</v>
      </c>
      <c r="F2478" s="52">
        <f t="shared" si="80"/>
        <v>1.1331741814251952E-2</v>
      </c>
      <c r="G2478" s="52">
        <f t="shared" si="81"/>
        <v>3.673611276116367E-3</v>
      </c>
    </row>
    <row r="2479" spans="1:7" ht="15" customHeight="1" x14ac:dyDescent="0.2">
      <c r="A2479" s="19" t="s">
        <v>2626</v>
      </c>
      <c r="B2479" s="50">
        <v>324.96100000000001</v>
      </c>
      <c r="C2479" s="50">
        <v>4660.57</v>
      </c>
      <c r="D2479" s="51">
        <v>22098040.857788999</v>
      </c>
      <c r="E2479" s="51">
        <v>2155080069</v>
      </c>
      <c r="F2479" s="52">
        <f t="shared" si="80"/>
        <v>2.6222107831723237E-3</v>
      </c>
      <c r="G2479" s="52">
        <f t="shared" si="81"/>
        <v>6.4405112404735685E-3</v>
      </c>
    </row>
    <row r="2480" spans="1:7" ht="15" customHeight="1" x14ac:dyDescent="0.2">
      <c r="A2480" s="19" t="s">
        <v>2627</v>
      </c>
      <c r="B2480" s="50">
        <v>327.34300000000002</v>
      </c>
      <c r="C2480" s="50">
        <v>4680.0600000000004</v>
      </c>
      <c r="D2480" s="51">
        <v>24659471.877200998</v>
      </c>
      <c r="E2480" s="51">
        <v>2514981463</v>
      </c>
      <c r="F2480" s="52">
        <f t="shared" si="80"/>
        <v>7.3033756893747994E-3</v>
      </c>
      <c r="G2480" s="52">
        <f t="shared" si="81"/>
        <v>4.1731721062601788E-3</v>
      </c>
    </row>
    <row r="2481" spans="1:7" ht="15" customHeight="1" x14ac:dyDescent="0.2">
      <c r="A2481" s="19" t="s">
        <v>2628</v>
      </c>
      <c r="B2481" s="50">
        <v>326.97199999999998</v>
      </c>
      <c r="C2481" s="50">
        <v>4697.53</v>
      </c>
      <c r="D2481" s="51">
        <v>23197817.001993999</v>
      </c>
      <c r="E2481" s="51">
        <v>2604934263</v>
      </c>
      <c r="F2481" s="52">
        <f t="shared" si="80"/>
        <v>-1.1340104987910367E-3</v>
      </c>
      <c r="G2481" s="52">
        <f t="shared" si="81"/>
        <v>3.7259083006282606E-3</v>
      </c>
    </row>
    <row r="2482" spans="1:7" ht="15" customHeight="1" x14ac:dyDescent="0.2">
      <c r="A2482" s="19" t="s">
        <v>2629</v>
      </c>
      <c r="B2482" s="50">
        <v>327.87099999999998</v>
      </c>
      <c r="C2482" s="50">
        <v>4701.7</v>
      </c>
      <c r="D2482" s="51">
        <v>21478187.619105</v>
      </c>
      <c r="E2482" s="51">
        <v>2208829524</v>
      </c>
      <c r="F2482" s="52">
        <f t="shared" si="80"/>
        <v>2.7456980216203864E-3</v>
      </c>
      <c r="G2482" s="52">
        <f t="shared" si="81"/>
        <v>8.8730678440489285E-4</v>
      </c>
    </row>
    <row r="2483" spans="1:7" ht="15" customHeight="1" x14ac:dyDescent="0.2">
      <c r="A2483" s="19" t="s">
        <v>2630</v>
      </c>
      <c r="B2483" s="50">
        <v>326.86500000000001</v>
      </c>
      <c r="C2483" s="50">
        <v>4685.25</v>
      </c>
      <c r="D2483" s="51">
        <v>21899969.944713999</v>
      </c>
      <c r="E2483" s="51">
        <v>2077878164</v>
      </c>
      <c r="F2483" s="52">
        <f t="shared" si="80"/>
        <v>-3.0729967243711062E-3</v>
      </c>
      <c r="G2483" s="52">
        <f t="shared" si="81"/>
        <v>-3.504869385575243E-3</v>
      </c>
    </row>
    <row r="2484" spans="1:7" ht="15" customHeight="1" x14ac:dyDescent="0.2">
      <c r="A2484" s="19" t="s">
        <v>2631</v>
      </c>
      <c r="B2484" s="50">
        <v>321.85399999999998</v>
      </c>
      <c r="C2484" s="50">
        <v>4646.71</v>
      </c>
      <c r="D2484" s="51">
        <v>26210169.232783001</v>
      </c>
      <c r="E2484" s="51">
        <v>2141600225</v>
      </c>
      <c r="F2484" s="52">
        <f t="shared" si="80"/>
        <v>-1.5449215045839331E-2</v>
      </c>
      <c r="G2484" s="52">
        <f t="shared" si="81"/>
        <v>-8.259833757375561E-3</v>
      </c>
    </row>
    <row r="2485" spans="1:7" ht="15" customHeight="1" x14ac:dyDescent="0.2">
      <c r="A2485" s="19" t="s">
        <v>2632</v>
      </c>
      <c r="B2485" s="50">
        <v>323.43900000000002</v>
      </c>
      <c r="C2485" s="50">
        <v>4649.2700000000004</v>
      </c>
      <c r="D2485" s="51">
        <v>17318471.156927999</v>
      </c>
      <c r="E2485" s="51">
        <v>1745650301</v>
      </c>
      <c r="F2485" s="52">
        <f t="shared" si="80"/>
        <v>4.9125069930387394E-3</v>
      </c>
      <c r="G2485" s="52">
        <f t="shared" si="81"/>
        <v>5.5077572557522153E-4</v>
      </c>
    </row>
    <row r="2486" spans="1:7" ht="15" customHeight="1" x14ac:dyDescent="0.2">
      <c r="A2486" s="19" t="s">
        <v>2633</v>
      </c>
      <c r="B2486" s="50">
        <v>327.61700000000002</v>
      </c>
      <c r="C2486" s="50">
        <v>4682.8500000000004</v>
      </c>
      <c r="D2486" s="51">
        <v>24493837.56786</v>
      </c>
      <c r="E2486" s="51">
        <v>1878873391</v>
      </c>
      <c r="F2486" s="52">
        <f t="shared" si="80"/>
        <v>1.2834709620241119E-2</v>
      </c>
      <c r="G2486" s="52">
        <f t="shared" si="81"/>
        <v>7.196680911038463E-3</v>
      </c>
    </row>
    <row r="2487" spans="1:7" ht="15" customHeight="1" x14ac:dyDescent="0.2">
      <c r="A2487" s="19" t="s">
        <v>2634</v>
      </c>
      <c r="B2487" s="50">
        <v>326.98200000000003</v>
      </c>
      <c r="C2487" s="50">
        <v>4682.8</v>
      </c>
      <c r="D2487" s="51">
        <v>17188108.403524</v>
      </c>
      <c r="E2487" s="51">
        <v>1821708114</v>
      </c>
      <c r="F2487" s="52">
        <f t="shared" si="80"/>
        <v>-1.9401196738208337E-3</v>
      </c>
      <c r="G2487" s="52">
        <f t="shared" si="81"/>
        <v>-1.0677315509449458E-5</v>
      </c>
    </row>
    <row r="2488" spans="1:7" ht="15" customHeight="1" x14ac:dyDescent="0.2">
      <c r="A2488" s="19" t="s">
        <v>2635</v>
      </c>
      <c r="B2488" s="50">
        <v>330.322</v>
      </c>
      <c r="C2488" s="50">
        <v>4700.8999999999996</v>
      </c>
      <c r="D2488" s="51">
        <v>21467736.484363001</v>
      </c>
      <c r="E2488" s="51">
        <v>1969710437</v>
      </c>
      <c r="F2488" s="52">
        <f t="shared" si="80"/>
        <v>1.0162812783693411E-2</v>
      </c>
      <c r="G2488" s="52">
        <f t="shared" si="81"/>
        <v>3.8577581225869607E-3</v>
      </c>
    </row>
    <row r="2489" spans="1:7" ht="15" customHeight="1" x14ac:dyDescent="0.2">
      <c r="A2489" s="19" t="s">
        <v>2636</v>
      </c>
      <c r="B2489" s="50">
        <v>330.548</v>
      </c>
      <c r="C2489" s="50">
        <v>4688.67</v>
      </c>
      <c r="D2489" s="51">
        <v>19547529.881790001</v>
      </c>
      <c r="E2489" s="51">
        <v>2073793765</v>
      </c>
      <c r="F2489" s="52">
        <f t="shared" si="80"/>
        <v>6.8394694511748476E-4</v>
      </c>
      <c r="G2489" s="52">
        <f t="shared" si="81"/>
        <v>-2.6050195943357248E-3</v>
      </c>
    </row>
    <row r="2490" spans="1:7" ht="15" customHeight="1" x14ac:dyDescent="0.2">
      <c r="A2490" s="19" t="s">
        <v>2637</v>
      </c>
      <c r="B2490" s="50">
        <v>332.64600000000002</v>
      </c>
      <c r="C2490" s="50">
        <v>4704.54</v>
      </c>
      <c r="D2490" s="51">
        <v>23046125.046976</v>
      </c>
      <c r="E2490" s="51">
        <v>2229419489</v>
      </c>
      <c r="F2490" s="52">
        <f t="shared" si="80"/>
        <v>6.3269782256411382E-3</v>
      </c>
      <c r="G2490" s="52">
        <f t="shared" si="81"/>
        <v>3.379039774514253E-3</v>
      </c>
    </row>
    <row r="2491" spans="1:7" ht="15" customHeight="1" x14ac:dyDescent="0.2">
      <c r="A2491" s="19" t="s">
        <v>2638</v>
      </c>
      <c r="B2491" s="50">
        <v>334.43299999999999</v>
      </c>
      <c r="C2491" s="50">
        <v>4697.96</v>
      </c>
      <c r="D2491" s="51">
        <v>22533024.293444999</v>
      </c>
      <c r="E2491" s="51">
        <v>2452147236</v>
      </c>
      <c r="F2491" s="52">
        <f t="shared" si="80"/>
        <v>5.3576990870401308E-3</v>
      </c>
      <c r="G2491" s="52">
        <f t="shared" si="81"/>
        <v>-1.3996279870592404E-3</v>
      </c>
    </row>
    <row r="2492" spans="1:7" ht="15" customHeight="1" x14ac:dyDescent="0.2">
      <c r="A2492" s="19" t="s">
        <v>2639</v>
      </c>
      <c r="B2492" s="50">
        <v>331.24</v>
      </c>
      <c r="C2492" s="50">
        <v>4682.9399999999996</v>
      </c>
      <c r="D2492" s="51">
        <v>31835905.106548999</v>
      </c>
      <c r="E2492" s="51">
        <v>2465454579</v>
      </c>
      <c r="F2492" s="52">
        <f t="shared" si="80"/>
        <v>-9.5933723866070651E-3</v>
      </c>
      <c r="G2492" s="52">
        <f t="shared" si="81"/>
        <v>-3.2022541195681504E-3</v>
      </c>
    </row>
    <row r="2493" spans="1:7" ht="15" customHeight="1" x14ac:dyDescent="0.2">
      <c r="A2493" s="19" t="s">
        <v>2640</v>
      </c>
      <c r="B2493" s="50">
        <v>329.14100000000002</v>
      </c>
      <c r="C2493" s="50">
        <v>4690.7</v>
      </c>
      <c r="D2493" s="51">
        <v>31216701.992332</v>
      </c>
      <c r="E2493" s="51">
        <v>2230377284</v>
      </c>
      <c r="F2493" s="52">
        <f t="shared" si="80"/>
        <v>-6.356957782059993E-3</v>
      </c>
      <c r="G2493" s="52">
        <f t="shared" si="81"/>
        <v>1.655707232782677E-3</v>
      </c>
    </row>
    <row r="2494" spans="1:7" ht="15" customHeight="1" x14ac:dyDescent="0.2">
      <c r="A2494" s="19" t="s">
        <v>2641</v>
      </c>
      <c r="B2494" s="50">
        <v>329.36599999999999</v>
      </c>
      <c r="C2494" s="50">
        <v>4701.46</v>
      </c>
      <c r="D2494" s="51">
        <v>22223093.066923</v>
      </c>
      <c r="E2494" s="51">
        <v>1849716721</v>
      </c>
      <c r="F2494" s="52">
        <f t="shared" si="80"/>
        <v>6.8336406068869159E-4</v>
      </c>
      <c r="G2494" s="52">
        <f t="shared" si="81"/>
        <v>2.2912737234973743E-3</v>
      </c>
    </row>
    <row r="2495" spans="1:7" ht="15" customHeight="1" x14ac:dyDescent="0.2">
      <c r="A2495" s="19" t="s">
        <v>2642</v>
      </c>
      <c r="B2495" s="50">
        <v>321.34699999999998</v>
      </c>
      <c r="C2495" s="50">
        <v>4594.62</v>
      </c>
      <c r="D2495" s="51">
        <v>24845316.355018999</v>
      </c>
      <c r="E2495" s="51">
        <v>2132760977</v>
      </c>
      <c r="F2495" s="52">
        <f t="shared" si="80"/>
        <v>-2.4648058285782655E-2</v>
      </c>
      <c r="G2495" s="52">
        <f t="shared" si="81"/>
        <v>-2.2987044973283768E-2</v>
      </c>
    </row>
    <row r="2496" spans="1:7" ht="15" customHeight="1" x14ac:dyDescent="0.2">
      <c r="A2496" s="19" t="s">
        <v>2643</v>
      </c>
      <c r="B2496" s="50">
        <v>328.12400000000002</v>
      </c>
      <c r="C2496" s="50">
        <v>4655.2700000000004</v>
      </c>
      <c r="D2496" s="51">
        <v>29304275.383188002</v>
      </c>
      <c r="E2496" s="51">
        <v>2505188610</v>
      </c>
      <c r="F2496" s="52">
        <f t="shared" si="80"/>
        <v>2.087004956385129E-2</v>
      </c>
      <c r="G2496" s="52">
        <f t="shared" si="81"/>
        <v>1.3113857392683798E-2</v>
      </c>
    </row>
    <row r="2497" spans="1:7" ht="15" customHeight="1" x14ac:dyDescent="0.2">
      <c r="A2497" s="19" t="s">
        <v>2644</v>
      </c>
      <c r="B2497" s="50">
        <v>322.23500000000001</v>
      </c>
      <c r="C2497" s="50">
        <v>4567</v>
      </c>
      <c r="D2497" s="51">
        <v>43997848.015431002</v>
      </c>
      <c r="E2497" s="51">
        <v>4064157980</v>
      </c>
      <c r="F2497" s="52">
        <f t="shared" si="80"/>
        <v>-1.8110492697682366E-2</v>
      </c>
      <c r="G2497" s="52">
        <f t="shared" si="81"/>
        <v>-1.9143376992336782E-2</v>
      </c>
    </row>
    <row r="2498" spans="1:7" ht="15" customHeight="1" x14ac:dyDescent="0.2">
      <c r="A2498" s="19" t="s">
        <v>2645</v>
      </c>
      <c r="B2498" s="50">
        <v>321.73599999999999</v>
      </c>
      <c r="C2498" s="50">
        <v>4513.04</v>
      </c>
      <c r="D2498" s="51">
        <v>34267405.423777997</v>
      </c>
      <c r="E2498" s="51">
        <v>3055980587</v>
      </c>
      <c r="F2498" s="52">
        <f t="shared" si="80"/>
        <v>-1.5497595384667438E-3</v>
      </c>
      <c r="G2498" s="52">
        <f t="shared" si="81"/>
        <v>-1.1885550113429818E-2</v>
      </c>
    </row>
    <row r="2499" spans="1:7" ht="15" customHeight="1" x14ac:dyDescent="0.2">
      <c r="A2499" s="19" t="s">
        <v>2646</v>
      </c>
      <c r="B2499" s="50">
        <v>321.161</v>
      </c>
      <c r="C2499" s="50">
        <v>4577.1000000000004</v>
      </c>
      <c r="D2499" s="51">
        <v>31563896.100917</v>
      </c>
      <c r="E2499" s="51">
        <v>2801558306</v>
      </c>
      <c r="F2499" s="52">
        <f t="shared" si="80"/>
        <v>-1.7887784616207199E-3</v>
      </c>
      <c r="G2499" s="52">
        <f t="shared" si="81"/>
        <v>1.4094625715697029E-2</v>
      </c>
    </row>
    <row r="2500" spans="1:7" ht="15" customHeight="1" x14ac:dyDescent="0.2">
      <c r="A2500" s="19" t="s">
        <v>2647</v>
      </c>
      <c r="B2500" s="50">
        <v>314.84100000000001</v>
      </c>
      <c r="C2500" s="50">
        <v>4538.43</v>
      </c>
      <c r="D2500" s="51">
        <v>42862824.886921003</v>
      </c>
      <c r="E2500" s="51">
        <v>2714009311</v>
      </c>
      <c r="F2500" s="52">
        <f t="shared" si="80"/>
        <v>-1.9874805538730573E-2</v>
      </c>
      <c r="G2500" s="52">
        <f t="shared" si="81"/>
        <v>-8.4844725376341974E-3</v>
      </c>
    </row>
    <row r="2501" spans="1:7" ht="15" customHeight="1" x14ac:dyDescent="0.2">
      <c r="A2501" s="19" t="s">
        <v>2648</v>
      </c>
      <c r="B2501" s="50">
        <v>317.94799999999998</v>
      </c>
      <c r="C2501" s="50">
        <v>4591.67</v>
      </c>
      <c r="D2501" s="51">
        <v>30811450.233098</v>
      </c>
      <c r="E2501" s="51">
        <v>2591430683</v>
      </c>
      <c r="F2501" s="52">
        <f t="shared" si="80"/>
        <v>9.8200979107200652E-3</v>
      </c>
      <c r="G2501" s="52">
        <f t="shared" si="81"/>
        <v>1.1662655055923081E-2</v>
      </c>
    </row>
    <row r="2502" spans="1:7" ht="15" customHeight="1" x14ac:dyDescent="0.2">
      <c r="A2502" s="19" t="s">
        <v>2649</v>
      </c>
      <c r="B2502" s="50">
        <v>326.45400000000001</v>
      </c>
      <c r="C2502" s="50">
        <v>4686.75</v>
      </c>
      <c r="D2502" s="51">
        <v>31826490.075681001</v>
      </c>
      <c r="E2502" s="51">
        <v>2483715209</v>
      </c>
      <c r="F2502" s="52">
        <f t="shared" ref="F2502:F2565" si="82">LN(B2502/B2501)</f>
        <v>2.6401203186124156E-2</v>
      </c>
      <c r="G2502" s="52">
        <f t="shared" ref="G2502:G2565" si="83">LN(C2502/C2501)</f>
        <v>2.0495586171745628E-2</v>
      </c>
    </row>
    <row r="2503" spans="1:7" ht="15" customHeight="1" x14ac:dyDescent="0.2">
      <c r="A2503" s="19" t="s">
        <v>2650</v>
      </c>
      <c r="B2503" s="50">
        <v>326.50299999999999</v>
      </c>
      <c r="C2503" s="50">
        <v>4701.21</v>
      </c>
      <c r="D2503" s="51">
        <v>25403164.100618999</v>
      </c>
      <c r="E2503" s="51">
        <v>2169237673</v>
      </c>
      <c r="F2503" s="52">
        <f t="shared" si="82"/>
        <v>1.5008645314142004E-4</v>
      </c>
      <c r="G2503" s="52">
        <f t="shared" si="83"/>
        <v>3.0805438956169962E-3</v>
      </c>
    </row>
    <row r="2504" spans="1:7" ht="15" customHeight="1" x14ac:dyDescent="0.2">
      <c r="A2504" s="19" t="s">
        <v>2651</v>
      </c>
      <c r="B2504" s="50">
        <v>324.678</v>
      </c>
      <c r="C2504" s="50">
        <v>4667.45</v>
      </c>
      <c r="D2504" s="51">
        <v>22790282.128490001</v>
      </c>
      <c r="E2504" s="51">
        <v>2021704694</v>
      </c>
      <c r="F2504" s="52">
        <f t="shared" si="82"/>
        <v>-5.6052150729764922E-3</v>
      </c>
      <c r="G2504" s="52">
        <f t="shared" si="83"/>
        <v>-7.2070383872084483E-3</v>
      </c>
    </row>
    <row r="2505" spans="1:7" ht="15" customHeight="1" x14ac:dyDescent="0.2">
      <c r="A2505" s="19" t="s">
        <v>2652</v>
      </c>
      <c r="B2505" s="50">
        <v>333.87799999999999</v>
      </c>
      <c r="C2505" s="50">
        <v>4712.0200000000004</v>
      </c>
      <c r="D2505" s="51">
        <v>39083705.621308997</v>
      </c>
      <c r="E2505" s="51">
        <v>2130792886</v>
      </c>
      <c r="F2505" s="52">
        <f t="shared" si="82"/>
        <v>2.794173482577824E-2</v>
      </c>
      <c r="G2505" s="52">
        <f t="shared" si="83"/>
        <v>9.5038068188789387E-3</v>
      </c>
    </row>
    <row r="2506" spans="1:7" ht="15" customHeight="1" x14ac:dyDescent="0.2">
      <c r="A2506" s="19" t="s">
        <v>2653</v>
      </c>
      <c r="B2506" s="50">
        <v>330.82100000000003</v>
      </c>
      <c r="C2506" s="50">
        <v>4668.97</v>
      </c>
      <c r="D2506" s="51">
        <v>29648937.589713</v>
      </c>
      <c r="E2506" s="51">
        <v>2427488597</v>
      </c>
      <c r="F2506" s="52">
        <f t="shared" si="82"/>
        <v>-9.1982131871263667E-3</v>
      </c>
      <c r="G2506" s="52">
        <f t="shared" si="83"/>
        <v>-9.1782002130428933E-3</v>
      </c>
    </row>
    <row r="2507" spans="1:7" ht="15" customHeight="1" x14ac:dyDescent="0.2">
      <c r="A2507" s="19" t="s">
        <v>2654</v>
      </c>
      <c r="B2507" s="50">
        <v>320.03800000000001</v>
      </c>
      <c r="C2507" s="50">
        <v>4634.09</v>
      </c>
      <c r="D2507" s="51">
        <v>45591217.083878003</v>
      </c>
      <c r="E2507" s="51">
        <v>2481788465</v>
      </c>
      <c r="F2507" s="52">
        <f t="shared" si="82"/>
        <v>-3.3137704857807974E-2</v>
      </c>
      <c r="G2507" s="52">
        <f t="shared" si="83"/>
        <v>-7.4986431218743987E-3</v>
      </c>
    </row>
    <row r="2508" spans="1:7" ht="15" customHeight="1" x14ac:dyDescent="0.2">
      <c r="A2508" s="19" t="s">
        <v>2655</v>
      </c>
      <c r="B2508" s="50">
        <v>326.19099999999997</v>
      </c>
      <c r="C2508" s="50">
        <v>4709.8500000000004</v>
      </c>
      <c r="D2508" s="51">
        <v>36298732.119342998</v>
      </c>
      <c r="E2508" s="51">
        <v>2575621271</v>
      </c>
      <c r="F2508" s="52">
        <f t="shared" si="82"/>
        <v>1.9043360627425426E-2</v>
      </c>
      <c r="G2508" s="52">
        <f t="shared" si="83"/>
        <v>1.6216212899904034E-2</v>
      </c>
    </row>
    <row r="2509" spans="1:7" ht="15" customHeight="1" x14ac:dyDescent="0.2">
      <c r="A2509" s="19" t="s">
        <v>2656</v>
      </c>
      <c r="B2509" s="50">
        <v>316.68799999999999</v>
      </c>
      <c r="C2509" s="50">
        <v>4668.67</v>
      </c>
      <c r="D2509" s="51">
        <v>35943460.086276002</v>
      </c>
      <c r="E2509" s="51">
        <v>2745064817</v>
      </c>
      <c r="F2509" s="52">
        <f t="shared" si="82"/>
        <v>-2.9566037292595333E-2</v>
      </c>
      <c r="G2509" s="52">
        <f t="shared" si="83"/>
        <v>-8.7818258427533567E-3</v>
      </c>
    </row>
    <row r="2510" spans="1:7" ht="15" customHeight="1" x14ac:dyDescent="0.2">
      <c r="A2510" s="19" t="s">
        <v>2657</v>
      </c>
      <c r="B2510" s="50">
        <v>315.613</v>
      </c>
      <c r="C2510" s="50">
        <v>4620.6400000000003</v>
      </c>
      <c r="D2510" s="51">
        <v>49228171.021505997</v>
      </c>
      <c r="E2510" s="51">
        <v>4573690712</v>
      </c>
      <c r="F2510" s="52">
        <f t="shared" si="82"/>
        <v>-3.4002825735062045E-3</v>
      </c>
      <c r="G2510" s="52">
        <f t="shared" si="83"/>
        <v>-1.0341010906645293E-2</v>
      </c>
    </row>
    <row r="2511" spans="1:7" ht="15" customHeight="1" x14ac:dyDescent="0.2">
      <c r="A2511" s="19" t="s">
        <v>2658</v>
      </c>
      <c r="B2511" s="50">
        <v>311.822</v>
      </c>
      <c r="C2511" s="50">
        <v>4568.0200000000004</v>
      </c>
      <c r="D2511" s="51">
        <v>29061181.047166001</v>
      </c>
      <c r="E2511" s="51">
        <v>2468207427</v>
      </c>
      <c r="F2511" s="52">
        <f t="shared" si="82"/>
        <v>-1.2084267320266982E-2</v>
      </c>
      <c r="G2511" s="52">
        <f t="shared" si="83"/>
        <v>-1.1453373010201799E-2</v>
      </c>
    </row>
    <row r="2512" spans="1:7" ht="15" customHeight="1" x14ac:dyDescent="0.2">
      <c r="A2512" s="19" t="s">
        <v>2659</v>
      </c>
      <c r="B2512" s="50">
        <v>319.01100000000002</v>
      </c>
      <c r="C2512" s="50">
        <v>4649.2299999999996</v>
      </c>
      <c r="D2512" s="51">
        <v>25382244.426228002</v>
      </c>
      <c r="E2512" s="51">
        <v>2298114520</v>
      </c>
      <c r="F2512" s="52">
        <f t="shared" si="82"/>
        <v>2.2793072764342493E-2</v>
      </c>
      <c r="G2512" s="52">
        <f t="shared" si="83"/>
        <v>1.7621763861808751E-2</v>
      </c>
    </row>
    <row r="2513" spans="1:7" ht="15" customHeight="1" x14ac:dyDescent="0.2">
      <c r="A2513" s="19" t="s">
        <v>2660</v>
      </c>
      <c r="B2513" s="50">
        <v>324.774</v>
      </c>
      <c r="C2513" s="50">
        <v>4696.5600000000004</v>
      </c>
      <c r="D2513" s="51">
        <v>25475497.870278001</v>
      </c>
      <c r="E2513" s="51">
        <v>1874604891</v>
      </c>
      <c r="F2513" s="52">
        <f t="shared" si="82"/>
        <v>1.7903970873377344E-2</v>
      </c>
      <c r="G2513" s="52">
        <f t="shared" si="83"/>
        <v>1.0128711352276767E-2</v>
      </c>
    </row>
    <row r="2514" spans="1:7" ht="15" customHeight="1" x14ac:dyDescent="0.2">
      <c r="A2514" s="19" t="s">
        <v>2661</v>
      </c>
      <c r="B2514" s="50">
        <v>326.23099999999999</v>
      </c>
      <c r="C2514" s="50">
        <v>4725.79</v>
      </c>
      <c r="D2514" s="51">
        <v>20126637.209376</v>
      </c>
      <c r="E2514" s="51">
        <v>1617243125</v>
      </c>
      <c r="F2514" s="52">
        <f t="shared" si="82"/>
        <v>4.4761635708126402E-3</v>
      </c>
      <c r="G2514" s="52">
        <f t="shared" si="83"/>
        <v>6.2044168953242747E-3</v>
      </c>
    </row>
    <row r="2515" spans="1:7" ht="15" customHeight="1" x14ac:dyDescent="0.2">
      <c r="A2515" s="19" t="s">
        <v>2662</v>
      </c>
      <c r="B2515" s="50">
        <v>333.79</v>
      </c>
      <c r="C2515" s="50">
        <v>4791.1899999999996</v>
      </c>
      <c r="D2515" s="51">
        <v>20464354.858011</v>
      </c>
      <c r="E2515" s="51">
        <v>1503734418</v>
      </c>
      <c r="F2515" s="52">
        <f t="shared" si="82"/>
        <v>2.2906333327126806E-2</v>
      </c>
      <c r="G2515" s="52">
        <f t="shared" si="83"/>
        <v>1.3744072068897223E-2</v>
      </c>
    </row>
    <row r="2516" spans="1:7" ht="15" customHeight="1" x14ac:dyDescent="0.2">
      <c r="A2516" s="19" t="s">
        <v>2663</v>
      </c>
      <c r="B2516" s="50">
        <v>332.62599999999998</v>
      </c>
      <c r="C2516" s="50">
        <v>4786.3500000000004</v>
      </c>
      <c r="D2516" s="51">
        <v>16067647.039261</v>
      </c>
      <c r="E2516" s="51">
        <v>1432143549</v>
      </c>
      <c r="F2516" s="52">
        <f t="shared" si="82"/>
        <v>-3.4933170383556699E-3</v>
      </c>
      <c r="G2516" s="52">
        <f t="shared" si="83"/>
        <v>-1.0106980314378653E-3</v>
      </c>
    </row>
    <row r="2517" spans="1:7" ht="15" customHeight="1" x14ac:dyDescent="0.2">
      <c r="A2517" s="19" t="s">
        <v>2664</v>
      </c>
      <c r="B2517" s="50">
        <v>333.30200000000002</v>
      </c>
      <c r="C2517" s="50">
        <v>4793.0600000000004</v>
      </c>
      <c r="D2517" s="51">
        <v>15432068.979015</v>
      </c>
      <c r="E2517" s="51">
        <v>1365873126</v>
      </c>
      <c r="F2517" s="52">
        <f t="shared" si="82"/>
        <v>2.0302502138408174E-3</v>
      </c>
      <c r="G2517" s="52">
        <f t="shared" si="83"/>
        <v>1.4009215802245781E-3</v>
      </c>
    </row>
    <row r="2518" spans="1:7" ht="15" customHeight="1" x14ac:dyDescent="0.2">
      <c r="A2518" s="19" t="s">
        <v>2665</v>
      </c>
      <c r="B2518" s="50">
        <v>330.74299999999999</v>
      </c>
      <c r="C2518" s="50">
        <v>4778.7299999999996</v>
      </c>
      <c r="D2518" s="51">
        <v>16409287.958696</v>
      </c>
      <c r="E2518" s="51">
        <v>1353236996</v>
      </c>
      <c r="F2518" s="52">
        <f t="shared" si="82"/>
        <v>-7.7073471458106108E-3</v>
      </c>
      <c r="G2518" s="52">
        <f t="shared" si="83"/>
        <v>-2.9942175300769428E-3</v>
      </c>
    </row>
    <row r="2519" spans="1:7" ht="15" customHeight="1" x14ac:dyDescent="0.2">
      <c r="A2519" s="19" t="s">
        <v>2666</v>
      </c>
      <c r="B2519" s="50">
        <v>327.822</v>
      </c>
      <c r="C2519" s="50">
        <v>4766.18</v>
      </c>
      <c r="D2519" s="51">
        <v>18467647.54628</v>
      </c>
      <c r="E2519" s="51">
        <v>1339318824</v>
      </c>
      <c r="F2519" s="52">
        <f t="shared" si="82"/>
        <v>-8.870860598300943E-3</v>
      </c>
      <c r="G2519" s="52">
        <f t="shared" si="83"/>
        <v>-2.6296753415458013E-3</v>
      </c>
    </row>
    <row r="2520" spans="1:7" ht="15" customHeight="1" x14ac:dyDescent="0.2">
      <c r="A2520" s="19" t="s">
        <v>2667</v>
      </c>
      <c r="B2520" s="50">
        <v>326.28800000000001</v>
      </c>
      <c r="C2520" s="50">
        <v>4796.5600000000004</v>
      </c>
      <c r="D2520" s="51">
        <v>29668002.105783001</v>
      </c>
      <c r="E2520" s="51">
        <v>2241373299</v>
      </c>
      <c r="F2520" s="52">
        <f t="shared" si="82"/>
        <v>-4.6903512016477104E-3</v>
      </c>
      <c r="G2520" s="52">
        <f t="shared" si="83"/>
        <v>6.3538488355527438E-3</v>
      </c>
    </row>
    <row r="2521" spans="1:7" ht="15" customHeight="1" x14ac:dyDescent="0.2">
      <c r="A2521" s="19" t="s">
        <v>2668</v>
      </c>
      <c r="B2521" s="50">
        <v>320.69200000000001</v>
      </c>
      <c r="C2521" s="50">
        <v>4793.54</v>
      </c>
      <c r="D2521" s="51">
        <v>33521714.707509</v>
      </c>
      <c r="E2521" s="51">
        <v>2841121018</v>
      </c>
      <c r="F2521" s="52">
        <f t="shared" si="82"/>
        <v>-1.7299265993892348E-2</v>
      </c>
      <c r="G2521" s="52">
        <f t="shared" si="83"/>
        <v>-6.2981618540545298E-4</v>
      </c>
    </row>
    <row r="2522" spans="1:7" ht="15" customHeight="1" x14ac:dyDescent="0.2">
      <c r="A2522" s="19" t="s">
        <v>2669</v>
      </c>
      <c r="B2522" s="50">
        <v>308.38600000000002</v>
      </c>
      <c r="C2522" s="50">
        <v>4700.58</v>
      </c>
      <c r="D2522" s="51">
        <v>41093135.920054004</v>
      </c>
      <c r="E2522" s="51">
        <v>2810603586</v>
      </c>
      <c r="F2522" s="52">
        <f t="shared" si="82"/>
        <v>-3.9128915887478168E-2</v>
      </c>
      <c r="G2522" s="52">
        <f t="shared" si="83"/>
        <v>-1.9583272775802296E-2</v>
      </c>
    </row>
    <row r="2523" spans="1:7" ht="15" customHeight="1" x14ac:dyDescent="0.2">
      <c r="A2523" s="19" t="s">
        <v>2670</v>
      </c>
      <c r="B2523" s="50">
        <v>305.94200000000001</v>
      </c>
      <c r="C2523" s="50">
        <v>4696.05</v>
      </c>
      <c r="D2523" s="51">
        <v>40674370.786264002</v>
      </c>
      <c r="E2523" s="51">
        <v>2389339330</v>
      </c>
      <c r="F2523" s="52">
        <f t="shared" si="82"/>
        <v>-7.956703565346928E-3</v>
      </c>
      <c r="G2523" s="52">
        <f t="shared" si="83"/>
        <v>-9.6417552908581125E-4</v>
      </c>
    </row>
    <row r="2524" spans="1:7" ht="15" customHeight="1" x14ac:dyDescent="0.2">
      <c r="A2524" s="19" t="s">
        <v>2671</v>
      </c>
      <c r="B2524" s="50">
        <v>306.10000000000002</v>
      </c>
      <c r="C2524" s="50">
        <v>4677.03</v>
      </c>
      <c r="D2524" s="51">
        <v>33568611.717501998</v>
      </c>
      <c r="E2524" s="51">
        <v>2414328227</v>
      </c>
      <c r="F2524" s="52">
        <f t="shared" si="82"/>
        <v>5.16304448093066E-4</v>
      </c>
      <c r="G2524" s="52">
        <f t="shared" si="83"/>
        <v>-4.0584367372055773E-3</v>
      </c>
    </row>
    <row r="2525" spans="1:7" ht="15" customHeight="1" x14ac:dyDescent="0.2">
      <c r="A2525" s="19" t="s">
        <v>2672</v>
      </c>
      <c r="B2525" s="50">
        <v>306.32400000000001</v>
      </c>
      <c r="C2525" s="50">
        <v>4670.29</v>
      </c>
      <c r="D2525" s="51">
        <v>45438114.307575002</v>
      </c>
      <c r="E2525" s="51">
        <v>2668776356</v>
      </c>
      <c r="F2525" s="52">
        <f t="shared" si="82"/>
        <v>7.3151937216333045E-4</v>
      </c>
      <c r="G2525" s="52">
        <f t="shared" si="83"/>
        <v>-1.4421248375173315E-3</v>
      </c>
    </row>
    <row r="2526" spans="1:7" ht="15" customHeight="1" x14ac:dyDescent="0.2">
      <c r="A2526" s="19" t="s">
        <v>2673</v>
      </c>
      <c r="B2526" s="50">
        <v>307.01799999999997</v>
      </c>
      <c r="C2526" s="50">
        <v>4713.07</v>
      </c>
      <c r="D2526" s="51">
        <v>30148920.162457</v>
      </c>
      <c r="E2526" s="51">
        <v>2238558923</v>
      </c>
      <c r="F2526" s="52">
        <f t="shared" si="82"/>
        <v>2.2630124667068967E-3</v>
      </c>
      <c r="G2526" s="52">
        <f t="shared" si="83"/>
        <v>9.118332112991406E-3</v>
      </c>
    </row>
    <row r="2527" spans="1:7" ht="15" customHeight="1" x14ac:dyDescent="0.2">
      <c r="A2527" s="19" t="s">
        <v>2674</v>
      </c>
      <c r="B2527" s="50">
        <v>310.221</v>
      </c>
      <c r="C2527" s="50">
        <v>4726.3500000000004</v>
      </c>
      <c r="D2527" s="51">
        <v>35263660.252623998</v>
      </c>
      <c r="E2527" s="51">
        <v>2122392627</v>
      </c>
      <c r="F2527" s="52">
        <f t="shared" si="82"/>
        <v>1.0378568919965143E-2</v>
      </c>
      <c r="G2527" s="52">
        <f t="shared" si="83"/>
        <v>2.8137340560308905E-3</v>
      </c>
    </row>
    <row r="2528" spans="1:7" ht="15" customHeight="1" x14ac:dyDescent="0.2">
      <c r="A2528" s="19" t="s">
        <v>2675</v>
      </c>
      <c r="B2528" s="50">
        <v>297.09300000000002</v>
      </c>
      <c r="C2528" s="50">
        <v>4659.03</v>
      </c>
      <c r="D2528" s="51">
        <v>46542545.752494</v>
      </c>
      <c r="E2528" s="51">
        <v>2392404427</v>
      </c>
      <c r="F2528" s="52">
        <f t="shared" si="82"/>
        <v>-4.3239725609749112E-2</v>
      </c>
      <c r="G2528" s="52">
        <f t="shared" si="83"/>
        <v>-1.4345962458906215E-2</v>
      </c>
    </row>
    <row r="2529" spans="1:7" ht="15" customHeight="1" x14ac:dyDescent="0.2">
      <c r="A2529" s="19" t="s">
        <v>2676</v>
      </c>
      <c r="B2529" s="50">
        <v>302.36</v>
      </c>
      <c r="C2529" s="50">
        <v>4662.8500000000004</v>
      </c>
      <c r="D2529" s="51">
        <v>40879830.594267003</v>
      </c>
      <c r="E2529" s="51">
        <v>2522462949</v>
      </c>
      <c r="F2529" s="52">
        <f t="shared" si="82"/>
        <v>1.7573139323522696E-2</v>
      </c>
      <c r="G2529" s="52">
        <f t="shared" si="83"/>
        <v>8.1957721271400563E-4</v>
      </c>
    </row>
    <row r="2530" spans="1:7" ht="15" customHeight="1" x14ac:dyDescent="0.2">
      <c r="A2530" s="19" t="s">
        <v>2677</v>
      </c>
      <c r="B2530" s="50">
        <v>295.00400000000002</v>
      </c>
      <c r="C2530" s="50">
        <v>4577.1099999999997</v>
      </c>
      <c r="D2530" s="51">
        <v>43534640.987352997</v>
      </c>
      <c r="E2530" s="51">
        <v>2741096372</v>
      </c>
      <c r="F2530" s="52">
        <f t="shared" si="82"/>
        <v>-2.4629444854048957E-2</v>
      </c>
      <c r="G2530" s="52">
        <f t="shared" si="83"/>
        <v>-1.8559054584436702E-2</v>
      </c>
    </row>
    <row r="2531" spans="1:7" ht="15" customHeight="1" x14ac:dyDescent="0.2">
      <c r="A2531" s="19" t="s">
        <v>2678</v>
      </c>
      <c r="B2531" s="50">
        <v>295.65699999999998</v>
      </c>
      <c r="C2531" s="50">
        <v>4532.76</v>
      </c>
      <c r="D2531" s="51">
        <v>47125149.418751001</v>
      </c>
      <c r="E2531" s="51">
        <v>2494214499</v>
      </c>
      <c r="F2531" s="52">
        <f t="shared" si="82"/>
        <v>2.2110830613056038E-3</v>
      </c>
      <c r="G2531" s="52">
        <f t="shared" si="83"/>
        <v>-9.7367691046557382E-3</v>
      </c>
    </row>
    <row r="2532" spans="1:7" ht="15" customHeight="1" x14ac:dyDescent="0.2">
      <c r="A2532" s="19" t="s">
        <v>2679</v>
      </c>
      <c r="B2532" s="50">
        <v>293.97899999999998</v>
      </c>
      <c r="C2532" s="50">
        <v>4482.7299999999996</v>
      </c>
      <c r="D2532" s="51">
        <v>36298273.448853001</v>
      </c>
      <c r="E2532" s="51">
        <v>2556569239</v>
      </c>
      <c r="F2532" s="52">
        <f t="shared" si="82"/>
        <v>-5.6916624151215891E-3</v>
      </c>
      <c r="G2532" s="52">
        <f t="shared" si="83"/>
        <v>-1.1098789654240207E-2</v>
      </c>
    </row>
    <row r="2533" spans="1:7" ht="15" customHeight="1" x14ac:dyDescent="0.2">
      <c r="A2533" s="19" t="s">
        <v>2680</v>
      </c>
      <c r="B2533" s="50">
        <v>288.54700000000003</v>
      </c>
      <c r="C2533" s="50">
        <v>4397.9399999999996</v>
      </c>
      <c r="D2533" s="51">
        <v>59488228.551974997</v>
      </c>
      <c r="E2533" s="51">
        <v>3210070654</v>
      </c>
      <c r="F2533" s="52">
        <f t="shared" si="82"/>
        <v>-1.8650351924827259E-2</v>
      </c>
      <c r="G2533" s="52">
        <f t="shared" si="83"/>
        <v>-1.9095986358635349E-2</v>
      </c>
    </row>
    <row r="2534" spans="1:7" ht="15" customHeight="1" x14ac:dyDescent="0.2">
      <c r="A2534" s="19" t="s">
        <v>2681</v>
      </c>
      <c r="B2534" s="50">
        <v>288.88</v>
      </c>
      <c r="C2534" s="50">
        <v>4410.13</v>
      </c>
      <c r="D2534" s="51">
        <v>88266721.147340998</v>
      </c>
      <c r="E2534" s="51">
        <v>3888349334</v>
      </c>
      <c r="F2534" s="52">
        <f t="shared" si="82"/>
        <v>1.1533926779183712E-3</v>
      </c>
      <c r="G2534" s="52">
        <f t="shared" si="83"/>
        <v>2.7679180076168289E-3</v>
      </c>
    </row>
    <row r="2535" spans="1:7" ht="15" customHeight="1" x14ac:dyDescent="0.2">
      <c r="A2535" s="19" t="s">
        <v>2682</v>
      </c>
      <c r="B2535" s="50">
        <v>281.19299999999998</v>
      </c>
      <c r="C2535" s="50">
        <v>4356.45</v>
      </c>
      <c r="D2535" s="51">
        <v>74737967.820566997</v>
      </c>
      <c r="E2535" s="51">
        <v>3069079477</v>
      </c>
      <c r="F2535" s="52">
        <f t="shared" si="82"/>
        <v>-2.6970110656903232E-2</v>
      </c>
      <c r="G2535" s="52">
        <f t="shared" si="83"/>
        <v>-1.2246661962160472E-2</v>
      </c>
    </row>
    <row r="2536" spans="1:7" ht="15" customHeight="1" x14ac:dyDescent="0.2">
      <c r="A2536" s="19" t="s">
        <v>2683</v>
      </c>
      <c r="B2536" s="50">
        <v>289.21199999999999</v>
      </c>
      <c r="C2536" s="50">
        <v>4349.93</v>
      </c>
      <c r="D2536" s="51">
        <v>92774126.222224995</v>
      </c>
      <c r="E2536" s="51">
        <v>3239353450</v>
      </c>
      <c r="F2536" s="52">
        <f t="shared" si="82"/>
        <v>2.8118716887401141E-2</v>
      </c>
      <c r="G2536" s="52">
        <f t="shared" si="83"/>
        <v>-1.4977525030699156E-3</v>
      </c>
    </row>
    <row r="2537" spans="1:7" ht="15" customHeight="1" x14ac:dyDescent="0.2">
      <c r="A2537" s="19" t="s">
        <v>2684</v>
      </c>
      <c r="B2537" s="50">
        <v>292.26</v>
      </c>
      <c r="C2537" s="50">
        <v>4326.51</v>
      </c>
      <c r="D2537" s="51">
        <v>54868355.015715003</v>
      </c>
      <c r="E2537" s="51">
        <v>3070684348</v>
      </c>
      <c r="F2537" s="52">
        <f t="shared" si="82"/>
        <v>1.0483833846805927E-2</v>
      </c>
      <c r="G2537" s="52">
        <f t="shared" si="83"/>
        <v>-5.3985406179990411E-3</v>
      </c>
    </row>
    <row r="2538" spans="1:7" ht="15" customHeight="1" x14ac:dyDescent="0.2">
      <c r="A2538" s="19" t="s">
        <v>2685</v>
      </c>
      <c r="B2538" s="50">
        <v>300.464</v>
      </c>
      <c r="C2538" s="50">
        <v>4431.8500000000004</v>
      </c>
      <c r="D2538" s="51">
        <v>51033801.121320002</v>
      </c>
      <c r="E2538" s="51">
        <v>2926083817</v>
      </c>
      <c r="F2538" s="52">
        <f t="shared" si="82"/>
        <v>2.7684129419344318E-2</v>
      </c>
      <c r="G2538" s="52">
        <f t="shared" si="83"/>
        <v>2.4055891707799003E-2</v>
      </c>
    </row>
    <row r="2539" spans="1:7" ht="15" customHeight="1" x14ac:dyDescent="0.2">
      <c r="A2539" s="19" t="s">
        <v>2686</v>
      </c>
      <c r="B2539" s="50">
        <v>303.12</v>
      </c>
      <c r="C2539" s="50">
        <v>4515.55</v>
      </c>
      <c r="D2539" s="51">
        <v>47649075.000614002</v>
      </c>
      <c r="E2539" s="51">
        <v>2960132803</v>
      </c>
      <c r="F2539" s="52">
        <f t="shared" si="82"/>
        <v>8.8008202444947638E-3</v>
      </c>
      <c r="G2539" s="52">
        <f t="shared" si="83"/>
        <v>1.8709891511396817E-2</v>
      </c>
    </row>
    <row r="2540" spans="1:7" ht="15" customHeight="1" x14ac:dyDescent="0.2">
      <c r="A2540" s="19" t="s">
        <v>2687</v>
      </c>
      <c r="B2540" s="50">
        <v>300.952</v>
      </c>
      <c r="C2540" s="50">
        <v>4546.54</v>
      </c>
      <c r="D2540" s="51">
        <v>42012444.678885996</v>
      </c>
      <c r="E2540" s="51">
        <v>2725815746</v>
      </c>
      <c r="F2540" s="52">
        <f t="shared" si="82"/>
        <v>-7.1779831164511991E-3</v>
      </c>
      <c r="G2540" s="52">
        <f t="shared" si="83"/>
        <v>6.8395085033043351E-3</v>
      </c>
    </row>
    <row r="2541" spans="1:7" ht="15" customHeight="1" x14ac:dyDescent="0.2">
      <c r="A2541" s="19" t="s">
        <v>2688</v>
      </c>
      <c r="B2541" s="50">
        <v>305.53199999999998</v>
      </c>
      <c r="C2541" s="50">
        <v>4589.38</v>
      </c>
      <c r="D2541" s="51">
        <v>37586143.399152003</v>
      </c>
      <c r="E2541" s="51">
        <v>2906346124</v>
      </c>
      <c r="F2541" s="52">
        <f t="shared" si="82"/>
        <v>1.5103735849755572E-2</v>
      </c>
      <c r="G2541" s="52">
        <f t="shared" si="83"/>
        <v>9.3784345745179347E-3</v>
      </c>
    </row>
    <row r="2542" spans="1:7" ht="15" customHeight="1" x14ac:dyDescent="0.2">
      <c r="A2542" s="19" t="s">
        <v>2689</v>
      </c>
      <c r="B2542" s="50">
        <v>293.63600000000002</v>
      </c>
      <c r="C2542" s="50">
        <v>4477.4399999999996</v>
      </c>
      <c r="D2542" s="51">
        <v>44864108.665372998</v>
      </c>
      <c r="E2542" s="51">
        <v>2707325899</v>
      </c>
      <c r="F2542" s="52">
        <f t="shared" si="82"/>
        <v>-3.9713614416177698E-2</v>
      </c>
      <c r="G2542" s="52">
        <f t="shared" si="83"/>
        <v>-2.4693484168175839E-2</v>
      </c>
    </row>
    <row r="2543" spans="1:7" ht="15" customHeight="1" x14ac:dyDescent="0.2">
      <c r="A2543" s="19" t="s">
        <v>2690</v>
      </c>
      <c r="B2543" s="50">
        <v>298.20699999999999</v>
      </c>
      <c r="C2543" s="50">
        <v>4500.53</v>
      </c>
      <c r="D2543" s="51">
        <v>36006715.661209002</v>
      </c>
      <c r="E2543" s="51">
        <v>2661230208</v>
      </c>
      <c r="F2543" s="52">
        <f t="shared" si="82"/>
        <v>1.5446971206055508E-2</v>
      </c>
      <c r="G2543" s="52">
        <f t="shared" si="83"/>
        <v>5.1437130908578545E-3</v>
      </c>
    </row>
    <row r="2544" spans="1:7" ht="15" customHeight="1" x14ac:dyDescent="0.2">
      <c r="A2544" s="19" t="s">
        <v>2691</v>
      </c>
      <c r="B2544" s="50">
        <v>293.34199999999998</v>
      </c>
      <c r="C2544" s="50">
        <v>4483.87</v>
      </c>
      <c r="D2544" s="51">
        <v>29273296.696369</v>
      </c>
      <c r="E2544" s="51">
        <v>2380580575</v>
      </c>
      <c r="F2544" s="52">
        <f t="shared" si="82"/>
        <v>-1.6448712411298055E-2</v>
      </c>
      <c r="G2544" s="52">
        <f t="shared" si="83"/>
        <v>-3.7086548006097621E-3</v>
      </c>
    </row>
    <row r="2545" spans="1:7" ht="15" customHeight="1" x14ac:dyDescent="0.2">
      <c r="A2545" s="19" t="s">
        <v>2692</v>
      </c>
      <c r="B2545" s="50">
        <v>296.86099999999999</v>
      </c>
      <c r="C2545" s="50">
        <v>4521.54</v>
      </c>
      <c r="D2545" s="51">
        <v>33262031.447484002</v>
      </c>
      <c r="E2545" s="51">
        <v>2540145869</v>
      </c>
      <c r="F2545" s="52">
        <f t="shared" si="82"/>
        <v>1.1924851959970726E-2</v>
      </c>
      <c r="G2545" s="52">
        <f t="shared" si="83"/>
        <v>8.3661309627788387E-3</v>
      </c>
    </row>
    <row r="2546" spans="1:7" ht="15" customHeight="1" x14ac:dyDescent="0.2">
      <c r="A2546" s="19" t="s">
        <v>2693</v>
      </c>
      <c r="B2546" s="50">
        <v>303.346</v>
      </c>
      <c r="C2546" s="50">
        <v>4587.18</v>
      </c>
      <c r="D2546" s="51">
        <v>32096038.846519001</v>
      </c>
      <c r="E2546" s="51">
        <v>2435234286</v>
      </c>
      <c r="F2546" s="52">
        <f t="shared" si="82"/>
        <v>2.1610052430492955E-2</v>
      </c>
      <c r="G2546" s="52">
        <f t="shared" si="83"/>
        <v>1.4412812398356309E-2</v>
      </c>
    </row>
    <row r="2547" spans="1:7" ht="15" customHeight="1" x14ac:dyDescent="0.2">
      <c r="A2547" s="19" t="s">
        <v>2694</v>
      </c>
      <c r="B2547" s="50">
        <v>294.74</v>
      </c>
      <c r="C2547" s="50">
        <v>4504.08</v>
      </c>
      <c r="D2547" s="51">
        <v>46563290.353996001</v>
      </c>
      <c r="E2547" s="51">
        <v>2709241305</v>
      </c>
      <c r="F2547" s="52">
        <f t="shared" si="82"/>
        <v>-2.8780456427576328E-2</v>
      </c>
      <c r="G2547" s="52">
        <f t="shared" si="83"/>
        <v>-1.8281803510329601E-2</v>
      </c>
    </row>
    <row r="2548" spans="1:7" ht="15" customHeight="1" x14ac:dyDescent="0.2">
      <c r="A2548" s="19" t="s">
        <v>2695</v>
      </c>
      <c r="B2548" s="50">
        <v>287.58</v>
      </c>
      <c r="C2548" s="50">
        <v>4418.6400000000003</v>
      </c>
      <c r="D2548" s="51">
        <v>40191639.547807001</v>
      </c>
      <c r="E2548" s="51">
        <v>2891247534</v>
      </c>
      <c r="F2548" s="52">
        <f t="shared" si="82"/>
        <v>-2.4592529385522088E-2</v>
      </c>
      <c r="G2548" s="52">
        <f t="shared" si="83"/>
        <v>-1.9151696234065794E-2</v>
      </c>
    </row>
    <row r="2549" spans="1:7" ht="15" customHeight="1" x14ac:dyDescent="0.2">
      <c r="A2549" s="19" t="s">
        <v>2696</v>
      </c>
      <c r="B2549" s="50">
        <v>287.54000000000002</v>
      </c>
      <c r="C2549" s="50">
        <v>4401.67</v>
      </c>
      <c r="D2549" s="51">
        <v>37302471.058196001</v>
      </c>
      <c r="E2549" s="51">
        <v>2520881740</v>
      </c>
      <c r="F2549" s="52">
        <f t="shared" si="82"/>
        <v>-1.3910140514835487E-4</v>
      </c>
      <c r="G2549" s="52">
        <f t="shared" si="83"/>
        <v>-3.8479420653191741E-3</v>
      </c>
    </row>
    <row r="2550" spans="1:7" ht="15" customHeight="1" x14ac:dyDescent="0.2">
      <c r="A2550" s="19" t="s">
        <v>2697</v>
      </c>
      <c r="B2550" s="50">
        <v>292.87299999999999</v>
      </c>
      <c r="C2550" s="50">
        <v>4471.07</v>
      </c>
      <c r="D2550" s="51">
        <v>28089575.661899999</v>
      </c>
      <c r="E2550" s="51">
        <v>2348139435</v>
      </c>
      <c r="F2550" s="52">
        <f t="shared" si="82"/>
        <v>1.8377086958297106E-2</v>
      </c>
      <c r="G2550" s="52">
        <f t="shared" si="83"/>
        <v>1.5643739212372925E-2</v>
      </c>
    </row>
    <row r="2551" spans="1:7" ht="15" customHeight="1" x14ac:dyDescent="0.2">
      <c r="A2551" s="19" t="s">
        <v>2698</v>
      </c>
      <c r="B2551" s="50">
        <v>292.53199999999998</v>
      </c>
      <c r="C2551" s="50">
        <v>4475.01</v>
      </c>
      <c r="D2551" s="51">
        <v>30696236.915507</v>
      </c>
      <c r="E2551" s="51">
        <v>2334132066</v>
      </c>
      <c r="F2551" s="52">
        <f t="shared" si="82"/>
        <v>-1.1650055553615074E-3</v>
      </c>
      <c r="G2551" s="52">
        <f t="shared" si="83"/>
        <v>8.8083277921570239E-4</v>
      </c>
    </row>
    <row r="2552" spans="1:7" ht="15" customHeight="1" x14ac:dyDescent="0.2">
      <c r="A2552" s="19" t="s">
        <v>2699</v>
      </c>
      <c r="B2552" s="50">
        <v>283.96699999999998</v>
      </c>
      <c r="C2552" s="50">
        <v>4380.26</v>
      </c>
      <c r="D2552" s="51">
        <v>33234751.815313</v>
      </c>
      <c r="E2552" s="51">
        <v>2308231918</v>
      </c>
      <c r="F2552" s="52">
        <f t="shared" si="82"/>
        <v>-2.9716028170690564E-2</v>
      </c>
      <c r="G2552" s="52">
        <f t="shared" si="83"/>
        <v>-2.1400503004023481E-2</v>
      </c>
    </row>
    <row r="2553" spans="1:7" ht="15" customHeight="1" x14ac:dyDescent="0.2">
      <c r="A2553" s="19" t="s">
        <v>2700</v>
      </c>
      <c r="B2553" s="50">
        <v>281.23200000000003</v>
      </c>
      <c r="C2553" s="50">
        <v>4348.87</v>
      </c>
      <c r="D2553" s="51">
        <v>35080110.151073001</v>
      </c>
      <c r="E2553" s="51">
        <v>2569037287</v>
      </c>
      <c r="F2553" s="52">
        <f t="shared" si="82"/>
        <v>-9.6780827561490663E-3</v>
      </c>
      <c r="G2553" s="52">
        <f t="shared" si="83"/>
        <v>-7.192042117620436E-3</v>
      </c>
    </row>
    <row r="2554" spans="1:7" ht="15" customHeight="1" x14ac:dyDescent="0.2">
      <c r="A2554" s="19" t="s">
        <v>2701</v>
      </c>
      <c r="B2554" s="50">
        <v>281.02300000000002</v>
      </c>
      <c r="C2554" s="50">
        <v>4304.76</v>
      </c>
      <c r="D2554" s="51">
        <v>42730190.281244002</v>
      </c>
      <c r="E2554" s="51">
        <v>2734224673</v>
      </c>
      <c r="F2554" s="52">
        <f t="shared" si="82"/>
        <v>-7.4343495256111729E-4</v>
      </c>
      <c r="G2554" s="52">
        <f t="shared" si="83"/>
        <v>-1.0194654042815754E-2</v>
      </c>
    </row>
    <row r="2555" spans="1:7" ht="15" customHeight="1" x14ac:dyDescent="0.2">
      <c r="A2555" s="19" t="s">
        <v>2702</v>
      </c>
      <c r="B2555" s="50">
        <v>273.75099999999998</v>
      </c>
      <c r="C2555" s="50">
        <v>4225.5</v>
      </c>
      <c r="D2555" s="51">
        <v>38711755.592068002</v>
      </c>
      <c r="E2555" s="51">
        <v>2496800402</v>
      </c>
      <c r="F2555" s="52">
        <f t="shared" si="82"/>
        <v>-2.6217582425906546E-2</v>
      </c>
      <c r="G2555" s="52">
        <f t="shared" si="83"/>
        <v>-1.858379019433392E-2</v>
      </c>
    </row>
    <row r="2556" spans="1:7" ht="15" customHeight="1" x14ac:dyDescent="0.2">
      <c r="A2556" s="19" t="s">
        <v>2703</v>
      </c>
      <c r="B2556" s="50">
        <v>287.73599999999999</v>
      </c>
      <c r="C2556" s="50">
        <v>4288.7</v>
      </c>
      <c r="D2556" s="51">
        <v>58347069.681838997</v>
      </c>
      <c r="E2556" s="51">
        <v>3557984906</v>
      </c>
      <c r="F2556" s="52">
        <f t="shared" si="82"/>
        <v>4.982445898138723E-2</v>
      </c>
      <c r="G2556" s="52">
        <f t="shared" si="83"/>
        <v>1.4846059711535551E-2</v>
      </c>
    </row>
    <row r="2557" spans="1:7" ht="15" customHeight="1" x14ac:dyDescent="0.2">
      <c r="A2557" s="19" t="s">
        <v>2704</v>
      </c>
      <c r="B2557" s="50">
        <v>290.39400000000001</v>
      </c>
      <c r="C2557" s="50">
        <v>4384.6499999999996</v>
      </c>
      <c r="D2557" s="51">
        <v>33321920.708641</v>
      </c>
      <c r="E2557" s="51">
        <v>2692920879</v>
      </c>
      <c r="F2557" s="52">
        <f t="shared" si="82"/>
        <v>9.1952285067093721E-3</v>
      </c>
      <c r="G2557" s="52">
        <f t="shared" si="83"/>
        <v>2.2126148364756827E-2</v>
      </c>
    </row>
    <row r="2558" spans="1:7" ht="15" customHeight="1" x14ac:dyDescent="0.2">
      <c r="A2558" s="19" t="s">
        <v>2705</v>
      </c>
      <c r="B2558" s="50">
        <v>291.83999999999997</v>
      </c>
      <c r="C2558" s="50">
        <v>4373.9399999999996</v>
      </c>
      <c r="D2558" s="51">
        <v>35452215.800660998</v>
      </c>
      <c r="E2558" s="51">
        <v>3226746590</v>
      </c>
      <c r="F2558" s="52">
        <f t="shared" si="82"/>
        <v>4.967085305794974E-3</v>
      </c>
      <c r="G2558" s="52">
        <f t="shared" si="83"/>
        <v>-2.445600339325641E-3</v>
      </c>
    </row>
    <row r="2559" spans="1:7" ht="15" customHeight="1" x14ac:dyDescent="0.2">
      <c r="A2559" s="19" t="s">
        <v>2706</v>
      </c>
      <c r="B2559" s="50">
        <v>288.08800000000002</v>
      </c>
      <c r="C2559" s="50">
        <v>4306.26</v>
      </c>
      <c r="D2559" s="51">
        <v>31961324.866365999</v>
      </c>
      <c r="E2559" s="51">
        <v>3136231628</v>
      </c>
      <c r="F2559" s="52">
        <f t="shared" si="82"/>
        <v>-1.2939717867056586E-2</v>
      </c>
      <c r="G2559" s="52">
        <f t="shared" si="83"/>
        <v>-1.5594426756135317E-2</v>
      </c>
    </row>
    <row r="2560" spans="1:7" ht="15" customHeight="1" x14ac:dyDescent="0.2">
      <c r="A2560" s="19" t="s">
        <v>2707</v>
      </c>
      <c r="B2560" s="50">
        <v>293.20499999999998</v>
      </c>
      <c r="C2560" s="50">
        <v>4386.54</v>
      </c>
      <c r="D2560" s="51">
        <v>32632160.149096999</v>
      </c>
      <c r="E2560" s="51">
        <v>2867342109</v>
      </c>
      <c r="F2560" s="52">
        <f t="shared" si="82"/>
        <v>1.7606034054184917E-2</v>
      </c>
      <c r="G2560" s="52">
        <f t="shared" si="83"/>
        <v>1.8470983448989332E-2</v>
      </c>
    </row>
    <row r="2561" spans="1:7" ht="15" customHeight="1" x14ac:dyDescent="0.2">
      <c r="A2561" s="19" t="s">
        <v>2708</v>
      </c>
      <c r="B2561" s="50">
        <v>289.03500000000003</v>
      </c>
      <c r="C2561" s="50">
        <v>4363.49</v>
      </c>
      <c r="D2561" s="51">
        <v>27965046.623794001</v>
      </c>
      <c r="E2561" s="51">
        <v>2617737783</v>
      </c>
      <c r="F2561" s="52">
        <f t="shared" si="82"/>
        <v>-1.4324235027119561E-2</v>
      </c>
      <c r="G2561" s="52">
        <f t="shared" si="83"/>
        <v>-5.2685655519010824E-3</v>
      </c>
    </row>
    <row r="2562" spans="1:7" ht="15" customHeight="1" x14ac:dyDescent="0.2">
      <c r="A2562" s="19" t="s">
        <v>2709</v>
      </c>
      <c r="B2562" s="50">
        <v>283.11599999999999</v>
      </c>
      <c r="C2562" s="50">
        <v>4328.87</v>
      </c>
      <c r="D2562" s="51">
        <v>33140637.340273999</v>
      </c>
      <c r="E2562" s="51">
        <v>2992345589</v>
      </c>
      <c r="F2562" s="52">
        <f t="shared" si="82"/>
        <v>-2.06910803933988E-2</v>
      </c>
      <c r="G2562" s="52">
        <f t="shared" si="83"/>
        <v>-7.9656579014163158E-3</v>
      </c>
    </row>
    <row r="2563" spans="1:7" ht="15" customHeight="1" x14ac:dyDescent="0.2">
      <c r="A2563" s="19" t="s">
        <v>2710</v>
      </c>
      <c r="B2563" s="50">
        <v>272.423</v>
      </c>
      <c r="C2563" s="50">
        <v>4201.09</v>
      </c>
      <c r="D2563" s="51">
        <v>44185098.195445001</v>
      </c>
      <c r="E2563" s="51">
        <v>3509191905</v>
      </c>
      <c r="F2563" s="52">
        <f t="shared" si="82"/>
        <v>-3.8500702286704776E-2</v>
      </c>
      <c r="G2563" s="52">
        <f t="shared" si="83"/>
        <v>-2.9962522550535008E-2</v>
      </c>
    </row>
    <row r="2564" spans="1:7" ht="15" customHeight="1" x14ac:dyDescent="0.2">
      <c r="A2564" s="19" t="s">
        <v>2711</v>
      </c>
      <c r="B2564" s="50">
        <v>269.43200000000002</v>
      </c>
      <c r="C2564" s="50">
        <v>4170.7</v>
      </c>
      <c r="D2564" s="51">
        <v>49306540.198620997</v>
      </c>
      <c r="E2564" s="51">
        <v>3636375797</v>
      </c>
      <c r="F2564" s="52">
        <f t="shared" si="82"/>
        <v>-1.1039965964103924E-2</v>
      </c>
      <c r="G2564" s="52">
        <f t="shared" si="83"/>
        <v>-7.2601279980952522E-3</v>
      </c>
    </row>
    <row r="2565" spans="1:7" ht="15" customHeight="1" x14ac:dyDescent="0.2">
      <c r="A2565" s="19" t="s">
        <v>2712</v>
      </c>
      <c r="B2565" s="50">
        <v>281.78899999999999</v>
      </c>
      <c r="C2565" s="50">
        <v>4277.88</v>
      </c>
      <c r="D2565" s="51">
        <v>36042982.368299</v>
      </c>
      <c r="E2565" s="51">
        <v>3018723346</v>
      </c>
      <c r="F2565" s="52">
        <f t="shared" si="82"/>
        <v>4.4842524524498058E-2</v>
      </c>
      <c r="G2565" s="52">
        <f t="shared" si="83"/>
        <v>2.5373672345635229E-2</v>
      </c>
    </row>
    <row r="2566" spans="1:7" ht="15" customHeight="1" x14ac:dyDescent="0.2">
      <c r="A2566" s="19" t="s">
        <v>2713</v>
      </c>
      <c r="B2566" s="50">
        <v>278.94600000000003</v>
      </c>
      <c r="C2566" s="50">
        <v>4259.5200000000004</v>
      </c>
      <c r="D2566" s="51">
        <v>31357511.785206001</v>
      </c>
      <c r="E2566" s="51">
        <v>2583441996</v>
      </c>
      <c r="F2566" s="52">
        <f t="shared" ref="F2566:F2629" si="84">LN(B2566/B2565)</f>
        <v>-1.0140349224903191E-2</v>
      </c>
      <c r="G2566" s="52">
        <f t="shared" ref="G2566:G2629" si="85">LN(C2566/C2565)</f>
        <v>-4.3010818993905854E-3</v>
      </c>
    </row>
    <row r="2567" spans="1:7" ht="15" customHeight="1" x14ac:dyDescent="0.2">
      <c r="A2567" s="19" t="s">
        <v>2714</v>
      </c>
      <c r="B2567" s="50">
        <v>273.553</v>
      </c>
      <c r="C2567" s="50">
        <v>4204.3100000000004</v>
      </c>
      <c r="D2567" s="51">
        <v>27857403.416930001</v>
      </c>
      <c r="E2567" s="51">
        <v>2335196408</v>
      </c>
      <c r="F2567" s="52">
        <f t="shared" si="84"/>
        <v>-1.9522827335195309E-2</v>
      </c>
      <c r="G2567" s="52">
        <f t="shared" si="85"/>
        <v>-1.3046288284512193E-2</v>
      </c>
    </row>
    <row r="2568" spans="1:7" ht="15" customHeight="1" x14ac:dyDescent="0.2">
      <c r="A2568" s="19" t="s">
        <v>2715</v>
      </c>
      <c r="B2568" s="50">
        <v>270.01</v>
      </c>
      <c r="C2568" s="50">
        <v>4173.1099999999997</v>
      </c>
      <c r="D2568" s="51">
        <v>31391026.469354998</v>
      </c>
      <c r="E2568" s="51">
        <v>2714056407</v>
      </c>
      <c r="F2568" s="52">
        <f t="shared" si="84"/>
        <v>-1.3036392016609713E-2</v>
      </c>
      <c r="G2568" s="52">
        <f t="shared" si="85"/>
        <v>-7.4486283971046856E-3</v>
      </c>
    </row>
    <row r="2569" spans="1:7" ht="15" customHeight="1" x14ac:dyDescent="0.2">
      <c r="A2569" s="19" t="s">
        <v>2716</v>
      </c>
      <c r="B2569" s="50">
        <v>280.47000000000003</v>
      </c>
      <c r="C2569" s="50">
        <v>4262.45</v>
      </c>
      <c r="D2569" s="51">
        <v>35060736.441950001</v>
      </c>
      <c r="E2569" s="51">
        <v>2630767161</v>
      </c>
      <c r="F2569" s="52">
        <f t="shared" si="84"/>
        <v>3.8007772021776555E-2</v>
      </c>
      <c r="G2569" s="52">
        <f t="shared" si="85"/>
        <v>2.1182551140656723E-2</v>
      </c>
    </row>
    <row r="2570" spans="1:7" ht="15" customHeight="1" x14ac:dyDescent="0.2">
      <c r="A2570" s="19" t="s">
        <v>2717</v>
      </c>
      <c r="B2570" s="50">
        <v>287.54000000000002</v>
      </c>
      <c r="C2570" s="50">
        <v>4357.8599999999997</v>
      </c>
      <c r="D2570" s="51">
        <v>38727278.721472003</v>
      </c>
      <c r="E2570" s="51">
        <v>2922879968</v>
      </c>
      <c r="F2570" s="52">
        <f t="shared" si="84"/>
        <v>2.4895213623112363E-2</v>
      </c>
      <c r="G2570" s="52">
        <f t="shared" si="85"/>
        <v>2.2136998842954763E-2</v>
      </c>
    </row>
    <row r="2571" spans="1:7" ht="15" customHeight="1" x14ac:dyDescent="0.2">
      <c r="A2571" s="19" t="s">
        <v>2718</v>
      </c>
      <c r="B2571" s="50">
        <v>288.35199999999998</v>
      </c>
      <c r="C2571" s="50">
        <v>4411.67</v>
      </c>
      <c r="D2571" s="51">
        <v>31550625.371240001</v>
      </c>
      <c r="E2571" s="51">
        <v>2435098356</v>
      </c>
      <c r="F2571" s="52">
        <f t="shared" si="84"/>
        <v>2.8199750581801701E-3</v>
      </c>
      <c r="G2571" s="52">
        <f t="shared" si="85"/>
        <v>1.2272191404503483E-2</v>
      </c>
    </row>
    <row r="2572" spans="1:7" ht="15" customHeight="1" x14ac:dyDescent="0.2">
      <c r="A2572" s="19" t="s">
        <v>2719</v>
      </c>
      <c r="B2572" s="50">
        <v>293.44099999999997</v>
      </c>
      <c r="C2572" s="50">
        <v>4463.12</v>
      </c>
      <c r="D2572" s="51">
        <v>44424105.449773997</v>
      </c>
      <c r="E2572" s="51">
        <v>4234433858</v>
      </c>
      <c r="F2572" s="52">
        <f t="shared" si="84"/>
        <v>1.749464086135688E-2</v>
      </c>
      <c r="G2572" s="52">
        <f t="shared" si="85"/>
        <v>1.1594770446318643E-2</v>
      </c>
    </row>
    <row r="2573" spans="1:7" ht="15" customHeight="1" x14ac:dyDescent="0.2">
      <c r="A2573" s="19" t="s">
        <v>2720</v>
      </c>
      <c r="B2573" s="50">
        <v>292.2</v>
      </c>
      <c r="C2573" s="50">
        <v>4461.18</v>
      </c>
      <c r="D2573" s="51">
        <v>29026516.615338001</v>
      </c>
      <c r="E2573" s="51">
        <v>2479499718</v>
      </c>
      <c r="F2573" s="52">
        <f t="shared" si="84"/>
        <v>-4.2380975973844437E-3</v>
      </c>
      <c r="G2573" s="52">
        <f t="shared" si="85"/>
        <v>-4.3476799985616853E-4</v>
      </c>
    </row>
    <row r="2574" spans="1:7" ht="15" customHeight="1" x14ac:dyDescent="0.2">
      <c r="A2574" s="19" t="s">
        <v>2721</v>
      </c>
      <c r="B2574" s="50">
        <v>296.98599999999999</v>
      </c>
      <c r="C2574" s="50">
        <v>4511.6099999999997</v>
      </c>
      <c r="D2574" s="51">
        <v>28257060.010474</v>
      </c>
      <c r="E2574" s="51">
        <v>2341523848</v>
      </c>
      <c r="F2574" s="52">
        <f t="shared" si="84"/>
        <v>1.6246500327929753E-2</v>
      </c>
      <c r="G2574" s="52">
        <f t="shared" si="85"/>
        <v>1.1240769260246017E-2</v>
      </c>
    </row>
    <row r="2575" spans="1:7" ht="15" customHeight="1" x14ac:dyDescent="0.2">
      <c r="A2575" s="19" t="s">
        <v>2722</v>
      </c>
      <c r="B2575" s="50">
        <v>292.52199999999999</v>
      </c>
      <c r="C2575" s="50">
        <v>4456.24</v>
      </c>
      <c r="D2575" s="51">
        <v>26327867.356802002</v>
      </c>
      <c r="E2575" s="51">
        <v>2181298863</v>
      </c>
      <c r="F2575" s="52">
        <f t="shared" si="84"/>
        <v>-1.5145122125810683E-2</v>
      </c>
      <c r="G2575" s="52">
        <f t="shared" si="85"/>
        <v>-1.2348713151043481E-2</v>
      </c>
    </row>
    <row r="2576" spans="1:7" ht="15" customHeight="1" x14ac:dyDescent="0.2">
      <c r="A2576" s="19" t="s">
        <v>2723</v>
      </c>
      <c r="B2576" s="50">
        <v>297.02499999999998</v>
      </c>
      <c r="C2576" s="50">
        <v>4520.16</v>
      </c>
      <c r="D2576" s="51">
        <v>25067628.208268002</v>
      </c>
      <c r="E2576" s="51">
        <v>2076509992</v>
      </c>
      <c r="F2576" s="52">
        <f t="shared" si="84"/>
        <v>1.5276432825632841E-2</v>
      </c>
      <c r="G2576" s="52">
        <f t="shared" si="85"/>
        <v>1.4242030309045384E-2</v>
      </c>
    </row>
    <row r="2577" spans="1:7" ht="15" customHeight="1" x14ac:dyDescent="0.2">
      <c r="A2577" s="19" t="s">
        <v>2724</v>
      </c>
      <c r="B2577" s="50">
        <v>296.613</v>
      </c>
      <c r="C2577" s="50">
        <v>4543.0600000000004</v>
      </c>
      <c r="D2577" s="51">
        <v>23103942.100382999</v>
      </c>
      <c r="E2577" s="51">
        <v>1997323727</v>
      </c>
      <c r="F2577" s="52">
        <f t="shared" si="84"/>
        <v>-1.3880515268549932E-3</v>
      </c>
      <c r="G2577" s="52">
        <f t="shared" si="85"/>
        <v>5.0534023741785035E-3</v>
      </c>
    </row>
    <row r="2578" spans="1:7" ht="15" customHeight="1" x14ac:dyDescent="0.2">
      <c r="A2578" s="19" t="s">
        <v>2725</v>
      </c>
      <c r="B2578" s="50">
        <v>303.47199999999998</v>
      </c>
      <c r="C2578" s="50">
        <v>4575.5200000000004</v>
      </c>
      <c r="D2578" s="51">
        <v>30282683.015634</v>
      </c>
      <c r="E2578" s="51">
        <v>2017538125</v>
      </c>
      <c r="F2578" s="52">
        <f t="shared" si="84"/>
        <v>2.2861090424470369E-2</v>
      </c>
      <c r="G2578" s="52">
        <f t="shared" si="85"/>
        <v>7.1195596488213336E-3</v>
      </c>
    </row>
    <row r="2579" spans="1:7" ht="15" customHeight="1" x14ac:dyDescent="0.2">
      <c r="A2579" s="19" t="s">
        <v>2726</v>
      </c>
      <c r="B2579" s="50">
        <v>308.07299999999998</v>
      </c>
      <c r="C2579" s="50">
        <v>4631.6000000000004</v>
      </c>
      <c r="D2579" s="51">
        <v>31117314.854290999</v>
      </c>
      <c r="E2579" s="51">
        <v>2449168296</v>
      </c>
      <c r="F2579" s="52">
        <f t="shared" si="84"/>
        <v>1.5047418635480125E-2</v>
      </c>
      <c r="G2579" s="52">
        <f t="shared" si="85"/>
        <v>1.2182027285255538E-2</v>
      </c>
    </row>
    <row r="2580" spans="1:7" ht="15" customHeight="1" x14ac:dyDescent="0.2">
      <c r="A2580" s="19" t="s">
        <v>2727</v>
      </c>
      <c r="B2580" s="50">
        <v>306.55900000000003</v>
      </c>
      <c r="C2580" s="50">
        <v>4602.45</v>
      </c>
      <c r="D2580" s="51">
        <v>28834356.203915998</v>
      </c>
      <c r="E2580" s="51">
        <v>2080196324</v>
      </c>
      <c r="F2580" s="52">
        <f t="shared" si="84"/>
        <v>-4.9265351044465522E-3</v>
      </c>
      <c r="G2580" s="52">
        <f t="shared" si="85"/>
        <v>-6.313610350948985E-3</v>
      </c>
    </row>
    <row r="2581" spans="1:7" ht="15" customHeight="1" x14ac:dyDescent="0.2">
      <c r="A2581" s="19" t="s">
        <v>2728</v>
      </c>
      <c r="B2581" s="50">
        <v>301.13600000000002</v>
      </c>
      <c r="C2581" s="50">
        <v>4530.41</v>
      </c>
      <c r="D2581" s="51">
        <v>34218118.822437003</v>
      </c>
      <c r="E2581" s="51">
        <v>2644203200</v>
      </c>
      <c r="F2581" s="52">
        <f t="shared" si="84"/>
        <v>-1.7848242824791801E-2</v>
      </c>
      <c r="G2581" s="52">
        <f t="shared" si="85"/>
        <v>-1.577632727939729E-2</v>
      </c>
    </row>
    <row r="2582" spans="1:7" ht="15" customHeight="1" x14ac:dyDescent="0.2">
      <c r="A2582" s="19" t="s">
        <v>2729</v>
      </c>
      <c r="B2582" s="50">
        <v>302.22199999999998</v>
      </c>
      <c r="C2582" s="50">
        <v>4545.8599999999997</v>
      </c>
      <c r="D2582" s="51">
        <v>27756249.168919999</v>
      </c>
      <c r="E2582" s="51">
        <v>2324492158</v>
      </c>
      <c r="F2582" s="52">
        <f t="shared" si="84"/>
        <v>3.5998567112273008E-3</v>
      </c>
      <c r="G2582" s="52">
        <f t="shared" si="85"/>
        <v>3.4044855260572872E-3</v>
      </c>
    </row>
    <row r="2583" spans="1:7" ht="15" customHeight="1" x14ac:dyDescent="0.2">
      <c r="A2583" s="19" t="s">
        <v>2730</v>
      </c>
      <c r="B2583" s="50">
        <v>307.642</v>
      </c>
      <c r="C2583" s="50">
        <v>4582.6400000000003</v>
      </c>
      <c r="D2583" s="51">
        <v>24915501.130573001</v>
      </c>
      <c r="E2583" s="51">
        <v>2280384041</v>
      </c>
      <c r="F2583" s="52">
        <f t="shared" si="84"/>
        <v>1.7774922613473212E-2</v>
      </c>
      <c r="G2583" s="52">
        <f t="shared" si="85"/>
        <v>8.0583226226329796E-3</v>
      </c>
    </row>
    <row r="2584" spans="1:7" ht="15" customHeight="1" x14ac:dyDescent="0.2">
      <c r="A2584" s="19" t="s">
        <v>2731</v>
      </c>
      <c r="B2584" s="50">
        <v>303.64699999999999</v>
      </c>
      <c r="C2584" s="50">
        <v>4525.12</v>
      </c>
      <c r="D2584" s="51">
        <v>23708267.090571001</v>
      </c>
      <c r="E2584" s="51">
        <v>2420827941</v>
      </c>
      <c r="F2584" s="52">
        <f t="shared" si="84"/>
        <v>-1.3070926773947621E-2</v>
      </c>
      <c r="G2584" s="52">
        <f t="shared" si="85"/>
        <v>-1.2631155137050305E-2</v>
      </c>
    </row>
    <row r="2585" spans="1:7" ht="15" customHeight="1" x14ac:dyDescent="0.2">
      <c r="A2585" s="19" t="s">
        <v>2732</v>
      </c>
      <c r="B2585" s="50">
        <v>292.53199999999998</v>
      </c>
      <c r="C2585" s="50">
        <v>4481.1499999999996</v>
      </c>
      <c r="D2585" s="51">
        <v>41065723.191535003</v>
      </c>
      <c r="E2585" s="51">
        <v>2718023074</v>
      </c>
      <c r="F2585" s="52">
        <f t="shared" si="84"/>
        <v>-3.7291780101579013E-2</v>
      </c>
      <c r="G2585" s="52">
        <f t="shared" si="85"/>
        <v>-9.7643862227005471E-3</v>
      </c>
    </row>
    <row r="2586" spans="1:7" ht="15" customHeight="1" x14ac:dyDescent="0.2">
      <c r="A2586" s="19" t="s">
        <v>2733</v>
      </c>
      <c r="B2586" s="50">
        <v>294.35899999999998</v>
      </c>
      <c r="C2586" s="50">
        <v>4500.21</v>
      </c>
      <c r="D2586" s="51">
        <v>32159307.731088001</v>
      </c>
      <c r="E2586" s="51">
        <v>2598710105</v>
      </c>
      <c r="F2586" s="52">
        <f t="shared" si="84"/>
        <v>6.2260484545387726E-3</v>
      </c>
      <c r="G2586" s="52">
        <f t="shared" si="85"/>
        <v>4.2443524395117957E-3</v>
      </c>
    </row>
    <row r="2587" spans="1:7" ht="15" customHeight="1" x14ac:dyDescent="0.2">
      <c r="A2587" s="19" t="s">
        <v>2734</v>
      </c>
      <c r="B2587" s="50">
        <v>290.06099999999998</v>
      </c>
      <c r="C2587" s="50">
        <v>4488.28</v>
      </c>
      <c r="D2587" s="51">
        <v>24942170.567182999</v>
      </c>
      <c r="E2587" s="51">
        <v>2247337166</v>
      </c>
      <c r="F2587" s="52">
        <f t="shared" si="84"/>
        <v>-1.4708865163186733E-2</v>
      </c>
      <c r="G2587" s="52">
        <f t="shared" si="85"/>
        <v>-2.6545074879774648E-3</v>
      </c>
    </row>
    <row r="2588" spans="1:7" ht="15" customHeight="1" x14ac:dyDescent="0.2">
      <c r="A2588" s="19" t="s">
        <v>2735</v>
      </c>
      <c r="B2588" s="50">
        <v>278.62299999999999</v>
      </c>
      <c r="C2588" s="50">
        <v>4412.53</v>
      </c>
      <c r="D2588" s="51">
        <v>35392636.756375998</v>
      </c>
      <c r="E2588" s="51">
        <v>2333774550</v>
      </c>
      <c r="F2588" s="52">
        <f t="shared" si="84"/>
        <v>-4.0231632115238482E-2</v>
      </c>
      <c r="G2588" s="52">
        <f t="shared" si="85"/>
        <v>-1.7021333762949849E-2</v>
      </c>
    </row>
    <row r="2589" spans="1:7" ht="15" customHeight="1" x14ac:dyDescent="0.2">
      <c r="A2589" s="19" t="s">
        <v>2736</v>
      </c>
      <c r="B2589" s="50">
        <v>275.49900000000002</v>
      </c>
      <c r="C2589" s="50">
        <v>4397.45</v>
      </c>
      <c r="D2589" s="51">
        <v>31704288.176022999</v>
      </c>
      <c r="E2589" s="51">
        <v>2167088424</v>
      </c>
      <c r="F2589" s="52">
        <f t="shared" si="84"/>
        <v>-1.1275614751179552E-2</v>
      </c>
      <c r="G2589" s="52">
        <f t="shared" si="85"/>
        <v>-3.4233936348681705E-3</v>
      </c>
    </row>
    <row r="2590" spans="1:7" ht="15" customHeight="1" x14ac:dyDescent="0.2">
      <c r="A2590" s="19" t="s">
        <v>2737</v>
      </c>
      <c r="B2590" s="50">
        <v>280.93099999999998</v>
      </c>
      <c r="C2590" s="50">
        <v>4446.59</v>
      </c>
      <c r="D2590" s="51">
        <v>22428962.402150001</v>
      </c>
      <c r="E2590" s="51">
        <v>2103002387</v>
      </c>
      <c r="F2590" s="52">
        <f t="shared" si="84"/>
        <v>1.9525088757275245E-2</v>
      </c>
      <c r="G2590" s="52">
        <f t="shared" si="85"/>
        <v>1.1112682823133003E-2</v>
      </c>
    </row>
    <row r="2591" spans="1:7" ht="15" customHeight="1" x14ac:dyDescent="0.2">
      <c r="A2591" s="19" t="s">
        <v>2738</v>
      </c>
      <c r="B2591" s="50">
        <v>273.32100000000003</v>
      </c>
      <c r="C2591" s="50">
        <v>4392.59</v>
      </c>
      <c r="D2591" s="51">
        <v>28893790.889855001</v>
      </c>
      <c r="E2591" s="51">
        <v>2438692580</v>
      </c>
      <c r="F2591" s="52">
        <f t="shared" si="84"/>
        <v>-2.7462158958647731E-2</v>
      </c>
      <c r="G2591" s="52">
        <f t="shared" si="85"/>
        <v>-1.2218479951525796E-2</v>
      </c>
    </row>
    <row r="2592" spans="1:7" ht="15" customHeight="1" x14ac:dyDescent="0.2">
      <c r="A2592" s="19" t="s">
        <v>2739</v>
      </c>
      <c r="B2592" s="50">
        <v>273.99299999999999</v>
      </c>
      <c r="C2592" s="50">
        <v>4391.6899999999996</v>
      </c>
      <c r="D2592" s="51">
        <v>21272891.621991001</v>
      </c>
      <c r="E2592" s="51">
        <v>2049261518</v>
      </c>
      <c r="F2592" s="52">
        <f t="shared" si="84"/>
        <v>2.4556299955293013E-3</v>
      </c>
      <c r="G2592" s="52">
        <f t="shared" si="85"/>
        <v>-2.0491150171664794E-4</v>
      </c>
    </row>
    <row r="2593" spans="1:7" ht="15" customHeight="1" x14ac:dyDescent="0.2">
      <c r="A2593" s="19" t="s">
        <v>2740</v>
      </c>
      <c r="B2593" s="50">
        <v>278.66199999999998</v>
      </c>
      <c r="C2593" s="50">
        <v>4462.21</v>
      </c>
      <c r="D2593" s="51">
        <v>22828808.402035002</v>
      </c>
      <c r="E2593" s="51">
        <v>2246729830</v>
      </c>
      <c r="F2593" s="52">
        <f t="shared" si="84"/>
        <v>1.6897019248412672E-2</v>
      </c>
      <c r="G2593" s="52">
        <f t="shared" si="85"/>
        <v>1.5930040161497565E-2</v>
      </c>
    </row>
    <row r="2594" spans="1:7" ht="15" customHeight="1" x14ac:dyDescent="0.2">
      <c r="A2594" s="19" t="s">
        <v>2741</v>
      </c>
      <c r="B2594" s="50">
        <v>279.69900000000001</v>
      </c>
      <c r="C2594" s="50">
        <v>4459.45</v>
      </c>
      <c r="D2594" s="51">
        <v>23452259.337377001</v>
      </c>
      <c r="E2594" s="51">
        <v>2382044298</v>
      </c>
      <c r="F2594" s="52">
        <f t="shared" si="84"/>
        <v>3.7144470774307103E-3</v>
      </c>
      <c r="G2594" s="52">
        <f t="shared" si="85"/>
        <v>-6.1871895769334236E-4</v>
      </c>
    </row>
    <row r="2595" spans="1:7" ht="15" customHeight="1" x14ac:dyDescent="0.2">
      <c r="A2595" s="19" t="s">
        <v>2742</v>
      </c>
      <c r="B2595" s="50">
        <v>274.27600000000001</v>
      </c>
      <c r="C2595" s="50">
        <v>4393.66</v>
      </c>
      <c r="D2595" s="51">
        <v>30156138.079771999</v>
      </c>
      <c r="E2595" s="51">
        <v>2634157914</v>
      </c>
      <c r="F2595" s="52">
        <f t="shared" si="84"/>
        <v>-1.9579126269654235E-2</v>
      </c>
      <c r="G2595" s="52">
        <f t="shared" si="85"/>
        <v>-1.4862847316476122E-2</v>
      </c>
    </row>
    <row r="2596" spans="1:7" ht="15" customHeight="1" x14ac:dyDescent="0.2">
      <c r="A2596" s="19" t="s">
        <v>2743</v>
      </c>
      <c r="B2596" s="50">
        <v>267.654</v>
      </c>
      <c r="C2596" s="50">
        <v>4271.78</v>
      </c>
      <c r="D2596" s="51">
        <v>30106187.020509001</v>
      </c>
      <c r="E2596" s="51">
        <v>2515855752</v>
      </c>
      <c r="F2596" s="52">
        <f t="shared" si="84"/>
        <v>-2.44397970542303E-2</v>
      </c>
      <c r="G2596" s="52">
        <f t="shared" si="85"/>
        <v>-2.813199052103028E-2</v>
      </c>
    </row>
    <row r="2597" spans="1:7" ht="15" customHeight="1" x14ac:dyDescent="0.2">
      <c r="A2597" s="19" t="s">
        <v>2744</v>
      </c>
      <c r="B2597" s="50">
        <v>274.19099999999997</v>
      </c>
      <c r="C2597" s="50">
        <v>4296.12</v>
      </c>
      <c r="D2597" s="51">
        <v>36528652.988403</v>
      </c>
      <c r="E2597" s="51">
        <v>2846155944</v>
      </c>
      <c r="F2597" s="52">
        <f t="shared" si="84"/>
        <v>2.4129842213991805E-2</v>
      </c>
      <c r="G2597" s="52">
        <f t="shared" si="85"/>
        <v>5.6816875728607956E-3</v>
      </c>
    </row>
    <row r="2598" spans="1:7" ht="15" customHeight="1" x14ac:dyDescent="0.2">
      <c r="A2598" s="19" t="s">
        <v>2745</v>
      </c>
      <c r="B2598" s="50">
        <v>263.93299999999999</v>
      </c>
      <c r="C2598" s="50">
        <v>4175.2</v>
      </c>
      <c r="D2598" s="51">
        <v>47626424.049884997</v>
      </c>
      <c r="E2598" s="51">
        <v>2644480439</v>
      </c>
      <c r="F2598" s="52">
        <f t="shared" si="84"/>
        <v>-3.8129660774488996E-2</v>
      </c>
      <c r="G2598" s="52">
        <f t="shared" si="85"/>
        <v>-2.8550028430273121E-2</v>
      </c>
    </row>
    <row r="2599" spans="1:7" ht="15" customHeight="1" x14ac:dyDescent="0.2">
      <c r="A2599" s="19" t="s">
        <v>2746</v>
      </c>
      <c r="B2599" s="50">
        <v>276.63099999999997</v>
      </c>
      <c r="C2599" s="50">
        <v>4183.96</v>
      </c>
      <c r="D2599" s="51">
        <v>64989609.436705001</v>
      </c>
      <c r="E2599" s="51">
        <v>2645379293</v>
      </c>
      <c r="F2599" s="52">
        <f t="shared" si="84"/>
        <v>4.6989205091610073E-2</v>
      </c>
      <c r="G2599" s="52">
        <f t="shared" si="85"/>
        <v>2.0959051404105173E-3</v>
      </c>
    </row>
    <row r="2600" spans="1:7" ht="15" customHeight="1" x14ac:dyDescent="0.2">
      <c r="A2600" s="19" t="s">
        <v>2747</v>
      </c>
      <c r="B2600" s="50">
        <v>282.89299999999997</v>
      </c>
      <c r="C2600" s="50">
        <v>4287.5</v>
      </c>
      <c r="D2600" s="51">
        <v>34447965.976595998</v>
      </c>
      <c r="E2600" s="51">
        <v>2765340120</v>
      </c>
      <c r="F2600" s="52">
        <f t="shared" si="84"/>
        <v>2.2384246126147377E-2</v>
      </c>
      <c r="G2600" s="52">
        <f t="shared" si="85"/>
        <v>2.444564600458133E-2</v>
      </c>
    </row>
    <row r="2601" spans="1:7" ht="15" customHeight="1" x14ac:dyDescent="0.2">
      <c r="A2601" s="19" t="s">
        <v>2748</v>
      </c>
      <c r="B2601" s="50">
        <v>271.065</v>
      </c>
      <c r="C2601" s="50">
        <v>4131.93</v>
      </c>
      <c r="D2601" s="51">
        <v>37956951.871257998</v>
      </c>
      <c r="E2601" s="51">
        <v>2846133680</v>
      </c>
      <c r="F2601" s="52">
        <f t="shared" si="84"/>
        <v>-4.2710089757455209E-2</v>
      </c>
      <c r="G2601" s="52">
        <f t="shared" si="85"/>
        <v>-3.6959202326858717E-2</v>
      </c>
    </row>
    <row r="2602" spans="1:7" ht="15" customHeight="1" x14ac:dyDescent="0.2">
      <c r="A2602" s="19" t="s">
        <v>2749</v>
      </c>
      <c r="B2602" s="50">
        <v>277.85199999999998</v>
      </c>
      <c r="C2602" s="50">
        <v>4155.38</v>
      </c>
      <c r="D2602" s="51">
        <v>35988336.07942</v>
      </c>
      <c r="E2602" s="51">
        <v>2741101346</v>
      </c>
      <c r="F2602" s="52">
        <f t="shared" si="84"/>
        <v>2.4729953310273257E-2</v>
      </c>
      <c r="G2602" s="52">
        <f t="shared" si="85"/>
        <v>5.6592700373755203E-3</v>
      </c>
    </row>
    <row r="2603" spans="1:7" ht="15" customHeight="1" x14ac:dyDescent="0.2">
      <c r="A2603" s="19" t="s">
        <v>2750</v>
      </c>
      <c r="B2603" s="50">
        <v>275.22500000000002</v>
      </c>
      <c r="C2603" s="50">
        <v>4175.4799999999996</v>
      </c>
      <c r="D2603" s="51">
        <v>26597364.936735</v>
      </c>
      <c r="E2603" s="51">
        <v>2504555235</v>
      </c>
      <c r="F2603" s="52">
        <f t="shared" si="84"/>
        <v>-9.4996528720434764E-3</v>
      </c>
      <c r="G2603" s="52">
        <f t="shared" si="85"/>
        <v>4.8254415515728731E-3</v>
      </c>
    </row>
    <row r="2604" spans="1:7" ht="15" customHeight="1" x14ac:dyDescent="0.2">
      <c r="A2604" s="19" t="s">
        <v>2751</v>
      </c>
      <c r="B2604" s="50">
        <v>283.23399999999998</v>
      </c>
      <c r="C2604" s="50">
        <v>4300.17</v>
      </c>
      <c r="D2604" s="51">
        <v>34399590.573325999</v>
      </c>
      <c r="E2604" s="51">
        <v>2875234248</v>
      </c>
      <c r="F2604" s="52">
        <f t="shared" si="84"/>
        <v>2.8684466154068246E-2</v>
      </c>
      <c r="G2604" s="52">
        <f t="shared" si="85"/>
        <v>2.9425235047606604E-2</v>
      </c>
    </row>
    <row r="2605" spans="1:7" ht="15" customHeight="1" x14ac:dyDescent="0.2">
      <c r="A2605" s="19" t="s">
        <v>2752</v>
      </c>
      <c r="B2605" s="50">
        <v>270.899</v>
      </c>
      <c r="C2605" s="50">
        <v>4146.87</v>
      </c>
      <c r="D2605" s="51">
        <v>44290764.409639001</v>
      </c>
      <c r="E2605" s="51">
        <v>2869945993</v>
      </c>
      <c r="F2605" s="52">
        <f t="shared" si="84"/>
        <v>-4.4527353425339283E-2</v>
      </c>
      <c r="G2605" s="52">
        <f t="shared" si="85"/>
        <v>-3.6300723991250602E-2</v>
      </c>
    </row>
    <row r="2606" spans="1:7" ht="15" customHeight="1" x14ac:dyDescent="0.2">
      <c r="A2606" s="19" t="s">
        <v>2753</v>
      </c>
      <c r="B2606" s="50">
        <v>268.33800000000002</v>
      </c>
      <c r="C2606" s="50">
        <v>4123.34</v>
      </c>
      <c r="D2606" s="51">
        <v>38680175.924048997</v>
      </c>
      <c r="E2606" s="51">
        <v>2737777030</v>
      </c>
      <c r="F2606" s="52">
        <f t="shared" si="84"/>
        <v>-9.4986777816213393E-3</v>
      </c>
      <c r="G2606" s="52">
        <f t="shared" si="85"/>
        <v>-5.6903182606495763E-3</v>
      </c>
    </row>
    <row r="2607" spans="1:7" ht="15" customHeight="1" x14ac:dyDescent="0.2">
      <c r="A2607" s="19" t="s">
        <v>2754</v>
      </c>
      <c r="B2607" s="50">
        <v>258.42500000000001</v>
      </c>
      <c r="C2607" s="50">
        <v>3991.24</v>
      </c>
      <c r="D2607" s="51">
        <v>48862691.522395</v>
      </c>
      <c r="E2607" s="51">
        <v>3077820809</v>
      </c>
      <c r="F2607" s="52">
        <f t="shared" si="84"/>
        <v>-3.7641863449026133E-2</v>
      </c>
      <c r="G2607" s="52">
        <f t="shared" si="85"/>
        <v>-3.2561554986877753E-2</v>
      </c>
    </row>
    <row r="2608" spans="1:7" ht="15" customHeight="1" x14ac:dyDescent="0.2">
      <c r="A2608" s="19" t="s">
        <v>2755</v>
      </c>
      <c r="B2608" s="50">
        <v>263.23</v>
      </c>
      <c r="C2608" s="50">
        <v>4001.05</v>
      </c>
      <c r="D2608" s="51">
        <v>40273341.252704002</v>
      </c>
      <c r="E2608" s="51">
        <v>2915264940</v>
      </c>
      <c r="F2608" s="52">
        <f t="shared" si="84"/>
        <v>1.8422658264104008E-2</v>
      </c>
      <c r="G2608" s="52">
        <f t="shared" si="85"/>
        <v>2.4548671098168664E-3</v>
      </c>
    </row>
    <row r="2609" spans="1:7" ht="15" customHeight="1" x14ac:dyDescent="0.2">
      <c r="A2609" s="19" t="s">
        <v>2756</v>
      </c>
      <c r="B2609" s="50">
        <v>254.489</v>
      </c>
      <c r="C2609" s="50">
        <v>3935.18</v>
      </c>
      <c r="D2609" s="51">
        <v>50142408.809492998</v>
      </c>
      <c r="E2609" s="51">
        <v>2767622340</v>
      </c>
      <c r="F2609" s="52">
        <f t="shared" si="84"/>
        <v>-3.377056166610206E-2</v>
      </c>
      <c r="G2609" s="52">
        <f t="shared" si="85"/>
        <v>-1.6600202520523653E-2</v>
      </c>
    </row>
    <row r="2610" spans="1:7" ht="15" customHeight="1" x14ac:dyDescent="0.2">
      <c r="A2610" s="19" t="s">
        <v>2757</v>
      </c>
      <c r="B2610" s="50">
        <v>249.41</v>
      </c>
      <c r="C2610" s="50">
        <v>3930.08</v>
      </c>
      <c r="D2610" s="51">
        <v>52249328.087598003</v>
      </c>
      <c r="E2610" s="51">
        <v>3137341972</v>
      </c>
      <c r="F2610" s="52">
        <f t="shared" si="84"/>
        <v>-2.0159484379492432E-2</v>
      </c>
      <c r="G2610" s="52">
        <f t="shared" si="85"/>
        <v>-1.2968422441889949E-3</v>
      </c>
    </row>
    <row r="2611" spans="1:7" ht="15" customHeight="1" x14ac:dyDescent="0.2">
      <c r="A2611" s="19" t="s">
        <v>2758</v>
      </c>
      <c r="B2611" s="50">
        <v>255.04300000000001</v>
      </c>
      <c r="C2611" s="50">
        <v>4023.89</v>
      </c>
      <c r="D2611" s="51">
        <v>35756940.912357002</v>
      </c>
      <c r="E2611" s="51">
        <v>2540467772</v>
      </c>
      <c r="F2611" s="52">
        <f t="shared" si="84"/>
        <v>2.2334029720338031E-2</v>
      </c>
      <c r="G2611" s="52">
        <f t="shared" si="85"/>
        <v>2.3589314531626496E-2</v>
      </c>
    </row>
    <row r="2612" spans="1:7" ht="15" customHeight="1" x14ac:dyDescent="0.2">
      <c r="A2612" s="19" t="s">
        <v>2759</v>
      </c>
      <c r="B2612" s="50">
        <v>255.416</v>
      </c>
      <c r="C2612" s="50">
        <v>4008.01</v>
      </c>
      <c r="D2612" s="51">
        <v>33326233.030304</v>
      </c>
      <c r="E2612" s="51">
        <v>2214046548</v>
      </c>
      <c r="F2612" s="52">
        <f t="shared" si="84"/>
        <v>1.4614300713165977E-3</v>
      </c>
      <c r="G2612" s="52">
        <f t="shared" si="85"/>
        <v>-3.9542376502765091E-3</v>
      </c>
    </row>
    <row r="2613" spans="1:7" ht="15" customHeight="1" x14ac:dyDescent="0.2">
      <c r="A2613" s="19" t="s">
        <v>2760</v>
      </c>
      <c r="B2613" s="50">
        <v>260.61099999999999</v>
      </c>
      <c r="C2613" s="50">
        <v>4088.85</v>
      </c>
      <c r="D2613" s="51">
        <v>29515445.024503998</v>
      </c>
      <c r="E2613" s="51">
        <v>2462826212</v>
      </c>
      <c r="F2613" s="52">
        <f t="shared" si="84"/>
        <v>2.0135285619163303E-2</v>
      </c>
      <c r="G2613" s="52">
        <f t="shared" si="85"/>
        <v>1.9968898134440815E-2</v>
      </c>
    </row>
    <row r="2614" spans="1:7" ht="15" customHeight="1" x14ac:dyDescent="0.2">
      <c r="A2614" s="19" t="s">
        <v>2761</v>
      </c>
      <c r="B2614" s="50">
        <v>248.74600000000001</v>
      </c>
      <c r="C2614" s="50">
        <v>3923.68</v>
      </c>
      <c r="D2614" s="51">
        <v>32028227.515965998</v>
      </c>
      <c r="E2614" s="51">
        <v>2719641498</v>
      </c>
      <c r="F2614" s="52">
        <f t="shared" si="84"/>
        <v>-4.6596578576474715E-2</v>
      </c>
      <c r="G2614" s="52">
        <f t="shared" si="85"/>
        <v>-4.1233767985439373E-2</v>
      </c>
    </row>
    <row r="2615" spans="1:7" ht="15" customHeight="1" x14ac:dyDescent="0.2">
      <c r="A2615" s="19" t="s">
        <v>2762</v>
      </c>
      <c r="B2615" s="50">
        <v>247.82599999999999</v>
      </c>
      <c r="C2615" s="50">
        <v>3900.79</v>
      </c>
      <c r="D2615" s="51">
        <v>33393177.539313</v>
      </c>
      <c r="E2615" s="51">
        <v>2774587225</v>
      </c>
      <c r="F2615" s="52">
        <f t="shared" si="84"/>
        <v>-3.7054084911637931E-3</v>
      </c>
      <c r="G2615" s="52">
        <f t="shared" si="85"/>
        <v>-5.8508922136055116E-3</v>
      </c>
    </row>
    <row r="2616" spans="1:7" ht="15" customHeight="1" x14ac:dyDescent="0.2">
      <c r="A2616" s="19" t="s">
        <v>2763</v>
      </c>
      <c r="B2616" s="50">
        <v>247.25800000000001</v>
      </c>
      <c r="C2616" s="50">
        <v>3901.36</v>
      </c>
      <c r="D2616" s="51">
        <v>40039674.284633003</v>
      </c>
      <c r="E2616" s="51">
        <v>3004732400</v>
      </c>
      <c r="F2616" s="52">
        <f t="shared" si="84"/>
        <v>-2.2945611217913618E-3</v>
      </c>
      <c r="G2616" s="52">
        <f t="shared" si="85"/>
        <v>1.4611357151915558E-4</v>
      </c>
    </row>
    <row r="2617" spans="1:7" ht="15" customHeight="1" x14ac:dyDescent="0.2">
      <c r="A2617" s="19" t="s">
        <v>2764</v>
      </c>
      <c r="B2617" s="50">
        <v>255.179</v>
      </c>
      <c r="C2617" s="50">
        <v>3973.75</v>
      </c>
      <c r="D2617" s="51">
        <v>33886627.594075002</v>
      </c>
      <c r="E2617" s="51">
        <v>2406253177</v>
      </c>
      <c r="F2617" s="52">
        <f t="shared" si="84"/>
        <v>3.1532933789058651E-2</v>
      </c>
      <c r="G2617" s="52">
        <f t="shared" si="85"/>
        <v>1.8385022946529016E-2</v>
      </c>
    </row>
    <row r="2618" spans="1:7" ht="15" customHeight="1" x14ac:dyDescent="0.2">
      <c r="A2618" s="19" t="s">
        <v>2765</v>
      </c>
      <c r="B2618" s="50">
        <v>254.17099999999999</v>
      </c>
      <c r="C2618" s="50">
        <v>3941.48</v>
      </c>
      <c r="D2618" s="51">
        <v>29666577.696853999</v>
      </c>
      <c r="E2618" s="51">
        <v>2437966527</v>
      </c>
      <c r="F2618" s="52">
        <f t="shared" si="84"/>
        <v>-3.9579908350554065E-3</v>
      </c>
      <c r="G2618" s="52">
        <f t="shared" si="85"/>
        <v>-8.1539459482493481E-3</v>
      </c>
    </row>
    <row r="2619" spans="1:7" ht="15" customHeight="1" x14ac:dyDescent="0.2">
      <c r="A2619" s="19" t="s">
        <v>2766</v>
      </c>
      <c r="B2619" s="50">
        <v>257.01100000000002</v>
      </c>
      <c r="C2619" s="50">
        <v>3978.73</v>
      </c>
      <c r="D2619" s="51">
        <v>29159987.850159001</v>
      </c>
      <c r="E2619" s="51">
        <v>2334313273</v>
      </c>
      <c r="F2619" s="52">
        <f t="shared" si="84"/>
        <v>1.1111616687230421E-2</v>
      </c>
      <c r="G2619" s="52">
        <f t="shared" si="85"/>
        <v>9.4063856025386056E-3</v>
      </c>
    </row>
    <row r="2620" spans="1:7" ht="15" customHeight="1" x14ac:dyDescent="0.2">
      <c r="A2620" s="19" t="s">
        <v>2767</v>
      </c>
      <c r="B2620" s="50">
        <v>260.32</v>
      </c>
      <c r="C2620" s="50">
        <v>4057.84</v>
      </c>
      <c r="D2620" s="51">
        <v>25538126.367839001</v>
      </c>
      <c r="E2620" s="51">
        <v>2400529721</v>
      </c>
      <c r="F2620" s="52">
        <f t="shared" si="84"/>
        <v>1.2792757935047895E-2</v>
      </c>
      <c r="G2620" s="52">
        <f t="shared" si="85"/>
        <v>1.9688139439344957E-2</v>
      </c>
    </row>
    <row r="2621" spans="1:7" ht="15" customHeight="1" x14ac:dyDescent="0.2">
      <c r="A2621" s="19" t="s">
        <v>2768</v>
      </c>
      <c r="B2621" s="50">
        <v>267.50599999999997</v>
      </c>
      <c r="C2621" s="50">
        <v>4158.24</v>
      </c>
      <c r="D2621" s="51">
        <v>27487748.103147</v>
      </c>
      <c r="E2621" s="51">
        <v>2163529907</v>
      </c>
      <c r="F2621" s="52">
        <f t="shared" si="84"/>
        <v>2.7230352520329022E-2</v>
      </c>
      <c r="G2621" s="52">
        <f t="shared" si="85"/>
        <v>2.4441095491293145E-2</v>
      </c>
    </row>
    <row r="2622" spans="1:7" ht="15" customHeight="1" x14ac:dyDescent="0.2">
      <c r="A2622" s="19" t="s">
        <v>2769</v>
      </c>
      <c r="B2622" s="50">
        <v>266.16300000000001</v>
      </c>
      <c r="C2622" s="50">
        <v>4132.1499999999996</v>
      </c>
      <c r="D2622" s="51">
        <v>38638684.827302001</v>
      </c>
      <c r="E2622" s="51">
        <v>3805436157</v>
      </c>
      <c r="F2622" s="52">
        <f t="shared" si="84"/>
        <v>-5.0330929286674314E-3</v>
      </c>
      <c r="G2622" s="52">
        <f t="shared" si="85"/>
        <v>-6.2940551963996914E-3</v>
      </c>
    </row>
    <row r="2623" spans="1:7" ht="15" customHeight="1" x14ac:dyDescent="0.2">
      <c r="A2623" s="19" t="s">
        <v>2770</v>
      </c>
      <c r="B2623" s="50">
        <v>266.702</v>
      </c>
      <c r="C2623" s="50">
        <v>4101.2299999999996</v>
      </c>
      <c r="D2623" s="51">
        <v>25834414.171502002</v>
      </c>
      <c r="E2623" s="51">
        <v>2172170316</v>
      </c>
      <c r="F2623" s="52">
        <f t="shared" si="84"/>
        <v>2.0230271600786957E-3</v>
      </c>
      <c r="G2623" s="52">
        <f t="shared" si="85"/>
        <v>-7.5109239121430331E-3</v>
      </c>
    </row>
    <row r="2624" spans="1:7" ht="15" customHeight="1" x14ac:dyDescent="0.2">
      <c r="A2624" s="19" t="s">
        <v>2771</v>
      </c>
      <c r="B2624" s="50">
        <v>268.815</v>
      </c>
      <c r="C2624" s="50">
        <v>4176.82</v>
      </c>
      <c r="D2624" s="51">
        <v>44951703.173165001</v>
      </c>
      <c r="E2624" s="51">
        <v>2072172553</v>
      </c>
      <c r="F2624" s="52">
        <f t="shared" si="84"/>
        <v>7.8914804409938172E-3</v>
      </c>
      <c r="G2624" s="52">
        <f t="shared" si="85"/>
        <v>1.8263262738202751E-2</v>
      </c>
    </row>
    <row r="2625" spans="1:7" ht="15" customHeight="1" x14ac:dyDescent="0.2">
      <c r="A2625" s="19" t="s">
        <v>2772</v>
      </c>
      <c r="B2625" s="50">
        <v>264.35199999999998</v>
      </c>
      <c r="C2625" s="50">
        <v>4108.54</v>
      </c>
      <c r="D2625" s="51">
        <v>28660515.390760999</v>
      </c>
      <c r="E2625" s="51">
        <v>1878566492</v>
      </c>
      <c r="F2625" s="52">
        <f t="shared" si="84"/>
        <v>-1.6741862283366927E-2</v>
      </c>
      <c r="G2625" s="52">
        <f t="shared" si="85"/>
        <v>-1.6482457202400495E-2</v>
      </c>
    </row>
    <row r="2626" spans="1:7" ht="15" customHeight="1" x14ac:dyDescent="0.2">
      <c r="A2626" s="19" t="s">
        <v>2773</v>
      </c>
      <c r="B2626" s="50">
        <v>263.11</v>
      </c>
      <c r="C2626" s="50">
        <v>4121.43</v>
      </c>
      <c r="D2626" s="51">
        <v>22880584.041976999</v>
      </c>
      <c r="E2626" s="51">
        <v>1919014089</v>
      </c>
      <c r="F2626" s="52">
        <f t="shared" si="84"/>
        <v>-4.7093526943075151E-3</v>
      </c>
      <c r="G2626" s="52">
        <f t="shared" si="85"/>
        <v>3.1324562641237242E-3</v>
      </c>
    </row>
    <row r="2627" spans="1:7" ht="15" customHeight="1" x14ac:dyDescent="0.2">
      <c r="A2627" s="19" t="s">
        <v>2774</v>
      </c>
      <c r="B2627" s="50">
        <v>266.78100000000001</v>
      </c>
      <c r="C2627" s="50">
        <v>4160.68</v>
      </c>
      <c r="D2627" s="51">
        <v>23350788.186849002</v>
      </c>
      <c r="E2627" s="51">
        <v>1973745637</v>
      </c>
      <c r="F2627" s="52">
        <f t="shared" si="84"/>
        <v>1.3855901427012568E-2</v>
      </c>
      <c r="G2627" s="52">
        <f t="shared" si="85"/>
        <v>9.4783319340661174E-3</v>
      </c>
    </row>
    <row r="2628" spans="1:7" ht="15" customHeight="1" x14ac:dyDescent="0.2">
      <c r="A2628" s="19" t="s">
        <v>2775</v>
      </c>
      <c r="B2628" s="50">
        <v>264.73599999999999</v>
      </c>
      <c r="C2628" s="50">
        <v>4115.7700000000004</v>
      </c>
      <c r="D2628" s="51">
        <v>17744787.479421999</v>
      </c>
      <c r="E2628" s="51">
        <v>1875032906</v>
      </c>
      <c r="F2628" s="52">
        <f t="shared" si="84"/>
        <v>-7.6949941050274738E-3</v>
      </c>
      <c r="G2628" s="52">
        <f t="shared" si="85"/>
        <v>-1.0852585537420805E-2</v>
      </c>
    </row>
    <row r="2629" spans="1:7" ht="15" customHeight="1" x14ac:dyDescent="0.2">
      <c r="A2629" s="19" t="s">
        <v>2776</v>
      </c>
      <c r="B2629" s="50">
        <v>259.233</v>
      </c>
      <c r="C2629" s="50">
        <v>4017.82</v>
      </c>
      <c r="D2629" s="51">
        <v>27006570.638564002</v>
      </c>
      <c r="E2629" s="51">
        <v>2040178588</v>
      </c>
      <c r="F2629" s="52">
        <f t="shared" si="84"/>
        <v>-2.1005831818681098E-2</v>
      </c>
      <c r="G2629" s="52">
        <f t="shared" si="85"/>
        <v>-2.4086469933734811E-2</v>
      </c>
    </row>
    <row r="2630" spans="1:7" ht="15" customHeight="1" x14ac:dyDescent="0.2">
      <c r="A2630" s="19" t="s">
        <v>2777</v>
      </c>
      <c r="B2630" s="50">
        <v>247.68100000000001</v>
      </c>
      <c r="C2630" s="50">
        <v>3900.86</v>
      </c>
      <c r="D2630" s="51">
        <v>32120009.943202998</v>
      </c>
      <c r="E2630" s="51">
        <v>2475868478</v>
      </c>
      <c r="F2630" s="52">
        <f t="shared" ref="F2630:F2693" si="86">LN(B2630/B2629)</f>
        <v>-4.5585643328179173E-2</v>
      </c>
      <c r="G2630" s="52">
        <f t="shared" ref="G2630:G2693" si="87">LN(C2630/C2629)</f>
        <v>-2.954242533536117E-2</v>
      </c>
    </row>
    <row r="2631" spans="1:7" ht="15" customHeight="1" x14ac:dyDescent="0.2">
      <c r="A2631" s="19" t="s">
        <v>2778</v>
      </c>
      <c r="B2631" s="50">
        <v>237.17599999999999</v>
      </c>
      <c r="C2631" s="50">
        <v>3749.63</v>
      </c>
      <c r="D2631" s="51">
        <v>47124895.444757</v>
      </c>
      <c r="E2631" s="51">
        <v>3067433318</v>
      </c>
      <c r="F2631" s="52">
        <f t="shared" si="86"/>
        <v>-4.3339146294876188E-2</v>
      </c>
      <c r="G2631" s="52">
        <f t="shared" si="87"/>
        <v>-3.9539873198958186E-2</v>
      </c>
    </row>
    <row r="2632" spans="1:7" ht="15" customHeight="1" x14ac:dyDescent="0.2">
      <c r="A2632" s="19" t="s">
        <v>2779</v>
      </c>
      <c r="B2632" s="50">
        <v>239.35900000000001</v>
      </c>
      <c r="C2632" s="50">
        <v>3735.48</v>
      </c>
      <c r="D2632" s="51">
        <v>29265747.649349</v>
      </c>
      <c r="E2632" s="51">
        <v>2639249798</v>
      </c>
      <c r="F2632" s="52">
        <f t="shared" si="86"/>
        <v>9.1620354038627755E-3</v>
      </c>
      <c r="G2632" s="52">
        <f t="shared" si="87"/>
        <v>-3.7808440639954524E-3</v>
      </c>
    </row>
    <row r="2633" spans="1:7" ht="15" customHeight="1" x14ac:dyDescent="0.2">
      <c r="A2633" s="19" t="s">
        <v>2780</v>
      </c>
      <c r="B2633" s="50">
        <v>246.477</v>
      </c>
      <c r="C2633" s="50">
        <v>3789.99</v>
      </c>
      <c r="D2633" s="51">
        <v>33821612.998571999</v>
      </c>
      <c r="E2633" s="51">
        <v>2761970436</v>
      </c>
      <c r="F2633" s="52">
        <f t="shared" si="86"/>
        <v>2.9304165871511068E-2</v>
      </c>
      <c r="G2633" s="52">
        <f t="shared" si="87"/>
        <v>1.4487056184644877E-2</v>
      </c>
    </row>
    <row r="2634" spans="1:7" ht="15" customHeight="1" x14ac:dyDescent="0.2">
      <c r="A2634" s="19" t="s">
        <v>2781</v>
      </c>
      <c r="B2634" s="50">
        <v>239.82900000000001</v>
      </c>
      <c r="C2634" s="50">
        <v>3666.77</v>
      </c>
      <c r="D2634" s="51">
        <v>33880275.264625996</v>
      </c>
      <c r="E2634" s="51">
        <v>3079954729</v>
      </c>
      <c r="F2634" s="52">
        <f t="shared" si="86"/>
        <v>-2.7342513448176311E-2</v>
      </c>
      <c r="G2634" s="52">
        <f t="shared" si="87"/>
        <v>-3.3052215017083934E-2</v>
      </c>
    </row>
    <row r="2635" spans="1:7" ht="15" customHeight="1" x14ac:dyDescent="0.2">
      <c r="A2635" s="19" t="s">
        <v>2782</v>
      </c>
      <c r="B2635" s="50">
        <v>242.452</v>
      </c>
      <c r="C2635" s="50">
        <v>3674.84</v>
      </c>
      <c r="D2635" s="51">
        <v>44008476.733081996</v>
      </c>
      <c r="E2635" s="51">
        <v>4667721829</v>
      </c>
      <c r="F2635" s="52">
        <f t="shared" si="86"/>
        <v>1.0877583247634486E-2</v>
      </c>
      <c r="G2635" s="52">
        <f t="shared" si="87"/>
        <v>2.1984287507105164E-3</v>
      </c>
    </row>
    <row r="2636" spans="1:7" ht="15" customHeight="1" x14ac:dyDescent="0.2">
      <c r="A2636" s="19" t="s">
        <v>2783</v>
      </c>
      <c r="B2636" s="50">
        <v>248.41399999999999</v>
      </c>
      <c r="C2636" s="50">
        <v>3764.79</v>
      </c>
      <c r="D2636" s="51">
        <v>30569931.242199</v>
      </c>
      <c r="E2636" s="51">
        <v>2677535781</v>
      </c>
      <c r="F2636" s="52">
        <f t="shared" si="86"/>
        <v>2.4292956538785097E-2</v>
      </c>
      <c r="G2636" s="52">
        <f t="shared" si="87"/>
        <v>2.4182488501784571E-2</v>
      </c>
    </row>
    <row r="2637" spans="1:7" ht="15" customHeight="1" x14ac:dyDescent="0.2">
      <c r="A2637" s="19" t="s">
        <v>2784</v>
      </c>
      <c r="B2637" s="50">
        <v>247.816</v>
      </c>
      <c r="C2637" s="50">
        <v>3759.89</v>
      </c>
      <c r="D2637" s="51">
        <v>26517798.77465</v>
      </c>
      <c r="E2637" s="51">
        <v>2479596731</v>
      </c>
      <c r="F2637" s="52">
        <f t="shared" si="86"/>
        <v>-2.4101738688862614E-3</v>
      </c>
      <c r="G2637" s="52">
        <f t="shared" si="87"/>
        <v>-1.3023811491289687E-3</v>
      </c>
    </row>
    <row r="2638" spans="1:7" ht="15" customHeight="1" x14ac:dyDescent="0.2">
      <c r="A2638" s="19" t="s">
        <v>2785</v>
      </c>
      <c r="B2638" s="50">
        <v>253.42699999999999</v>
      </c>
      <c r="C2638" s="50">
        <v>3795.73</v>
      </c>
      <c r="D2638" s="51">
        <v>26415893.886432</v>
      </c>
      <c r="E2638" s="51">
        <v>2511277193</v>
      </c>
      <c r="F2638" s="52">
        <f t="shared" si="86"/>
        <v>2.2389277807782867E-2</v>
      </c>
      <c r="G2638" s="52">
        <f t="shared" si="87"/>
        <v>9.4870490606574001E-3</v>
      </c>
    </row>
    <row r="2639" spans="1:7" ht="15" customHeight="1" x14ac:dyDescent="0.2">
      <c r="A2639" s="19" t="s">
        <v>2786</v>
      </c>
      <c r="B2639" s="50">
        <v>262.08</v>
      </c>
      <c r="C2639" s="50">
        <v>3911.74</v>
      </c>
      <c r="D2639" s="51">
        <v>34650512.830155998</v>
      </c>
      <c r="E2639" s="51">
        <v>3476679518</v>
      </c>
      <c r="F2639" s="52">
        <f t="shared" si="86"/>
        <v>3.357398754615485E-2</v>
      </c>
      <c r="G2639" s="52">
        <f t="shared" si="87"/>
        <v>3.0105537080807647E-2</v>
      </c>
    </row>
    <row r="2640" spans="1:7" ht="15" customHeight="1" x14ac:dyDescent="0.2">
      <c r="A2640" s="19" t="s">
        <v>2787</v>
      </c>
      <c r="B2640" s="50">
        <v>259.33</v>
      </c>
      <c r="C2640" s="50">
        <v>3900.11</v>
      </c>
      <c r="D2640" s="51">
        <v>25142838.648616999</v>
      </c>
      <c r="E2640" s="51">
        <v>2125082913</v>
      </c>
      <c r="F2640" s="52">
        <f t="shared" si="86"/>
        <v>-1.0548418707466232E-2</v>
      </c>
      <c r="G2640" s="52">
        <f t="shared" si="87"/>
        <v>-2.9775299301252065E-3</v>
      </c>
    </row>
    <row r="2641" spans="1:7" ht="15" customHeight="1" x14ac:dyDescent="0.2">
      <c r="A2641" s="19" t="s">
        <v>2788</v>
      </c>
      <c r="B2641" s="50">
        <v>251.09700000000001</v>
      </c>
      <c r="C2641" s="50">
        <v>3821.55</v>
      </c>
      <c r="D2641" s="51">
        <v>27967253.472004</v>
      </c>
      <c r="E2641" s="51">
        <v>2247996957</v>
      </c>
      <c r="F2641" s="52">
        <f t="shared" si="86"/>
        <v>-3.2262063296372295E-2</v>
      </c>
      <c r="G2641" s="52">
        <f t="shared" si="87"/>
        <v>-2.0348658383248716E-2</v>
      </c>
    </row>
    <row r="2642" spans="1:7" ht="15" customHeight="1" x14ac:dyDescent="0.2">
      <c r="A2642" s="19" t="s">
        <v>2789</v>
      </c>
      <c r="B2642" s="50">
        <v>254.797</v>
      </c>
      <c r="C2642" s="50">
        <v>3818.83</v>
      </c>
      <c r="D2642" s="51">
        <v>20500117.272693999</v>
      </c>
      <c r="E2642" s="51">
        <v>2113449461</v>
      </c>
      <c r="F2642" s="52">
        <f t="shared" si="86"/>
        <v>1.4627831027483475E-2</v>
      </c>
      <c r="G2642" s="52">
        <f t="shared" si="87"/>
        <v>-7.1200650096186937E-4</v>
      </c>
    </row>
    <row r="2643" spans="1:7" ht="15" customHeight="1" x14ac:dyDescent="0.2">
      <c r="A2643" s="19" t="s">
        <v>2790</v>
      </c>
      <c r="B2643" s="50">
        <v>251.44</v>
      </c>
      <c r="C2643" s="50">
        <v>3785.38</v>
      </c>
      <c r="D2643" s="51">
        <v>32411147.651177</v>
      </c>
      <c r="E2643" s="51">
        <v>2685491463</v>
      </c>
      <c r="F2643" s="52">
        <f t="shared" si="86"/>
        <v>-1.3262757199037361E-2</v>
      </c>
      <c r="G2643" s="52">
        <f t="shared" si="87"/>
        <v>-8.7978148306084494E-3</v>
      </c>
    </row>
    <row r="2644" spans="1:7" ht="15" customHeight="1" x14ac:dyDescent="0.2">
      <c r="A2644" s="19" t="s">
        <v>2791</v>
      </c>
      <c r="B2644" s="50">
        <v>254.131</v>
      </c>
      <c r="C2644" s="50">
        <v>3825.33</v>
      </c>
      <c r="D2644" s="51">
        <v>23327310.410296001</v>
      </c>
      <c r="E2644" s="51">
        <v>2192501778</v>
      </c>
      <c r="F2644" s="52">
        <f t="shared" si="86"/>
        <v>1.0645489608415762E-2</v>
      </c>
      <c r="G2644" s="52">
        <f t="shared" si="87"/>
        <v>1.0498459915641863E-2</v>
      </c>
    </row>
    <row r="2645" spans="1:7" ht="15" customHeight="1" x14ac:dyDescent="0.2">
      <c r="A2645" s="19" t="s">
        <v>2792</v>
      </c>
      <c r="B2645" s="50">
        <v>257.33300000000003</v>
      </c>
      <c r="C2645" s="50">
        <v>3831.39</v>
      </c>
      <c r="D2645" s="51">
        <v>23464123.999469999</v>
      </c>
      <c r="E2645" s="51">
        <v>2506625598</v>
      </c>
      <c r="F2645" s="52">
        <f t="shared" si="86"/>
        <v>1.2521083921312173E-2</v>
      </c>
      <c r="G2645" s="52">
        <f t="shared" si="87"/>
        <v>1.5829235665797978E-3</v>
      </c>
    </row>
    <row r="2646" spans="1:7" ht="15" customHeight="1" x14ac:dyDescent="0.2">
      <c r="A2646" s="19" t="s">
        <v>2793</v>
      </c>
      <c r="B2646" s="50">
        <v>260.62099999999998</v>
      </c>
      <c r="C2646" s="50">
        <v>3845.08</v>
      </c>
      <c r="D2646" s="51">
        <v>24335191.899335999</v>
      </c>
      <c r="E2646" s="51">
        <v>2201176371</v>
      </c>
      <c r="F2646" s="52">
        <f t="shared" si="86"/>
        <v>1.2696278694425632E-2</v>
      </c>
      <c r="G2646" s="52">
        <f t="shared" si="87"/>
        <v>3.5667473495814678E-3</v>
      </c>
    </row>
    <row r="2647" spans="1:7" ht="15" customHeight="1" x14ac:dyDescent="0.2">
      <c r="A2647" s="19" t="s">
        <v>2794</v>
      </c>
      <c r="B2647" s="50">
        <v>262.76499999999999</v>
      </c>
      <c r="C2647" s="50">
        <v>3902.62</v>
      </c>
      <c r="D2647" s="51">
        <v>21307089.872200999</v>
      </c>
      <c r="E2647" s="51">
        <v>2085966400</v>
      </c>
      <c r="F2647" s="52">
        <f t="shared" si="86"/>
        <v>8.1928519012641147E-3</v>
      </c>
      <c r="G2647" s="52">
        <f t="shared" si="87"/>
        <v>1.4853713471199018E-2</v>
      </c>
    </row>
    <row r="2648" spans="1:7" ht="15" customHeight="1" x14ac:dyDescent="0.2">
      <c r="A2648" s="19" t="s">
        <v>2795</v>
      </c>
      <c r="B2648" s="50">
        <v>262.04199999999997</v>
      </c>
      <c r="C2648" s="50">
        <v>3899.38</v>
      </c>
      <c r="D2648" s="51">
        <v>20080215.936694</v>
      </c>
      <c r="E2648" s="51">
        <v>1777058171</v>
      </c>
      <c r="F2648" s="52">
        <f t="shared" si="86"/>
        <v>-2.7553003576502371E-3</v>
      </c>
      <c r="G2648" s="52">
        <f t="shared" si="87"/>
        <v>-8.3055631536842949E-4</v>
      </c>
    </row>
    <row r="2649" spans="1:7" ht="15" customHeight="1" x14ac:dyDescent="0.2">
      <c r="A2649" s="19" t="s">
        <v>2796</v>
      </c>
      <c r="B2649" s="50">
        <v>258.95699999999999</v>
      </c>
      <c r="C2649" s="50">
        <v>3854.43</v>
      </c>
      <c r="D2649" s="51">
        <v>19937579.123498</v>
      </c>
      <c r="E2649" s="51">
        <v>1824655815</v>
      </c>
      <c r="F2649" s="52">
        <f t="shared" si="86"/>
        <v>-1.1842771506936477E-2</v>
      </c>
      <c r="G2649" s="52">
        <f t="shared" si="87"/>
        <v>-1.159442997810581E-2</v>
      </c>
    </row>
    <row r="2650" spans="1:7" ht="15" customHeight="1" x14ac:dyDescent="0.2">
      <c r="A2650" s="19" t="s">
        <v>2797</v>
      </c>
      <c r="B2650" s="50">
        <v>248.345</v>
      </c>
      <c r="C2650" s="50">
        <v>3818.8</v>
      </c>
      <c r="D2650" s="51">
        <v>36637435.476673998</v>
      </c>
      <c r="E2650" s="51">
        <v>2131307791</v>
      </c>
      <c r="F2650" s="52">
        <f t="shared" si="86"/>
        <v>-4.1843116276440828E-2</v>
      </c>
      <c r="G2650" s="52">
        <f t="shared" si="87"/>
        <v>-9.2868990190167582E-3</v>
      </c>
    </row>
    <row r="2651" spans="1:7" ht="15" customHeight="1" x14ac:dyDescent="0.2">
      <c r="A2651" s="19" t="s">
        <v>2798</v>
      </c>
      <c r="B2651" s="50">
        <v>247.416</v>
      </c>
      <c r="C2651" s="50">
        <v>3801.78</v>
      </c>
      <c r="D2651" s="51">
        <v>30129819.713165</v>
      </c>
      <c r="E2651" s="51">
        <v>2056282440</v>
      </c>
      <c r="F2651" s="52">
        <f t="shared" si="86"/>
        <v>-3.7477780115090635E-3</v>
      </c>
      <c r="G2651" s="52">
        <f t="shared" si="87"/>
        <v>-4.466859031662644E-3</v>
      </c>
    </row>
    <row r="2652" spans="1:7" ht="15" customHeight="1" x14ac:dyDescent="0.2">
      <c r="A2652" s="19" t="s">
        <v>2799</v>
      </c>
      <c r="B2652" s="50">
        <v>248.74600000000001</v>
      </c>
      <c r="C2652" s="50">
        <v>3790.38</v>
      </c>
      <c r="D2652" s="51">
        <v>25641003.666032001</v>
      </c>
      <c r="E2652" s="51">
        <v>2178874683</v>
      </c>
      <c r="F2652" s="52">
        <f t="shared" si="86"/>
        <v>5.3611650452077162E-3</v>
      </c>
      <c r="G2652" s="52">
        <f t="shared" si="87"/>
        <v>-3.0031001895847553E-3</v>
      </c>
    </row>
    <row r="2653" spans="1:7" ht="15" customHeight="1" x14ac:dyDescent="0.2">
      <c r="A2653" s="19" t="s">
        <v>2800</v>
      </c>
      <c r="B2653" s="50">
        <v>251.33199999999999</v>
      </c>
      <c r="C2653" s="50">
        <v>3863.16</v>
      </c>
      <c r="D2653" s="51">
        <v>30412377.333122998</v>
      </c>
      <c r="E2653" s="51">
        <v>2327434451</v>
      </c>
      <c r="F2653" s="52">
        <f t="shared" si="86"/>
        <v>1.0342478778585689E-2</v>
      </c>
      <c r="G2653" s="52">
        <f t="shared" si="87"/>
        <v>1.9019223492515371E-2</v>
      </c>
    </row>
    <row r="2654" spans="1:7" ht="15" customHeight="1" x14ac:dyDescent="0.2">
      <c r="A2654" s="19" t="s">
        <v>2801</v>
      </c>
      <c r="B2654" s="50">
        <v>248.91300000000001</v>
      </c>
      <c r="C2654" s="50">
        <v>3830.85</v>
      </c>
      <c r="D2654" s="51">
        <v>21424718.793148</v>
      </c>
      <c r="E2654" s="51">
        <v>2196942964</v>
      </c>
      <c r="F2654" s="52">
        <f t="shared" si="86"/>
        <v>-9.6713364652003427E-3</v>
      </c>
      <c r="G2654" s="52">
        <f t="shared" si="87"/>
        <v>-8.398790728860633E-3</v>
      </c>
    </row>
    <row r="2655" spans="1:7" ht="15" customHeight="1" x14ac:dyDescent="0.2">
      <c r="A2655" s="19" t="s">
        <v>2802</v>
      </c>
      <c r="B2655" s="50">
        <v>254.08099999999999</v>
      </c>
      <c r="C2655" s="50">
        <v>3936.69</v>
      </c>
      <c r="D2655" s="51">
        <v>25548807.555980999</v>
      </c>
      <c r="E2655" s="51">
        <v>2386374889</v>
      </c>
      <c r="F2655" s="52">
        <f t="shared" si="86"/>
        <v>2.054967599850133E-2</v>
      </c>
      <c r="G2655" s="52">
        <f t="shared" si="87"/>
        <v>2.7253558019802913E-2</v>
      </c>
    </row>
    <row r="2656" spans="1:7" ht="15" customHeight="1" x14ac:dyDescent="0.2">
      <c r="A2656" s="19" t="s">
        <v>2803</v>
      </c>
      <c r="B2656" s="50">
        <v>256.76499999999999</v>
      </c>
      <c r="C2656" s="50">
        <v>3959.9</v>
      </c>
      <c r="D2656" s="51">
        <v>23276841.106858</v>
      </c>
      <c r="E2656" s="51">
        <v>2346363953</v>
      </c>
      <c r="F2656" s="52">
        <f t="shared" si="86"/>
        <v>1.0508155872914975E-2</v>
      </c>
      <c r="G2656" s="52">
        <f t="shared" si="87"/>
        <v>5.8785037183350592E-3</v>
      </c>
    </row>
    <row r="2657" spans="1:7" ht="15" customHeight="1" x14ac:dyDescent="0.2">
      <c r="A2657" s="19" t="s">
        <v>2804</v>
      </c>
      <c r="B2657" s="50">
        <v>259.28300000000002</v>
      </c>
      <c r="C2657" s="50">
        <v>3998.95</v>
      </c>
      <c r="D2657" s="51">
        <v>22885009.937378</v>
      </c>
      <c r="E2657" s="51">
        <v>2498555021</v>
      </c>
      <c r="F2657" s="52">
        <f t="shared" si="86"/>
        <v>9.7588595770827131E-3</v>
      </c>
      <c r="G2657" s="52">
        <f t="shared" si="87"/>
        <v>9.8130542384489011E-3</v>
      </c>
    </row>
    <row r="2658" spans="1:7" ht="15" customHeight="1" x14ac:dyDescent="0.2">
      <c r="A2658" s="19" t="s">
        <v>2805</v>
      </c>
      <c r="B2658" s="50">
        <v>254.89599999999999</v>
      </c>
      <c r="C2658" s="50">
        <v>3961.63</v>
      </c>
      <c r="D2658" s="51">
        <v>22350404.060431998</v>
      </c>
      <c r="E2658" s="51">
        <v>2223130836</v>
      </c>
      <c r="F2658" s="52">
        <f t="shared" si="86"/>
        <v>-1.7064510438746475E-2</v>
      </c>
      <c r="G2658" s="52">
        <f t="shared" si="87"/>
        <v>-9.3762699234227094E-3</v>
      </c>
    </row>
    <row r="2659" spans="1:7" ht="15" customHeight="1" x14ac:dyDescent="0.2">
      <c r="A2659" s="19" t="s">
        <v>2806</v>
      </c>
      <c r="B2659" s="50">
        <v>253.398</v>
      </c>
      <c r="C2659" s="50">
        <v>3966.84</v>
      </c>
      <c r="D2659" s="51">
        <v>21507418.584353998</v>
      </c>
      <c r="E2659" s="51">
        <v>1945141683</v>
      </c>
      <c r="F2659" s="52">
        <f t="shared" si="86"/>
        <v>-5.8942436344738749E-3</v>
      </c>
      <c r="G2659" s="52">
        <f t="shared" si="87"/>
        <v>1.3142512363463167E-3</v>
      </c>
    </row>
    <row r="2660" spans="1:7" ht="15" customHeight="1" x14ac:dyDescent="0.2">
      <c r="A2660" s="19" t="s">
        <v>2807</v>
      </c>
      <c r="B2660" s="50">
        <v>246.613</v>
      </c>
      <c r="C2660" s="50">
        <v>3921.05</v>
      </c>
      <c r="D2660" s="51">
        <v>40191539.799640998</v>
      </c>
      <c r="E2660" s="51">
        <v>2144610066</v>
      </c>
      <c r="F2660" s="52">
        <f t="shared" si="86"/>
        <v>-2.7141068904783596E-2</v>
      </c>
      <c r="G2660" s="52">
        <f t="shared" si="87"/>
        <v>-1.161033289574997E-2</v>
      </c>
    </row>
    <row r="2661" spans="1:7" ht="15" customHeight="1" x14ac:dyDescent="0.2">
      <c r="A2661" s="19" t="s">
        <v>2808</v>
      </c>
      <c r="B2661" s="50">
        <v>263.10000000000002</v>
      </c>
      <c r="C2661" s="50">
        <v>4023.61</v>
      </c>
      <c r="D2661" s="51">
        <v>46980117.695313998</v>
      </c>
      <c r="E2661" s="51">
        <v>2459044831</v>
      </c>
      <c r="F2661" s="52">
        <f t="shared" si="86"/>
        <v>6.4713881754965563E-2</v>
      </c>
      <c r="G2661" s="52">
        <f t="shared" si="87"/>
        <v>2.5820034533563709E-2</v>
      </c>
    </row>
    <row r="2662" spans="1:7" ht="15" customHeight="1" x14ac:dyDescent="0.2">
      <c r="A2662" s="19" t="s">
        <v>2809</v>
      </c>
      <c r="B2662" s="50">
        <v>270.61</v>
      </c>
      <c r="C2662" s="50">
        <v>4072.43</v>
      </c>
      <c r="D2662" s="51">
        <v>34176663.169316001</v>
      </c>
      <c r="E2662" s="51">
        <v>2549741617</v>
      </c>
      <c r="F2662" s="52">
        <f t="shared" si="86"/>
        <v>2.8144481922628289E-2</v>
      </c>
      <c r="G2662" s="52">
        <f t="shared" si="87"/>
        <v>1.2060363275690102E-2</v>
      </c>
    </row>
    <row r="2663" spans="1:7" ht="15" customHeight="1" x14ac:dyDescent="0.2">
      <c r="A2663" s="19" t="s">
        <v>2810</v>
      </c>
      <c r="B2663" s="50">
        <v>274.84800000000001</v>
      </c>
      <c r="C2663" s="50">
        <v>4130.29</v>
      </c>
      <c r="D2663" s="51">
        <v>32842076.443156</v>
      </c>
      <c r="E2663" s="51">
        <v>2886406949</v>
      </c>
      <c r="F2663" s="52">
        <f t="shared" si="86"/>
        <v>1.5539547614939007E-2</v>
      </c>
      <c r="G2663" s="52">
        <f t="shared" si="87"/>
        <v>1.4107749538291978E-2</v>
      </c>
    </row>
    <row r="2664" spans="1:7" ht="15" customHeight="1" x14ac:dyDescent="0.2">
      <c r="A2664" s="19" t="s">
        <v>2811</v>
      </c>
      <c r="B2664" s="50">
        <v>272.173</v>
      </c>
      <c r="C2664" s="50">
        <v>4118.63</v>
      </c>
      <c r="D2664" s="51">
        <v>22001368.122811999</v>
      </c>
      <c r="E2664" s="51">
        <v>2290404134.7575998</v>
      </c>
      <c r="F2664" s="52">
        <f t="shared" si="86"/>
        <v>-9.7803240570344483E-3</v>
      </c>
      <c r="G2664" s="52">
        <f t="shared" si="87"/>
        <v>-2.8270386343186992E-3</v>
      </c>
    </row>
    <row r="2665" spans="1:7" ht="15" customHeight="1" x14ac:dyDescent="0.2">
      <c r="A2665" s="19" t="s">
        <v>2812</v>
      </c>
      <c r="B2665" s="50">
        <v>269.05200000000002</v>
      </c>
      <c r="C2665" s="50">
        <v>4091.19</v>
      </c>
      <c r="D2665" s="51">
        <v>23242012.078145999</v>
      </c>
      <c r="E2665" s="51">
        <v>2265723779</v>
      </c>
      <c r="F2665" s="52">
        <f t="shared" si="86"/>
        <v>-1.1533224056445055E-2</v>
      </c>
      <c r="G2665" s="52">
        <f t="shared" si="87"/>
        <v>-6.6847025099674136E-3</v>
      </c>
    </row>
    <row r="2666" spans="1:7" ht="15" customHeight="1" x14ac:dyDescent="0.2">
      <c r="A2666" s="19" t="s">
        <v>2813</v>
      </c>
      <c r="B2666" s="50">
        <v>276.54199999999997</v>
      </c>
      <c r="C2666" s="50">
        <v>4155.17</v>
      </c>
      <c r="D2666" s="51">
        <v>24023096.304944001</v>
      </c>
      <c r="E2666" s="51">
        <v>2432226005</v>
      </c>
      <c r="F2666" s="52">
        <f t="shared" si="86"/>
        <v>2.745803869078724E-2</v>
      </c>
      <c r="G2666" s="52">
        <f t="shared" si="87"/>
        <v>1.5517460750035557E-2</v>
      </c>
    </row>
    <row r="2667" spans="1:7" ht="15" customHeight="1" x14ac:dyDescent="0.2">
      <c r="A2667" s="19" t="s">
        <v>2814</v>
      </c>
      <c r="B2667" s="50">
        <v>277.69600000000003</v>
      </c>
      <c r="C2667" s="50">
        <v>4151.9399999999996</v>
      </c>
      <c r="D2667" s="51">
        <v>18486686.239960998</v>
      </c>
      <c r="E2667" s="51">
        <v>2259557509</v>
      </c>
      <c r="F2667" s="52">
        <f t="shared" si="86"/>
        <v>4.1642820147636218E-3</v>
      </c>
      <c r="G2667" s="52">
        <f t="shared" si="87"/>
        <v>-7.7764713908326987E-4</v>
      </c>
    </row>
    <row r="2668" spans="1:7" ht="15" customHeight="1" x14ac:dyDescent="0.2">
      <c r="A2668" s="19" t="s">
        <v>2815</v>
      </c>
      <c r="B2668" s="50">
        <v>276.97399999999999</v>
      </c>
      <c r="C2668" s="50">
        <v>4145.1899999999996</v>
      </c>
      <c r="D2668" s="51">
        <v>17134237.609142002</v>
      </c>
      <c r="E2668" s="51">
        <v>2024887684</v>
      </c>
      <c r="F2668" s="52">
        <f t="shared" si="86"/>
        <v>-2.6033512098213763E-3</v>
      </c>
      <c r="G2668" s="52">
        <f t="shared" si="87"/>
        <v>-1.6270689959386672E-3</v>
      </c>
    </row>
    <row r="2669" spans="1:7" ht="15" customHeight="1" x14ac:dyDescent="0.2">
      <c r="A2669" s="19" t="s">
        <v>2816</v>
      </c>
      <c r="B2669" s="50">
        <v>274.43599999999998</v>
      </c>
      <c r="C2669" s="50">
        <v>4140.0600000000004</v>
      </c>
      <c r="D2669" s="51">
        <v>19159967.789469998</v>
      </c>
      <c r="E2669" s="51">
        <v>2118308917</v>
      </c>
      <c r="F2669" s="52">
        <f t="shared" si="86"/>
        <v>-9.2055563844125193E-3</v>
      </c>
      <c r="G2669" s="52">
        <f t="shared" si="87"/>
        <v>-1.2383454103545306E-3</v>
      </c>
    </row>
    <row r="2670" spans="1:7" ht="15" customHeight="1" x14ac:dyDescent="0.2">
      <c r="A2670" s="19" t="s">
        <v>2817</v>
      </c>
      <c r="B2670" s="50">
        <v>276.375</v>
      </c>
      <c r="C2670" s="50">
        <v>4122.47</v>
      </c>
      <c r="D2670" s="51">
        <v>23907024.057108998</v>
      </c>
      <c r="E2670" s="51">
        <v>2045740859</v>
      </c>
      <c r="F2670" s="52">
        <f t="shared" si="86"/>
        <v>7.0405565959586382E-3</v>
      </c>
      <c r="G2670" s="52">
        <f t="shared" si="87"/>
        <v>-4.2577821983481121E-3</v>
      </c>
    </row>
    <row r="2671" spans="1:7" ht="15" customHeight="1" x14ac:dyDescent="0.2">
      <c r="A2671" s="19" t="s">
        <v>2818</v>
      </c>
      <c r="B2671" s="50">
        <v>283.09100000000001</v>
      </c>
      <c r="C2671" s="50">
        <v>4210.24</v>
      </c>
      <c r="D2671" s="51">
        <v>25217128.932130001</v>
      </c>
      <c r="E2671" s="51">
        <v>2239407036</v>
      </c>
      <c r="F2671" s="52">
        <f t="shared" si="86"/>
        <v>2.4009761548290074E-2</v>
      </c>
      <c r="G2671" s="52">
        <f t="shared" si="87"/>
        <v>2.1067154907856916E-2</v>
      </c>
    </row>
    <row r="2672" spans="1:7" ht="15" customHeight="1" x14ac:dyDescent="0.2">
      <c r="A2672" s="19" t="s">
        <v>2819</v>
      </c>
      <c r="B2672" s="50">
        <v>280.995</v>
      </c>
      <c r="C2672" s="50">
        <v>4207.2700000000004</v>
      </c>
      <c r="D2672" s="51">
        <v>20496132.638960999</v>
      </c>
      <c r="E2672" s="51">
        <v>2080941232</v>
      </c>
      <c r="F2672" s="52">
        <f t="shared" si="86"/>
        <v>-7.4315251447686715E-3</v>
      </c>
      <c r="G2672" s="52">
        <f t="shared" si="87"/>
        <v>-7.0567189661734585E-4</v>
      </c>
    </row>
    <row r="2673" spans="1:7" ht="15" customHeight="1" x14ac:dyDescent="0.2">
      <c r="A2673" s="19" t="s">
        <v>2820</v>
      </c>
      <c r="B2673" s="50">
        <v>285.78399999999999</v>
      </c>
      <c r="C2673" s="50">
        <v>4280.1499999999996</v>
      </c>
      <c r="D2673" s="51">
        <v>23104619.33303</v>
      </c>
      <c r="E2673" s="51">
        <v>1837439508</v>
      </c>
      <c r="F2673" s="52">
        <f t="shared" si="86"/>
        <v>1.6899405142478466E-2</v>
      </c>
      <c r="G2673" s="52">
        <f t="shared" si="87"/>
        <v>1.7174074409836079E-2</v>
      </c>
    </row>
    <row r="2674" spans="1:7" ht="15" customHeight="1" x14ac:dyDescent="0.2">
      <c r="A2674" s="19" t="s">
        <v>2821</v>
      </c>
      <c r="B2674" s="50">
        <v>287.31</v>
      </c>
      <c r="C2674" s="50">
        <v>4297.1400000000003</v>
      </c>
      <c r="D2674" s="51">
        <v>18473393.232170001</v>
      </c>
      <c r="E2674" s="51">
        <v>1775707808</v>
      </c>
      <c r="F2674" s="52">
        <f t="shared" si="86"/>
        <v>5.3254914780271317E-3</v>
      </c>
      <c r="G2674" s="52">
        <f t="shared" si="87"/>
        <v>3.9616294239327712E-3</v>
      </c>
    </row>
    <row r="2675" spans="1:7" ht="15" customHeight="1" x14ac:dyDescent="0.2">
      <c r="A2675" s="19" t="s">
        <v>2822</v>
      </c>
      <c r="B2675" s="50">
        <v>286.565</v>
      </c>
      <c r="C2675" s="50">
        <v>4305.2</v>
      </c>
      <c r="D2675" s="51">
        <v>18490990.584116001</v>
      </c>
      <c r="E2675" s="51">
        <v>1909934189</v>
      </c>
      <c r="F2675" s="52">
        <f t="shared" si="86"/>
        <v>-2.5963856885812529E-3</v>
      </c>
      <c r="G2675" s="52">
        <f t="shared" si="87"/>
        <v>1.8739092755182558E-3</v>
      </c>
    </row>
    <row r="2676" spans="1:7" ht="15" customHeight="1" x14ac:dyDescent="0.2">
      <c r="A2676" s="19" t="s">
        <v>2823</v>
      </c>
      <c r="B2676" s="50">
        <v>285.81099999999998</v>
      </c>
      <c r="C2676" s="50">
        <v>4274.04</v>
      </c>
      <c r="D2676" s="51">
        <v>18605200.626272999</v>
      </c>
      <c r="E2676" s="51">
        <v>1861058607</v>
      </c>
      <c r="F2676" s="52">
        <f t="shared" si="86"/>
        <v>-2.6346333044869655E-3</v>
      </c>
      <c r="G2676" s="52">
        <f t="shared" si="87"/>
        <v>-7.26407864047862E-3</v>
      </c>
    </row>
    <row r="2677" spans="1:7" ht="15" customHeight="1" x14ac:dyDescent="0.2">
      <c r="A2677" s="19" t="s">
        <v>2824</v>
      </c>
      <c r="B2677" s="50">
        <v>284.68400000000003</v>
      </c>
      <c r="C2677" s="50">
        <v>4283.74</v>
      </c>
      <c r="D2677" s="51">
        <v>17517464.466628</v>
      </c>
      <c r="E2677" s="51">
        <v>1747174197</v>
      </c>
      <c r="F2677" s="52">
        <f t="shared" si="86"/>
        <v>-3.9509600120832154E-3</v>
      </c>
      <c r="G2677" s="52">
        <f t="shared" si="87"/>
        <v>2.2669440331611829E-3</v>
      </c>
    </row>
    <row r="2678" spans="1:7" ht="15" customHeight="1" x14ac:dyDescent="0.2">
      <c r="A2678" s="19" t="s">
        <v>2825</v>
      </c>
      <c r="B2678" s="50">
        <v>280.73899999999998</v>
      </c>
      <c r="C2678" s="50">
        <v>4228.4799999999996</v>
      </c>
      <c r="D2678" s="51">
        <v>20966530.698298998</v>
      </c>
      <c r="E2678" s="51">
        <v>2044278522</v>
      </c>
      <c r="F2678" s="52">
        <f t="shared" si="86"/>
        <v>-1.3954381111325834E-2</v>
      </c>
      <c r="G2678" s="52">
        <f t="shared" si="87"/>
        <v>-1.2983869381359623E-2</v>
      </c>
    </row>
    <row r="2679" spans="1:7" ht="15" customHeight="1" x14ac:dyDescent="0.2">
      <c r="A2679" s="19" t="s">
        <v>2826</v>
      </c>
      <c r="B2679" s="50">
        <v>272.49799999999999</v>
      </c>
      <c r="C2679" s="50">
        <v>4137.99</v>
      </c>
      <c r="D2679" s="51">
        <v>25544134.687934</v>
      </c>
      <c r="E2679" s="51">
        <v>1980081528</v>
      </c>
      <c r="F2679" s="52">
        <f t="shared" si="86"/>
        <v>-2.9794137458336749E-2</v>
      </c>
      <c r="G2679" s="52">
        <f t="shared" si="87"/>
        <v>-2.1632427725287454E-2</v>
      </c>
    </row>
    <row r="2680" spans="1:7" ht="15" customHeight="1" x14ac:dyDescent="0.2">
      <c r="A2680" s="19" t="s">
        <v>2827</v>
      </c>
      <c r="B2680" s="50">
        <v>271.21100000000001</v>
      </c>
      <c r="C2680" s="50">
        <v>4128.7299999999996</v>
      </c>
      <c r="D2680" s="51">
        <v>17865258.595362999</v>
      </c>
      <c r="E2680" s="51">
        <v>1788639687</v>
      </c>
      <c r="F2680" s="52">
        <f t="shared" si="86"/>
        <v>-4.7341589111602545E-3</v>
      </c>
      <c r="G2680" s="52">
        <f t="shared" si="87"/>
        <v>-2.2403090640503252E-3</v>
      </c>
    </row>
    <row r="2681" spans="1:7" ht="15" customHeight="1" x14ac:dyDescent="0.2">
      <c r="A2681" s="19" t="s">
        <v>2828</v>
      </c>
      <c r="B2681" s="50">
        <v>270.57499999999999</v>
      </c>
      <c r="C2681" s="50">
        <v>4140.7700000000004</v>
      </c>
      <c r="D2681" s="51">
        <v>18486619.133724999</v>
      </c>
      <c r="E2681" s="51">
        <v>1736786606</v>
      </c>
      <c r="F2681" s="52">
        <f t="shared" si="86"/>
        <v>-2.347791534453152E-3</v>
      </c>
      <c r="G2681" s="52">
        <f t="shared" si="87"/>
        <v>2.9119072513373811E-3</v>
      </c>
    </row>
    <row r="2682" spans="1:7" ht="15" customHeight="1" x14ac:dyDescent="0.2">
      <c r="A2682" s="19" t="s">
        <v>2829</v>
      </c>
      <c r="B2682" s="50">
        <v>273.57600000000002</v>
      </c>
      <c r="C2682" s="50">
        <v>4199.12</v>
      </c>
      <c r="D2682" s="51">
        <v>16903060.483562998</v>
      </c>
      <c r="E2682" s="51">
        <v>1845810168</v>
      </c>
      <c r="F2682" s="52">
        <f t="shared" si="86"/>
        <v>1.1030138421377044E-2</v>
      </c>
      <c r="G2682" s="52">
        <f t="shared" si="87"/>
        <v>1.3993218645290096E-2</v>
      </c>
    </row>
    <row r="2683" spans="1:7" ht="15" customHeight="1" x14ac:dyDescent="0.2">
      <c r="A2683" s="19" t="s">
        <v>2830</v>
      </c>
      <c r="B2683" s="50">
        <v>263.02100000000002</v>
      </c>
      <c r="C2683" s="50">
        <v>4057.66</v>
      </c>
      <c r="D2683" s="51">
        <v>28080333.703518</v>
      </c>
      <c r="E2683" s="51">
        <v>2112956660</v>
      </c>
      <c r="F2683" s="52">
        <f t="shared" si="86"/>
        <v>-3.934558570375199E-2</v>
      </c>
      <c r="G2683" s="52">
        <f t="shared" si="87"/>
        <v>-3.4268526748985458E-2</v>
      </c>
    </row>
    <row r="2684" spans="1:7" ht="15" customHeight="1" x14ac:dyDescent="0.2">
      <c r="A2684" s="19" t="s">
        <v>2831</v>
      </c>
      <c r="B2684" s="50">
        <v>260.21499999999997</v>
      </c>
      <c r="C2684" s="50">
        <v>4030.61</v>
      </c>
      <c r="D2684" s="51">
        <v>20730579.631774001</v>
      </c>
      <c r="E2684" s="51">
        <v>1890889510</v>
      </c>
      <c r="F2684" s="52">
        <f t="shared" si="86"/>
        <v>-1.072566451890513E-2</v>
      </c>
      <c r="G2684" s="52">
        <f t="shared" si="87"/>
        <v>-6.6887235092639493E-3</v>
      </c>
    </row>
    <row r="2685" spans="1:7" ht="15" customHeight="1" x14ac:dyDescent="0.2">
      <c r="A2685" s="19" t="s">
        <v>2832</v>
      </c>
      <c r="B2685" s="50">
        <v>257.99700000000001</v>
      </c>
      <c r="C2685" s="50">
        <v>3986.16</v>
      </c>
      <c r="D2685" s="51">
        <v>23205917.707173999</v>
      </c>
      <c r="E2685" s="51">
        <v>2081001229</v>
      </c>
      <c r="F2685" s="52">
        <f t="shared" si="86"/>
        <v>-8.5602554328940914E-3</v>
      </c>
      <c r="G2685" s="52">
        <f t="shared" si="87"/>
        <v>-1.1089367791653617E-2</v>
      </c>
    </row>
    <row r="2686" spans="1:7" ht="15" customHeight="1" x14ac:dyDescent="0.2">
      <c r="A2686" s="19" t="s">
        <v>2833</v>
      </c>
      <c r="B2686" s="50">
        <v>256.52699999999999</v>
      </c>
      <c r="C2686" s="50">
        <v>3955</v>
      </c>
      <c r="D2686" s="51">
        <v>25269709.029059</v>
      </c>
      <c r="E2686" s="51">
        <v>2551854859.5204</v>
      </c>
      <c r="F2686" s="52">
        <f t="shared" si="86"/>
        <v>-5.7140347180946538E-3</v>
      </c>
      <c r="G2686" s="52">
        <f t="shared" si="87"/>
        <v>-7.8477602570987508E-3</v>
      </c>
    </row>
    <row r="2687" spans="1:7" ht="15" customHeight="1" x14ac:dyDescent="0.2">
      <c r="A2687" s="19" t="s">
        <v>2834</v>
      </c>
      <c r="B2687" s="50">
        <v>255.476</v>
      </c>
      <c r="C2687" s="50">
        <v>3966.85</v>
      </c>
      <c r="D2687" s="51">
        <v>23711845.295010999</v>
      </c>
      <c r="E2687" s="51">
        <v>2303306757.0706</v>
      </c>
      <c r="F2687" s="52">
        <f t="shared" si="86"/>
        <v>-4.1054504610029555E-3</v>
      </c>
      <c r="G2687" s="52">
        <f t="shared" si="87"/>
        <v>2.9917276491103818E-3</v>
      </c>
    </row>
    <row r="2688" spans="1:7" ht="15" customHeight="1" x14ac:dyDescent="0.2">
      <c r="A2688" s="19" t="s">
        <v>2835</v>
      </c>
      <c r="B2688" s="50">
        <v>251.21600000000001</v>
      </c>
      <c r="C2688" s="50">
        <v>3924.26</v>
      </c>
      <c r="D2688" s="51">
        <v>23295928.907421</v>
      </c>
      <c r="E2688" s="51">
        <v>2080325882</v>
      </c>
      <c r="F2688" s="52">
        <f t="shared" si="86"/>
        <v>-1.6815344934772714E-2</v>
      </c>
      <c r="G2688" s="52">
        <f t="shared" si="87"/>
        <v>-1.0794530441166154E-2</v>
      </c>
    </row>
    <row r="2689" spans="1:7" ht="15" customHeight="1" x14ac:dyDescent="0.2">
      <c r="A2689" s="19" t="s">
        <v>2836</v>
      </c>
      <c r="B2689" s="50">
        <v>248.46100000000001</v>
      </c>
      <c r="C2689" s="50">
        <v>3908.19</v>
      </c>
      <c r="D2689" s="51">
        <v>21739354.556882001</v>
      </c>
      <c r="E2689" s="51">
        <v>2245181905</v>
      </c>
      <c r="F2689" s="52">
        <f t="shared" si="86"/>
        <v>-1.1027235263011132E-2</v>
      </c>
      <c r="G2689" s="52">
        <f t="shared" si="87"/>
        <v>-4.1034472098145404E-3</v>
      </c>
    </row>
    <row r="2690" spans="1:7" ht="15" customHeight="1" x14ac:dyDescent="0.2">
      <c r="A2690" s="19" t="s">
        <v>2837</v>
      </c>
      <c r="B2690" s="50">
        <v>253.21</v>
      </c>
      <c r="C2690" s="50">
        <v>3979.87</v>
      </c>
      <c r="D2690" s="51">
        <v>24591754.237762999</v>
      </c>
      <c r="E2690" s="51">
        <v>2207203153</v>
      </c>
      <c r="F2690" s="52">
        <f t="shared" si="86"/>
        <v>1.8933292390754523E-2</v>
      </c>
      <c r="G2690" s="52">
        <f t="shared" si="87"/>
        <v>1.8174804228558855E-2</v>
      </c>
    </row>
    <row r="2691" spans="1:7" ht="15" customHeight="1" x14ac:dyDescent="0.2">
      <c r="A2691" s="19" t="s">
        <v>2838</v>
      </c>
      <c r="B2691" s="50">
        <v>253.63</v>
      </c>
      <c r="C2691" s="50">
        <v>4006.18</v>
      </c>
      <c r="D2691" s="51">
        <v>20711587.471356999</v>
      </c>
      <c r="E2691" s="51">
        <v>2287421470</v>
      </c>
      <c r="F2691" s="52">
        <f t="shared" si="86"/>
        <v>1.6573281356473751E-3</v>
      </c>
      <c r="G2691" s="52">
        <f t="shared" si="87"/>
        <v>6.5890133889801002E-3</v>
      </c>
    </row>
    <row r="2692" spans="1:7" ht="15" customHeight="1" x14ac:dyDescent="0.2">
      <c r="A2692" s="19" t="s">
        <v>2839</v>
      </c>
      <c r="B2692" s="50">
        <v>259.45800000000003</v>
      </c>
      <c r="C2692" s="50">
        <v>4067.36</v>
      </c>
      <c r="D2692" s="51">
        <v>22519047.313067999</v>
      </c>
      <c r="E2692" s="51">
        <v>2096049232</v>
      </c>
      <c r="F2692" s="52">
        <f t="shared" si="86"/>
        <v>2.2718327699326385E-2</v>
      </c>
      <c r="G2692" s="52">
        <f t="shared" si="87"/>
        <v>1.5155971507018435E-2</v>
      </c>
    </row>
    <row r="2693" spans="1:7" ht="15" customHeight="1" x14ac:dyDescent="0.2">
      <c r="A2693" s="19" t="s">
        <v>2840</v>
      </c>
      <c r="B2693" s="50">
        <v>261.608</v>
      </c>
      <c r="C2693" s="50">
        <v>4110.41</v>
      </c>
      <c r="D2693" s="51">
        <v>19109061.123392001</v>
      </c>
      <c r="E2693" s="51">
        <v>2144187292</v>
      </c>
      <c r="F2693" s="52">
        <f t="shared" si="86"/>
        <v>8.2523603593257517E-3</v>
      </c>
      <c r="G2693" s="52">
        <f t="shared" si="87"/>
        <v>1.0528639881468727E-2</v>
      </c>
    </row>
    <row r="2694" spans="1:7" ht="15" customHeight="1" x14ac:dyDescent="0.2">
      <c r="A2694" s="19" t="s">
        <v>2841</v>
      </c>
      <c r="B2694" s="50">
        <v>247.22399999999999</v>
      </c>
      <c r="C2694" s="50">
        <v>3932.69</v>
      </c>
      <c r="D2694" s="51">
        <v>33996219.925226003</v>
      </c>
      <c r="E2694" s="51">
        <v>2641640040</v>
      </c>
      <c r="F2694" s="52">
        <f t="shared" ref="F2694:F2757" si="88">LN(B2694/B2693)</f>
        <v>-5.6552391905706649E-2</v>
      </c>
      <c r="G2694" s="52">
        <f t="shared" ref="G2694:G2757" si="89">LN(C2694/C2693)</f>
        <v>-4.4199110119582059E-2</v>
      </c>
    </row>
    <row r="2695" spans="1:7" ht="15" customHeight="1" x14ac:dyDescent="0.2">
      <c r="A2695" s="19" t="s">
        <v>2842</v>
      </c>
      <c r="B2695" s="50">
        <v>247.45099999999999</v>
      </c>
      <c r="C2695" s="50">
        <v>3946.01</v>
      </c>
      <c r="D2695" s="51">
        <v>24373888.176456001</v>
      </c>
      <c r="E2695" s="51">
        <v>2482078227</v>
      </c>
      <c r="F2695" s="52">
        <f t="shared" si="88"/>
        <v>9.1777436067589366E-4</v>
      </c>
      <c r="G2695" s="52">
        <f t="shared" si="89"/>
        <v>3.3812717048818559E-3</v>
      </c>
    </row>
    <row r="2696" spans="1:7" ht="15" customHeight="1" x14ac:dyDescent="0.2">
      <c r="A2696" s="19" t="s">
        <v>2843</v>
      </c>
      <c r="B2696" s="50">
        <v>240.739</v>
      </c>
      <c r="C2696" s="50">
        <v>3901.35</v>
      </c>
      <c r="D2696" s="51">
        <v>32138722.829879999</v>
      </c>
      <c r="E2696" s="51">
        <v>2510590552</v>
      </c>
      <c r="F2696" s="52">
        <f t="shared" si="88"/>
        <v>-2.7499223526151386E-2</v>
      </c>
      <c r="G2696" s="52">
        <f t="shared" si="89"/>
        <v>-1.1382294724738607E-2</v>
      </c>
    </row>
    <row r="2697" spans="1:7" ht="15" customHeight="1" x14ac:dyDescent="0.2">
      <c r="A2697" s="19" t="s">
        <v>2844</v>
      </c>
      <c r="B2697" s="50">
        <v>240.11</v>
      </c>
      <c r="C2697" s="50">
        <v>3873.33</v>
      </c>
      <c r="D2697" s="51">
        <v>40558774.276717</v>
      </c>
      <c r="E2697" s="51">
        <v>4360545933</v>
      </c>
      <c r="F2697" s="52">
        <f t="shared" si="88"/>
        <v>-2.6162074113411445E-3</v>
      </c>
      <c r="G2697" s="52">
        <f t="shared" si="89"/>
        <v>-7.208044914246866E-3</v>
      </c>
    </row>
    <row r="2698" spans="1:7" ht="15" customHeight="1" x14ac:dyDescent="0.2">
      <c r="A2698" s="19" t="s">
        <v>2845</v>
      </c>
      <c r="B2698" s="50">
        <v>239.89599999999999</v>
      </c>
      <c r="C2698" s="50">
        <v>3899.89</v>
      </c>
      <c r="D2698" s="51">
        <v>27344033.543974001</v>
      </c>
      <c r="E2698" s="51">
        <v>2115778064</v>
      </c>
      <c r="F2698" s="52">
        <f t="shared" si="88"/>
        <v>-8.9165558004865298E-4</v>
      </c>
      <c r="G2698" s="52">
        <f t="shared" si="89"/>
        <v>6.8337454395362542E-3</v>
      </c>
    </row>
    <row r="2699" spans="1:7" ht="15" customHeight="1" x14ac:dyDescent="0.2">
      <c r="A2699" s="19" t="s">
        <v>2846</v>
      </c>
      <c r="B2699" s="50">
        <v>237.86600000000001</v>
      </c>
      <c r="C2699" s="50">
        <v>3855.93</v>
      </c>
      <c r="D2699" s="51">
        <v>27174189.628637999</v>
      </c>
      <c r="E2699" s="51">
        <v>2334817543</v>
      </c>
      <c r="F2699" s="52">
        <f t="shared" si="88"/>
        <v>-8.4980061894572578E-3</v>
      </c>
      <c r="G2699" s="52">
        <f t="shared" si="89"/>
        <v>-1.1336124553072551E-2</v>
      </c>
    </row>
    <row r="2700" spans="1:7" ht="15" customHeight="1" x14ac:dyDescent="0.2">
      <c r="A2700" s="19" t="s">
        <v>2847</v>
      </c>
      <c r="B2700" s="50">
        <v>234.43299999999999</v>
      </c>
      <c r="C2700" s="50">
        <v>3789.93</v>
      </c>
      <c r="D2700" s="51">
        <v>29177328.961816002</v>
      </c>
      <c r="E2700" s="51">
        <v>2485994709</v>
      </c>
      <c r="F2700" s="52">
        <f t="shared" si="88"/>
        <v>-1.4537657126662485E-2</v>
      </c>
      <c r="G2700" s="52">
        <f t="shared" si="89"/>
        <v>-1.7264673789774226E-2</v>
      </c>
    </row>
    <row r="2701" spans="1:7" ht="15" customHeight="1" x14ac:dyDescent="0.2">
      <c r="A2701" s="19" t="s">
        <v>2848</v>
      </c>
      <c r="B2701" s="50">
        <v>236.42400000000001</v>
      </c>
      <c r="C2701" s="50">
        <v>3757.99</v>
      </c>
      <c r="D2701" s="51">
        <v>31659881.469216</v>
      </c>
      <c r="E2701" s="51">
        <v>2445941297</v>
      </c>
      <c r="F2701" s="52">
        <f t="shared" si="88"/>
        <v>8.4569704449707732E-3</v>
      </c>
      <c r="G2701" s="52">
        <f t="shared" si="89"/>
        <v>-8.4633092689318096E-3</v>
      </c>
    </row>
    <row r="2702" spans="1:7" ht="15" customHeight="1" x14ac:dyDescent="0.2">
      <c r="A2702" s="19" t="s">
        <v>2849</v>
      </c>
      <c r="B2702" s="50">
        <v>233.42</v>
      </c>
      <c r="C2702" s="50">
        <v>3693.23</v>
      </c>
      <c r="D2702" s="51">
        <v>34834808.458429001</v>
      </c>
      <c r="E2702" s="51">
        <v>2807610763</v>
      </c>
      <c r="F2702" s="52">
        <f t="shared" si="88"/>
        <v>-1.2787397237280191E-2</v>
      </c>
      <c r="G2702" s="52">
        <f t="shared" si="89"/>
        <v>-1.7382826077567966E-2</v>
      </c>
    </row>
    <row r="2703" spans="1:7" ht="15" customHeight="1" x14ac:dyDescent="0.2">
      <c r="A2703" s="19" t="s">
        <v>2850</v>
      </c>
      <c r="B2703" s="50">
        <v>232.96</v>
      </c>
      <c r="C2703" s="50">
        <v>3655.04</v>
      </c>
      <c r="D2703" s="51">
        <v>28228009.395977002</v>
      </c>
      <c r="E2703" s="51">
        <v>2631140662</v>
      </c>
      <c r="F2703" s="52">
        <f t="shared" si="88"/>
        <v>-1.9726409758863729E-3</v>
      </c>
      <c r="G2703" s="52">
        <f t="shared" si="89"/>
        <v>-1.0394376865970473E-2</v>
      </c>
    </row>
    <row r="2704" spans="1:7" ht="15" customHeight="1" x14ac:dyDescent="0.2">
      <c r="A2704" s="19" t="s">
        <v>2851</v>
      </c>
      <c r="B2704" s="50">
        <v>231.94</v>
      </c>
      <c r="C2704" s="50">
        <v>3647.29</v>
      </c>
      <c r="D2704" s="51">
        <v>27539531.604403999</v>
      </c>
      <c r="E2704" s="51">
        <v>2543929467</v>
      </c>
      <c r="F2704" s="52">
        <f t="shared" si="88"/>
        <v>-4.3880474797639742E-3</v>
      </c>
      <c r="G2704" s="52">
        <f t="shared" si="89"/>
        <v>-2.1226109775338642E-3</v>
      </c>
    </row>
    <row r="2705" spans="1:7" ht="15" customHeight="1" x14ac:dyDescent="0.2">
      <c r="A2705" s="19" t="s">
        <v>2852</v>
      </c>
      <c r="B2705" s="50">
        <v>236.511</v>
      </c>
      <c r="C2705" s="50">
        <v>3719.04</v>
      </c>
      <c r="D2705" s="51">
        <v>29589240.615961999</v>
      </c>
      <c r="E2705" s="51">
        <v>2634239753</v>
      </c>
      <c r="F2705" s="52">
        <f t="shared" si="88"/>
        <v>1.951600094970523E-2</v>
      </c>
      <c r="G2705" s="52">
        <f t="shared" si="89"/>
        <v>1.9481144387776417E-2</v>
      </c>
    </row>
    <row r="2706" spans="1:7" ht="15" customHeight="1" x14ac:dyDescent="0.2">
      <c r="A2706" s="19" t="s">
        <v>2853</v>
      </c>
      <c r="B2706" s="50">
        <v>233.01</v>
      </c>
      <c r="C2706" s="50">
        <v>3640.47</v>
      </c>
      <c r="D2706" s="51">
        <v>28014005.369545002</v>
      </c>
      <c r="E2706" s="51">
        <v>2604839600</v>
      </c>
      <c r="F2706" s="52">
        <f t="shared" si="88"/>
        <v>-1.4913347378596821E-2</v>
      </c>
      <c r="G2706" s="52">
        <f t="shared" si="89"/>
        <v>-2.1352776272162088E-2</v>
      </c>
    </row>
    <row r="2707" spans="1:7" ht="15" customHeight="1" x14ac:dyDescent="0.2">
      <c r="A2707" s="19" t="s">
        <v>2854</v>
      </c>
      <c r="B2707" s="50">
        <v>228.49600000000001</v>
      </c>
      <c r="C2707" s="50">
        <v>3585.62</v>
      </c>
      <c r="D2707" s="51">
        <v>36382867.781429999</v>
      </c>
      <c r="E2707" s="51">
        <v>3142945550</v>
      </c>
      <c r="F2707" s="52">
        <f t="shared" si="88"/>
        <v>-1.9562666389088237E-2</v>
      </c>
      <c r="G2707" s="52">
        <f t="shared" si="89"/>
        <v>-1.5181392276394085E-2</v>
      </c>
    </row>
    <row r="2708" spans="1:7" ht="15" customHeight="1" x14ac:dyDescent="0.2">
      <c r="A2708" s="19" t="s">
        <v>2855</v>
      </c>
      <c r="B2708" s="50">
        <v>236.18600000000001</v>
      </c>
      <c r="C2708" s="50">
        <v>3678.43</v>
      </c>
      <c r="D2708" s="51">
        <v>29437040.359553002</v>
      </c>
      <c r="E2708" s="51">
        <v>2734042230</v>
      </c>
      <c r="F2708" s="52">
        <f t="shared" si="88"/>
        <v>3.3100925492485535E-2</v>
      </c>
      <c r="G2708" s="52">
        <f t="shared" si="89"/>
        <v>2.5554628797407629E-2</v>
      </c>
    </row>
    <row r="2709" spans="1:7" ht="15" customHeight="1" x14ac:dyDescent="0.2">
      <c r="A2709" s="19" t="s">
        <v>2856</v>
      </c>
      <c r="B2709" s="50">
        <v>244.17400000000001</v>
      </c>
      <c r="C2709" s="50">
        <v>3790.93</v>
      </c>
      <c r="D2709" s="51">
        <v>35560907.708755001</v>
      </c>
      <c r="E2709" s="51">
        <v>2850684686</v>
      </c>
      <c r="F2709" s="52">
        <f t="shared" si="88"/>
        <v>3.3261455698727238E-2</v>
      </c>
      <c r="G2709" s="52">
        <f t="shared" si="89"/>
        <v>3.012534086530393E-2</v>
      </c>
    </row>
    <row r="2710" spans="1:7" ht="15" customHeight="1" x14ac:dyDescent="0.2">
      <c r="A2710" s="19" t="s">
        <v>2857</v>
      </c>
      <c r="B2710" s="50">
        <v>244.48599999999999</v>
      </c>
      <c r="C2710" s="50">
        <v>3783.28</v>
      </c>
      <c r="D2710" s="51">
        <v>20739337.246881001</v>
      </c>
      <c r="E2710" s="51">
        <v>2406097925</v>
      </c>
      <c r="F2710" s="52">
        <f t="shared" si="88"/>
        <v>1.2769616600351768E-3</v>
      </c>
      <c r="G2710" s="52">
        <f t="shared" si="89"/>
        <v>-2.0200133350643033E-3</v>
      </c>
    </row>
    <row r="2711" spans="1:7" ht="15" customHeight="1" x14ac:dyDescent="0.2">
      <c r="A2711" s="19" t="s">
        <v>2858</v>
      </c>
      <c r="B2711" s="50">
        <v>242.12299999999999</v>
      </c>
      <c r="C2711" s="50">
        <v>3744.52</v>
      </c>
      <c r="D2711" s="51">
        <v>20630019.949365001</v>
      </c>
      <c r="E2711" s="51">
        <v>2451917428</v>
      </c>
      <c r="F2711" s="52">
        <f t="shared" si="88"/>
        <v>-9.7121860649605641E-3</v>
      </c>
      <c r="G2711" s="52">
        <f t="shared" si="89"/>
        <v>-1.0297920383574249E-2</v>
      </c>
    </row>
    <row r="2712" spans="1:7" ht="15" customHeight="1" x14ac:dyDescent="0.2">
      <c r="A2712" s="19" t="s">
        <v>2859</v>
      </c>
      <c r="B2712" s="50">
        <v>229.81100000000001</v>
      </c>
      <c r="C2712" s="50">
        <v>3639.66</v>
      </c>
      <c r="D2712" s="51">
        <v>38497630.013309002</v>
      </c>
      <c r="E2712" s="51">
        <v>2670998010</v>
      </c>
      <c r="F2712" s="52">
        <f t="shared" si="88"/>
        <v>-5.218862951677853E-2</v>
      </c>
      <c r="G2712" s="52">
        <f t="shared" si="89"/>
        <v>-2.8403167167490584E-2</v>
      </c>
    </row>
    <row r="2713" spans="1:7" ht="15" customHeight="1" x14ac:dyDescent="0.2">
      <c r="A2713" s="19" t="s">
        <v>2860</v>
      </c>
      <c r="B2713" s="50">
        <v>224.916</v>
      </c>
      <c r="C2713" s="50">
        <v>3612.39</v>
      </c>
      <c r="D2713" s="51">
        <v>30316930.955345999</v>
      </c>
      <c r="E2713" s="51">
        <v>2379975370</v>
      </c>
      <c r="F2713" s="52">
        <f t="shared" si="88"/>
        <v>-2.1530232815237874E-2</v>
      </c>
      <c r="G2713" s="52">
        <f t="shared" si="89"/>
        <v>-7.5206675446196497E-3</v>
      </c>
    </row>
    <row r="2714" spans="1:7" ht="15" customHeight="1" x14ac:dyDescent="0.2">
      <c r="A2714" s="19" t="s">
        <v>2861</v>
      </c>
      <c r="B2714" s="50">
        <v>221.148</v>
      </c>
      <c r="C2714" s="50">
        <v>3588.84</v>
      </c>
      <c r="D2714" s="51">
        <v>31061354.740635</v>
      </c>
      <c r="E2714" s="51">
        <v>2730730478</v>
      </c>
      <c r="F2714" s="52">
        <f t="shared" si="88"/>
        <v>-1.6894838526947929E-2</v>
      </c>
      <c r="G2714" s="52">
        <f t="shared" si="89"/>
        <v>-6.5405726393698588E-3</v>
      </c>
    </row>
    <row r="2715" spans="1:7" ht="15" customHeight="1" x14ac:dyDescent="0.2">
      <c r="A2715" s="19" t="s">
        <v>2862</v>
      </c>
      <c r="B2715" s="50">
        <v>221.482</v>
      </c>
      <c r="C2715" s="50">
        <v>3577.03</v>
      </c>
      <c r="D2715" s="51">
        <v>22326146.366615999</v>
      </c>
      <c r="E2715" s="51">
        <v>2370590416</v>
      </c>
      <c r="F2715" s="52">
        <f t="shared" si="88"/>
        <v>1.5091614368313597E-3</v>
      </c>
      <c r="G2715" s="52">
        <f t="shared" si="89"/>
        <v>-3.2961833504644216E-3</v>
      </c>
    </row>
    <row r="2716" spans="1:7" ht="15" customHeight="1" x14ac:dyDescent="0.2">
      <c r="A2716" s="19" t="s">
        <v>2863</v>
      </c>
      <c r="B2716" s="50">
        <v>229.81100000000001</v>
      </c>
      <c r="C2716" s="50">
        <v>3669.91</v>
      </c>
      <c r="D2716" s="51">
        <v>43372025.624141999</v>
      </c>
      <c r="E2716" s="51">
        <v>3197128807</v>
      </c>
      <c r="F2716" s="52">
        <f t="shared" si="88"/>
        <v>3.6915909905354517E-2</v>
      </c>
      <c r="G2716" s="52">
        <f t="shared" si="89"/>
        <v>2.5634291446897169E-2</v>
      </c>
    </row>
    <row r="2717" spans="1:7" ht="15" customHeight="1" x14ac:dyDescent="0.2">
      <c r="A2717" s="19" t="s">
        <v>2864</v>
      </c>
      <c r="B2717" s="50">
        <v>224.238</v>
      </c>
      <c r="C2717" s="50">
        <v>3583.07</v>
      </c>
      <c r="D2717" s="51">
        <v>30780680.922938</v>
      </c>
      <c r="E2717" s="51">
        <v>2661937030</v>
      </c>
      <c r="F2717" s="52">
        <f t="shared" si="88"/>
        <v>-2.4549244178668592E-2</v>
      </c>
      <c r="G2717" s="52">
        <f t="shared" si="89"/>
        <v>-2.3947163771951822E-2</v>
      </c>
    </row>
    <row r="2718" spans="1:7" ht="15" customHeight="1" x14ac:dyDescent="0.2">
      <c r="A2718" s="19" t="s">
        <v>2865</v>
      </c>
      <c r="B2718" s="50">
        <v>233.03800000000001</v>
      </c>
      <c r="C2718" s="50">
        <v>3677.95</v>
      </c>
      <c r="D2718" s="51">
        <v>28684724.324058</v>
      </c>
      <c r="E2718" s="51">
        <v>2577719660</v>
      </c>
      <c r="F2718" s="52">
        <f t="shared" si="88"/>
        <v>3.8493542595289323E-2</v>
      </c>
      <c r="G2718" s="52">
        <f t="shared" si="89"/>
        <v>2.613555691190645E-2</v>
      </c>
    </row>
    <row r="2719" spans="1:7" ht="15" customHeight="1" x14ac:dyDescent="0.2">
      <c r="A2719" s="19" t="s">
        <v>2866</v>
      </c>
      <c r="B2719" s="50">
        <v>233.99100000000001</v>
      </c>
      <c r="C2719" s="50">
        <v>3719.98</v>
      </c>
      <c r="D2719" s="51">
        <v>26837107.066147</v>
      </c>
      <c r="E2719" s="51">
        <v>2659756947</v>
      </c>
      <c r="F2719" s="52">
        <f t="shared" si="88"/>
        <v>4.0811226828693413E-3</v>
      </c>
      <c r="G2719" s="52">
        <f t="shared" si="89"/>
        <v>1.1362760181543908E-2</v>
      </c>
    </row>
    <row r="2720" spans="1:7" ht="15" customHeight="1" x14ac:dyDescent="0.2">
      <c r="A2720" s="19" t="s">
        <v>2867</v>
      </c>
      <c r="B2720" s="50">
        <v>232.00899999999999</v>
      </c>
      <c r="C2720" s="50">
        <v>3695.16</v>
      </c>
      <c r="D2720" s="51">
        <v>20370932.348235</v>
      </c>
      <c r="E2720" s="51">
        <v>2400354825</v>
      </c>
      <c r="F2720" s="52">
        <f t="shared" si="88"/>
        <v>-8.5064890622507713E-3</v>
      </c>
      <c r="G2720" s="52">
        <f t="shared" si="89"/>
        <v>-6.694436704711702E-3</v>
      </c>
    </row>
    <row r="2721" spans="1:7" ht="15" customHeight="1" x14ac:dyDescent="0.2">
      <c r="A2721" s="19" t="s">
        <v>2868</v>
      </c>
      <c r="B2721" s="50">
        <v>231.685</v>
      </c>
      <c r="C2721" s="50">
        <v>3665.78</v>
      </c>
      <c r="D2721" s="51">
        <v>22231433.248482</v>
      </c>
      <c r="E2721" s="51">
        <v>2641513546</v>
      </c>
      <c r="F2721" s="52">
        <f t="shared" si="88"/>
        <v>-1.3974735611379987E-3</v>
      </c>
      <c r="G2721" s="52">
        <f t="shared" si="89"/>
        <v>-7.9827185160930587E-3</v>
      </c>
    </row>
    <row r="2722" spans="1:7" ht="15" customHeight="1" x14ac:dyDescent="0.2">
      <c r="A2722" s="19" t="s">
        <v>2869</v>
      </c>
      <c r="B2722" s="50">
        <v>237.542</v>
      </c>
      <c r="C2722" s="50">
        <v>3752.75</v>
      </c>
      <c r="D2722" s="51">
        <v>26806673.538228001</v>
      </c>
      <c r="E2722" s="51">
        <v>3007722663</v>
      </c>
      <c r="F2722" s="52">
        <f t="shared" si="88"/>
        <v>2.4965759489049878E-2</v>
      </c>
      <c r="G2722" s="52">
        <f t="shared" si="89"/>
        <v>2.3447767852436571E-2</v>
      </c>
    </row>
    <row r="2723" spans="1:7" ht="15" customHeight="1" x14ac:dyDescent="0.2">
      <c r="A2723" s="19" t="s">
        <v>2870</v>
      </c>
      <c r="B2723" s="50">
        <v>242.57499999999999</v>
      </c>
      <c r="C2723" s="50">
        <v>3797.34</v>
      </c>
      <c r="D2723" s="51">
        <v>25391388.099856</v>
      </c>
      <c r="E2723" s="51">
        <v>2587423726</v>
      </c>
      <c r="F2723" s="52">
        <f t="shared" si="88"/>
        <v>2.0966490966125916E-2</v>
      </c>
      <c r="G2723" s="52">
        <f t="shared" si="89"/>
        <v>1.1811917059798283E-2</v>
      </c>
    </row>
    <row r="2724" spans="1:7" ht="15" customHeight="1" x14ac:dyDescent="0.2">
      <c r="A2724" s="19" t="s">
        <v>2871</v>
      </c>
      <c r="B2724" s="50">
        <v>245.92099999999999</v>
      </c>
      <c r="C2724" s="50">
        <v>3859.11</v>
      </c>
      <c r="D2724" s="51">
        <v>35445820.292625003</v>
      </c>
      <c r="E2724" s="51">
        <v>2722411722</v>
      </c>
      <c r="F2724" s="52">
        <f t="shared" si="88"/>
        <v>1.3699405233699927E-2</v>
      </c>
      <c r="G2724" s="52">
        <f t="shared" si="89"/>
        <v>1.6135765325269211E-2</v>
      </c>
    </row>
    <row r="2725" spans="1:7" ht="15" customHeight="1" x14ac:dyDescent="0.2">
      <c r="A2725" s="19" t="s">
        <v>2872</v>
      </c>
      <c r="B2725" s="50">
        <v>226.946</v>
      </c>
      <c r="C2725" s="50">
        <v>3830.6</v>
      </c>
      <c r="D2725" s="51">
        <v>84278637.858439997</v>
      </c>
      <c r="E2725" s="51">
        <v>2946134171</v>
      </c>
      <c r="F2725" s="52">
        <f t="shared" si="88"/>
        <v>-8.0298242425450098E-2</v>
      </c>
      <c r="G2725" s="52">
        <f t="shared" si="89"/>
        <v>-7.4151380567922306E-3</v>
      </c>
    </row>
    <row r="2726" spans="1:7" ht="15" customHeight="1" x14ac:dyDescent="0.2">
      <c r="A2726" s="19" t="s">
        <v>2873</v>
      </c>
      <c r="B2726" s="50">
        <v>222.46199999999999</v>
      </c>
      <c r="C2726" s="50">
        <v>3807.3</v>
      </c>
      <c r="D2726" s="51">
        <v>41203850.298166998</v>
      </c>
      <c r="E2726" s="51">
        <v>3088618697</v>
      </c>
      <c r="F2726" s="52">
        <f t="shared" si="88"/>
        <v>-1.9955803215849811E-2</v>
      </c>
      <c r="G2726" s="52">
        <f t="shared" si="89"/>
        <v>-6.1011723843323405E-3</v>
      </c>
    </row>
    <row r="2727" spans="1:7" ht="15" customHeight="1" x14ac:dyDescent="0.2">
      <c r="A2727" s="19" t="s">
        <v>2874</v>
      </c>
      <c r="B2727" s="50">
        <v>231.40899999999999</v>
      </c>
      <c r="C2727" s="50">
        <v>3901.06</v>
      </c>
      <c r="D2727" s="51">
        <v>41431229.257726997</v>
      </c>
      <c r="E2727" s="51">
        <v>2899801373</v>
      </c>
      <c r="F2727" s="52">
        <f t="shared" si="88"/>
        <v>3.9430407190052308E-2</v>
      </c>
      <c r="G2727" s="52">
        <f t="shared" si="89"/>
        <v>2.4328034575769396E-2</v>
      </c>
    </row>
    <row r="2728" spans="1:7" ht="15" customHeight="1" x14ac:dyDescent="0.2">
      <c r="A2728" s="19" t="s">
        <v>2875</v>
      </c>
      <c r="B2728" s="50">
        <v>227.74</v>
      </c>
      <c r="C2728" s="50">
        <v>3871.98</v>
      </c>
      <c r="D2728" s="51">
        <v>28903865.499015</v>
      </c>
      <c r="E2728" s="51">
        <v>2800978345</v>
      </c>
      <c r="F2728" s="52">
        <f t="shared" si="88"/>
        <v>-1.5982080311356277E-2</v>
      </c>
      <c r="G2728" s="52">
        <f t="shared" si="89"/>
        <v>-7.4823069661265037E-3</v>
      </c>
    </row>
    <row r="2729" spans="1:7" ht="15" customHeight="1" x14ac:dyDescent="0.2">
      <c r="A2729" s="19" t="s">
        <v>2876</v>
      </c>
      <c r="B2729" s="50">
        <v>223.857</v>
      </c>
      <c r="C2729" s="50">
        <v>3856.1</v>
      </c>
      <c r="D2729" s="51">
        <v>31181952.360123999</v>
      </c>
      <c r="E2729" s="51">
        <v>2616622589</v>
      </c>
      <c r="F2729" s="52">
        <f t="shared" si="88"/>
        <v>-1.719717224404824E-2</v>
      </c>
      <c r="G2729" s="52">
        <f t="shared" si="89"/>
        <v>-4.1096940897468529E-3</v>
      </c>
    </row>
    <row r="2730" spans="1:7" ht="15" customHeight="1" x14ac:dyDescent="0.2">
      <c r="A2730" s="19" t="s">
        <v>2877</v>
      </c>
      <c r="B2730" s="50">
        <v>215.93600000000001</v>
      </c>
      <c r="C2730" s="50">
        <v>3759.69</v>
      </c>
      <c r="D2730" s="51">
        <v>39147322.333504997</v>
      </c>
      <c r="E2730" s="51">
        <v>3112059344</v>
      </c>
      <c r="F2730" s="52">
        <f t="shared" si="88"/>
        <v>-3.6025387654962299E-2</v>
      </c>
      <c r="G2730" s="52">
        <f t="shared" si="89"/>
        <v>-2.5319802827619801E-2</v>
      </c>
    </row>
    <row r="2731" spans="1:7" ht="15" customHeight="1" x14ac:dyDescent="0.2">
      <c r="A2731" s="19" t="s">
        <v>2878</v>
      </c>
      <c r="B2731" s="50">
        <v>210.197</v>
      </c>
      <c r="C2731" s="50">
        <v>3719.89</v>
      </c>
      <c r="D2731" s="51">
        <v>37340059.211966999</v>
      </c>
      <c r="E2731" s="51">
        <v>2853782123</v>
      </c>
      <c r="F2731" s="52">
        <f t="shared" si="88"/>
        <v>-2.6936881264234182E-2</v>
      </c>
      <c r="G2731" s="52">
        <f t="shared" si="89"/>
        <v>-1.064240923898342E-2</v>
      </c>
    </row>
    <row r="2732" spans="1:7" ht="15" customHeight="1" x14ac:dyDescent="0.2">
      <c r="A2732" s="19" t="s">
        <v>2879</v>
      </c>
      <c r="B2732" s="50">
        <v>217.20400000000001</v>
      </c>
      <c r="C2732" s="50">
        <v>3770.55</v>
      </c>
      <c r="D2732" s="51">
        <v>37498190.632517003</v>
      </c>
      <c r="E2732" s="51">
        <v>3019479207</v>
      </c>
      <c r="F2732" s="52">
        <f t="shared" si="88"/>
        <v>3.2791817877251377E-2</v>
      </c>
      <c r="G2732" s="52">
        <f t="shared" si="89"/>
        <v>1.3526781457993704E-2</v>
      </c>
    </row>
    <row r="2733" spans="1:7" ht="15" customHeight="1" x14ac:dyDescent="0.2">
      <c r="A2733" s="19" t="s">
        <v>2880</v>
      </c>
      <c r="B2733" s="50">
        <v>223.56100000000001</v>
      </c>
      <c r="C2733" s="50">
        <v>3806.8</v>
      </c>
      <c r="D2733" s="51">
        <v>34143669.338522002</v>
      </c>
      <c r="E2733" s="51">
        <v>2492839587</v>
      </c>
      <c r="F2733" s="52">
        <f t="shared" si="88"/>
        <v>2.8847303367133481E-2</v>
      </c>
      <c r="G2733" s="52">
        <f t="shared" si="89"/>
        <v>9.5680618026735623E-3</v>
      </c>
    </row>
    <row r="2734" spans="1:7" ht="15" customHeight="1" x14ac:dyDescent="0.2">
      <c r="A2734" s="19" t="s">
        <v>2881</v>
      </c>
      <c r="B2734" s="50">
        <v>224.541</v>
      </c>
      <c r="C2734" s="50">
        <v>3828.11</v>
      </c>
      <c r="D2734" s="51">
        <v>28735973.496263999</v>
      </c>
      <c r="E2734" s="51">
        <v>2585450787</v>
      </c>
      <c r="F2734" s="52">
        <f t="shared" si="88"/>
        <v>4.3740111065962237E-3</v>
      </c>
      <c r="G2734" s="52">
        <f t="shared" si="89"/>
        <v>5.5822675939800961E-3</v>
      </c>
    </row>
    <row r="2735" spans="1:7" ht="15" customHeight="1" x14ac:dyDescent="0.2">
      <c r="A2735" s="19" t="s">
        <v>2882</v>
      </c>
      <c r="B2735" s="50">
        <v>220.26400000000001</v>
      </c>
      <c r="C2735" s="50">
        <v>3748.57</v>
      </c>
      <c r="D2735" s="51">
        <v>28389788.803546</v>
      </c>
      <c r="E2735" s="51">
        <v>2535204840</v>
      </c>
      <c r="F2735" s="52">
        <f t="shared" si="88"/>
        <v>-1.9231491642351609E-2</v>
      </c>
      <c r="G2735" s="52">
        <f t="shared" si="89"/>
        <v>-2.0996774887089925E-2</v>
      </c>
    </row>
    <row r="2736" spans="1:7" ht="15" customHeight="1" x14ac:dyDescent="0.2">
      <c r="A2736" s="19" t="s">
        <v>2883</v>
      </c>
      <c r="B2736" s="50">
        <v>238.38499999999999</v>
      </c>
      <c r="C2736" s="50">
        <v>3956.37</v>
      </c>
      <c r="D2736" s="51">
        <v>47159860.299984999</v>
      </c>
      <c r="E2736" s="51">
        <v>3342969435</v>
      </c>
      <c r="F2736" s="52">
        <f t="shared" si="88"/>
        <v>7.9060186820751305E-2</v>
      </c>
      <c r="G2736" s="52">
        <f t="shared" si="89"/>
        <v>5.3952504280963931E-2</v>
      </c>
    </row>
    <row r="2737" spans="1:7" ht="15" customHeight="1" x14ac:dyDescent="0.2">
      <c r="A2737" s="19" t="s">
        <v>2884</v>
      </c>
      <c r="B2737" s="50">
        <v>242.43700000000001</v>
      </c>
      <c r="C2737" s="50">
        <v>3992.93</v>
      </c>
      <c r="D2737" s="51">
        <v>35287568.597566001</v>
      </c>
      <c r="E2737" s="51">
        <v>3015063689</v>
      </c>
      <c r="F2737" s="52">
        <f t="shared" si="88"/>
        <v>1.6854869062251056E-2</v>
      </c>
      <c r="G2737" s="52">
        <f t="shared" si="89"/>
        <v>9.1983590448269908E-3</v>
      </c>
    </row>
    <row r="2738" spans="1:7" ht="15" customHeight="1" x14ac:dyDescent="0.2">
      <c r="A2738" s="19" t="s">
        <v>2885</v>
      </c>
      <c r="B2738" s="50">
        <v>236.98099999999999</v>
      </c>
      <c r="C2738" s="50">
        <v>3957.25</v>
      </c>
      <c r="D2738" s="51">
        <v>31723257.981337</v>
      </c>
      <c r="E2738" s="51">
        <v>2607905944</v>
      </c>
      <c r="F2738" s="52">
        <f t="shared" si="88"/>
        <v>-2.2761913665774319E-2</v>
      </c>
      <c r="G2738" s="52">
        <f t="shared" si="89"/>
        <v>-8.9759576650217388E-3</v>
      </c>
    </row>
    <row r="2739" spans="1:7" ht="15" customHeight="1" x14ac:dyDescent="0.2">
      <c r="A2739" s="19" t="s">
        <v>2886</v>
      </c>
      <c r="B2739" s="50">
        <v>237.39500000000001</v>
      </c>
      <c r="C2739" s="50">
        <v>3991.73</v>
      </c>
      <c r="D2739" s="51">
        <v>31995177.241753999</v>
      </c>
      <c r="E2739" s="51">
        <v>2796620692</v>
      </c>
      <c r="F2739" s="52">
        <f t="shared" si="88"/>
        <v>1.7454513091206365E-3</v>
      </c>
      <c r="G2739" s="52">
        <f t="shared" si="89"/>
        <v>8.6753813075978112E-3</v>
      </c>
    </row>
    <row r="2740" spans="1:7" ht="15" customHeight="1" x14ac:dyDescent="0.2">
      <c r="A2740" s="19" t="s">
        <v>2887</v>
      </c>
      <c r="B2740" s="50">
        <v>237.827</v>
      </c>
      <c r="C2740" s="50">
        <v>3958.79</v>
      </c>
      <c r="D2740" s="51">
        <v>24488668.283983</v>
      </c>
      <c r="E2740" s="51">
        <v>2405874725</v>
      </c>
      <c r="F2740" s="52">
        <f t="shared" si="88"/>
        <v>1.8180981478016422E-3</v>
      </c>
      <c r="G2740" s="52">
        <f t="shared" si="89"/>
        <v>-8.2862978720850793E-3</v>
      </c>
    </row>
    <row r="2741" spans="1:7" ht="15" customHeight="1" x14ac:dyDescent="0.2">
      <c r="A2741" s="19" t="s">
        <v>2888</v>
      </c>
      <c r="B2741" s="50">
        <v>237.77799999999999</v>
      </c>
      <c r="C2741" s="50">
        <v>3946.56</v>
      </c>
      <c r="D2741" s="51">
        <v>23503026.013489999</v>
      </c>
      <c r="E2741" s="51">
        <v>2196018180</v>
      </c>
      <c r="F2741" s="52">
        <f t="shared" si="88"/>
        <v>-2.0605334331374819E-4</v>
      </c>
      <c r="G2741" s="52">
        <f t="shared" si="89"/>
        <v>-3.094109623737159E-3</v>
      </c>
    </row>
    <row r="2742" spans="1:7" ht="15" customHeight="1" x14ac:dyDescent="0.2">
      <c r="A2742" s="19" t="s">
        <v>2889</v>
      </c>
      <c r="B2742" s="50">
        <v>237.32499999999999</v>
      </c>
      <c r="C2742" s="50">
        <v>3965.34</v>
      </c>
      <c r="D2742" s="51">
        <v>28066690.356509</v>
      </c>
      <c r="E2742" s="51">
        <v>2233622593</v>
      </c>
      <c r="F2742" s="52">
        <f t="shared" si="88"/>
        <v>-1.906955490818136E-3</v>
      </c>
      <c r="G2742" s="52">
        <f t="shared" si="89"/>
        <v>4.7472883302355929E-3</v>
      </c>
    </row>
    <row r="2743" spans="1:7" ht="15" customHeight="1" x14ac:dyDescent="0.2">
      <c r="A2743" s="19" t="s">
        <v>2890</v>
      </c>
      <c r="B2743" s="50">
        <v>238.14099999999999</v>
      </c>
      <c r="C2743" s="50">
        <v>3949.94</v>
      </c>
      <c r="D2743" s="51">
        <v>26827865.171457</v>
      </c>
      <c r="E2743" s="51">
        <v>2114062649</v>
      </c>
      <c r="F2743" s="52">
        <f t="shared" si="88"/>
        <v>3.432425456898629E-3</v>
      </c>
      <c r="G2743" s="52">
        <f t="shared" si="89"/>
        <v>-3.8912128014762935E-3</v>
      </c>
    </row>
    <row r="2744" spans="1:7" ht="15" customHeight="1" x14ac:dyDescent="0.2">
      <c r="A2744" s="19" t="s">
        <v>2891</v>
      </c>
      <c r="B2744" s="50">
        <v>241.07499999999999</v>
      </c>
      <c r="C2744" s="50">
        <v>4003.58</v>
      </c>
      <c r="D2744" s="51">
        <v>19988434.089967001</v>
      </c>
      <c r="E2744" s="51">
        <v>1997281888</v>
      </c>
      <c r="F2744" s="52">
        <f t="shared" si="88"/>
        <v>1.2245153171687305E-2</v>
      </c>
      <c r="G2744" s="52">
        <f t="shared" si="89"/>
        <v>1.3488571921957369E-2</v>
      </c>
    </row>
    <row r="2745" spans="1:7" ht="15" customHeight="1" x14ac:dyDescent="0.2">
      <c r="A2745" s="19" t="s">
        <v>2892</v>
      </c>
      <c r="B2745" s="50">
        <v>243.58099999999999</v>
      </c>
      <c r="C2745" s="50">
        <v>4027.26</v>
      </c>
      <c r="D2745" s="51">
        <v>19828616.663137</v>
      </c>
      <c r="E2745" s="51">
        <v>1753489062</v>
      </c>
      <c r="F2745" s="52">
        <f t="shared" si="88"/>
        <v>1.034144768146401E-2</v>
      </c>
      <c r="G2745" s="52">
        <f t="shared" si="89"/>
        <v>5.8972831306427134E-3</v>
      </c>
    </row>
    <row r="2746" spans="1:7" ht="15" customHeight="1" x14ac:dyDescent="0.2">
      <c r="A2746" s="19" t="s">
        <v>2893</v>
      </c>
      <c r="B2746" s="50">
        <v>243.494</v>
      </c>
      <c r="C2746" s="50">
        <v>4026.12</v>
      </c>
      <c r="D2746" s="51">
        <v>9351766.4792295992</v>
      </c>
      <c r="E2746" s="51">
        <v>901913979</v>
      </c>
      <c r="F2746" s="52">
        <f t="shared" si="88"/>
        <v>-3.5723451593782372E-4</v>
      </c>
      <c r="G2746" s="52">
        <f t="shared" si="89"/>
        <v>-2.8311094412904197E-4</v>
      </c>
    </row>
    <row r="2747" spans="1:7" ht="15" customHeight="1" x14ac:dyDescent="0.2">
      <c r="A2747" s="19" t="s">
        <v>2894</v>
      </c>
      <c r="B2747" s="50">
        <v>237.857</v>
      </c>
      <c r="C2747" s="50">
        <v>3963.94</v>
      </c>
      <c r="D2747" s="51">
        <v>25217434.002103001</v>
      </c>
      <c r="E2747" s="51">
        <v>2094426126</v>
      </c>
      <c r="F2747" s="52">
        <f t="shared" si="88"/>
        <v>-2.3422648803524338E-2</v>
      </c>
      <c r="G2747" s="52">
        <f t="shared" si="89"/>
        <v>-1.5564652905563017E-2</v>
      </c>
    </row>
    <row r="2748" spans="1:7" ht="15" customHeight="1" x14ac:dyDescent="0.2">
      <c r="A2748" s="19" t="s">
        <v>2895</v>
      </c>
      <c r="B2748" s="50">
        <v>236.45</v>
      </c>
      <c r="C2748" s="50">
        <v>3957.63</v>
      </c>
      <c r="D2748" s="51">
        <v>18250995.243003</v>
      </c>
      <c r="E2748" s="51">
        <v>1912517741</v>
      </c>
      <c r="F2748" s="52">
        <f t="shared" si="88"/>
        <v>-5.9328836685651736E-3</v>
      </c>
      <c r="G2748" s="52">
        <f t="shared" si="89"/>
        <v>-1.5931188727940442E-3</v>
      </c>
    </row>
    <row r="2749" spans="1:7" ht="15" customHeight="1" x14ac:dyDescent="0.2">
      <c r="A2749" s="19" t="s">
        <v>2896</v>
      </c>
      <c r="B2749" s="50">
        <v>251.02199999999999</v>
      </c>
      <c r="C2749" s="50">
        <v>4080.11</v>
      </c>
      <c r="D2749" s="51">
        <v>48375311.211346</v>
      </c>
      <c r="E2749" s="51">
        <v>3721831565</v>
      </c>
      <c r="F2749" s="52">
        <f t="shared" si="88"/>
        <v>5.9803815603305097E-2</v>
      </c>
      <c r="G2749" s="52">
        <f t="shared" si="89"/>
        <v>3.047858758258928E-2</v>
      </c>
    </row>
    <row r="2750" spans="1:7" ht="15" customHeight="1" x14ac:dyDescent="0.2">
      <c r="A2750" s="19" t="s">
        <v>2897</v>
      </c>
      <c r="B2750" s="50">
        <v>250.577</v>
      </c>
      <c r="C2750" s="50">
        <v>4076.57</v>
      </c>
      <c r="D2750" s="51">
        <v>26468893.176709</v>
      </c>
      <c r="E2750" s="51">
        <v>2316143021</v>
      </c>
      <c r="F2750" s="52">
        <f t="shared" si="88"/>
        <v>-1.7743261718901919E-3</v>
      </c>
      <c r="G2750" s="52">
        <f t="shared" si="89"/>
        <v>-8.6800027027179102E-4</v>
      </c>
    </row>
    <row r="2751" spans="1:7" ht="15" customHeight="1" x14ac:dyDescent="0.2">
      <c r="A2751" s="19" t="s">
        <v>2898</v>
      </c>
      <c r="B2751" s="50">
        <v>250.90299999999999</v>
      </c>
      <c r="C2751" s="50">
        <v>4071.7</v>
      </c>
      <c r="D2751" s="51">
        <v>21881825.968889002</v>
      </c>
      <c r="E2751" s="51">
        <v>2073993715</v>
      </c>
      <c r="F2751" s="52">
        <f t="shared" si="88"/>
        <v>1.3001517345552073E-3</v>
      </c>
      <c r="G2751" s="52">
        <f t="shared" si="89"/>
        <v>-1.1953459028422096E-3</v>
      </c>
    </row>
    <row r="2752" spans="1:7" ht="15" customHeight="1" x14ac:dyDescent="0.2">
      <c r="A2752" s="19" t="s">
        <v>2899</v>
      </c>
      <c r="B2752" s="50">
        <v>246.16</v>
      </c>
      <c r="C2752" s="50">
        <v>3998.84</v>
      </c>
      <c r="D2752" s="51">
        <v>23819892.163406</v>
      </c>
      <c r="E2752" s="51">
        <v>2283039476</v>
      </c>
      <c r="F2752" s="52">
        <f t="shared" si="88"/>
        <v>-1.9084679242068549E-2</v>
      </c>
      <c r="G2752" s="52">
        <f t="shared" si="89"/>
        <v>-1.8056283602075441E-2</v>
      </c>
    </row>
    <row r="2753" spans="1:7" ht="15" customHeight="1" x14ac:dyDescent="0.2">
      <c r="A2753" s="19" t="s">
        <v>2900</v>
      </c>
      <c r="B2753" s="50">
        <v>241.16300000000001</v>
      </c>
      <c r="C2753" s="50">
        <v>3941.26</v>
      </c>
      <c r="D2753" s="51">
        <v>22832380.712962002</v>
      </c>
      <c r="E2753" s="51">
        <v>2363290230</v>
      </c>
      <c r="F2753" s="52">
        <f t="shared" si="88"/>
        <v>-2.0508677596013498E-2</v>
      </c>
      <c r="G2753" s="52">
        <f t="shared" si="89"/>
        <v>-1.4503849921748772E-2</v>
      </c>
    </row>
    <row r="2754" spans="1:7" ht="15" customHeight="1" x14ac:dyDescent="0.2">
      <c r="A2754" s="19" t="s">
        <v>2901</v>
      </c>
      <c r="B2754" s="50">
        <v>240.42400000000001</v>
      </c>
      <c r="C2754" s="50">
        <v>3933.92</v>
      </c>
      <c r="D2754" s="51">
        <v>20817645.615302999</v>
      </c>
      <c r="E2754" s="51">
        <v>2261360347</v>
      </c>
      <c r="F2754" s="52">
        <f t="shared" si="88"/>
        <v>-3.0690221291146485E-3</v>
      </c>
      <c r="G2754" s="52">
        <f t="shared" si="89"/>
        <v>-1.8640849162627044E-3</v>
      </c>
    </row>
    <row r="2755" spans="1:7" ht="15" customHeight="1" x14ac:dyDescent="0.2">
      <c r="A2755" s="19" t="s">
        <v>2902</v>
      </c>
      <c r="B2755" s="50">
        <v>243.405</v>
      </c>
      <c r="C2755" s="50">
        <v>3963.51</v>
      </c>
      <c r="D2755" s="51">
        <v>22982840.043106001</v>
      </c>
      <c r="E2755" s="51">
        <v>2156493372</v>
      </c>
      <c r="F2755" s="52">
        <f t="shared" si="88"/>
        <v>1.2322691370951412E-2</v>
      </c>
      <c r="G2755" s="52">
        <f t="shared" si="89"/>
        <v>7.493612090724109E-3</v>
      </c>
    </row>
    <row r="2756" spans="1:7" ht="15" customHeight="1" x14ac:dyDescent="0.2">
      <c r="A2756" s="19" t="s">
        <v>2903</v>
      </c>
      <c r="B2756" s="50">
        <v>241.458</v>
      </c>
      <c r="C2756" s="50">
        <v>3934.38</v>
      </c>
      <c r="D2756" s="51">
        <v>20947970.858633999</v>
      </c>
      <c r="E2756" s="51">
        <v>2120259740</v>
      </c>
      <c r="F2756" s="52">
        <f t="shared" si="88"/>
        <v>-8.0311777350875642E-3</v>
      </c>
      <c r="G2756" s="52">
        <f t="shared" si="89"/>
        <v>-7.3766872148234497E-3</v>
      </c>
    </row>
    <row r="2757" spans="1:7" ht="15" customHeight="1" x14ac:dyDescent="0.2">
      <c r="A2757" s="19" t="s">
        <v>2904</v>
      </c>
      <c r="B2757" s="50">
        <v>248.43299999999999</v>
      </c>
      <c r="C2757" s="50">
        <v>3990.56</v>
      </c>
      <c r="D2757" s="51">
        <v>31168315.480207998</v>
      </c>
      <c r="E2757" s="51">
        <v>2283766184</v>
      </c>
      <c r="F2757" s="52">
        <f t="shared" si="88"/>
        <v>2.847764655253553E-2</v>
      </c>
      <c r="G2757" s="52">
        <f t="shared" si="89"/>
        <v>1.4178262831053962E-2</v>
      </c>
    </row>
    <row r="2758" spans="1:7" ht="15" customHeight="1" x14ac:dyDescent="0.2">
      <c r="A2758" s="19" t="s">
        <v>2905</v>
      </c>
      <c r="B2758" s="50">
        <v>252.77099999999999</v>
      </c>
      <c r="C2758" s="50">
        <v>4019.65</v>
      </c>
      <c r="D2758" s="51">
        <v>42889379.860639997</v>
      </c>
      <c r="E2758" s="51">
        <v>3099177403</v>
      </c>
      <c r="F2758" s="52">
        <f t="shared" ref="F2758:F2821" si="90">LN(B2758/B2757)</f>
        <v>1.7310749025480437E-2</v>
      </c>
      <c r="G2758" s="52">
        <f t="shared" ref="G2758:G2821" si="91">LN(C2758/C2757)</f>
        <v>7.2632622332616968E-3</v>
      </c>
    </row>
    <row r="2759" spans="1:7" ht="15" customHeight="1" x14ac:dyDescent="0.2">
      <c r="A2759" s="19" t="s">
        <v>2906</v>
      </c>
      <c r="B2759" s="50">
        <v>253.066</v>
      </c>
      <c r="C2759" s="50">
        <v>3995.32</v>
      </c>
      <c r="D2759" s="51">
        <v>35992064.168923996</v>
      </c>
      <c r="E2759" s="51">
        <v>2606576359</v>
      </c>
      <c r="F2759" s="52">
        <f t="shared" si="90"/>
        <v>1.1663837696507971E-3</v>
      </c>
      <c r="G2759" s="52">
        <f t="shared" si="91"/>
        <v>-6.0711580284131088E-3</v>
      </c>
    </row>
    <row r="2760" spans="1:7" ht="15" customHeight="1" x14ac:dyDescent="0.2">
      <c r="A2760" s="19" t="s">
        <v>2907</v>
      </c>
      <c r="B2760" s="50">
        <v>244.989</v>
      </c>
      <c r="C2760" s="50">
        <v>3895.75</v>
      </c>
      <c r="D2760" s="51">
        <v>36151803.332102999</v>
      </c>
      <c r="E2760" s="51">
        <v>2677417769</v>
      </c>
      <c r="F2760" s="52">
        <f t="shared" si="90"/>
        <v>-3.2437012694589352E-2</v>
      </c>
      <c r="G2760" s="52">
        <f t="shared" si="91"/>
        <v>-2.5237460791963953E-2</v>
      </c>
    </row>
    <row r="2761" spans="1:7" ht="15" customHeight="1" x14ac:dyDescent="0.2">
      <c r="A2761" s="19" t="s">
        <v>2908</v>
      </c>
      <c r="B2761" s="50">
        <v>240.739</v>
      </c>
      <c r="C2761" s="50">
        <v>3852.36</v>
      </c>
      <c r="D2761" s="51">
        <v>87515019.531406999</v>
      </c>
      <c r="E2761" s="51">
        <v>5019888337</v>
      </c>
      <c r="F2761" s="52">
        <f t="shared" si="90"/>
        <v>-1.7499952493573296E-2</v>
      </c>
      <c r="G2761" s="52">
        <f t="shared" si="91"/>
        <v>-1.1200267830704025E-2</v>
      </c>
    </row>
    <row r="2762" spans="1:7" ht="15" customHeight="1" x14ac:dyDescent="0.2">
      <c r="A2762" s="19" t="s">
        <v>2909</v>
      </c>
      <c r="B2762" s="50">
        <v>236.56700000000001</v>
      </c>
      <c r="C2762" s="50">
        <v>3817.66</v>
      </c>
      <c r="D2762" s="51">
        <v>30183786.179832</v>
      </c>
      <c r="E2762" s="51">
        <v>2294959950</v>
      </c>
      <c r="F2762" s="52">
        <f t="shared" si="90"/>
        <v>-1.7481893176115794E-2</v>
      </c>
      <c r="G2762" s="52">
        <f t="shared" si="91"/>
        <v>-9.0482780342915972E-3</v>
      </c>
    </row>
    <row r="2763" spans="1:7" ht="15" customHeight="1" x14ac:dyDescent="0.2">
      <c r="A2763" s="19" t="s">
        <v>2910</v>
      </c>
      <c r="B2763" s="50">
        <v>237.89699999999999</v>
      </c>
      <c r="C2763" s="50">
        <v>3821.62</v>
      </c>
      <c r="D2763" s="51">
        <v>25563553.478918999</v>
      </c>
      <c r="E2763" s="51">
        <v>2223745612</v>
      </c>
      <c r="F2763" s="52">
        <f t="shared" si="90"/>
        <v>5.606340981011179E-3</v>
      </c>
      <c r="G2763" s="52">
        <f t="shared" si="91"/>
        <v>1.036747011419641E-3</v>
      </c>
    </row>
    <row r="2764" spans="1:7" ht="15" customHeight="1" x14ac:dyDescent="0.2">
      <c r="A2764" s="19" t="s">
        <v>2911</v>
      </c>
      <c r="B2764" s="50">
        <v>240.48400000000001</v>
      </c>
      <c r="C2764" s="50">
        <v>3878.44</v>
      </c>
      <c r="D2764" s="51">
        <v>24079395.121975001</v>
      </c>
      <c r="E2764" s="51">
        <v>2145800787</v>
      </c>
      <c r="F2764" s="52">
        <f t="shared" si="90"/>
        <v>1.081575237727604E-2</v>
      </c>
      <c r="G2764" s="52">
        <f t="shared" si="91"/>
        <v>1.4758594440961796E-2</v>
      </c>
    </row>
    <row r="2765" spans="1:7" ht="15" customHeight="1" x14ac:dyDescent="0.2">
      <c r="A2765" s="19" t="s">
        <v>2912</v>
      </c>
      <c r="B2765" s="50">
        <v>234.345</v>
      </c>
      <c r="C2765" s="50">
        <v>3822.39</v>
      </c>
      <c r="D2765" s="51">
        <v>29121868.357280001</v>
      </c>
      <c r="E2765" s="51">
        <v>2363139365</v>
      </c>
      <c r="F2765" s="52">
        <f t="shared" si="90"/>
        <v>-2.5859170734221733E-2</v>
      </c>
      <c r="G2765" s="52">
        <f t="shared" si="91"/>
        <v>-1.4557129502374849E-2</v>
      </c>
    </row>
    <row r="2766" spans="1:7" ht="15" customHeight="1" x14ac:dyDescent="0.2">
      <c r="A2766" s="19" t="s">
        <v>2913</v>
      </c>
      <c r="B2766" s="50">
        <v>234.87700000000001</v>
      </c>
      <c r="C2766" s="50">
        <v>3844.82</v>
      </c>
      <c r="D2766" s="51">
        <v>21555011.187454998</v>
      </c>
      <c r="E2766" s="51">
        <v>1579202603</v>
      </c>
      <c r="F2766" s="52">
        <f t="shared" si="90"/>
        <v>2.2675843330417621E-3</v>
      </c>
      <c r="G2766" s="52">
        <f t="shared" si="91"/>
        <v>5.8509063889847814E-3</v>
      </c>
    </row>
    <row r="2767" spans="1:7" ht="15" customHeight="1" x14ac:dyDescent="0.2">
      <c r="A2767" s="19" t="s">
        <v>2914</v>
      </c>
      <c r="B2767" s="50">
        <v>233.13300000000001</v>
      </c>
      <c r="C2767" s="50">
        <v>3829.25</v>
      </c>
      <c r="D2767" s="51">
        <v>16962526.508652002</v>
      </c>
      <c r="E2767" s="51">
        <v>1753561968</v>
      </c>
      <c r="F2767" s="52">
        <f t="shared" si="90"/>
        <v>-7.4528667018431667E-3</v>
      </c>
      <c r="G2767" s="52">
        <f t="shared" si="91"/>
        <v>-4.0578262550561321E-3</v>
      </c>
    </row>
    <row r="2768" spans="1:7" ht="15" customHeight="1" x14ac:dyDescent="0.2">
      <c r="A2768" s="19" t="s">
        <v>2915</v>
      </c>
      <c r="B2768" s="50">
        <v>230.74299999999999</v>
      </c>
      <c r="C2768" s="50">
        <v>3783.22</v>
      </c>
      <c r="D2768" s="51">
        <v>17743593.691009998</v>
      </c>
      <c r="E2768" s="51">
        <v>1741218670</v>
      </c>
      <c r="F2768" s="52">
        <f t="shared" si="90"/>
        <v>-1.0304569101676578E-2</v>
      </c>
      <c r="G2768" s="52">
        <f t="shared" si="91"/>
        <v>-1.209346269904926E-2</v>
      </c>
    </row>
    <row r="2769" spans="1:7" ht="15" customHeight="1" x14ac:dyDescent="0.2">
      <c r="A2769" s="19" t="s">
        <v>2916</v>
      </c>
      <c r="B2769" s="50">
        <v>237.119</v>
      </c>
      <c r="C2769" s="50">
        <v>3849.28</v>
      </c>
      <c r="D2769" s="51">
        <v>20095151.153462</v>
      </c>
      <c r="E2769" s="51">
        <v>1734474936</v>
      </c>
      <c r="F2769" s="52">
        <f t="shared" si="90"/>
        <v>2.7257587763376976E-2</v>
      </c>
      <c r="G2769" s="52">
        <f t="shared" si="91"/>
        <v>1.7310618960093668E-2</v>
      </c>
    </row>
    <row r="2770" spans="1:7" ht="15" customHeight="1" x14ac:dyDescent="0.2">
      <c r="A2770" s="19" t="s">
        <v>2917</v>
      </c>
      <c r="B2770" s="50">
        <v>235.94900000000001</v>
      </c>
      <c r="C2770" s="50">
        <v>3839.5</v>
      </c>
      <c r="D2770" s="51">
        <v>22298505.718336999</v>
      </c>
      <c r="E2770" s="51">
        <v>1704123413</v>
      </c>
      <c r="F2770" s="52">
        <f t="shared" si="90"/>
        <v>-4.946444847516128E-3</v>
      </c>
      <c r="G2770" s="52">
        <f t="shared" si="91"/>
        <v>-2.5439680351095257E-3</v>
      </c>
    </row>
    <row r="2771" spans="1:7" ht="15" customHeight="1" x14ac:dyDescent="0.2">
      <c r="A2771" s="19" t="s">
        <v>2918</v>
      </c>
      <c r="B2771" s="50">
        <v>235.71100000000001</v>
      </c>
      <c r="C2771" s="50">
        <v>3824.14</v>
      </c>
      <c r="D2771" s="51">
        <v>26162457.437153999</v>
      </c>
      <c r="E2771" s="51">
        <v>2351704257</v>
      </c>
      <c r="F2771" s="52">
        <f t="shared" si="90"/>
        <v>-1.0092016291397103E-3</v>
      </c>
      <c r="G2771" s="52">
        <f t="shared" si="91"/>
        <v>-4.0085443908070935E-3</v>
      </c>
    </row>
    <row r="2772" spans="1:7" ht="15" customHeight="1" x14ac:dyDescent="0.2">
      <c r="A2772" s="19" t="s">
        <v>2919</v>
      </c>
      <c r="B2772" s="50">
        <v>225.40199999999999</v>
      </c>
      <c r="C2772" s="50">
        <v>3852.97</v>
      </c>
      <c r="D2772" s="51">
        <v>51454177.874860004</v>
      </c>
      <c r="E2772" s="51">
        <v>2574150675</v>
      </c>
      <c r="F2772" s="52">
        <f t="shared" si="90"/>
        <v>-4.4721003667446219E-2</v>
      </c>
      <c r="G2772" s="52">
        <f t="shared" si="91"/>
        <v>7.5106740753847724E-3</v>
      </c>
    </row>
    <row r="2773" spans="1:7" ht="15" customHeight="1" x14ac:dyDescent="0.2">
      <c r="A2773" s="19" t="s">
        <v>2920</v>
      </c>
      <c r="B2773" s="50">
        <v>218.721</v>
      </c>
      <c r="C2773" s="50">
        <v>3808.1</v>
      </c>
      <c r="D2773" s="51">
        <v>40235265.283262998</v>
      </c>
      <c r="E2773" s="51">
        <v>2254045861</v>
      </c>
      <c r="F2773" s="52">
        <f t="shared" si="90"/>
        <v>-3.0088529659989427E-2</v>
      </c>
      <c r="G2773" s="52">
        <f t="shared" si="91"/>
        <v>-1.1713902384519219E-2</v>
      </c>
    </row>
    <row r="2774" spans="1:7" ht="15" customHeight="1" x14ac:dyDescent="0.2">
      <c r="A2774" s="19" t="s">
        <v>2921</v>
      </c>
      <c r="B2774" s="50">
        <v>221.297</v>
      </c>
      <c r="C2774" s="50">
        <v>3895.08</v>
      </c>
      <c r="D2774" s="51">
        <v>44329319.254144996</v>
      </c>
      <c r="E2774" s="51">
        <v>2462500481</v>
      </c>
      <c r="F2774" s="52">
        <f t="shared" si="90"/>
        <v>1.1708745685860618E-2</v>
      </c>
      <c r="G2774" s="52">
        <f t="shared" si="91"/>
        <v>2.2583841176026541E-2</v>
      </c>
    </row>
    <row r="2775" spans="1:7" ht="15" customHeight="1" x14ac:dyDescent="0.2">
      <c r="A2775" s="19" t="s">
        <v>2922</v>
      </c>
      <c r="B2775" s="50">
        <v>223.452</v>
      </c>
      <c r="C2775" s="50">
        <v>3892.09</v>
      </c>
      <c r="D2775" s="51">
        <v>27818951.339621998</v>
      </c>
      <c r="E2775" s="51">
        <v>2498158582</v>
      </c>
      <c r="F2775" s="52">
        <f t="shared" si="90"/>
        <v>9.6909351809812173E-3</v>
      </c>
      <c r="G2775" s="52">
        <f t="shared" si="91"/>
        <v>-7.6792985049440666E-4</v>
      </c>
    </row>
    <row r="2776" spans="1:7" ht="15" customHeight="1" x14ac:dyDescent="0.2">
      <c r="A2776" s="19" t="s">
        <v>2923</v>
      </c>
      <c r="B2776" s="50">
        <v>225.154</v>
      </c>
      <c r="C2776" s="50">
        <v>3919.25</v>
      </c>
      <c r="D2776" s="51">
        <v>27477535.813221</v>
      </c>
      <c r="E2776" s="51">
        <v>2140005783</v>
      </c>
      <c r="F2776" s="52">
        <f t="shared" si="90"/>
        <v>7.5879866359646357E-3</v>
      </c>
      <c r="G2776" s="52">
        <f t="shared" si="91"/>
        <v>6.9540205524518915E-3</v>
      </c>
    </row>
    <row r="2777" spans="1:7" ht="15" customHeight="1" x14ac:dyDescent="0.2">
      <c r="A2777" s="19" t="s">
        <v>2924</v>
      </c>
      <c r="B2777" s="50">
        <v>231.964</v>
      </c>
      <c r="C2777" s="50">
        <v>3969.61</v>
      </c>
      <c r="D2777" s="51">
        <v>29139825.291588001</v>
      </c>
      <c r="E2777" s="51">
        <v>2353913282</v>
      </c>
      <c r="F2777" s="52">
        <f t="shared" si="90"/>
        <v>2.9797574688442109E-2</v>
      </c>
      <c r="G2777" s="52">
        <f t="shared" si="91"/>
        <v>1.2767544131228952E-2</v>
      </c>
    </row>
    <row r="2778" spans="1:7" ht="15" customHeight="1" x14ac:dyDescent="0.2">
      <c r="A2778" s="19" t="s">
        <v>2925</v>
      </c>
      <c r="B2778" s="50">
        <v>234.65799999999999</v>
      </c>
      <c r="C2778" s="50">
        <v>3983.17</v>
      </c>
      <c r="D2778" s="51">
        <v>27717007.342495002</v>
      </c>
      <c r="E2778" s="51">
        <v>2468086405</v>
      </c>
      <c r="F2778" s="52">
        <f t="shared" si="90"/>
        <v>1.1546947777722248E-2</v>
      </c>
      <c r="G2778" s="52">
        <f t="shared" si="91"/>
        <v>3.4101315868827887E-3</v>
      </c>
    </row>
    <row r="2779" spans="1:7" ht="15" customHeight="1" x14ac:dyDescent="0.2">
      <c r="A2779" s="19" t="s">
        <v>2926</v>
      </c>
      <c r="B2779" s="50">
        <v>235.36699999999999</v>
      </c>
      <c r="C2779" s="50">
        <v>3999.09</v>
      </c>
      <c r="D2779" s="51">
        <v>21683366.626139998</v>
      </c>
      <c r="E2779" s="51">
        <v>2305645309</v>
      </c>
      <c r="F2779" s="52">
        <f t="shared" si="90"/>
        <v>3.0168630934299585E-3</v>
      </c>
      <c r="G2779" s="52">
        <f t="shared" si="91"/>
        <v>3.988850553225138E-3</v>
      </c>
    </row>
    <row r="2780" spans="1:7" ht="15" customHeight="1" x14ac:dyDescent="0.2">
      <c r="A2780" s="19" t="s">
        <v>2927</v>
      </c>
      <c r="B2780" s="50">
        <v>236.47</v>
      </c>
      <c r="C2780" s="50">
        <v>3990.97</v>
      </c>
      <c r="D2780" s="51">
        <v>30320819.736200999</v>
      </c>
      <c r="E2780" s="51">
        <v>2561165091</v>
      </c>
      <c r="F2780" s="52">
        <f t="shared" si="90"/>
        <v>4.6753519083833194E-3</v>
      </c>
      <c r="G2780" s="52">
        <f t="shared" si="91"/>
        <v>-2.0325261125498277E-3</v>
      </c>
    </row>
    <row r="2781" spans="1:7" ht="15" customHeight="1" x14ac:dyDescent="0.2">
      <c r="A2781" s="19" t="s">
        <v>2928</v>
      </c>
      <c r="B2781" s="50">
        <v>232.00399999999999</v>
      </c>
      <c r="C2781" s="50">
        <v>3928.86</v>
      </c>
      <c r="D2781" s="51">
        <v>30521494.855074</v>
      </c>
      <c r="E2781" s="51">
        <v>2644401366</v>
      </c>
      <c r="F2781" s="52">
        <f t="shared" si="90"/>
        <v>-1.9066737094578179E-2</v>
      </c>
      <c r="G2781" s="52">
        <f t="shared" si="91"/>
        <v>-1.5685001660276407E-2</v>
      </c>
    </row>
    <row r="2782" spans="1:7" ht="15" customHeight="1" x14ac:dyDescent="0.2">
      <c r="A2782" s="19" t="s">
        <v>2929</v>
      </c>
      <c r="B2782" s="50">
        <v>228.185</v>
      </c>
      <c r="C2782" s="50">
        <v>3898.85</v>
      </c>
      <c r="D2782" s="51">
        <v>29092767.492040999</v>
      </c>
      <c r="E2782" s="51">
        <v>2550553130</v>
      </c>
      <c r="F2782" s="52">
        <f t="shared" si="90"/>
        <v>-1.659790944364252E-2</v>
      </c>
      <c r="G2782" s="52">
        <f t="shared" si="91"/>
        <v>-7.6676696075208299E-3</v>
      </c>
    </row>
    <row r="2783" spans="1:7" ht="15" customHeight="1" x14ac:dyDescent="0.2">
      <c r="A2783" s="19" t="s">
        <v>2930</v>
      </c>
      <c r="B2783" s="50">
        <v>236.34100000000001</v>
      </c>
      <c r="C2783" s="50">
        <v>3972.61</v>
      </c>
      <c r="D2783" s="51">
        <v>35970593.501560003</v>
      </c>
      <c r="E2783" s="51">
        <v>2708753252</v>
      </c>
      <c r="F2783" s="52">
        <f t="shared" si="90"/>
        <v>3.5118973940921186E-2</v>
      </c>
      <c r="G2783" s="52">
        <f t="shared" si="91"/>
        <v>1.8741671559172491E-2</v>
      </c>
    </row>
    <row r="2784" spans="1:7" ht="15" customHeight="1" x14ac:dyDescent="0.2">
      <c r="A2784" s="19" t="s">
        <v>2931</v>
      </c>
      <c r="B2784" s="50">
        <v>238.66300000000001</v>
      </c>
      <c r="C2784" s="50">
        <v>4019.81</v>
      </c>
      <c r="D2784" s="51">
        <v>32458021.186826002</v>
      </c>
      <c r="E2784" s="51">
        <v>2469489503</v>
      </c>
      <c r="F2784" s="52">
        <f t="shared" si="90"/>
        <v>9.7768376517621096E-3</v>
      </c>
      <c r="G2784" s="52">
        <f t="shared" si="91"/>
        <v>1.1811328415709267E-2</v>
      </c>
    </row>
    <row r="2785" spans="1:7" ht="15" customHeight="1" x14ac:dyDescent="0.2">
      <c r="A2785" s="19" t="s">
        <v>2932</v>
      </c>
      <c r="B2785" s="50">
        <v>238.131</v>
      </c>
      <c r="C2785" s="50">
        <v>4016.95</v>
      </c>
      <c r="D2785" s="51">
        <v>40894734.127705999</v>
      </c>
      <c r="E2785" s="51">
        <v>2103117935</v>
      </c>
      <c r="F2785" s="52">
        <f t="shared" si="90"/>
        <v>-2.2315726321065106E-3</v>
      </c>
      <c r="G2785" s="52">
        <f t="shared" si="91"/>
        <v>-7.1172963252109358E-4</v>
      </c>
    </row>
    <row r="2786" spans="1:7" ht="15" customHeight="1" x14ac:dyDescent="0.2">
      <c r="A2786" s="19" t="s">
        <v>2933</v>
      </c>
      <c r="B2786" s="50">
        <v>236.72399999999999</v>
      </c>
      <c r="C2786" s="50">
        <v>4016.22</v>
      </c>
      <c r="D2786" s="51">
        <v>67618414.115634993</v>
      </c>
      <c r="E2786" s="51">
        <v>2427959152</v>
      </c>
      <c r="F2786" s="52">
        <f t="shared" si="90"/>
        <v>-5.9260368641917728E-3</v>
      </c>
      <c r="G2786" s="52">
        <f t="shared" si="91"/>
        <v>-1.8174643434897735E-4</v>
      </c>
    </row>
    <row r="2787" spans="1:7" ht="15" customHeight="1" x14ac:dyDescent="0.2">
      <c r="A2787" s="19" t="s">
        <v>2934</v>
      </c>
      <c r="B2787" s="50">
        <v>243.994</v>
      </c>
      <c r="C2787" s="50">
        <v>4060.43</v>
      </c>
      <c r="D2787" s="51">
        <v>34003514.869566001</v>
      </c>
      <c r="E2787" s="51">
        <v>2436722285</v>
      </c>
      <c r="F2787" s="52">
        <f t="shared" si="90"/>
        <v>3.024872927719241E-2</v>
      </c>
      <c r="G2787" s="52">
        <f t="shared" si="91"/>
        <v>1.0947717569977039E-2</v>
      </c>
    </row>
    <row r="2788" spans="1:7" ht="15" customHeight="1" x14ac:dyDescent="0.2">
      <c r="A2788" s="19" t="s">
        <v>2935</v>
      </c>
      <c r="B2788" s="50">
        <v>244.15299999999999</v>
      </c>
      <c r="C2788" s="50">
        <v>4070.56</v>
      </c>
      <c r="D2788" s="51">
        <v>26933814.844597001</v>
      </c>
      <c r="E2788" s="51">
        <v>2573674311</v>
      </c>
      <c r="F2788" s="52">
        <f t="shared" si="90"/>
        <v>6.514431334127866E-4</v>
      </c>
      <c r="G2788" s="52">
        <f t="shared" si="91"/>
        <v>2.4917027916841637E-3</v>
      </c>
    </row>
    <row r="2789" spans="1:7" ht="15" customHeight="1" x14ac:dyDescent="0.2">
      <c r="A2789" s="19" t="s">
        <v>2936</v>
      </c>
      <c r="B2789" s="50">
        <v>238.79300000000001</v>
      </c>
      <c r="C2789" s="50">
        <v>4017.77</v>
      </c>
      <c r="D2789" s="51">
        <v>26291876.041813999</v>
      </c>
      <c r="E2789" s="51">
        <v>2323118481</v>
      </c>
      <c r="F2789" s="52">
        <f t="shared" si="90"/>
        <v>-2.2198010104362106E-2</v>
      </c>
      <c r="G2789" s="52">
        <f t="shared" si="91"/>
        <v>-1.3053559781991077E-2</v>
      </c>
    </row>
    <row r="2790" spans="1:7" ht="15" customHeight="1" x14ac:dyDescent="0.2">
      <c r="A2790" s="19" t="s">
        <v>2937</v>
      </c>
      <c r="B2790" s="50">
        <v>243.81</v>
      </c>
      <c r="C2790" s="50">
        <v>4076.6</v>
      </c>
      <c r="D2790" s="51">
        <v>26976639.292052999</v>
      </c>
      <c r="E2790" s="51">
        <v>2868839133</v>
      </c>
      <c r="F2790" s="52">
        <f t="shared" si="90"/>
        <v>2.0792165577248112E-2</v>
      </c>
      <c r="G2790" s="52">
        <f t="shared" si="91"/>
        <v>1.4536285322318165E-2</v>
      </c>
    </row>
    <row r="2791" spans="1:7" ht="15" customHeight="1" x14ac:dyDescent="0.2">
      <c r="A2791" s="19" t="s">
        <v>2938</v>
      </c>
      <c r="B2791" s="50">
        <v>248.67099999999999</v>
      </c>
      <c r="C2791" s="50">
        <v>4119.21</v>
      </c>
      <c r="D2791" s="51">
        <v>31772920.488113999</v>
      </c>
      <c r="E2791" s="51">
        <v>2963113965</v>
      </c>
      <c r="F2791" s="52">
        <f t="shared" si="90"/>
        <v>1.9741504224050653E-2</v>
      </c>
      <c r="G2791" s="52">
        <f t="shared" si="91"/>
        <v>1.0398089735210484E-2</v>
      </c>
    </row>
    <row r="2792" spans="1:7" ht="15" customHeight="1" x14ac:dyDescent="0.2">
      <c r="A2792" s="19" t="s">
        <v>2939</v>
      </c>
      <c r="B2792" s="50">
        <v>260.32900000000001</v>
      </c>
      <c r="C2792" s="50">
        <v>4179.76</v>
      </c>
      <c r="D2792" s="51">
        <v>40595902.159337997</v>
      </c>
      <c r="E2792" s="51">
        <v>3410570676</v>
      </c>
      <c r="F2792" s="52">
        <f t="shared" si="90"/>
        <v>4.5815478049263059E-2</v>
      </c>
      <c r="G2792" s="52">
        <f t="shared" si="91"/>
        <v>1.4592431217642185E-2</v>
      </c>
    </row>
    <row r="2793" spans="1:7" ht="15" customHeight="1" x14ac:dyDescent="0.2">
      <c r="A2793" s="19" t="s">
        <v>2940</v>
      </c>
      <c r="B2793" s="50">
        <v>254.179</v>
      </c>
      <c r="C2793" s="50">
        <v>4136.4799999999996</v>
      </c>
      <c r="D2793" s="51">
        <v>29554444.775805</v>
      </c>
      <c r="E2793" s="51">
        <v>2898791369</v>
      </c>
      <c r="F2793" s="52">
        <f t="shared" si="90"/>
        <v>-2.3907472480195736E-2</v>
      </c>
      <c r="G2793" s="52">
        <f t="shared" si="91"/>
        <v>-1.0408643989373002E-2</v>
      </c>
    </row>
    <row r="2794" spans="1:7" ht="15" customHeight="1" x14ac:dyDescent="0.2">
      <c r="A2794" s="19" t="s">
        <v>2941</v>
      </c>
      <c r="B2794" s="50">
        <v>252.62299999999999</v>
      </c>
      <c r="C2794" s="50">
        <v>4111.08</v>
      </c>
      <c r="D2794" s="51">
        <v>22887541.341529999</v>
      </c>
      <c r="E2794" s="51">
        <v>2285621270</v>
      </c>
      <c r="F2794" s="52">
        <f t="shared" si="90"/>
        <v>-6.1404844067298485E-3</v>
      </c>
      <c r="G2794" s="52">
        <f t="shared" si="91"/>
        <v>-6.1594169191690872E-3</v>
      </c>
    </row>
    <row r="2795" spans="1:7" ht="15" customHeight="1" x14ac:dyDescent="0.2">
      <c r="A2795" s="19" t="s">
        <v>2942</v>
      </c>
      <c r="B2795" s="50">
        <v>263.24</v>
      </c>
      <c r="C2795" s="50">
        <v>4164</v>
      </c>
      <c r="D2795" s="51">
        <v>51675726.011390999</v>
      </c>
      <c r="E2795" s="51">
        <v>2622828899</v>
      </c>
      <c r="F2795" s="52">
        <f t="shared" si="90"/>
        <v>4.1167904768307118E-2</v>
      </c>
      <c r="G2795" s="52">
        <f t="shared" si="91"/>
        <v>1.2790383040919152E-2</v>
      </c>
    </row>
    <row r="2796" spans="1:7" ht="15" customHeight="1" x14ac:dyDescent="0.2">
      <c r="A2796" s="19" t="s">
        <v>2943</v>
      </c>
      <c r="B2796" s="50">
        <v>262.42399999999998</v>
      </c>
      <c r="C2796" s="50">
        <v>4117.8599999999997</v>
      </c>
      <c r="D2796" s="51">
        <v>55583505.375386</v>
      </c>
      <c r="E2796" s="51">
        <v>2562865048</v>
      </c>
      <c r="F2796" s="52">
        <f t="shared" si="90"/>
        <v>-3.1046472858734095E-3</v>
      </c>
      <c r="G2796" s="52">
        <f t="shared" si="91"/>
        <v>-1.1142539811002886E-2</v>
      </c>
    </row>
    <row r="2797" spans="1:7" ht="15" customHeight="1" x14ac:dyDescent="0.2">
      <c r="A2797" s="19" t="s">
        <v>2944</v>
      </c>
      <c r="B2797" s="50">
        <v>259.36399999999998</v>
      </c>
      <c r="C2797" s="50">
        <v>4081.5</v>
      </c>
      <c r="D2797" s="51">
        <v>43070522.608052</v>
      </c>
      <c r="E2797" s="51">
        <v>2664804958</v>
      </c>
      <c r="F2797" s="52">
        <f t="shared" si="90"/>
        <v>-1.1729035854950649E-2</v>
      </c>
      <c r="G2797" s="52">
        <f t="shared" si="91"/>
        <v>-8.869043032445954E-3</v>
      </c>
    </row>
    <row r="2798" spans="1:7" ht="15" customHeight="1" x14ac:dyDescent="0.2">
      <c r="A2798" s="19" t="s">
        <v>2945</v>
      </c>
      <c r="B2798" s="50">
        <v>258.85399999999998</v>
      </c>
      <c r="C2798" s="50">
        <v>4090.46</v>
      </c>
      <c r="D2798" s="51">
        <v>26242197.934537999</v>
      </c>
      <c r="E2798" s="51">
        <v>2311050934</v>
      </c>
      <c r="F2798" s="52">
        <f t="shared" si="90"/>
        <v>-1.9682842535421814E-3</v>
      </c>
      <c r="G2798" s="52">
        <f t="shared" si="91"/>
        <v>2.1928652588764841E-3</v>
      </c>
    </row>
    <row r="2799" spans="1:7" ht="15" customHeight="1" x14ac:dyDescent="0.2">
      <c r="A2799" s="19" t="s">
        <v>2946</v>
      </c>
      <c r="B2799" s="50">
        <v>266.94</v>
      </c>
      <c r="C2799" s="50">
        <v>4137.29</v>
      </c>
      <c r="D2799" s="51">
        <v>45363362.003204003</v>
      </c>
      <c r="E2799" s="51">
        <v>2125294422</v>
      </c>
      <c r="F2799" s="52">
        <f t="shared" si="90"/>
        <v>3.0759717852453242E-2</v>
      </c>
      <c r="G2799" s="52">
        <f t="shared" si="91"/>
        <v>1.1383550959928976E-2</v>
      </c>
    </row>
    <row r="2800" spans="1:7" ht="15" customHeight="1" x14ac:dyDescent="0.2">
      <c r="A2800" s="19" t="s">
        <v>2947</v>
      </c>
      <c r="B2800" s="50">
        <v>267.77499999999998</v>
      </c>
      <c r="C2800" s="50">
        <v>4136.13</v>
      </c>
      <c r="D2800" s="51">
        <v>37655919.936745003</v>
      </c>
      <c r="E2800" s="51">
        <v>2220641124</v>
      </c>
      <c r="F2800" s="52">
        <f t="shared" si="90"/>
        <v>3.1231616046878182E-3</v>
      </c>
      <c r="G2800" s="52">
        <f t="shared" si="91"/>
        <v>-2.8041608128225108E-4</v>
      </c>
    </row>
    <row r="2801" spans="1:7" ht="15" customHeight="1" x14ac:dyDescent="0.2">
      <c r="A2801" s="19" t="s">
        <v>2948</v>
      </c>
      <c r="B2801" s="50">
        <v>265.63499999999999</v>
      </c>
      <c r="C2801" s="50">
        <v>4147.6000000000004</v>
      </c>
      <c r="D2801" s="51">
        <v>29363915.286979999</v>
      </c>
      <c r="E2801" s="51">
        <v>2124554103</v>
      </c>
      <c r="F2801" s="52">
        <f t="shared" si="90"/>
        <v>-8.0238896218212397E-3</v>
      </c>
      <c r="G2801" s="52">
        <f t="shared" si="91"/>
        <v>2.7692856551893739E-3</v>
      </c>
    </row>
    <row r="2802" spans="1:7" ht="15" customHeight="1" x14ac:dyDescent="0.2">
      <c r="A2802" s="19" t="s">
        <v>2949</v>
      </c>
      <c r="B2802" s="50">
        <v>258.56200000000001</v>
      </c>
      <c r="C2802" s="50">
        <v>4090.41</v>
      </c>
      <c r="D2802" s="51">
        <v>30014266.282953002</v>
      </c>
      <c r="E2802" s="51">
        <v>2270678476</v>
      </c>
      <c r="F2802" s="52">
        <f t="shared" si="90"/>
        <v>-2.6987675577542714E-2</v>
      </c>
      <c r="G2802" s="52">
        <f t="shared" si="91"/>
        <v>-1.3884644172642286E-2</v>
      </c>
    </row>
    <row r="2803" spans="1:7" ht="15" customHeight="1" x14ac:dyDescent="0.2">
      <c r="A2803" s="19" t="s">
        <v>2950</v>
      </c>
      <c r="B2803" s="50">
        <v>254.53</v>
      </c>
      <c r="C2803" s="50">
        <v>4079.09</v>
      </c>
      <c r="D2803" s="51">
        <v>30416204.536405999</v>
      </c>
      <c r="E2803" s="51">
        <v>2399670093</v>
      </c>
      <c r="F2803" s="52">
        <f t="shared" si="90"/>
        <v>-1.5716803215305736E-2</v>
      </c>
      <c r="G2803" s="52">
        <f t="shared" si="91"/>
        <v>-2.7712852059047503E-3</v>
      </c>
    </row>
    <row r="2804" spans="1:7" ht="15" customHeight="1" x14ac:dyDescent="0.2">
      <c r="A2804" s="19" t="s">
        <v>2951</v>
      </c>
      <c r="B2804" s="50">
        <v>249.21299999999999</v>
      </c>
      <c r="C2804" s="50">
        <v>3997.34</v>
      </c>
      <c r="D2804" s="51">
        <v>28791362.716340002</v>
      </c>
      <c r="E2804" s="51">
        <v>2364296677</v>
      </c>
      <c r="F2804" s="52">
        <f t="shared" si="90"/>
        <v>-2.1110754749183377E-2</v>
      </c>
      <c r="G2804" s="52">
        <f t="shared" si="91"/>
        <v>-2.0244784414123935E-2</v>
      </c>
    </row>
    <row r="2805" spans="1:7" ht="15" customHeight="1" x14ac:dyDescent="0.2">
      <c r="A2805" s="19" t="s">
        <v>2952</v>
      </c>
      <c r="B2805" s="50">
        <v>248.06899999999999</v>
      </c>
      <c r="C2805" s="50">
        <v>3991.05</v>
      </c>
      <c r="D2805" s="51">
        <v>22803043.512279</v>
      </c>
      <c r="E2805" s="51">
        <v>2271027470</v>
      </c>
      <c r="F2805" s="52">
        <f t="shared" si="90"/>
        <v>-4.6010192130286022E-3</v>
      </c>
      <c r="G2805" s="52">
        <f t="shared" si="91"/>
        <v>-1.5747857327715093E-3</v>
      </c>
    </row>
    <row r="2806" spans="1:7" ht="15" customHeight="1" x14ac:dyDescent="0.2">
      <c r="A2806" s="19" t="s">
        <v>2953</v>
      </c>
      <c r="B2806" s="50">
        <v>251.28399999999999</v>
      </c>
      <c r="C2806" s="50">
        <v>4012.32</v>
      </c>
      <c r="D2806" s="51">
        <v>29624411.351535</v>
      </c>
      <c r="E2806" s="51">
        <v>2316029436</v>
      </c>
      <c r="F2806" s="52">
        <f t="shared" si="90"/>
        <v>1.2876840327175246E-2</v>
      </c>
      <c r="G2806" s="52">
        <f t="shared" si="91"/>
        <v>5.3152734602749932E-3</v>
      </c>
    </row>
    <row r="2807" spans="1:7" ht="15" customHeight="1" x14ac:dyDescent="0.2">
      <c r="A2807" s="19" t="s">
        <v>2954</v>
      </c>
      <c r="B2807" s="50">
        <v>245.81</v>
      </c>
      <c r="C2807" s="50">
        <v>3970.04</v>
      </c>
      <c r="D2807" s="51">
        <v>25337569.482119001</v>
      </c>
      <c r="E2807" s="51">
        <v>2185600426</v>
      </c>
      <c r="F2807" s="52">
        <f t="shared" si="90"/>
        <v>-2.2024893814096811E-2</v>
      </c>
      <c r="G2807" s="52">
        <f t="shared" si="91"/>
        <v>-1.0593457421727142E-2</v>
      </c>
    </row>
    <row r="2808" spans="1:7" ht="15" customHeight="1" x14ac:dyDescent="0.2">
      <c r="A2808" s="19" t="s">
        <v>2955</v>
      </c>
      <c r="B2808" s="50">
        <v>246.73599999999999</v>
      </c>
      <c r="C2808" s="50">
        <v>3982.24</v>
      </c>
      <c r="D2808" s="51">
        <v>21483982.332934</v>
      </c>
      <c r="E2808" s="51">
        <v>2074394964</v>
      </c>
      <c r="F2808" s="52">
        <f t="shared" si="90"/>
        <v>3.7600593284103992E-3</v>
      </c>
      <c r="G2808" s="52">
        <f t="shared" si="91"/>
        <v>3.0683048311681872E-3</v>
      </c>
    </row>
    <row r="2809" spans="1:7" ht="15" customHeight="1" x14ac:dyDescent="0.2">
      <c r="A2809" s="19" t="s">
        <v>2956</v>
      </c>
      <c r="B2809" s="50">
        <v>246.00899999999999</v>
      </c>
      <c r="C2809" s="50">
        <v>3970.15</v>
      </c>
      <c r="D2809" s="51">
        <v>22802936.041887</v>
      </c>
      <c r="E2809" s="51">
        <v>2776247907</v>
      </c>
      <c r="F2809" s="52">
        <f t="shared" si="90"/>
        <v>-2.9508184863123554E-3</v>
      </c>
      <c r="G2809" s="52">
        <f t="shared" si="91"/>
        <v>-3.0405976856194583E-3</v>
      </c>
    </row>
    <row r="2810" spans="1:7" ht="15" customHeight="1" x14ac:dyDescent="0.2">
      <c r="A2810" s="19" t="s">
        <v>2957</v>
      </c>
      <c r="B2810" s="50">
        <v>242.9</v>
      </c>
      <c r="C2810" s="50">
        <v>3951.39</v>
      </c>
      <c r="D2810" s="51">
        <v>27947633.957438</v>
      </c>
      <c r="E2810" s="51">
        <v>2234879789</v>
      </c>
      <c r="F2810" s="52">
        <f t="shared" si="90"/>
        <v>-1.271828462086144E-2</v>
      </c>
      <c r="G2810" s="52">
        <f t="shared" si="91"/>
        <v>-4.7364616152703798E-3</v>
      </c>
    </row>
    <row r="2811" spans="1:7" ht="15" customHeight="1" x14ac:dyDescent="0.2">
      <c r="A2811" s="19" t="s">
        <v>2958</v>
      </c>
      <c r="B2811" s="50">
        <v>247.67500000000001</v>
      </c>
      <c r="C2811" s="50">
        <v>3981.35</v>
      </c>
      <c r="D2811" s="51">
        <v>25178129.044119999</v>
      </c>
      <c r="E2811" s="51">
        <v>2252768227</v>
      </c>
      <c r="F2811" s="52">
        <f t="shared" si="90"/>
        <v>1.946756685096707E-2</v>
      </c>
      <c r="G2811" s="52">
        <f t="shared" si="91"/>
        <v>7.5535420169248321E-3</v>
      </c>
    </row>
    <row r="2812" spans="1:7" ht="15" customHeight="1" x14ac:dyDescent="0.2">
      <c r="A2812" s="19" t="s">
        <v>2959</v>
      </c>
      <c r="B2812" s="50">
        <v>251.797</v>
      </c>
      <c r="C2812" s="50">
        <v>4045.64</v>
      </c>
      <c r="D2812" s="51">
        <v>31186829.095601998</v>
      </c>
      <c r="E2812" s="51">
        <v>2232453315</v>
      </c>
      <c r="F2812" s="52">
        <f t="shared" si="90"/>
        <v>1.650580446254481E-2</v>
      </c>
      <c r="G2812" s="52">
        <f t="shared" si="91"/>
        <v>1.6018800257414187E-2</v>
      </c>
    </row>
    <row r="2813" spans="1:7" ht="15" customHeight="1" x14ac:dyDescent="0.2">
      <c r="A2813" s="19" t="s">
        <v>2960</v>
      </c>
      <c r="B2813" s="50">
        <v>253.35499999999999</v>
      </c>
      <c r="C2813" s="50">
        <v>4048.42</v>
      </c>
      <c r="D2813" s="51">
        <v>24444291.802994002</v>
      </c>
      <c r="E2813" s="51">
        <v>2189913632</v>
      </c>
      <c r="F2813" s="52">
        <f t="shared" si="90"/>
        <v>6.1684599492507373E-3</v>
      </c>
      <c r="G2813" s="52">
        <f t="shared" si="91"/>
        <v>6.8692352399550452E-4</v>
      </c>
    </row>
    <row r="2814" spans="1:7" ht="15" customHeight="1" x14ac:dyDescent="0.2">
      <c r="A2814" s="19" t="s">
        <v>2961</v>
      </c>
      <c r="B2814" s="50">
        <v>250.672</v>
      </c>
      <c r="C2814" s="50">
        <v>3986.37</v>
      </c>
      <c r="D2814" s="51">
        <v>21771046.903443001</v>
      </c>
      <c r="E2814" s="51">
        <v>2279768642</v>
      </c>
      <c r="F2814" s="52">
        <f t="shared" si="90"/>
        <v>-1.0646355619758395E-2</v>
      </c>
      <c r="G2814" s="52">
        <f t="shared" si="91"/>
        <v>-1.5445639173959797E-2</v>
      </c>
    </row>
    <row r="2815" spans="1:7" ht="15" customHeight="1" x14ac:dyDescent="0.2">
      <c r="A2815" s="19" t="s">
        <v>2962</v>
      </c>
      <c r="B2815" s="50">
        <v>250.22900000000001</v>
      </c>
      <c r="C2815" s="50">
        <v>3992.01</v>
      </c>
      <c r="D2815" s="51">
        <v>17580754.001207002</v>
      </c>
      <c r="E2815" s="51">
        <v>2040746669</v>
      </c>
      <c r="F2815" s="52">
        <f t="shared" si="90"/>
        <v>-1.7688130608688726E-3</v>
      </c>
      <c r="G2815" s="52">
        <f t="shared" si="91"/>
        <v>1.4138210863556078E-3</v>
      </c>
    </row>
    <row r="2816" spans="1:7" ht="15" customHeight="1" x14ac:dyDescent="0.2">
      <c r="A2816" s="19" t="s">
        <v>2963</v>
      </c>
      <c r="B2816" s="50">
        <v>248.86799999999999</v>
      </c>
      <c r="C2816" s="50">
        <v>3918.32</v>
      </c>
      <c r="D2816" s="51">
        <v>27023112.810293</v>
      </c>
      <c r="E2816" s="51">
        <v>2610567322</v>
      </c>
      <c r="F2816" s="52">
        <f t="shared" si="90"/>
        <v>-5.4538631710244279E-3</v>
      </c>
      <c r="G2816" s="52">
        <f t="shared" si="91"/>
        <v>-1.8631872945282475E-2</v>
      </c>
    </row>
    <row r="2817" spans="1:7" ht="15" customHeight="1" x14ac:dyDescent="0.2">
      <c r="A2817" s="19" t="s">
        <v>2964</v>
      </c>
      <c r="B2817" s="50">
        <v>245.18899999999999</v>
      </c>
      <c r="C2817" s="50">
        <v>3861.59</v>
      </c>
      <c r="D2817" s="51">
        <v>28726967.673900001</v>
      </c>
      <c r="E2817" s="51">
        <v>3224149593</v>
      </c>
      <c r="F2817" s="52">
        <f t="shared" si="90"/>
        <v>-1.4893293701165065E-2</v>
      </c>
      <c r="G2817" s="52">
        <f t="shared" si="91"/>
        <v>-1.4583974750190179E-2</v>
      </c>
    </row>
    <row r="2818" spans="1:7" ht="15" customHeight="1" x14ac:dyDescent="0.2">
      <c r="A2818" s="19" t="s">
        <v>2965</v>
      </c>
      <c r="B2818" s="50">
        <v>250.447</v>
      </c>
      <c r="C2818" s="50">
        <v>3855.76</v>
      </c>
      <c r="D2818" s="51">
        <v>33802197.133396</v>
      </c>
      <c r="E2818" s="51">
        <v>3998505947</v>
      </c>
      <c r="F2818" s="52">
        <f t="shared" si="90"/>
        <v>2.1217979575000715E-2</v>
      </c>
      <c r="G2818" s="52">
        <f t="shared" si="91"/>
        <v>-1.5108816132590817E-3</v>
      </c>
    </row>
    <row r="2819" spans="1:7" ht="15" customHeight="1" x14ac:dyDescent="0.2">
      <c r="A2819" s="19" t="s">
        <v>2966</v>
      </c>
      <c r="B2819" s="50">
        <v>257.221</v>
      </c>
      <c r="C2819" s="50">
        <v>3919.29</v>
      </c>
      <c r="D2819" s="51">
        <v>34086661.123185001</v>
      </c>
      <c r="E2819" s="51">
        <v>3434041869</v>
      </c>
      <c r="F2819" s="52">
        <f t="shared" si="90"/>
        <v>2.668831625988206E-2</v>
      </c>
      <c r="G2819" s="52">
        <f t="shared" si="91"/>
        <v>1.6342380801371525E-2</v>
      </c>
    </row>
    <row r="2820" spans="1:7" ht="15" customHeight="1" x14ac:dyDescent="0.2">
      <c r="A2820" s="19" t="s">
        <v>2967</v>
      </c>
      <c r="B2820" s="50">
        <v>261.80799999999999</v>
      </c>
      <c r="C2820" s="50">
        <v>3891.93</v>
      </c>
      <c r="D2820" s="51">
        <v>46666530.843470998</v>
      </c>
      <c r="E2820" s="51">
        <v>3692412901</v>
      </c>
      <c r="F2820" s="52">
        <f t="shared" si="90"/>
        <v>1.7675773133584032E-2</v>
      </c>
      <c r="G2820" s="52">
        <f t="shared" si="91"/>
        <v>-7.0053363982352087E-3</v>
      </c>
    </row>
    <row r="2821" spans="1:7" ht="15" customHeight="1" x14ac:dyDescent="0.2">
      <c r="A2821" s="19" t="s">
        <v>2968</v>
      </c>
      <c r="B2821" s="50">
        <v>272.42200000000003</v>
      </c>
      <c r="C2821" s="50">
        <v>3960.28</v>
      </c>
      <c r="D2821" s="51">
        <v>55592750.926918998</v>
      </c>
      <c r="E2821" s="51">
        <v>3620888964</v>
      </c>
      <c r="F2821" s="52">
        <f t="shared" si="90"/>
        <v>3.9740923910581316E-2</v>
      </c>
      <c r="G2821" s="52">
        <f t="shared" si="91"/>
        <v>1.7409551286964531E-2</v>
      </c>
    </row>
    <row r="2822" spans="1:7" ht="15" customHeight="1" x14ac:dyDescent="0.2">
      <c r="A2822" s="19" t="s">
        <v>2969</v>
      </c>
      <c r="B2822" s="50">
        <v>275.60500000000002</v>
      </c>
      <c r="C2822" s="50">
        <v>3916.64</v>
      </c>
      <c r="D2822" s="51">
        <v>70491828.672133997</v>
      </c>
      <c r="E2822" s="51">
        <v>5743241303</v>
      </c>
      <c r="F2822" s="52">
        <f t="shared" ref="F2822:F2885" si="92">LN(B2822/B2821)</f>
        <v>1.1616346612937587E-2</v>
      </c>
      <c r="G2822" s="52">
        <f t="shared" ref="G2822:G2885" si="93">LN(C2822/C2821)</f>
        <v>-1.1080586449227313E-2</v>
      </c>
    </row>
    <row r="2823" spans="1:7" ht="15" customHeight="1" x14ac:dyDescent="0.2">
      <c r="A2823" s="19" t="s">
        <v>2970</v>
      </c>
      <c r="B2823" s="50">
        <v>268.50599999999997</v>
      </c>
      <c r="C2823" s="50">
        <v>3951.57</v>
      </c>
      <c r="D2823" s="51">
        <v>44069602.088935003</v>
      </c>
      <c r="E2823" s="51">
        <v>2958330107</v>
      </c>
      <c r="F2823" s="52">
        <f t="shared" si="92"/>
        <v>-2.6095421142100582E-2</v>
      </c>
      <c r="G2823" s="52">
        <f t="shared" si="93"/>
        <v>8.878824909597214E-3</v>
      </c>
    </row>
    <row r="2824" spans="1:7" ht="15" customHeight="1" x14ac:dyDescent="0.2">
      <c r="A2824" s="19" t="s">
        <v>2971</v>
      </c>
      <c r="B2824" s="50">
        <v>270.03399999999999</v>
      </c>
      <c r="C2824" s="50">
        <v>4002.87</v>
      </c>
      <c r="D2824" s="51">
        <v>35038089.409406997</v>
      </c>
      <c r="E2824" s="51">
        <v>2998269348</v>
      </c>
      <c r="F2824" s="52">
        <f t="shared" si="92"/>
        <v>5.6746169283387856E-3</v>
      </c>
      <c r="G2824" s="52">
        <f t="shared" si="93"/>
        <v>1.289863554198477E-2</v>
      </c>
    </row>
    <row r="2825" spans="1:7" ht="15" customHeight="1" x14ac:dyDescent="0.2">
      <c r="A2825" s="19" t="s">
        <v>2972</v>
      </c>
      <c r="B2825" s="50">
        <v>268.565</v>
      </c>
      <c r="C2825" s="50">
        <v>3936.97</v>
      </c>
      <c r="D2825" s="51">
        <v>35357079.783540003</v>
      </c>
      <c r="E2825" s="51">
        <v>2722934161</v>
      </c>
      <c r="F2825" s="52">
        <f t="shared" si="92"/>
        <v>-5.4549066843026942E-3</v>
      </c>
      <c r="G2825" s="52">
        <f t="shared" si="93"/>
        <v>-1.6600211922495948E-2</v>
      </c>
    </row>
    <row r="2826" spans="1:7" ht="15" customHeight="1" x14ac:dyDescent="0.2">
      <c r="A2826" s="19" t="s">
        <v>2973</v>
      </c>
      <c r="B2826" s="50">
        <v>273.86099999999999</v>
      </c>
      <c r="C2826" s="50">
        <v>3948.72</v>
      </c>
      <c r="D2826" s="51">
        <v>37118731.413046002</v>
      </c>
      <c r="E2826" s="51">
        <v>2821295818</v>
      </c>
      <c r="F2826" s="52">
        <f t="shared" si="92"/>
        <v>1.952770808619347E-2</v>
      </c>
      <c r="G2826" s="52">
        <f t="shared" si="93"/>
        <v>2.9800838470393862E-3</v>
      </c>
    </row>
    <row r="2827" spans="1:7" ht="15" customHeight="1" x14ac:dyDescent="0.2">
      <c r="A2827" s="19" t="s">
        <v>2974</v>
      </c>
      <c r="B2827" s="50">
        <v>276.73099999999999</v>
      </c>
      <c r="C2827" s="50">
        <v>3970.99</v>
      </c>
      <c r="D2827" s="51">
        <v>28591141.319936998</v>
      </c>
      <c r="E2827" s="51">
        <v>2609179699</v>
      </c>
      <c r="F2827" s="52">
        <f t="shared" si="92"/>
        <v>1.0425236813889861E-2</v>
      </c>
      <c r="G2827" s="52">
        <f t="shared" si="93"/>
        <v>5.623958124210314E-3</v>
      </c>
    </row>
    <row r="2828" spans="1:7" ht="15" customHeight="1" x14ac:dyDescent="0.2">
      <c r="A2828" s="19" t="s">
        <v>2975</v>
      </c>
      <c r="B2828" s="50">
        <v>272.59800000000001</v>
      </c>
      <c r="C2828" s="50">
        <v>3977.53</v>
      </c>
      <c r="D2828" s="51">
        <v>27212529.37678</v>
      </c>
      <c r="E2828" s="51">
        <v>2462252346</v>
      </c>
      <c r="F2828" s="52">
        <f t="shared" si="92"/>
        <v>-1.5047732733712764E-2</v>
      </c>
      <c r="G2828" s="52">
        <f t="shared" si="93"/>
        <v>1.6455897389303137E-3</v>
      </c>
    </row>
    <row r="2829" spans="1:7" ht="15" customHeight="1" x14ac:dyDescent="0.2">
      <c r="A2829" s="19" t="s">
        <v>2976</v>
      </c>
      <c r="B2829" s="50">
        <v>271.46499999999997</v>
      </c>
      <c r="C2829" s="50">
        <v>3971.27</v>
      </c>
      <c r="D2829" s="51">
        <v>22182139.403804999</v>
      </c>
      <c r="E2829" s="51">
        <v>1993129645</v>
      </c>
      <c r="F2829" s="52">
        <f t="shared" si="92"/>
        <v>-4.1649648582575806E-3</v>
      </c>
      <c r="G2829" s="52">
        <f t="shared" si="93"/>
        <v>-1.5750808409301009E-3</v>
      </c>
    </row>
    <row r="2830" spans="1:7" ht="15" customHeight="1" x14ac:dyDescent="0.2">
      <c r="A2830" s="19" t="s">
        <v>2977</v>
      </c>
      <c r="B2830" s="50">
        <v>276.67099999999999</v>
      </c>
      <c r="C2830" s="50">
        <v>4027.81</v>
      </c>
      <c r="D2830" s="51">
        <v>25435029.919891</v>
      </c>
      <c r="E2830" s="51">
        <v>2265665116</v>
      </c>
      <c r="F2830" s="52">
        <f t="shared" si="92"/>
        <v>1.8995857030371086E-2</v>
      </c>
      <c r="G2830" s="52">
        <f t="shared" si="93"/>
        <v>1.4136861145886559E-2</v>
      </c>
    </row>
    <row r="2831" spans="1:7" ht="15" customHeight="1" x14ac:dyDescent="0.2">
      <c r="A2831" s="19" t="s">
        <v>2978</v>
      </c>
      <c r="B2831" s="50">
        <v>280.16300000000001</v>
      </c>
      <c r="C2831" s="50">
        <v>4050.83</v>
      </c>
      <c r="D2831" s="51">
        <v>25400941.528089002</v>
      </c>
      <c r="E2831" s="51">
        <v>2136728201</v>
      </c>
      <c r="F2831" s="52">
        <f t="shared" si="92"/>
        <v>1.2542501996493351E-2</v>
      </c>
      <c r="G2831" s="52">
        <f t="shared" si="93"/>
        <v>5.698994460609173E-3</v>
      </c>
    </row>
    <row r="2832" spans="1:7" ht="15" customHeight="1" x14ac:dyDescent="0.2">
      <c r="A2832" s="19" t="s">
        <v>2979</v>
      </c>
      <c r="B2832" s="50">
        <v>284.35500000000002</v>
      </c>
      <c r="C2832" s="50">
        <v>4109.3100000000004</v>
      </c>
      <c r="D2832" s="51">
        <v>33220493.357461002</v>
      </c>
      <c r="E2832" s="51">
        <v>2525400584</v>
      </c>
      <c r="F2832" s="52">
        <f t="shared" si="92"/>
        <v>1.4851880914666502E-2</v>
      </c>
      <c r="G2832" s="52">
        <f t="shared" si="93"/>
        <v>1.4333332809426856E-2</v>
      </c>
    </row>
    <row r="2833" spans="1:7" ht="15" customHeight="1" x14ac:dyDescent="0.2">
      <c r="A2833" s="19" t="s">
        <v>2980</v>
      </c>
      <c r="B2833" s="50">
        <v>283.29899999999998</v>
      </c>
      <c r="C2833" s="50">
        <v>4124.51</v>
      </c>
      <c r="D2833" s="51">
        <v>25228514.408434998</v>
      </c>
      <c r="E2833" s="51">
        <v>2427596313</v>
      </c>
      <c r="F2833" s="52">
        <f t="shared" si="92"/>
        <v>-3.7205805584355897E-3</v>
      </c>
      <c r="G2833" s="52">
        <f t="shared" si="93"/>
        <v>3.6920936495169121E-3</v>
      </c>
    </row>
    <row r="2834" spans="1:7" ht="15" customHeight="1" x14ac:dyDescent="0.2">
      <c r="A2834" s="19" t="s">
        <v>2981</v>
      </c>
      <c r="B2834" s="50">
        <v>283.25099999999998</v>
      </c>
      <c r="C2834" s="50">
        <v>4100.6000000000004</v>
      </c>
      <c r="D2834" s="51">
        <v>26182524.011815999</v>
      </c>
      <c r="E2834" s="51">
        <v>2263558030</v>
      </c>
      <c r="F2834" s="52">
        <f t="shared" si="92"/>
        <v>-1.6944665118645536E-4</v>
      </c>
      <c r="G2834" s="52">
        <f t="shared" si="93"/>
        <v>-5.8139203852082119E-3</v>
      </c>
    </row>
    <row r="2835" spans="1:7" ht="15" customHeight="1" x14ac:dyDescent="0.2">
      <c r="A2835" s="19" t="s">
        <v>2982</v>
      </c>
      <c r="B2835" s="50">
        <v>280.45100000000002</v>
      </c>
      <c r="C2835" s="50">
        <v>4090.38</v>
      </c>
      <c r="D2835" s="51">
        <v>22370844.232411001</v>
      </c>
      <c r="E2835" s="51">
        <v>2329609104</v>
      </c>
      <c r="F2835" s="52">
        <f t="shared" si="92"/>
        <v>-9.9344087060417377E-3</v>
      </c>
      <c r="G2835" s="52">
        <f t="shared" si="93"/>
        <v>-2.4954291924703361E-3</v>
      </c>
    </row>
    <row r="2836" spans="1:7" ht="15" customHeight="1" x14ac:dyDescent="0.2">
      <c r="A2836" s="19" t="s">
        <v>2983</v>
      </c>
      <c r="B2836" s="50">
        <v>287.61</v>
      </c>
      <c r="C2836" s="50">
        <v>4105.0200000000004</v>
      </c>
      <c r="D2836" s="51">
        <v>30183296.932659999</v>
      </c>
      <c r="E2836" s="51">
        <v>2074707142</v>
      </c>
      <c r="F2836" s="52">
        <f t="shared" si="92"/>
        <v>2.5206374111040639E-2</v>
      </c>
      <c r="G2836" s="52">
        <f t="shared" si="93"/>
        <v>3.5727397253701647E-3</v>
      </c>
    </row>
    <row r="2837" spans="1:7" ht="15" customHeight="1" x14ac:dyDescent="0.2">
      <c r="A2837" s="19" t="s">
        <v>2984</v>
      </c>
      <c r="B2837" s="50">
        <v>285.43099999999998</v>
      </c>
      <c r="C2837" s="50">
        <v>4109.1099999999997</v>
      </c>
      <c r="D2837" s="51">
        <v>23423470.087216999</v>
      </c>
      <c r="E2837" s="51">
        <v>1951641661</v>
      </c>
      <c r="F2837" s="52">
        <f t="shared" si="92"/>
        <v>-7.6050771315181133E-3</v>
      </c>
      <c r="G2837" s="52">
        <f t="shared" si="93"/>
        <v>9.9584504701190541E-4</v>
      </c>
    </row>
    <row r="2838" spans="1:7" ht="15" customHeight="1" x14ac:dyDescent="0.2">
      <c r="A2838" s="19" t="s">
        <v>2985</v>
      </c>
      <c r="B2838" s="50">
        <v>278.96100000000001</v>
      </c>
      <c r="C2838" s="50">
        <v>4108.9399999999996</v>
      </c>
      <c r="D2838" s="51">
        <v>27654959.635224</v>
      </c>
      <c r="E2838" s="51">
        <v>2000949147</v>
      </c>
      <c r="F2838" s="52">
        <f t="shared" si="92"/>
        <v>-2.29283315211938E-2</v>
      </c>
      <c r="G2838" s="52">
        <f t="shared" si="93"/>
        <v>-4.1372345026909729E-5</v>
      </c>
    </row>
    <row r="2839" spans="1:7" ht="15" customHeight="1" x14ac:dyDescent="0.2">
      <c r="A2839" s="19" t="s">
        <v>2986</v>
      </c>
      <c r="B2839" s="50">
        <v>279.61099999999999</v>
      </c>
      <c r="C2839" s="50">
        <v>4091.95</v>
      </c>
      <c r="D2839" s="51">
        <v>27783562.153852999</v>
      </c>
      <c r="E2839" s="51">
        <v>2249009085</v>
      </c>
      <c r="F2839" s="52">
        <f t="shared" si="92"/>
        <v>2.3273643985035463E-3</v>
      </c>
      <c r="G2839" s="52">
        <f t="shared" si="93"/>
        <v>-4.1434586507983449E-3</v>
      </c>
    </row>
    <row r="2840" spans="1:7" ht="15" customHeight="1" x14ac:dyDescent="0.2">
      <c r="A2840" s="19" t="s">
        <v>2987</v>
      </c>
      <c r="B2840" s="50">
        <v>285.87400000000002</v>
      </c>
      <c r="C2840" s="50">
        <v>4146.22</v>
      </c>
      <c r="D2840" s="51">
        <v>24558685.924658999</v>
      </c>
      <c r="E2840" s="51">
        <v>2198579364</v>
      </c>
      <c r="F2840" s="52">
        <f t="shared" si="92"/>
        <v>2.2151802801663848E-2</v>
      </c>
      <c r="G2840" s="52">
        <f t="shared" si="93"/>
        <v>1.3175446748330008E-2</v>
      </c>
    </row>
    <row r="2841" spans="1:7" ht="15" customHeight="1" x14ac:dyDescent="0.2">
      <c r="A2841" s="19" t="s">
        <v>2988</v>
      </c>
      <c r="B2841" s="50">
        <v>282.22500000000002</v>
      </c>
      <c r="C2841" s="50">
        <v>4137.6400000000003</v>
      </c>
      <c r="D2841" s="51">
        <v>21279053.530572001</v>
      </c>
      <c r="E2841" s="51">
        <v>2089948592</v>
      </c>
      <c r="F2841" s="52">
        <f t="shared" si="92"/>
        <v>-1.2846529156859621E-2</v>
      </c>
      <c r="G2841" s="52">
        <f t="shared" si="93"/>
        <v>-2.0714988104920951E-3</v>
      </c>
    </row>
    <row r="2842" spans="1:7" ht="15" customHeight="1" x14ac:dyDescent="0.2">
      <c r="A2842" s="19" t="s">
        <v>2989</v>
      </c>
      <c r="B2842" s="50">
        <v>284.84899999999999</v>
      </c>
      <c r="C2842" s="50">
        <v>4151.32</v>
      </c>
      <c r="D2842" s="51">
        <v>24166870.165518001</v>
      </c>
      <c r="E2842" s="51">
        <v>2134208037</v>
      </c>
      <c r="F2842" s="52">
        <f t="shared" si="92"/>
        <v>9.2545901530071053E-3</v>
      </c>
      <c r="G2842" s="52">
        <f t="shared" si="93"/>
        <v>3.3007789687629755E-3</v>
      </c>
    </row>
    <row r="2843" spans="1:7" ht="15" customHeight="1" x14ac:dyDescent="0.2">
      <c r="A2843" s="19" t="s">
        <v>2990</v>
      </c>
      <c r="B2843" s="50">
        <v>284.42399999999998</v>
      </c>
      <c r="C2843" s="50">
        <v>4154.87</v>
      </c>
      <c r="D2843" s="51">
        <v>20441522.568918999</v>
      </c>
      <c r="E2843" s="51">
        <v>2125370001</v>
      </c>
      <c r="F2843" s="52">
        <f t="shared" si="92"/>
        <v>-1.4931327463608209E-3</v>
      </c>
      <c r="G2843" s="52">
        <f t="shared" si="93"/>
        <v>8.547842551524592E-4</v>
      </c>
    </row>
    <row r="2844" spans="1:7" ht="15" customHeight="1" x14ac:dyDescent="0.2">
      <c r="A2844" s="19" t="s">
        <v>2991</v>
      </c>
      <c r="B2844" s="50">
        <v>284.50400000000002</v>
      </c>
      <c r="C2844" s="50">
        <v>4154.5200000000004</v>
      </c>
      <c r="D2844" s="51">
        <v>17388173.141376</v>
      </c>
      <c r="E2844" s="51">
        <v>2167627544</v>
      </c>
      <c r="F2844" s="52">
        <f t="shared" si="92"/>
        <v>2.8123066724538795E-4</v>
      </c>
      <c r="G2844" s="52">
        <f t="shared" si="93"/>
        <v>-8.4242044291161936E-5</v>
      </c>
    </row>
    <row r="2845" spans="1:7" ht="15" customHeight="1" x14ac:dyDescent="0.2">
      <c r="A2845" s="19" t="s">
        <v>2992</v>
      </c>
      <c r="B2845" s="50">
        <v>282.19499999999999</v>
      </c>
      <c r="C2845" s="50">
        <v>4129.79</v>
      </c>
      <c r="D2845" s="51">
        <v>23566800.105082002</v>
      </c>
      <c r="E2845" s="51">
        <v>2452866920</v>
      </c>
      <c r="F2845" s="52">
        <f t="shared" si="92"/>
        <v>-8.1489918902990198E-3</v>
      </c>
      <c r="G2845" s="52">
        <f t="shared" si="93"/>
        <v>-5.9703399458197028E-3</v>
      </c>
    </row>
    <row r="2846" spans="1:7" ht="15" customHeight="1" x14ac:dyDescent="0.2">
      <c r="A2846" s="19" t="s">
        <v>2993</v>
      </c>
      <c r="B2846" s="50">
        <v>281.85199999999998</v>
      </c>
      <c r="C2846" s="50">
        <v>4133.5200000000004</v>
      </c>
      <c r="D2846" s="51">
        <v>21977073.728774998</v>
      </c>
      <c r="E2846" s="51">
        <v>2298537544</v>
      </c>
      <c r="F2846" s="52">
        <f t="shared" si="92"/>
        <v>-1.2162108557605962E-3</v>
      </c>
      <c r="G2846" s="52">
        <f t="shared" si="93"/>
        <v>9.0278599092536804E-4</v>
      </c>
    </row>
    <row r="2847" spans="1:7" ht="15" customHeight="1" x14ac:dyDescent="0.2">
      <c r="A2847" s="19" t="s">
        <v>2994</v>
      </c>
      <c r="B2847" s="50">
        <v>277.91500000000002</v>
      </c>
      <c r="C2847" s="50">
        <v>4137.04</v>
      </c>
      <c r="D2847" s="51">
        <v>26980152.027894001</v>
      </c>
      <c r="E2847" s="51">
        <v>2122318243</v>
      </c>
      <c r="F2847" s="52">
        <f t="shared" si="92"/>
        <v>-1.4066798933200363E-2</v>
      </c>
      <c r="G2847" s="52">
        <f t="shared" si="93"/>
        <v>8.5121206122392508E-4</v>
      </c>
    </row>
    <row r="2848" spans="1:7" ht="15" customHeight="1" x14ac:dyDescent="0.2">
      <c r="A2848" s="19" t="s">
        <v>2995</v>
      </c>
      <c r="B2848" s="50">
        <v>271.65100000000001</v>
      </c>
      <c r="C2848" s="50">
        <v>4071.63</v>
      </c>
      <c r="D2848" s="51">
        <v>46407171.329007998</v>
      </c>
      <c r="E2848" s="51">
        <v>2574200878</v>
      </c>
      <c r="F2848" s="52">
        <f t="shared" si="92"/>
        <v>-2.2797157344050027E-2</v>
      </c>
      <c r="G2848" s="52">
        <f t="shared" si="93"/>
        <v>-1.5937145594967939E-2</v>
      </c>
    </row>
    <row r="2849" spans="1:7" ht="15" customHeight="1" x14ac:dyDescent="0.2">
      <c r="A2849" s="19" t="s">
        <v>2996</v>
      </c>
      <c r="B2849" s="50">
        <v>291.32900000000001</v>
      </c>
      <c r="C2849" s="50">
        <v>4055.99</v>
      </c>
      <c r="D2849" s="51">
        <v>65495277.678542003</v>
      </c>
      <c r="E2849" s="51">
        <v>2706613848</v>
      </c>
      <c r="F2849" s="52">
        <f t="shared" si="92"/>
        <v>6.9935058536735678E-2</v>
      </c>
      <c r="G2849" s="52">
        <f t="shared" si="93"/>
        <v>-3.8486098771117832E-3</v>
      </c>
    </row>
    <row r="2850" spans="1:7" ht="15" customHeight="1" x14ac:dyDescent="0.2">
      <c r="A2850" s="19" t="s">
        <v>2997</v>
      </c>
      <c r="B2850" s="50">
        <v>300.65899999999999</v>
      </c>
      <c r="C2850" s="50">
        <v>4135.3500000000004</v>
      </c>
      <c r="D2850" s="51">
        <v>47107150.327191003</v>
      </c>
      <c r="E2850" s="51">
        <v>2719396344</v>
      </c>
      <c r="F2850" s="52">
        <f t="shared" si="92"/>
        <v>3.152351944313081E-2</v>
      </c>
      <c r="G2850" s="52">
        <f t="shared" si="93"/>
        <v>1.9377167380002121E-2</v>
      </c>
    </row>
    <row r="2851" spans="1:7" ht="15" customHeight="1" x14ac:dyDescent="0.2">
      <c r="A2851" s="19" t="s">
        <v>2998</v>
      </c>
      <c r="B2851" s="50">
        <v>303.05500000000001</v>
      </c>
      <c r="C2851" s="50">
        <v>4169.4799999999996</v>
      </c>
      <c r="D2851" s="51">
        <v>36975505.823959</v>
      </c>
      <c r="E2851" s="51">
        <v>2732583160</v>
      </c>
      <c r="F2851" s="52">
        <f t="shared" si="92"/>
        <v>7.9375750106988364E-3</v>
      </c>
      <c r="G2851" s="52">
        <f t="shared" si="93"/>
        <v>8.2193596125703667E-3</v>
      </c>
    </row>
    <row r="2852" spans="1:7" ht="15" customHeight="1" x14ac:dyDescent="0.2">
      <c r="A2852" s="19" t="s">
        <v>2999</v>
      </c>
      <c r="B2852" s="50">
        <v>301.38</v>
      </c>
      <c r="C2852" s="50">
        <v>4167.87</v>
      </c>
      <c r="D2852" s="51">
        <v>21589498.994644001</v>
      </c>
      <c r="E2852" s="51">
        <v>2224868817</v>
      </c>
      <c r="F2852" s="52">
        <f t="shared" si="92"/>
        <v>-5.5423801987496734E-3</v>
      </c>
      <c r="G2852" s="52">
        <f t="shared" si="93"/>
        <v>-3.8621384972729493E-4</v>
      </c>
    </row>
    <row r="2853" spans="1:7" ht="15" customHeight="1" x14ac:dyDescent="0.2">
      <c r="A2853" s="19" t="s">
        <v>3000</v>
      </c>
      <c r="B2853" s="50">
        <v>301.23200000000003</v>
      </c>
      <c r="C2853" s="50">
        <v>4119.58</v>
      </c>
      <c r="D2853" s="51">
        <v>26770703.385825001</v>
      </c>
      <c r="E2853" s="51">
        <v>2648056928</v>
      </c>
      <c r="F2853" s="52">
        <f t="shared" si="92"/>
        <v>-4.9119500765226884E-4</v>
      </c>
      <c r="G2853" s="52">
        <f t="shared" si="93"/>
        <v>-1.1653897528004022E-2</v>
      </c>
    </row>
    <row r="2854" spans="1:7" ht="15" customHeight="1" x14ac:dyDescent="0.2">
      <c r="A2854" s="19" t="s">
        <v>3001</v>
      </c>
      <c r="B2854" s="50">
        <v>300.23500000000001</v>
      </c>
      <c r="C2854" s="50">
        <v>4090.75</v>
      </c>
      <c r="D2854" s="51">
        <v>22670934.011696</v>
      </c>
      <c r="E2854" s="51">
        <v>2576228540</v>
      </c>
      <c r="F2854" s="52">
        <f t="shared" si="92"/>
        <v>-3.3152306382506617E-3</v>
      </c>
      <c r="G2854" s="52">
        <f t="shared" si="93"/>
        <v>-7.0228890905811598E-3</v>
      </c>
    </row>
    <row r="2855" spans="1:7" ht="15" customHeight="1" x14ac:dyDescent="0.2">
      <c r="A2855" s="19" t="s">
        <v>3002</v>
      </c>
      <c r="B2855" s="50">
        <v>301.23200000000003</v>
      </c>
      <c r="C2855" s="50">
        <v>4061.22</v>
      </c>
      <c r="D2855" s="51">
        <v>22832294.722555</v>
      </c>
      <c r="E2855" s="51">
        <v>2878155272</v>
      </c>
      <c r="F2855" s="52">
        <f t="shared" si="92"/>
        <v>3.3152306382505125E-3</v>
      </c>
      <c r="G2855" s="52">
        <f t="shared" si="93"/>
        <v>-7.2449062412514361E-3</v>
      </c>
    </row>
    <row r="2856" spans="1:7" ht="15" customHeight="1" x14ac:dyDescent="0.2">
      <c r="A2856" s="19" t="s">
        <v>3003</v>
      </c>
      <c r="B2856" s="50">
        <v>306.399</v>
      </c>
      <c r="C2856" s="50">
        <v>4136.25</v>
      </c>
      <c r="D2856" s="51">
        <v>28588190.953506</v>
      </c>
      <c r="E2856" s="51">
        <v>2466850794</v>
      </c>
      <c r="F2856" s="52">
        <f t="shared" si="92"/>
        <v>1.700744217118233E-2</v>
      </c>
      <c r="G2856" s="52">
        <f t="shared" si="93"/>
        <v>1.8306159168068423E-2</v>
      </c>
    </row>
    <row r="2857" spans="1:7" ht="15" customHeight="1" x14ac:dyDescent="0.2">
      <c r="A2857" s="19" t="s">
        <v>3004</v>
      </c>
      <c r="B2857" s="50">
        <v>304.42700000000002</v>
      </c>
      <c r="C2857" s="50">
        <v>4138.12</v>
      </c>
      <c r="D2857" s="51">
        <v>21614336.821732</v>
      </c>
      <c r="E2857" s="51">
        <v>2114263205</v>
      </c>
      <c r="F2857" s="52">
        <f t="shared" si="92"/>
        <v>-6.4568530193808565E-3</v>
      </c>
      <c r="G2857" s="52">
        <f t="shared" si="93"/>
        <v>4.5199816586328297E-4</v>
      </c>
    </row>
    <row r="2858" spans="1:7" ht="15" customHeight="1" x14ac:dyDescent="0.2">
      <c r="A2858" s="19" t="s">
        <v>3005</v>
      </c>
      <c r="B2858" s="50">
        <v>302.8</v>
      </c>
      <c r="C2858" s="50">
        <v>4119.17</v>
      </c>
      <c r="D2858" s="51">
        <v>21636860.99377</v>
      </c>
      <c r="E2858" s="51">
        <v>2062396327</v>
      </c>
      <c r="F2858" s="52">
        <f t="shared" si="92"/>
        <v>-5.3587995708640097E-3</v>
      </c>
      <c r="G2858" s="52">
        <f t="shared" si="93"/>
        <v>-4.5898916638410408E-3</v>
      </c>
    </row>
    <row r="2859" spans="1:7" ht="15" customHeight="1" x14ac:dyDescent="0.2">
      <c r="A2859" s="19" t="s">
        <v>3006</v>
      </c>
      <c r="B2859" s="50">
        <v>308.03699999999998</v>
      </c>
      <c r="C2859" s="50">
        <v>4137.6400000000003</v>
      </c>
      <c r="D2859" s="51">
        <v>30495275.370629001</v>
      </c>
      <c r="E2859" s="51">
        <v>2341053558</v>
      </c>
      <c r="F2859" s="52">
        <f t="shared" si="92"/>
        <v>1.7147384065395486E-2</v>
      </c>
      <c r="G2859" s="52">
        <f t="shared" si="93"/>
        <v>4.4738902330266894E-3</v>
      </c>
    </row>
    <row r="2860" spans="1:7" ht="15" customHeight="1" x14ac:dyDescent="0.2">
      <c r="A2860" s="19" t="s">
        <v>3007</v>
      </c>
      <c r="B2860" s="50">
        <v>305.86799999999999</v>
      </c>
      <c r="C2860" s="50">
        <v>4130.62</v>
      </c>
      <c r="D2860" s="51">
        <v>32119634.587802</v>
      </c>
      <c r="E2860" s="51">
        <v>2245650154</v>
      </c>
      <c r="F2860" s="52">
        <f t="shared" si="92"/>
        <v>-7.0662692932317497E-3</v>
      </c>
      <c r="G2860" s="52">
        <f t="shared" si="93"/>
        <v>-1.6980602174566785E-3</v>
      </c>
    </row>
    <row r="2861" spans="1:7" ht="15" customHeight="1" x14ac:dyDescent="0.2">
      <c r="A2861" s="19" t="s">
        <v>3008</v>
      </c>
      <c r="B2861" s="50">
        <v>304.74299999999999</v>
      </c>
      <c r="C2861" s="50">
        <v>4124.08</v>
      </c>
      <c r="D2861" s="51">
        <v>20049003.182868998</v>
      </c>
      <c r="E2861" s="51">
        <v>2076453332</v>
      </c>
      <c r="F2861" s="52">
        <f t="shared" si="92"/>
        <v>-3.6848378851348442E-3</v>
      </c>
      <c r="G2861" s="52">
        <f t="shared" si="93"/>
        <v>-1.5845521626198357E-3</v>
      </c>
    </row>
    <row r="2862" spans="1:7" ht="15" customHeight="1" x14ac:dyDescent="0.2">
      <c r="A2862" s="19" t="s">
        <v>3009</v>
      </c>
      <c r="B2862" s="50">
        <v>305.226</v>
      </c>
      <c r="C2862" s="50">
        <v>4136.28</v>
      </c>
      <c r="D2862" s="51">
        <v>16563161.466558</v>
      </c>
      <c r="E2862" s="51">
        <v>2051963971</v>
      </c>
      <c r="F2862" s="52">
        <f t="shared" si="92"/>
        <v>1.5836873708324022E-3</v>
      </c>
      <c r="G2862" s="52">
        <f t="shared" si="93"/>
        <v>2.9538685652344835E-3</v>
      </c>
    </row>
    <row r="2863" spans="1:7" ht="15" customHeight="1" x14ac:dyDescent="0.2">
      <c r="A2863" s="19" t="s">
        <v>3010</v>
      </c>
      <c r="B2863" s="50">
        <v>307.47500000000002</v>
      </c>
      <c r="C2863" s="50">
        <v>4109.8999999999996</v>
      </c>
      <c r="D2863" s="51">
        <v>27101140.370613001</v>
      </c>
      <c r="E2863" s="51">
        <v>2204940543</v>
      </c>
      <c r="F2863" s="52">
        <f t="shared" si="92"/>
        <v>7.3412973073190904E-3</v>
      </c>
      <c r="G2863" s="52">
        <f t="shared" si="93"/>
        <v>-6.398135861993161E-3</v>
      </c>
    </row>
    <row r="2864" spans="1:7" ht="15" customHeight="1" x14ac:dyDescent="0.2">
      <c r="A2864" s="19" t="s">
        <v>3011</v>
      </c>
      <c r="B2864" s="50">
        <v>310.38099999999997</v>
      </c>
      <c r="C2864" s="50">
        <v>4158.7700000000004</v>
      </c>
      <c r="D2864" s="51">
        <v>24598526.562755998</v>
      </c>
      <c r="E2864" s="51">
        <v>2448302781</v>
      </c>
      <c r="F2864" s="52">
        <f t="shared" si="92"/>
        <v>9.4067919668925394E-3</v>
      </c>
      <c r="G2864" s="52">
        <f t="shared" si="93"/>
        <v>1.1820660164447881E-2</v>
      </c>
    </row>
    <row r="2865" spans="1:7" ht="15" customHeight="1" x14ac:dyDescent="0.2">
      <c r="A2865" s="19" t="s">
        <v>3012</v>
      </c>
      <c r="B2865" s="50">
        <v>314.84800000000001</v>
      </c>
      <c r="C2865" s="50">
        <v>4198.05</v>
      </c>
      <c r="D2865" s="51">
        <v>27594030.763340998</v>
      </c>
      <c r="E2865" s="51">
        <v>2416803411</v>
      </c>
      <c r="F2865" s="52">
        <f t="shared" si="92"/>
        <v>1.4289407587988233E-2</v>
      </c>
      <c r="G2865" s="52">
        <f t="shared" si="93"/>
        <v>9.4007742847056677E-3</v>
      </c>
    </row>
    <row r="2866" spans="1:7" ht="15" customHeight="1" x14ac:dyDescent="0.2">
      <c r="A2866" s="19" t="s">
        <v>3013</v>
      </c>
      <c r="B2866" s="50">
        <v>314.67099999999999</v>
      </c>
      <c r="C2866" s="50">
        <v>4191.9799999999996</v>
      </c>
      <c r="D2866" s="51">
        <v>27867897.258894999</v>
      </c>
      <c r="E2866" s="51">
        <v>2350593331</v>
      </c>
      <c r="F2866" s="52">
        <f t="shared" si="92"/>
        <v>-5.6233411434526909E-4</v>
      </c>
      <c r="G2866" s="52">
        <f t="shared" si="93"/>
        <v>-1.4469557460591439E-3</v>
      </c>
    </row>
    <row r="2867" spans="1:7" ht="15" customHeight="1" x14ac:dyDescent="0.2">
      <c r="A2867" s="19" t="s">
        <v>3014</v>
      </c>
      <c r="B2867" s="50">
        <v>317.47899999999998</v>
      </c>
      <c r="C2867" s="50">
        <v>4192.63</v>
      </c>
      <c r="D2867" s="51">
        <v>24396854.152591001</v>
      </c>
      <c r="E2867" s="51">
        <v>2222520734</v>
      </c>
      <c r="F2867" s="52">
        <f t="shared" si="92"/>
        <v>8.8840258439923554E-3</v>
      </c>
      <c r="G2867" s="52">
        <f t="shared" si="93"/>
        <v>1.550459714410593E-4</v>
      </c>
    </row>
    <row r="2868" spans="1:7" ht="15" customHeight="1" x14ac:dyDescent="0.2">
      <c r="A2868" s="19" t="s">
        <v>3015</v>
      </c>
      <c r="B2868" s="50">
        <v>311.62599999999998</v>
      </c>
      <c r="C2868" s="50">
        <v>4145.58</v>
      </c>
      <c r="D2868" s="51">
        <v>31156269.965991002</v>
      </c>
      <c r="E2868" s="51">
        <v>2437496305</v>
      </c>
      <c r="F2868" s="52">
        <f t="shared" si="92"/>
        <v>-1.8607923589270499E-2</v>
      </c>
      <c r="G2868" s="52">
        <f t="shared" si="93"/>
        <v>-1.1285515564489972E-2</v>
      </c>
    </row>
    <row r="2869" spans="1:7" ht="15" customHeight="1" x14ac:dyDescent="0.2">
      <c r="A2869" s="19" t="s">
        <v>3016</v>
      </c>
      <c r="B2869" s="50">
        <v>310.233</v>
      </c>
      <c r="C2869" s="50">
        <v>4115.24</v>
      </c>
      <c r="D2869" s="51">
        <v>23657556.247003</v>
      </c>
      <c r="E2869" s="51">
        <v>2295840859</v>
      </c>
      <c r="F2869" s="52">
        <f t="shared" si="92"/>
        <v>-4.4801227608374716E-3</v>
      </c>
      <c r="G2869" s="52">
        <f t="shared" si="93"/>
        <v>-7.3455507858671458E-3</v>
      </c>
    </row>
    <row r="2870" spans="1:7" ht="15" customHeight="1" x14ac:dyDescent="0.2">
      <c r="A2870" s="19" t="s">
        <v>3017</v>
      </c>
      <c r="B2870" s="50">
        <v>322.16300000000001</v>
      </c>
      <c r="C2870" s="50">
        <v>4151.28</v>
      </c>
      <c r="D2870" s="51">
        <v>43806644.035345003</v>
      </c>
      <c r="E2870" s="51">
        <v>2827444614</v>
      </c>
      <c r="F2870" s="52">
        <f t="shared" si="92"/>
        <v>3.7734000579981442E-2</v>
      </c>
      <c r="G2870" s="52">
        <f t="shared" si="93"/>
        <v>8.719564785563249E-3</v>
      </c>
    </row>
    <row r="2871" spans="1:7" ht="15" customHeight="1" x14ac:dyDescent="0.2">
      <c r="A2871" s="19" t="s">
        <v>3018</v>
      </c>
      <c r="B2871" s="50">
        <v>329.053</v>
      </c>
      <c r="C2871" s="50">
        <v>4205.45</v>
      </c>
      <c r="D2871" s="51">
        <v>37057748.474936999</v>
      </c>
      <c r="E2871" s="51">
        <v>2591254017</v>
      </c>
      <c r="F2871" s="52">
        <f t="shared" si="92"/>
        <v>2.1161203373139127E-2</v>
      </c>
      <c r="G2871" s="52">
        <f t="shared" si="93"/>
        <v>1.296458273531355E-2</v>
      </c>
    </row>
    <row r="2872" spans="1:7" ht="15" customHeight="1" x14ac:dyDescent="0.2">
      <c r="A2872" s="19" t="s">
        <v>3019</v>
      </c>
      <c r="B2872" s="50">
        <v>327.39299999999997</v>
      </c>
      <c r="C2872" s="50">
        <v>4205.5200000000004</v>
      </c>
      <c r="D2872" s="51">
        <v>29847077.643962</v>
      </c>
      <c r="E2872" s="51">
        <v>2568042721</v>
      </c>
      <c r="F2872" s="52">
        <f t="shared" si="92"/>
        <v>-5.0575478817690665E-3</v>
      </c>
      <c r="G2872" s="52">
        <f t="shared" si="93"/>
        <v>1.6644929182328236E-5</v>
      </c>
    </row>
    <row r="2873" spans="1:7" ht="15" customHeight="1" x14ac:dyDescent="0.2">
      <c r="A2873" s="19" t="s">
        <v>3020</v>
      </c>
      <c r="B2873" s="50">
        <v>324.60399999999998</v>
      </c>
      <c r="C2873" s="50">
        <v>4179.83</v>
      </c>
      <c r="D2873" s="51">
        <v>46486339.325838998</v>
      </c>
      <c r="E2873" s="51">
        <v>4396247534</v>
      </c>
      <c r="F2873" s="52">
        <f t="shared" si="92"/>
        <v>-8.5553062707773089E-3</v>
      </c>
      <c r="G2873" s="52">
        <f t="shared" si="93"/>
        <v>-6.1273722329718457E-3</v>
      </c>
    </row>
    <row r="2874" spans="1:7" ht="15" customHeight="1" x14ac:dyDescent="0.2">
      <c r="A2874" s="19" t="s">
        <v>3021</v>
      </c>
      <c r="B2874" s="50">
        <v>328.74700000000001</v>
      </c>
      <c r="C2874" s="50">
        <v>4221.0200000000004</v>
      </c>
      <c r="D2874" s="51">
        <v>27086035.779491998</v>
      </c>
      <c r="E2874" s="51">
        <v>2593535081</v>
      </c>
      <c r="F2874" s="52">
        <f t="shared" si="92"/>
        <v>1.2682480111583511E-2</v>
      </c>
      <c r="G2874" s="52">
        <f t="shared" si="93"/>
        <v>9.806229149665344E-3</v>
      </c>
    </row>
    <row r="2875" spans="1:7" ht="15" customHeight="1" x14ac:dyDescent="0.2">
      <c r="A2875" s="19" t="s">
        <v>3022</v>
      </c>
      <c r="B2875" s="50">
        <v>331.53300000000002</v>
      </c>
      <c r="C2875" s="50">
        <v>4282.37</v>
      </c>
      <c r="D2875" s="51">
        <v>26175458.767000001</v>
      </c>
      <c r="E2875" s="51">
        <v>2727572445</v>
      </c>
      <c r="F2875" s="52">
        <f t="shared" si="92"/>
        <v>8.4388942076530186E-3</v>
      </c>
      <c r="G2875" s="52">
        <f t="shared" si="93"/>
        <v>1.442978965214366E-2</v>
      </c>
    </row>
    <row r="2876" spans="1:7" ht="15" customHeight="1" x14ac:dyDescent="0.2">
      <c r="A2876" s="19" t="s">
        <v>3023</v>
      </c>
      <c r="B2876" s="50">
        <v>332.06700000000001</v>
      </c>
      <c r="C2876" s="50">
        <v>4273.79</v>
      </c>
      <c r="D2876" s="51">
        <v>21555494.572429001</v>
      </c>
      <c r="E2876" s="51">
        <v>2188378526</v>
      </c>
      <c r="F2876" s="52">
        <f t="shared" si="92"/>
        <v>1.6094036023597876E-3</v>
      </c>
      <c r="G2876" s="52">
        <f t="shared" si="93"/>
        <v>-2.0055732655681105E-3</v>
      </c>
    </row>
    <row r="2877" spans="1:7" ht="15" customHeight="1" x14ac:dyDescent="0.2">
      <c r="A2877" s="19" t="s">
        <v>3024</v>
      </c>
      <c r="B2877" s="50">
        <v>329.83499999999998</v>
      </c>
      <c r="C2877" s="50">
        <v>4283.8500000000004</v>
      </c>
      <c r="D2877" s="51">
        <v>20634044.237585001</v>
      </c>
      <c r="E2877" s="51">
        <v>2246423347</v>
      </c>
      <c r="F2877" s="52">
        <f t="shared" si="92"/>
        <v>-6.744226366220997E-3</v>
      </c>
      <c r="G2877" s="52">
        <f t="shared" si="93"/>
        <v>2.3511165774900327E-3</v>
      </c>
    </row>
    <row r="2878" spans="1:7" ht="15" customHeight="1" x14ac:dyDescent="0.2">
      <c r="A2878" s="19" t="s">
        <v>3025</v>
      </c>
      <c r="B2878" s="50">
        <v>319.65300000000002</v>
      </c>
      <c r="C2878" s="50">
        <v>4267.5200000000004</v>
      </c>
      <c r="D2878" s="51">
        <v>41191893.274232</v>
      </c>
      <c r="E2878" s="51">
        <v>2720308985</v>
      </c>
      <c r="F2878" s="52">
        <f t="shared" si="92"/>
        <v>-3.1356496985015268E-2</v>
      </c>
      <c r="G2878" s="52">
        <f t="shared" si="93"/>
        <v>-3.8192757067673886E-3</v>
      </c>
    </row>
    <row r="2879" spans="1:7" ht="15" customHeight="1" x14ac:dyDescent="0.2">
      <c r="A2879" s="19" t="s">
        <v>3026</v>
      </c>
      <c r="B2879" s="50">
        <v>321.51100000000002</v>
      </c>
      <c r="C2879" s="50">
        <v>4293.93</v>
      </c>
      <c r="D2879" s="51">
        <v>23549127.533149999</v>
      </c>
      <c r="E2879" s="51">
        <v>2225615199</v>
      </c>
      <c r="F2879" s="52">
        <f t="shared" si="92"/>
        <v>5.7957252775127843E-3</v>
      </c>
      <c r="G2879" s="52">
        <f t="shared" si="93"/>
        <v>6.16953524709693E-3</v>
      </c>
    </row>
    <row r="2880" spans="1:7" ht="15" customHeight="1" x14ac:dyDescent="0.2">
      <c r="A2880" s="19" t="s">
        <v>3027</v>
      </c>
      <c r="B2880" s="50">
        <v>323.02300000000002</v>
      </c>
      <c r="C2880" s="50">
        <v>4298.8599999999997</v>
      </c>
      <c r="D2880" s="51">
        <v>22791638.967976</v>
      </c>
      <c r="E2880" s="51">
        <v>2136702819</v>
      </c>
      <c r="F2880" s="52">
        <f t="shared" si="92"/>
        <v>4.691770406527458E-3</v>
      </c>
      <c r="G2880" s="52">
        <f t="shared" si="93"/>
        <v>1.1474737636884458E-3</v>
      </c>
    </row>
    <row r="2881" spans="1:7" ht="15" customHeight="1" x14ac:dyDescent="0.2">
      <c r="A2881" s="19" t="s">
        <v>3028</v>
      </c>
      <c r="B2881" s="50">
        <v>328.02499999999998</v>
      </c>
      <c r="C2881" s="50">
        <v>4338.93</v>
      </c>
      <c r="D2881" s="51">
        <v>24590171.262299001</v>
      </c>
      <c r="E2881" s="51">
        <v>2453364699</v>
      </c>
      <c r="F2881" s="52">
        <f t="shared" si="92"/>
        <v>1.5366296873910931E-2</v>
      </c>
      <c r="G2881" s="52">
        <f t="shared" si="93"/>
        <v>9.2779026656844323E-3</v>
      </c>
    </row>
    <row r="2882" spans="1:7" ht="15" customHeight="1" x14ac:dyDescent="0.2">
      <c r="A2882" s="19" t="s">
        <v>3029</v>
      </c>
      <c r="B2882" s="50">
        <v>330.43799999999999</v>
      </c>
      <c r="C2882" s="50">
        <v>4369.01</v>
      </c>
      <c r="D2882" s="51">
        <v>23218892.350566</v>
      </c>
      <c r="E2882" s="51">
        <v>2543848564</v>
      </c>
      <c r="F2882" s="52">
        <f t="shared" si="92"/>
        <v>7.3292221481958937E-3</v>
      </c>
      <c r="G2882" s="52">
        <f t="shared" si="93"/>
        <v>6.9086648833658285E-3</v>
      </c>
    </row>
    <row r="2883" spans="1:7" ht="15" customHeight="1" x14ac:dyDescent="0.2">
      <c r="A2883" s="19" t="s">
        <v>3030</v>
      </c>
      <c r="B2883" s="50">
        <v>333.452</v>
      </c>
      <c r="C2883" s="50">
        <v>4372.59</v>
      </c>
      <c r="D2883" s="51">
        <v>26306996.831664</v>
      </c>
      <c r="E2883" s="51">
        <v>2632647795</v>
      </c>
      <c r="F2883" s="52">
        <f t="shared" si="92"/>
        <v>9.0798798210875373E-3</v>
      </c>
      <c r="G2883" s="52">
        <f t="shared" si="93"/>
        <v>8.1907206921961594E-4</v>
      </c>
    </row>
    <row r="2884" spans="1:7" ht="15" customHeight="1" x14ac:dyDescent="0.2">
      <c r="A2884" s="19" t="s">
        <v>3031</v>
      </c>
      <c r="B2884" s="50">
        <v>344.08800000000002</v>
      </c>
      <c r="C2884" s="50">
        <v>4425.84</v>
      </c>
      <c r="D2884" s="51">
        <v>39352640.650728002</v>
      </c>
      <c r="E2884" s="51">
        <v>2574876443</v>
      </c>
      <c r="F2884" s="52">
        <f t="shared" si="92"/>
        <v>3.139851165101392E-2</v>
      </c>
      <c r="G2884" s="52">
        <f t="shared" si="93"/>
        <v>1.2104580063652602E-2</v>
      </c>
    </row>
    <row r="2885" spans="1:7" ht="15" customHeight="1" x14ac:dyDescent="0.2">
      <c r="A2885" s="19" t="s">
        <v>3032</v>
      </c>
      <c r="B2885" s="50">
        <v>338.38499999999999</v>
      </c>
      <c r="C2885" s="50">
        <v>4409.59</v>
      </c>
      <c r="D2885" s="51">
        <v>47094784.060626</v>
      </c>
      <c r="E2885" s="51">
        <v>4185054291</v>
      </c>
      <c r="F2885" s="52">
        <f t="shared" si="92"/>
        <v>-1.6713138103579987E-2</v>
      </c>
      <c r="G2885" s="52">
        <f t="shared" si="93"/>
        <v>-3.6783763376504303E-3</v>
      </c>
    </row>
    <row r="2886" spans="1:7" ht="15" customHeight="1" x14ac:dyDescent="0.2">
      <c r="A2886" s="19" t="s">
        <v>3033</v>
      </c>
      <c r="B2886" s="50">
        <v>334.15499999999997</v>
      </c>
      <c r="C2886" s="50">
        <v>4388.71</v>
      </c>
      <c r="D2886" s="51">
        <v>26682945.897498</v>
      </c>
      <c r="E2886" s="51">
        <v>2438264940</v>
      </c>
      <c r="F2886" s="52">
        <f t="shared" ref="F2886:F2949" si="94">LN(B2886/B2885)</f>
        <v>-1.2579343323549753E-2</v>
      </c>
      <c r="G2886" s="52">
        <f t="shared" ref="G2886:G2949" si="95">LN(C2886/C2885)</f>
        <v>-4.7463803686906532E-3</v>
      </c>
    </row>
    <row r="2887" spans="1:7" ht="15" customHeight="1" x14ac:dyDescent="0.2">
      <c r="A2887" s="19" t="s">
        <v>3034</v>
      </c>
      <c r="B2887" s="50">
        <v>329.71600000000001</v>
      </c>
      <c r="C2887" s="50">
        <v>4365.6899999999996</v>
      </c>
      <c r="D2887" s="51">
        <v>25410674.109453999</v>
      </c>
      <c r="E2887" s="51">
        <v>2342110707</v>
      </c>
      <c r="F2887" s="52">
        <f t="shared" si="94"/>
        <v>-1.3373279319027232E-2</v>
      </c>
      <c r="G2887" s="52">
        <f t="shared" si="95"/>
        <v>-5.2590818461865788E-3</v>
      </c>
    </row>
    <row r="2888" spans="1:7" ht="15" customHeight="1" x14ac:dyDescent="0.2">
      <c r="A2888" s="19" t="s">
        <v>3035</v>
      </c>
      <c r="B2888" s="50">
        <v>335.79500000000002</v>
      </c>
      <c r="C2888" s="50">
        <v>4381.8900000000003</v>
      </c>
      <c r="D2888" s="51">
        <v>23831437.343587998</v>
      </c>
      <c r="E2888" s="51">
        <v>2101340593</v>
      </c>
      <c r="F2888" s="52">
        <f t="shared" si="94"/>
        <v>1.8269176851300056E-2</v>
      </c>
      <c r="G2888" s="52">
        <f t="shared" si="95"/>
        <v>3.7038857650539521E-3</v>
      </c>
    </row>
    <row r="2889" spans="1:7" ht="15" customHeight="1" x14ac:dyDescent="0.2">
      <c r="A2889" s="19" t="s">
        <v>3036</v>
      </c>
      <c r="B2889" s="50">
        <v>331.15800000000002</v>
      </c>
      <c r="C2889" s="50">
        <v>4348.33</v>
      </c>
      <c r="D2889" s="51">
        <v>23416795.315338001</v>
      </c>
      <c r="E2889" s="51">
        <v>3062977301</v>
      </c>
      <c r="F2889" s="52">
        <f t="shared" si="94"/>
        <v>-1.3905251841588051E-2</v>
      </c>
      <c r="G2889" s="52">
        <f t="shared" si="95"/>
        <v>-7.688274822307147E-3</v>
      </c>
    </row>
    <row r="2890" spans="1:7" ht="15" customHeight="1" x14ac:dyDescent="0.2">
      <c r="A2890" s="19" t="s">
        <v>3037</v>
      </c>
      <c r="B2890" s="50">
        <v>324.81299999999999</v>
      </c>
      <c r="C2890" s="50">
        <v>4328.82</v>
      </c>
      <c r="D2890" s="51">
        <v>21771513.333942998</v>
      </c>
      <c r="E2890" s="51">
        <v>2249250625</v>
      </c>
      <c r="F2890" s="52">
        <f t="shared" si="94"/>
        <v>-1.9345970758531113E-2</v>
      </c>
      <c r="G2890" s="52">
        <f t="shared" si="95"/>
        <v>-4.4968757892660969E-3</v>
      </c>
    </row>
    <row r="2891" spans="1:7" ht="15" customHeight="1" x14ac:dyDescent="0.2">
      <c r="A2891" s="19" t="s">
        <v>3038</v>
      </c>
      <c r="B2891" s="50">
        <v>330.714</v>
      </c>
      <c r="C2891" s="50">
        <v>4378.41</v>
      </c>
      <c r="D2891" s="51">
        <v>24638080.447884999</v>
      </c>
      <c r="E2891" s="51">
        <v>2289549269</v>
      </c>
      <c r="F2891" s="52">
        <f t="shared" si="94"/>
        <v>1.8004321416661782E-2</v>
      </c>
      <c r="G2891" s="52">
        <f t="shared" si="95"/>
        <v>1.1390657230512101E-2</v>
      </c>
    </row>
    <row r="2892" spans="1:7" ht="15" customHeight="1" x14ac:dyDescent="0.2">
      <c r="A2892" s="19" t="s">
        <v>3039</v>
      </c>
      <c r="B2892" s="50">
        <v>331.97800000000001</v>
      </c>
      <c r="C2892" s="50">
        <v>4376.8599999999997</v>
      </c>
      <c r="D2892" s="51">
        <v>20495750.307023</v>
      </c>
      <c r="E2892" s="51">
        <v>2283456075</v>
      </c>
      <c r="F2892" s="52">
        <f t="shared" si="94"/>
        <v>3.8147481268590313E-3</v>
      </c>
      <c r="G2892" s="52">
        <f t="shared" si="95"/>
        <v>-3.5407246519950932E-4</v>
      </c>
    </row>
    <row r="2893" spans="1:7" ht="15" customHeight="1" x14ac:dyDescent="0.2">
      <c r="A2893" s="19" t="s">
        <v>3040</v>
      </c>
      <c r="B2893" s="50">
        <v>331.18799999999999</v>
      </c>
      <c r="C2893" s="50">
        <v>4396.4399999999996</v>
      </c>
      <c r="D2893" s="51">
        <v>17195228.574236002</v>
      </c>
      <c r="E2893" s="51">
        <v>2158939109</v>
      </c>
      <c r="F2893" s="52">
        <f t="shared" si="94"/>
        <v>-2.3825116899654141E-3</v>
      </c>
      <c r="G2893" s="52">
        <f t="shared" si="95"/>
        <v>4.4635502053141703E-3</v>
      </c>
    </row>
    <row r="2894" spans="1:7" ht="15" customHeight="1" x14ac:dyDescent="0.2">
      <c r="A2894" s="19" t="s">
        <v>3041</v>
      </c>
      <c r="B2894" s="50">
        <v>336.61599999999999</v>
      </c>
      <c r="C2894" s="50">
        <v>4450.38</v>
      </c>
      <c r="D2894" s="51">
        <v>27145627.615481</v>
      </c>
      <c r="E2894" s="51">
        <v>2491966612</v>
      </c>
      <c r="F2894" s="52">
        <f t="shared" si="94"/>
        <v>1.6256624821518167E-2</v>
      </c>
      <c r="G2894" s="52">
        <f t="shared" si="95"/>
        <v>1.2194363266362706E-2</v>
      </c>
    </row>
    <row r="2895" spans="1:7" ht="15" customHeight="1" x14ac:dyDescent="0.2">
      <c r="A2895" s="19" t="s">
        <v>3042</v>
      </c>
      <c r="B2895" s="50">
        <v>334.09500000000003</v>
      </c>
      <c r="C2895" s="50">
        <v>4455.59</v>
      </c>
      <c r="D2895" s="51">
        <v>12654544.132133</v>
      </c>
      <c r="E2895" s="51">
        <v>1236150700</v>
      </c>
      <c r="F2895" s="52">
        <f t="shared" si="94"/>
        <v>-7.5174311206165738E-3</v>
      </c>
      <c r="G2895" s="52">
        <f t="shared" si="95"/>
        <v>1.1700018289601843E-3</v>
      </c>
    </row>
    <row r="2896" spans="1:7" ht="15" customHeight="1" x14ac:dyDescent="0.2">
      <c r="A2896" s="19" t="s">
        <v>3043</v>
      </c>
      <c r="B2896" s="50">
        <v>334.25299999999999</v>
      </c>
      <c r="C2896" s="50">
        <v>4446.82</v>
      </c>
      <c r="D2896" s="51">
        <v>18384269.065606002</v>
      </c>
      <c r="E2896" s="51">
        <v>2115015525</v>
      </c>
      <c r="F2896" s="52">
        <f t="shared" si="94"/>
        <v>4.728075880927905E-4</v>
      </c>
      <c r="G2896" s="52">
        <f t="shared" si="95"/>
        <v>-1.9702536362673942E-3</v>
      </c>
    </row>
    <row r="2897" spans="1:7" ht="15" customHeight="1" x14ac:dyDescent="0.2">
      <c r="A2897" s="19" t="s">
        <v>3044</v>
      </c>
      <c r="B2897" s="50">
        <v>337.33699999999999</v>
      </c>
      <c r="C2897" s="50">
        <v>4411.59</v>
      </c>
      <c r="D2897" s="51">
        <v>28524295.692311</v>
      </c>
      <c r="E2897" s="51">
        <v>2224381526</v>
      </c>
      <c r="F2897" s="52">
        <f t="shared" si="94"/>
        <v>9.184239425794721E-3</v>
      </c>
      <c r="G2897" s="52">
        <f t="shared" si="95"/>
        <v>-7.9540652874783013E-3</v>
      </c>
    </row>
    <row r="2898" spans="1:7" ht="15" customHeight="1" x14ac:dyDescent="0.2">
      <c r="A2898" s="19" t="s">
        <v>3045</v>
      </c>
      <c r="B2898" s="50">
        <v>333.33300000000003</v>
      </c>
      <c r="C2898" s="50">
        <v>4398.95</v>
      </c>
      <c r="D2898" s="51">
        <v>21462190.176513001</v>
      </c>
      <c r="E2898" s="51">
        <v>2111125773</v>
      </c>
      <c r="F2898" s="52">
        <f t="shared" si="94"/>
        <v>-1.194044037191775E-2</v>
      </c>
      <c r="G2898" s="52">
        <f t="shared" si="95"/>
        <v>-2.8692926136023467E-3</v>
      </c>
    </row>
    <row r="2899" spans="1:7" ht="15" customHeight="1" x14ac:dyDescent="0.2">
      <c r="A2899" s="19" t="s">
        <v>3046</v>
      </c>
      <c r="B2899" s="50">
        <v>328.005</v>
      </c>
      <c r="C2899" s="50">
        <v>4409.53</v>
      </c>
      <c r="D2899" s="51">
        <v>33173799.349050999</v>
      </c>
      <c r="E2899" s="51">
        <v>2168941075</v>
      </c>
      <c r="F2899" s="52">
        <f t="shared" si="94"/>
        <v>-1.6113138143131832E-2</v>
      </c>
      <c r="G2899" s="52">
        <f t="shared" si="95"/>
        <v>2.4022317330228151E-3</v>
      </c>
    </row>
    <row r="2900" spans="1:7" ht="15" customHeight="1" x14ac:dyDescent="0.2">
      <c r="A2900" s="19" t="s">
        <v>3047</v>
      </c>
      <c r="B2900" s="50">
        <v>328.63799999999998</v>
      </c>
      <c r="C2900" s="50">
        <v>4439.26</v>
      </c>
      <c r="D2900" s="51">
        <v>27009520.893975001</v>
      </c>
      <c r="E2900" s="51">
        <v>2129927844</v>
      </c>
      <c r="F2900" s="52">
        <f t="shared" si="94"/>
        <v>1.9279888648144887E-3</v>
      </c>
      <c r="G2900" s="52">
        <f t="shared" si="95"/>
        <v>6.7195880716203853E-3</v>
      </c>
    </row>
    <row r="2901" spans="1:7" ht="15" customHeight="1" x14ac:dyDescent="0.2">
      <c r="A2901" s="19" t="s">
        <v>3048</v>
      </c>
      <c r="B2901" s="50">
        <v>333.31400000000002</v>
      </c>
      <c r="C2901" s="50">
        <v>4472.16</v>
      </c>
      <c r="D2901" s="51">
        <v>30345008.633506998</v>
      </c>
      <c r="E2901" s="51">
        <v>2330249912</v>
      </c>
      <c r="F2901" s="52">
        <f t="shared" si="94"/>
        <v>1.4128147596752377E-2</v>
      </c>
      <c r="G2901" s="52">
        <f t="shared" si="95"/>
        <v>7.383817501052891E-3</v>
      </c>
    </row>
    <row r="2902" spans="1:7" ht="15" customHeight="1" x14ac:dyDescent="0.2">
      <c r="A2902" s="19" t="s">
        <v>3049</v>
      </c>
      <c r="B2902" s="50">
        <v>338.71</v>
      </c>
      <c r="C2902" s="50">
        <v>4510.04</v>
      </c>
      <c r="D2902" s="51">
        <v>20806973.362050001</v>
      </c>
      <c r="E2902" s="51">
        <v>2254150794</v>
      </c>
      <c r="F2902" s="52">
        <f t="shared" si="94"/>
        <v>1.605929540900497E-2</v>
      </c>
      <c r="G2902" s="52">
        <f t="shared" si="95"/>
        <v>8.434509266769535E-3</v>
      </c>
    </row>
    <row r="2903" spans="1:7" ht="15" customHeight="1" x14ac:dyDescent="0.2">
      <c r="A2903" s="19" t="s">
        <v>3050</v>
      </c>
      <c r="B2903" s="50">
        <v>341.26100000000002</v>
      </c>
      <c r="C2903" s="50">
        <v>4505.42</v>
      </c>
      <c r="D2903" s="51">
        <v>28683323.595856</v>
      </c>
      <c r="E2903" s="51">
        <v>2379047405</v>
      </c>
      <c r="F2903" s="52">
        <f t="shared" si="94"/>
        <v>7.5032963709185611E-3</v>
      </c>
      <c r="G2903" s="52">
        <f t="shared" si="95"/>
        <v>-1.0249061954501163E-3</v>
      </c>
    </row>
    <row r="2904" spans="1:7" ht="15" customHeight="1" x14ac:dyDescent="0.2">
      <c r="A2904" s="19" t="s">
        <v>3051</v>
      </c>
      <c r="B2904" s="50">
        <v>341.745</v>
      </c>
      <c r="C2904" s="50">
        <v>4522.79</v>
      </c>
      <c r="D2904" s="51">
        <v>20601371.664202001</v>
      </c>
      <c r="E2904" s="51">
        <v>2359710601</v>
      </c>
      <c r="F2904" s="52">
        <f t="shared" si="94"/>
        <v>1.417264507237305E-3</v>
      </c>
      <c r="G2904" s="52">
        <f t="shared" si="95"/>
        <v>3.8479435973795429E-3</v>
      </c>
    </row>
    <row r="2905" spans="1:7" ht="15" customHeight="1" x14ac:dyDescent="0.2">
      <c r="A2905" s="19" t="s">
        <v>3052</v>
      </c>
      <c r="B2905" s="50">
        <v>355.346</v>
      </c>
      <c r="C2905" s="50">
        <v>4554.9799999999996</v>
      </c>
      <c r="D2905" s="51">
        <v>65629124.803242996</v>
      </c>
      <c r="E2905" s="51">
        <v>2538849602</v>
      </c>
      <c r="F2905" s="52">
        <f t="shared" si="94"/>
        <v>3.9027117782757491E-2</v>
      </c>
      <c r="G2905" s="52">
        <f t="shared" si="95"/>
        <v>7.0920798661324126E-3</v>
      </c>
    </row>
    <row r="2906" spans="1:7" ht="15" customHeight="1" x14ac:dyDescent="0.2">
      <c r="A2906" s="19" t="s">
        <v>3053</v>
      </c>
      <c r="B2906" s="50">
        <v>350.98700000000002</v>
      </c>
      <c r="C2906" s="50">
        <v>4565.72</v>
      </c>
      <c r="D2906" s="51">
        <v>40196189.11411</v>
      </c>
      <c r="E2906" s="51">
        <v>2597461645</v>
      </c>
      <c r="F2906" s="52">
        <f t="shared" si="94"/>
        <v>-1.2342776958939865E-2</v>
      </c>
      <c r="G2906" s="52">
        <f t="shared" si="95"/>
        <v>2.3550834835142126E-3</v>
      </c>
    </row>
    <row r="2907" spans="1:7" ht="15" customHeight="1" x14ac:dyDescent="0.2">
      <c r="A2907" s="19" t="s">
        <v>3054</v>
      </c>
      <c r="B2907" s="50">
        <v>342.87200000000001</v>
      </c>
      <c r="C2907" s="50">
        <v>4534.87</v>
      </c>
      <c r="D2907" s="51">
        <v>34172253.201223001</v>
      </c>
      <c r="E2907" s="51">
        <v>2595426819</v>
      </c>
      <c r="F2907" s="52">
        <f t="shared" si="94"/>
        <v>-2.339198606774559E-2</v>
      </c>
      <c r="G2907" s="52">
        <f t="shared" si="95"/>
        <v>-6.7798061818515913E-3</v>
      </c>
    </row>
    <row r="2908" spans="1:7" ht="15" customHeight="1" x14ac:dyDescent="0.2">
      <c r="A2908" s="19" t="s">
        <v>3055</v>
      </c>
      <c r="B2908" s="50">
        <v>339.80799999999999</v>
      </c>
      <c r="C2908" s="50">
        <v>4536.34</v>
      </c>
      <c r="D2908" s="51">
        <v>70214653.100942001</v>
      </c>
      <c r="E2908" s="51">
        <v>3277670172</v>
      </c>
      <c r="F2908" s="52">
        <f t="shared" si="94"/>
        <v>-8.9764474537602917E-3</v>
      </c>
      <c r="G2908" s="52">
        <f t="shared" si="95"/>
        <v>3.2410230010493271E-4</v>
      </c>
    </row>
    <row r="2909" spans="1:7" ht="15" customHeight="1" x14ac:dyDescent="0.2">
      <c r="A2909" s="19" t="s">
        <v>3056</v>
      </c>
      <c r="B2909" s="50">
        <v>341.13200000000001</v>
      </c>
      <c r="C2909" s="50">
        <v>4554.6400000000003</v>
      </c>
      <c r="D2909" s="51">
        <v>27030754.62703</v>
      </c>
      <c r="E2909" s="51">
        <v>2156130111</v>
      </c>
      <c r="F2909" s="52">
        <f t="shared" si="94"/>
        <v>3.8887469336480202E-3</v>
      </c>
      <c r="G2909" s="52">
        <f t="shared" si="95"/>
        <v>4.0259740353417468E-3</v>
      </c>
    </row>
    <row r="2910" spans="1:7" ht="15" customHeight="1" x14ac:dyDescent="0.2">
      <c r="A2910" s="19" t="s">
        <v>3057</v>
      </c>
      <c r="B2910" s="50">
        <v>346.935</v>
      </c>
      <c r="C2910" s="50">
        <v>4567.46</v>
      </c>
      <c r="D2910" s="51">
        <v>42123237.644488998</v>
      </c>
      <c r="E2910" s="51">
        <v>2305628861</v>
      </c>
      <c r="F2910" s="52">
        <f t="shared" si="94"/>
        <v>1.6867943360488958E-2</v>
      </c>
      <c r="G2910" s="52">
        <f t="shared" si="95"/>
        <v>2.8107581456501534E-3</v>
      </c>
    </row>
    <row r="2911" spans="1:7" ht="15" customHeight="1" x14ac:dyDescent="0.2">
      <c r="A2911" s="19" t="s">
        <v>3058</v>
      </c>
      <c r="B2911" s="50">
        <v>333.87599999999998</v>
      </c>
      <c r="C2911" s="50">
        <v>4566.75</v>
      </c>
      <c r="D2911" s="51">
        <v>59064459.621859998</v>
      </c>
      <c r="E2911" s="51">
        <v>2320509101</v>
      </c>
      <c r="F2911" s="52">
        <f t="shared" si="94"/>
        <v>-3.8367775957023634E-2</v>
      </c>
      <c r="G2911" s="52">
        <f t="shared" si="95"/>
        <v>-1.5545953102232801E-4</v>
      </c>
    </row>
    <row r="2912" spans="1:7" ht="15" customHeight="1" x14ac:dyDescent="0.2">
      <c r="A2912" s="19" t="s">
        <v>3059</v>
      </c>
      <c r="B2912" s="50">
        <v>326.90899999999999</v>
      </c>
      <c r="C2912" s="50">
        <v>4537.41</v>
      </c>
      <c r="D2912" s="51">
        <v>40097411.637254998</v>
      </c>
      <c r="E2912" s="51">
        <v>2680598316</v>
      </c>
      <c r="F2912" s="52">
        <f t="shared" si="94"/>
        <v>-2.1087821852209872E-2</v>
      </c>
      <c r="G2912" s="52">
        <f t="shared" si="95"/>
        <v>-6.4454274911412875E-3</v>
      </c>
    </row>
    <row r="2913" spans="1:7" ht="15" customHeight="1" x14ac:dyDescent="0.2">
      <c r="A2913" s="19" t="s">
        <v>3060</v>
      </c>
      <c r="B2913" s="50">
        <v>334.47</v>
      </c>
      <c r="C2913" s="50">
        <v>4582.2299999999996</v>
      </c>
      <c r="D2913" s="51">
        <v>28817003.344872002</v>
      </c>
      <c r="E2913" s="51">
        <v>2363048132</v>
      </c>
      <c r="F2913" s="52">
        <f t="shared" si="94"/>
        <v>2.2865344741251223E-2</v>
      </c>
      <c r="G2913" s="52">
        <f t="shared" si="95"/>
        <v>9.8294145087675765E-3</v>
      </c>
    </row>
    <row r="2914" spans="1:7" ht="15" customHeight="1" x14ac:dyDescent="0.2">
      <c r="A2914" s="19" t="s">
        <v>3061</v>
      </c>
      <c r="B2914" s="50">
        <v>332.048</v>
      </c>
      <c r="C2914" s="50">
        <v>4588.96</v>
      </c>
      <c r="D2914" s="51">
        <v>25742724.210191</v>
      </c>
      <c r="E2914" s="51">
        <v>2415231060</v>
      </c>
      <c r="F2914" s="52">
        <f t="shared" si="94"/>
        <v>-7.2676526682854421E-3</v>
      </c>
      <c r="G2914" s="52">
        <f t="shared" si="95"/>
        <v>1.4676396864565879E-3</v>
      </c>
    </row>
    <row r="2915" spans="1:7" ht="15" customHeight="1" x14ac:dyDescent="0.2">
      <c r="A2915" s="19" t="s">
        <v>3062</v>
      </c>
      <c r="B2915" s="50">
        <v>332.464</v>
      </c>
      <c r="C2915" s="50">
        <v>4576.7299999999996</v>
      </c>
      <c r="D2915" s="51">
        <v>18595579.561188001</v>
      </c>
      <c r="E2915" s="51">
        <v>2179828757</v>
      </c>
      <c r="F2915" s="52">
        <f t="shared" si="94"/>
        <v>1.2520467782196839E-3</v>
      </c>
      <c r="G2915" s="52">
        <f t="shared" si="95"/>
        <v>-2.668649552448092E-3</v>
      </c>
    </row>
    <row r="2916" spans="1:7" ht="15" customHeight="1" x14ac:dyDescent="0.2">
      <c r="A2916" s="19" t="s">
        <v>3063</v>
      </c>
      <c r="B2916" s="50">
        <v>323.72500000000002</v>
      </c>
      <c r="C2916" s="50">
        <v>4513.3900000000003</v>
      </c>
      <c r="D2916" s="51">
        <v>28084954.995292999</v>
      </c>
      <c r="E2916" s="51">
        <v>2467424038</v>
      </c>
      <c r="F2916" s="52">
        <f t="shared" si="94"/>
        <v>-2.6637193602620419E-2</v>
      </c>
      <c r="G2916" s="52">
        <f t="shared" si="95"/>
        <v>-1.3936235197657028E-2</v>
      </c>
    </row>
    <row r="2917" spans="1:7" ht="15" customHeight="1" x14ac:dyDescent="0.2">
      <c r="A2917" s="19" t="s">
        <v>3064</v>
      </c>
      <c r="B2917" s="50">
        <v>322.89600000000002</v>
      </c>
      <c r="C2917" s="50">
        <v>4501.8900000000003</v>
      </c>
      <c r="D2917" s="51">
        <v>18574434.854219001</v>
      </c>
      <c r="E2917" s="51">
        <v>2363725888</v>
      </c>
      <c r="F2917" s="52">
        <f t="shared" si="94"/>
        <v>-2.564100003544084E-3</v>
      </c>
      <c r="G2917" s="52">
        <f t="shared" si="95"/>
        <v>-2.5512255276715053E-3</v>
      </c>
    </row>
    <row r="2918" spans="1:7" ht="15" customHeight="1" x14ac:dyDescent="0.2">
      <c r="A2918" s="19" t="s">
        <v>3065</v>
      </c>
      <c r="B2918" s="50">
        <v>324</v>
      </c>
      <c r="C2918" s="50">
        <v>4478.03</v>
      </c>
      <c r="D2918" s="51">
        <v>24018311.190357</v>
      </c>
      <c r="E2918" s="51">
        <v>2411632698</v>
      </c>
      <c r="F2918" s="52">
        <f t="shared" si="94"/>
        <v>3.4132258409697493E-3</v>
      </c>
      <c r="G2918" s="52">
        <f t="shared" si="95"/>
        <v>-5.3140910274567365E-3</v>
      </c>
    </row>
    <row r="2919" spans="1:7" ht="15" customHeight="1" x14ac:dyDescent="0.2">
      <c r="A2919" s="19" t="s">
        <v>3066</v>
      </c>
      <c r="B2919" s="50">
        <v>326.30599999999998</v>
      </c>
      <c r="C2919" s="50">
        <v>4518.4399999999996</v>
      </c>
      <c r="D2919" s="51">
        <v>17948393.304302</v>
      </c>
      <c r="E2919" s="51">
        <v>2051647102</v>
      </c>
      <c r="F2919" s="52">
        <f t="shared" si="94"/>
        <v>7.092075624404076E-3</v>
      </c>
      <c r="G2919" s="52">
        <f t="shared" si="95"/>
        <v>8.9835839552586446E-3</v>
      </c>
    </row>
    <row r="2920" spans="1:7" ht="15" customHeight="1" x14ac:dyDescent="0.2">
      <c r="A2920" s="19" t="s">
        <v>3067</v>
      </c>
      <c r="B2920" s="50">
        <v>322.29199999999997</v>
      </c>
      <c r="C2920" s="50">
        <v>4499.38</v>
      </c>
      <c r="D2920" s="51">
        <v>22587914.911203999</v>
      </c>
      <c r="E2920" s="51">
        <v>2169756994</v>
      </c>
      <c r="F2920" s="52">
        <f t="shared" si="94"/>
        <v>-1.2377624498189629E-2</v>
      </c>
      <c r="G2920" s="52">
        <f t="shared" si="95"/>
        <v>-4.227192022498048E-3</v>
      </c>
    </row>
    <row r="2921" spans="1:7" ht="15" customHeight="1" x14ac:dyDescent="0.2">
      <c r="A2921" s="19" t="s">
        <v>3068</v>
      </c>
      <c r="B2921" s="50">
        <v>318.51600000000002</v>
      </c>
      <c r="C2921" s="50">
        <v>4467.71</v>
      </c>
      <c r="D2921" s="51">
        <v>22634141.706106</v>
      </c>
      <c r="E2921" s="51">
        <v>2058789858</v>
      </c>
      <c r="F2921" s="52">
        <f t="shared" si="94"/>
        <v>-1.1785257689278185E-2</v>
      </c>
      <c r="G2921" s="52">
        <f t="shared" si="95"/>
        <v>-7.0636364040070568E-3</v>
      </c>
    </row>
    <row r="2922" spans="1:7" ht="15" customHeight="1" x14ac:dyDescent="0.2">
      <c r="A2922" s="19" t="s">
        <v>3069</v>
      </c>
      <c r="B2922" s="50">
        <v>319.20800000000003</v>
      </c>
      <c r="C2922" s="50">
        <v>4468.83</v>
      </c>
      <c r="D2922" s="51">
        <v>20348252.293212</v>
      </c>
      <c r="E2922" s="51">
        <v>2116254445</v>
      </c>
      <c r="F2922" s="52">
        <f t="shared" si="94"/>
        <v>2.1702186889667346E-3</v>
      </c>
      <c r="G2922" s="52">
        <f t="shared" si="95"/>
        <v>2.5065629558288107E-4</v>
      </c>
    </row>
    <row r="2923" spans="1:7" ht="15" customHeight="1" x14ac:dyDescent="0.2">
      <c r="A2923" s="19" t="s">
        <v>3070</v>
      </c>
      <c r="B2923" s="50">
        <v>317.31</v>
      </c>
      <c r="C2923" s="50">
        <v>4464.05</v>
      </c>
      <c r="D2923" s="51">
        <v>24639477.550430998</v>
      </c>
      <c r="E2923" s="51">
        <v>1849920370</v>
      </c>
      <c r="F2923" s="52">
        <f t="shared" si="94"/>
        <v>-5.9637139101610366E-3</v>
      </c>
      <c r="G2923" s="52">
        <f t="shared" si="95"/>
        <v>-1.0702036647139679E-3</v>
      </c>
    </row>
    <row r="2924" spans="1:7" ht="15" customHeight="1" x14ac:dyDescent="0.2">
      <c r="A2924" s="19" t="s">
        <v>3071</v>
      </c>
      <c r="B2924" s="50">
        <v>320.30500000000001</v>
      </c>
      <c r="C2924" s="50">
        <v>4489.72</v>
      </c>
      <c r="D2924" s="51">
        <v>19055769.560437001</v>
      </c>
      <c r="E2924" s="51">
        <v>1957703753</v>
      </c>
      <c r="F2924" s="52">
        <f t="shared" si="94"/>
        <v>9.3944528504834486E-3</v>
      </c>
      <c r="G2924" s="52">
        <f t="shared" si="95"/>
        <v>5.7339132747375263E-3</v>
      </c>
    </row>
    <row r="2925" spans="1:7" ht="15" customHeight="1" x14ac:dyDescent="0.2">
      <c r="A2925" s="19" t="s">
        <v>3072</v>
      </c>
      <c r="B2925" s="50">
        <v>318.149</v>
      </c>
      <c r="C2925" s="50">
        <v>4437.8599999999997</v>
      </c>
      <c r="D2925" s="51">
        <v>17164112.945689</v>
      </c>
      <c r="E2925" s="51">
        <v>1976890010</v>
      </c>
      <c r="F2925" s="52">
        <f t="shared" si="94"/>
        <v>-6.7538403561532108E-3</v>
      </c>
      <c r="G2925" s="52">
        <f t="shared" si="95"/>
        <v>-1.1618060736365813E-2</v>
      </c>
    </row>
    <row r="2926" spans="1:7" ht="15" customHeight="1" x14ac:dyDescent="0.2">
      <c r="A2926" s="19" t="s">
        <v>3073</v>
      </c>
      <c r="B2926" s="50">
        <v>317.37799999999999</v>
      </c>
      <c r="C2926" s="50">
        <v>4404.33</v>
      </c>
      <c r="D2926" s="51">
        <v>20895973.244406998</v>
      </c>
      <c r="E2926" s="51">
        <v>2007563221</v>
      </c>
      <c r="F2926" s="52">
        <f t="shared" si="94"/>
        <v>-2.4263339818636387E-3</v>
      </c>
      <c r="G2926" s="52">
        <f t="shared" si="95"/>
        <v>-7.5841303382103969E-3</v>
      </c>
    </row>
    <row r="2927" spans="1:7" ht="15" customHeight="1" x14ac:dyDescent="0.2">
      <c r="A2927" s="19" t="s">
        <v>3074</v>
      </c>
      <c r="B2927" s="50">
        <v>313.89100000000002</v>
      </c>
      <c r="C2927" s="50">
        <v>4370.3599999999997</v>
      </c>
      <c r="D2927" s="51">
        <v>21459586.743894</v>
      </c>
      <c r="E2927" s="51">
        <v>2222818962</v>
      </c>
      <c r="F2927" s="52">
        <f t="shared" si="94"/>
        <v>-1.1047700635116059E-2</v>
      </c>
      <c r="G2927" s="52">
        <f t="shared" si="95"/>
        <v>-7.7427623561250646E-3</v>
      </c>
    </row>
    <row r="2928" spans="1:7" ht="15" customHeight="1" x14ac:dyDescent="0.2">
      <c r="A2928" s="19" t="s">
        <v>3075</v>
      </c>
      <c r="B2928" s="50">
        <v>313.49400000000003</v>
      </c>
      <c r="C2928" s="50">
        <v>4369.71</v>
      </c>
      <c r="D2928" s="51">
        <v>24990746.758710001</v>
      </c>
      <c r="E2928" s="51">
        <v>2159681725</v>
      </c>
      <c r="F2928" s="52">
        <f t="shared" si="94"/>
        <v>-1.2655707515753969E-3</v>
      </c>
      <c r="G2928" s="52">
        <f t="shared" si="95"/>
        <v>-1.4874022775515319E-4</v>
      </c>
    </row>
    <row r="2929" spans="1:7" ht="15" customHeight="1" x14ac:dyDescent="0.2">
      <c r="A2929" s="19" t="s">
        <v>3076</v>
      </c>
      <c r="B2929" s="50">
        <v>318.84399999999999</v>
      </c>
      <c r="C2929" s="50">
        <v>4399.7700000000004</v>
      </c>
      <c r="D2929" s="51">
        <v>24268881.488990001</v>
      </c>
      <c r="E2929" s="51">
        <v>2058836126</v>
      </c>
      <c r="F2929" s="52">
        <f t="shared" si="94"/>
        <v>1.6921733824537676E-2</v>
      </c>
      <c r="G2929" s="52">
        <f t="shared" si="95"/>
        <v>6.8556214812669266E-3</v>
      </c>
    </row>
    <row r="2930" spans="1:7" ht="15" customHeight="1" x14ac:dyDescent="0.2">
      <c r="A2930" s="19" t="s">
        <v>3077</v>
      </c>
      <c r="B2930" s="50">
        <v>319.41899999999998</v>
      </c>
      <c r="C2930" s="50">
        <v>4387.55</v>
      </c>
      <c r="D2930" s="51">
        <v>16255358.877898</v>
      </c>
      <c r="E2930" s="51">
        <v>1904585562</v>
      </c>
      <c r="F2930" s="52">
        <f t="shared" si="94"/>
        <v>1.8017655905315118E-3</v>
      </c>
      <c r="G2930" s="52">
        <f t="shared" si="95"/>
        <v>-2.7812820922299762E-3</v>
      </c>
    </row>
    <row r="2931" spans="1:7" ht="15" customHeight="1" x14ac:dyDescent="0.2">
      <c r="A2931" s="19" t="s">
        <v>3078</v>
      </c>
      <c r="B2931" s="50">
        <v>323.91699999999997</v>
      </c>
      <c r="C2931" s="50">
        <v>4436.01</v>
      </c>
      <c r="D2931" s="51">
        <v>21367943.281955</v>
      </c>
      <c r="E2931" s="51">
        <v>2021761268</v>
      </c>
      <c r="F2931" s="52">
        <f t="shared" si="94"/>
        <v>1.3983589586041057E-2</v>
      </c>
      <c r="G2931" s="52">
        <f t="shared" si="95"/>
        <v>1.0984339030271489E-2</v>
      </c>
    </row>
    <row r="2932" spans="1:7" ht="15" customHeight="1" x14ac:dyDescent="0.2">
      <c r="A2932" s="19" t="s">
        <v>3079</v>
      </c>
      <c r="B2932" s="50">
        <v>316.95299999999997</v>
      </c>
      <c r="C2932" s="50">
        <v>4376.3100000000004</v>
      </c>
      <c r="D2932" s="51">
        <v>23503136.305231001</v>
      </c>
      <c r="E2932" s="51">
        <v>2082566773</v>
      </c>
      <c r="F2932" s="52">
        <f t="shared" si="94"/>
        <v>-2.1733812234242363E-2</v>
      </c>
      <c r="G2932" s="52">
        <f t="shared" si="95"/>
        <v>-1.3549420207499292E-2</v>
      </c>
    </row>
    <row r="2933" spans="1:7" ht="15" customHeight="1" x14ac:dyDescent="0.2">
      <c r="A2933" s="19" t="s">
        <v>3080</v>
      </c>
      <c r="B2933" s="50">
        <v>319.93400000000003</v>
      </c>
      <c r="C2933" s="50">
        <v>4405.71</v>
      </c>
      <c r="D2933" s="51">
        <v>21890595.397551</v>
      </c>
      <c r="E2933" s="51">
        <v>1892067072</v>
      </c>
      <c r="F2933" s="52">
        <f t="shared" si="94"/>
        <v>9.3612266206020475E-3</v>
      </c>
      <c r="G2933" s="52">
        <f t="shared" si="95"/>
        <v>6.6955233154781116E-3</v>
      </c>
    </row>
    <row r="2934" spans="1:7" ht="15" customHeight="1" x14ac:dyDescent="0.2">
      <c r="A2934" s="19" t="s">
        <v>3081</v>
      </c>
      <c r="B2934" s="50">
        <v>320.64600000000002</v>
      </c>
      <c r="C2934" s="50">
        <v>4433.3100000000004</v>
      </c>
      <c r="D2934" s="51">
        <v>14949498.854734</v>
      </c>
      <c r="E2934" s="51">
        <v>1631738412</v>
      </c>
      <c r="F2934" s="52">
        <f t="shared" si="94"/>
        <v>2.2229863349016066E-3</v>
      </c>
      <c r="G2934" s="52">
        <f t="shared" si="95"/>
        <v>6.2450565111568821E-3</v>
      </c>
    </row>
    <row r="2935" spans="1:7" ht="15" customHeight="1" x14ac:dyDescent="0.2">
      <c r="A2935" s="19" t="s">
        <v>3082</v>
      </c>
      <c r="B2935" s="50">
        <v>325.31200000000001</v>
      </c>
      <c r="C2935" s="50">
        <v>4497.63</v>
      </c>
      <c r="D2935" s="51">
        <v>19468231.525621999</v>
      </c>
      <c r="E2935" s="51">
        <v>1884706898</v>
      </c>
      <c r="F2935" s="52">
        <f t="shared" si="94"/>
        <v>1.444701096821977E-2</v>
      </c>
      <c r="G2935" s="52">
        <f t="shared" si="95"/>
        <v>1.4404107984150809E-2</v>
      </c>
    </row>
    <row r="2936" spans="1:7" ht="15" customHeight="1" x14ac:dyDescent="0.2">
      <c r="A2936" s="19" t="s">
        <v>3083</v>
      </c>
      <c r="B2936" s="50">
        <v>325.68799999999999</v>
      </c>
      <c r="C2936" s="50">
        <v>4514.87</v>
      </c>
      <c r="D2936" s="51">
        <v>15367065.71353</v>
      </c>
      <c r="E2936" s="51">
        <v>1788662114</v>
      </c>
      <c r="F2936" s="52">
        <f t="shared" si="94"/>
        <v>1.1551460577879644E-3</v>
      </c>
      <c r="G2936" s="52">
        <f t="shared" si="95"/>
        <v>3.8258021699069606E-3</v>
      </c>
    </row>
    <row r="2937" spans="1:7" ht="15" customHeight="1" x14ac:dyDescent="0.2">
      <c r="A2937" s="19" t="s">
        <v>3084</v>
      </c>
      <c r="B2937" s="50">
        <v>324.66800000000001</v>
      </c>
      <c r="C2937" s="50">
        <v>4507.66</v>
      </c>
      <c r="D2937" s="51">
        <v>26662457.811368998</v>
      </c>
      <c r="E2937" s="51">
        <v>2319094206</v>
      </c>
      <c r="F2937" s="52">
        <f t="shared" si="94"/>
        <v>-3.1367461400519875E-3</v>
      </c>
      <c r="G2937" s="52">
        <f t="shared" si="95"/>
        <v>-1.5982216816604765E-3</v>
      </c>
    </row>
    <row r="2938" spans="1:7" ht="15" customHeight="1" x14ac:dyDescent="0.2">
      <c r="A2938" s="19" t="s">
        <v>3085</v>
      </c>
      <c r="B2938" s="50">
        <v>325.56</v>
      </c>
      <c r="C2938" s="50">
        <v>4515.7700000000004</v>
      </c>
      <c r="D2938" s="51">
        <v>15084312.536248</v>
      </c>
      <c r="E2938" s="51">
        <v>1927089047</v>
      </c>
      <c r="F2938" s="52">
        <f t="shared" si="94"/>
        <v>2.7436547166674215E-3</v>
      </c>
      <c r="G2938" s="52">
        <f t="shared" si="95"/>
        <v>1.7975431036151848E-3</v>
      </c>
    </row>
    <row r="2939" spans="1:7" ht="15" customHeight="1" x14ac:dyDescent="0.2">
      <c r="A2939" s="19" t="s">
        <v>3086</v>
      </c>
      <c r="B2939" s="50">
        <v>330.404</v>
      </c>
      <c r="C2939" s="50">
        <v>4496.83</v>
      </c>
      <c r="D2939" s="51">
        <v>18730541.987449002</v>
      </c>
      <c r="E2939" s="51">
        <v>2126482524</v>
      </c>
      <c r="F2939" s="52">
        <f t="shared" si="94"/>
        <v>1.4769371652229092E-2</v>
      </c>
      <c r="G2939" s="52">
        <f t="shared" si="95"/>
        <v>-4.203010869610265E-3</v>
      </c>
    </row>
    <row r="2940" spans="1:7" ht="15" customHeight="1" x14ac:dyDescent="0.2">
      <c r="A2940" s="19" t="s">
        <v>3087</v>
      </c>
      <c r="B2940" s="50">
        <v>329.74</v>
      </c>
      <c r="C2940" s="50">
        <v>4465.4799999999996</v>
      </c>
      <c r="D2940" s="51">
        <v>17702761.051428001</v>
      </c>
      <c r="E2940" s="51">
        <v>2134658586</v>
      </c>
      <c r="F2940" s="52">
        <f t="shared" si="94"/>
        <v>-2.0116829780372292E-3</v>
      </c>
      <c r="G2940" s="52">
        <f t="shared" si="95"/>
        <v>-6.9959927442528732E-3</v>
      </c>
    </row>
    <row r="2941" spans="1:7" ht="15" customHeight="1" x14ac:dyDescent="0.2">
      <c r="A2941" s="19" t="s">
        <v>3088</v>
      </c>
      <c r="B2941" s="50">
        <v>326.798</v>
      </c>
      <c r="C2941" s="50">
        <v>4451.1400000000003</v>
      </c>
      <c r="D2941" s="51">
        <v>18556031.853998002</v>
      </c>
      <c r="E2941" s="51">
        <v>2443175221</v>
      </c>
      <c r="F2941" s="52">
        <f t="shared" si="94"/>
        <v>-8.9622221169521014E-3</v>
      </c>
      <c r="G2941" s="52">
        <f t="shared" si="95"/>
        <v>-3.2164682050081963E-3</v>
      </c>
    </row>
    <row r="2942" spans="1:7" ht="15" customHeight="1" x14ac:dyDescent="0.2">
      <c r="A2942" s="19" t="s">
        <v>3089</v>
      </c>
      <c r="B2942" s="50">
        <v>331.11599999999999</v>
      </c>
      <c r="C2942" s="50">
        <v>4457.49</v>
      </c>
      <c r="D2942" s="51">
        <v>19734316.473467</v>
      </c>
      <c r="E2942" s="51">
        <v>2079878833</v>
      </c>
      <c r="F2942" s="52">
        <f t="shared" si="94"/>
        <v>1.3126524138818372E-2</v>
      </c>
      <c r="G2942" s="52">
        <f t="shared" si="95"/>
        <v>1.4255841976643817E-3</v>
      </c>
    </row>
    <row r="2943" spans="1:7" ht="15" customHeight="1" x14ac:dyDescent="0.2">
      <c r="A2943" s="19" t="s">
        <v>3090</v>
      </c>
      <c r="B2943" s="50">
        <v>334.75099999999998</v>
      </c>
      <c r="C2943" s="50">
        <v>4487.46</v>
      </c>
      <c r="D2943" s="51">
        <v>16741242.157412</v>
      </c>
      <c r="E2943" s="51">
        <v>2165432407</v>
      </c>
      <c r="F2943" s="52">
        <f t="shared" si="94"/>
        <v>1.091820471587914E-2</v>
      </c>
      <c r="G2943" s="52">
        <f t="shared" si="95"/>
        <v>6.7010127829867268E-3</v>
      </c>
    </row>
    <row r="2944" spans="1:7" ht="15" customHeight="1" x14ac:dyDescent="0.2">
      <c r="A2944" s="19" t="s">
        <v>3091</v>
      </c>
      <c r="B2944" s="50">
        <v>328.64</v>
      </c>
      <c r="C2944" s="50">
        <v>4461.8999999999996</v>
      </c>
      <c r="D2944" s="51">
        <v>17732752.961569</v>
      </c>
      <c r="E2944" s="51">
        <v>2188365100</v>
      </c>
      <c r="F2944" s="52">
        <f t="shared" si="94"/>
        <v>-1.8424045130584616E-2</v>
      </c>
      <c r="G2944" s="52">
        <f t="shared" si="95"/>
        <v>-5.7121558411206055E-3</v>
      </c>
    </row>
    <row r="2945" spans="1:7" ht="15" customHeight="1" x14ac:dyDescent="0.2">
      <c r="A2945" s="19" t="s">
        <v>3092</v>
      </c>
      <c r="B2945" s="50">
        <v>332.89</v>
      </c>
      <c r="C2945" s="50">
        <v>4467.4399999999996</v>
      </c>
      <c r="D2945" s="51">
        <v>16701959.609786</v>
      </c>
      <c r="E2945" s="51">
        <v>2265557149</v>
      </c>
      <c r="F2945" s="52">
        <f t="shared" si="94"/>
        <v>1.284917833883863E-2</v>
      </c>
      <c r="G2945" s="52">
        <f t="shared" si="95"/>
        <v>1.2408533465711885E-3</v>
      </c>
    </row>
    <row r="2946" spans="1:7" ht="15" customHeight="1" x14ac:dyDescent="0.2">
      <c r="A2946" s="19" t="s">
        <v>3093</v>
      </c>
      <c r="B2946" s="50">
        <v>335.505</v>
      </c>
      <c r="C2946" s="50">
        <v>4505.1000000000004</v>
      </c>
      <c r="D2946" s="51">
        <v>20460045.186592001</v>
      </c>
      <c r="E2946" s="51">
        <v>2273685163</v>
      </c>
      <c r="F2946" s="52">
        <f t="shared" si="94"/>
        <v>7.8247543513112281E-3</v>
      </c>
      <c r="G2946" s="52">
        <f t="shared" si="95"/>
        <v>8.394550741111827E-3</v>
      </c>
    </row>
    <row r="2947" spans="1:7" ht="15" customHeight="1" x14ac:dyDescent="0.2">
      <c r="A2947" s="19" t="s">
        <v>3094</v>
      </c>
      <c r="B2947" s="50">
        <v>327.10500000000002</v>
      </c>
      <c r="C2947" s="50">
        <v>4450.32</v>
      </c>
      <c r="D2947" s="51">
        <v>38038605.668738</v>
      </c>
      <c r="E2947" s="51">
        <v>4239330106</v>
      </c>
      <c r="F2947" s="52">
        <f t="shared" si="94"/>
        <v>-2.5355639157524947E-2</v>
      </c>
      <c r="G2947" s="52">
        <f t="shared" si="95"/>
        <v>-1.2234084667107637E-2</v>
      </c>
    </row>
    <row r="2948" spans="1:7" ht="15" customHeight="1" x14ac:dyDescent="0.2">
      <c r="A2948" s="19" t="s">
        <v>3095</v>
      </c>
      <c r="B2948" s="50">
        <v>325.95600000000002</v>
      </c>
      <c r="C2948" s="50">
        <v>4453.53</v>
      </c>
      <c r="D2948" s="51">
        <v>16994515.252565999</v>
      </c>
      <c r="E2948" s="51">
        <v>1925329039</v>
      </c>
      <c r="F2948" s="52">
        <f t="shared" si="94"/>
        <v>-3.5188173404428246E-3</v>
      </c>
      <c r="G2948" s="52">
        <f t="shared" si="95"/>
        <v>7.2103643683838804E-4</v>
      </c>
    </row>
    <row r="2949" spans="1:7" ht="15" customHeight="1" x14ac:dyDescent="0.2">
      <c r="A2949" s="19" t="s">
        <v>3096</v>
      </c>
      <c r="B2949" s="50">
        <v>325.55</v>
      </c>
      <c r="C2949" s="50">
        <v>4443.95</v>
      </c>
      <c r="D2949" s="51">
        <v>16671749.642739</v>
      </c>
      <c r="E2949" s="51">
        <v>2013002833</v>
      </c>
      <c r="F2949" s="52">
        <f t="shared" si="94"/>
        <v>-1.2463432495042255E-3</v>
      </c>
      <c r="G2949" s="52">
        <f t="shared" si="95"/>
        <v>-2.1534195529618974E-3</v>
      </c>
    </row>
    <row r="2950" spans="1:7" ht="15" customHeight="1" x14ac:dyDescent="0.2">
      <c r="A2950" s="19" t="s">
        <v>3097</v>
      </c>
      <c r="B2950" s="50">
        <v>317.74400000000003</v>
      </c>
      <c r="C2950" s="50">
        <v>4402.2</v>
      </c>
      <c r="D2950" s="51">
        <v>21640658.774948999</v>
      </c>
      <c r="E2950" s="51">
        <v>1981250299</v>
      </c>
      <c r="F2950" s="52">
        <f t="shared" ref="F2950:F3013" si="96">LN(B2950/B2949)</f>
        <v>-2.4270032561062149E-2</v>
      </c>
      <c r="G2950" s="52">
        <f t="shared" ref="G2950:G3013" si="97">LN(C2950/C2949)</f>
        <v>-9.4392046231101256E-3</v>
      </c>
    </row>
    <row r="2951" spans="1:7" ht="15" customHeight="1" x14ac:dyDescent="0.2">
      <c r="A2951" s="19" t="s">
        <v>3098</v>
      </c>
      <c r="B2951" s="50">
        <v>316.51499999999999</v>
      </c>
      <c r="C2951" s="50">
        <v>4330</v>
      </c>
      <c r="D2951" s="51">
        <v>35898992.955045</v>
      </c>
      <c r="E2951" s="51">
        <v>2292425252</v>
      </c>
      <c r="F2951" s="52">
        <f t="shared" si="96"/>
        <v>-3.8753932956792601E-3</v>
      </c>
      <c r="G2951" s="52">
        <f t="shared" si="97"/>
        <v>-1.653687395146802E-2</v>
      </c>
    </row>
    <row r="2952" spans="1:7" ht="15" customHeight="1" x14ac:dyDescent="0.2">
      <c r="A2952" s="19" t="s">
        <v>3099</v>
      </c>
      <c r="B2952" s="50">
        <v>314.01900000000001</v>
      </c>
      <c r="C2952" s="50">
        <v>4320.0600000000004</v>
      </c>
      <c r="D2952" s="51">
        <v>21652128.971960001</v>
      </c>
      <c r="E2952" s="51">
        <v>2131667228</v>
      </c>
      <c r="F2952" s="52">
        <f t="shared" si="96"/>
        <v>-7.9171401943653932E-3</v>
      </c>
      <c r="G2952" s="52">
        <f t="shared" si="97"/>
        <v>-2.2982509659402743E-3</v>
      </c>
    </row>
    <row r="2953" spans="1:7" ht="15" customHeight="1" x14ac:dyDescent="0.2">
      <c r="A2953" s="19" t="s">
        <v>3100</v>
      </c>
      <c r="B2953" s="50">
        <v>314.54399999999998</v>
      </c>
      <c r="C2953" s="50">
        <v>4337.4399999999996</v>
      </c>
      <c r="D2953" s="51">
        <v>18005810.682760999</v>
      </c>
      <c r="E2953" s="51">
        <v>1860152658</v>
      </c>
      <c r="F2953" s="52">
        <f t="shared" si="96"/>
        <v>1.67047733348642E-3</v>
      </c>
      <c r="G2953" s="52">
        <f t="shared" si="97"/>
        <v>4.0150212758186272E-3</v>
      </c>
    </row>
    <row r="2954" spans="1:7" ht="15" customHeight="1" x14ac:dyDescent="0.2">
      <c r="A2954" s="19" t="s">
        <v>3101</v>
      </c>
      <c r="B2954" s="50">
        <v>309.19600000000003</v>
      </c>
      <c r="C2954" s="50">
        <v>4273.53</v>
      </c>
      <c r="D2954" s="51">
        <v>26547997.117176998</v>
      </c>
      <c r="E2954" s="51">
        <v>2130315512</v>
      </c>
      <c r="F2954" s="52">
        <f t="shared" si="96"/>
        <v>-1.7148590946270442E-2</v>
      </c>
      <c r="G2954" s="52">
        <f t="shared" si="97"/>
        <v>-1.4844128717961364E-2</v>
      </c>
    </row>
    <row r="2955" spans="1:7" ht="15" customHeight="1" x14ac:dyDescent="0.2">
      <c r="A2955" s="19" t="s">
        <v>3102</v>
      </c>
      <c r="B2955" s="50">
        <v>309.839</v>
      </c>
      <c r="C2955" s="50">
        <v>4274.51</v>
      </c>
      <c r="D2955" s="51">
        <v>19594918.549334001</v>
      </c>
      <c r="E2955" s="51">
        <v>2299352689</v>
      </c>
      <c r="F2955" s="52">
        <f t="shared" si="96"/>
        <v>2.0774277100644107E-3</v>
      </c>
      <c r="G2955" s="52">
        <f t="shared" si="97"/>
        <v>2.2929233000634007E-4</v>
      </c>
    </row>
    <row r="2956" spans="1:7" ht="15" customHeight="1" x14ac:dyDescent="0.2">
      <c r="A2956" s="19" t="s">
        <v>3103</v>
      </c>
      <c r="B2956" s="50">
        <v>310.68099999999998</v>
      </c>
      <c r="C2956" s="50">
        <v>4299.7</v>
      </c>
      <c r="D2956" s="51">
        <v>19871004.838651001</v>
      </c>
      <c r="E2956" s="51">
        <v>2240204319</v>
      </c>
      <c r="F2956" s="52">
        <f t="shared" si="96"/>
        <v>2.7138545631982323E-3</v>
      </c>
      <c r="G2956" s="52">
        <f t="shared" si="97"/>
        <v>5.8757768874731896E-3</v>
      </c>
    </row>
    <row r="2957" spans="1:7" ht="15" customHeight="1" x14ac:dyDescent="0.2">
      <c r="A2957" s="19" t="s">
        <v>3104</v>
      </c>
      <c r="B2957" s="50">
        <v>312.77100000000002</v>
      </c>
      <c r="C2957" s="50">
        <v>4288.05</v>
      </c>
      <c r="D2957" s="51">
        <v>24377245.675547</v>
      </c>
      <c r="E2957" s="51">
        <v>2406132169</v>
      </c>
      <c r="F2957" s="52">
        <f t="shared" si="96"/>
        <v>6.7046310835404159E-3</v>
      </c>
      <c r="G2957" s="52">
        <f t="shared" si="97"/>
        <v>-2.7131686755154211E-3</v>
      </c>
    </row>
    <row r="2958" spans="1:7" ht="15" customHeight="1" x14ac:dyDescent="0.2">
      <c r="A2958" s="19" t="s">
        <v>3105</v>
      </c>
      <c r="B2958" s="50">
        <v>318.76400000000001</v>
      </c>
      <c r="C2958" s="50">
        <v>4288.3900000000003</v>
      </c>
      <c r="D2958" s="51">
        <v>20765888.167259</v>
      </c>
      <c r="E2958" s="51">
        <v>2374624170</v>
      </c>
      <c r="F2958" s="52">
        <f t="shared" si="96"/>
        <v>1.8979723700956099E-2</v>
      </c>
      <c r="G2958" s="52">
        <f t="shared" si="97"/>
        <v>7.9286976922361474E-5</v>
      </c>
    </row>
    <row r="2959" spans="1:7" ht="15" customHeight="1" x14ac:dyDescent="0.2">
      <c r="A2959" s="19" t="s">
        <v>3106</v>
      </c>
      <c r="B2959" s="50">
        <v>310.43400000000003</v>
      </c>
      <c r="C2959" s="50">
        <v>4229.45</v>
      </c>
      <c r="D2959" s="51">
        <v>21233787.809246998</v>
      </c>
      <c r="E2959" s="51">
        <v>2421468261</v>
      </c>
      <c r="F2959" s="52">
        <f t="shared" si="96"/>
        <v>-2.6479698683840217E-2</v>
      </c>
      <c r="G2959" s="52">
        <f t="shared" si="97"/>
        <v>-1.3839410161483797E-2</v>
      </c>
    </row>
    <row r="2960" spans="1:7" ht="15" customHeight="1" x14ac:dyDescent="0.2">
      <c r="A2960" s="19" t="s">
        <v>3107</v>
      </c>
      <c r="B2960" s="50">
        <v>315.94600000000003</v>
      </c>
      <c r="C2960" s="50">
        <v>4263.75</v>
      </c>
      <c r="D2960" s="51">
        <v>20917455.887639999</v>
      </c>
      <c r="E2960" s="51">
        <v>2324498903</v>
      </c>
      <c r="F2960" s="52">
        <f t="shared" si="96"/>
        <v>1.7599994515374393E-2</v>
      </c>
      <c r="G2960" s="52">
        <f t="shared" si="97"/>
        <v>8.0770937870001339E-3</v>
      </c>
    </row>
    <row r="2961" spans="1:7" ht="15" customHeight="1" x14ac:dyDescent="0.2">
      <c r="A2961" s="19" t="s">
        <v>3108</v>
      </c>
      <c r="B2961" s="50">
        <v>316.34800000000001</v>
      </c>
      <c r="C2961" s="50">
        <v>4258.1899999999996</v>
      </c>
      <c r="D2961" s="51">
        <v>17127187.736416001</v>
      </c>
      <c r="E2961" s="51">
        <v>2214792439</v>
      </c>
      <c r="F2961" s="52">
        <f t="shared" si="96"/>
        <v>1.2715605530496058E-3</v>
      </c>
      <c r="G2961" s="52">
        <f t="shared" si="97"/>
        <v>-1.3048673867472557E-3</v>
      </c>
    </row>
    <row r="2962" spans="1:7" ht="15" customHeight="1" x14ac:dyDescent="0.2">
      <c r="A2962" s="19" t="s">
        <v>3109</v>
      </c>
      <c r="B2962" s="50">
        <v>324.173</v>
      </c>
      <c r="C2962" s="50">
        <v>4308.5</v>
      </c>
      <c r="D2962" s="51">
        <v>25918112.489980999</v>
      </c>
      <c r="E2962" s="51">
        <v>2489880710</v>
      </c>
      <c r="F2962" s="52">
        <f t="shared" si="96"/>
        <v>2.4434450447382468E-2</v>
      </c>
      <c r="G2962" s="52">
        <f t="shared" si="97"/>
        <v>1.1745628333713317E-2</v>
      </c>
    </row>
    <row r="2963" spans="1:7" ht="15" customHeight="1" x14ac:dyDescent="0.2">
      <c r="A2963" s="19" t="s">
        <v>3110</v>
      </c>
      <c r="B2963" s="50">
        <v>326.70800000000003</v>
      </c>
      <c r="C2963" s="50">
        <v>4335.66</v>
      </c>
      <c r="D2963" s="51">
        <v>20080597.905260999</v>
      </c>
      <c r="E2963" s="51">
        <v>1988768924</v>
      </c>
      <c r="F2963" s="52">
        <f t="shared" si="96"/>
        <v>7.7894816957242239E-3</v>
      </c>
      <c r="G2963" s="52">
        <f t="shared" si="97"/>
        <v>6.2840320810455159E-3</v>
      </c>
    </row>
    <row r="2964" spans="1:7" ht="15" customHeight="1" x14ac:dyDescent="0.2">
      <c r="A2964" s="19" t="s">
        <v>3111</v>
      </c>
      <c r="B2964" s="50">
        <v>325.29300000000001</v>
      </c>
      <c r="C2964" s="50">
        <v>4358.24</v>
      </c>
      <c r="D2964" s="51">
        <v>20752853.210049</v>
      </c>
      <c r="E2964" s="51">
        <v>2166155537</v>
      </c>
      <c r="F2964" s="52">
        <f t="shared" si="96"/>
        <v>-4.340490954869802E-3</v>
      </c>
      <c r="G2964" s="52">
        <f t="shared" si="97"/>
        <v>5.1944583608864153E-3</v>
      </c>
    </row>
    <row r="2965" spans="1:7" ht="15" customHeight="1" x14ac:dyDescent="0.2">
      <c r="A2965" s="19" t="s">
        <v>3112</v>
      </c>
      <c r="B2965" s="50">
        <v>329.28500000000003</v>
      </c>
      <c r="C2965" s="50">
        <v>4376.95</v>
      </c>
      <c r="D2965" s="51">
        <v>20254302.439591002</v>
      </c>
      <c r="E2965" s="51">
        <v>2123886315</v>
      </c>
      <c r="F2965" s="52">
        <f t="shared" si="96"/>
        <v>1.2197322526125674E-2</v>
      </c>
      <c r="G2965" s="52">
        <f t="shared" si="97"/>
        <v>4.2838286545689866E-3</v>
      </c>
    </row>
    <row r="2966" spans="1:7" ht="15" customHeight="1" x14ac:dyDescent="0.2">
      <c r="A2966" s="19" t="s">
        <v>3113</v>
      </c>
      <c r="B2966" s="50">
        <v>328.036</v>
      </c>
      <c r="C2966" s="50">
        <v>4349.6099999999997</v>
      </c>
      <c r="D2966" s="51">
        <v>19497010.998991001</v>
      </c>
      <c r="E2966" s="51">
        <v>2346632881</v>
      </c>
      <c r="F2966" s="52">
        <f t="shared" si="96"/>
        <v>-3.8002787167410192E-3</v>
      </c>
      <c r="G2966" s="52">
        <f t="shared" si="97"/>
        <v>-6.2659488852716012E-3</v>
      </c>
    </row>
    <row r="2967" spans="1:7" ht="15" customHeight="1" x14ac:dyDescent="0.2">
      <c r="A2967" s="19" t="s">
        <v>3114</v>
      </c>
      <c r="B2967" s="50">
        <v>324.63799999999998</v>
      </c>
      <c r="C2967" s="50">
        <v>4327.78</v>
      </c>
      <c r="D2967" s="51">
        <v>21286487.923188999</v>
      </c>
      <c r="E2967" s="51">
        <v>2302984817</v>
      </c>
      <c r="F2967" s="52">
        <f t="shared" si="96"/>
        <v>-1.0412643070698297E-2</v>
      </c>
      <c r="G2967" s="52">
        <f t="shared" si="97"/>
        <v>-5.0314774496886677E-3</v>
      </c>
    </row>
    <row r="2968" spans="1:7" ht="15" customHeight="1" x14ac:dyDescent="0.2">
      <c r="A2968" s="19" t="s">
        <v>3115</v>
      </c>
      <c r="B2968" s="50">
        <v>329.50099999999998</v>
      </c>
      <c r="C2968" s="50">
        <v>4373.63</v>
      </c>
      <c r="D2968" s="51">
        <v>22369052.628022999</v>
      </c>
      <c r="E2968" s="51">
        <v>2131763895</v>
      </c>
      <c r="F2968" s="52">
        <f t="shared" si="96"/>
        <v>1.4868673451075646E-2</v>
      </c>
      <c r="G2968" s="52">
        <f t="shared" si="97"/>
        <v>1.0538619453747615E-2</v>
      </c>
    </row>
    <row r="2969" spans="1:7" ht="15" customHeight="1" x14ac:dyDescent="0.2">
      <c r="A2969" s="19" t="s">
        <v>3116</v>
      </c>
      <c r="B2969" s="50">
        <v>328.92700000000002</v>
      </c>
      <c r="C2969" s="50">
        <v>4373.2</v>
      </c>
      <c r="D2969" s="51">
        <v>18513155.405531</v>
      </c>
      <c r="E2969" s="51">
        <v>2356409078</v>
      </c>
      <c r="F2969" s="52">
        <f t="shared" si="96"/>
        <v>-1.7435471924377457E-3</v>
      </c>
      <c r="G2969" s="52">
        <f t="shared" si="97"/>
        <v>-9.8321334779938874E-5</v>
      </c>
    </row>
    <row r="2970" spans="1:7" ht="15" customHeight="1" x14ac:dyDescent="0.2">
      <c r="A2970" s="19" t="s">
        <v>3117</v>
      </c>
      <c r="B2970" s="50">
        <v>326.995</v>
      </c>
      <c r="C2970" s="50">
        <v>4314.6000000000004</v>
      </c>
      <c r="D2970" s="51">
        <v>23374086.998381</v>
      </c>
      <c r="E2970" s="51">
        <v>2398222110</v>
      </c>
      <c r="F2970" s="52">
        <f t="shared" si="96"/>
        <v>-5.8909613864099285E-3</v>
      </c>
      <c r="G2970" s="52">
        <f t="shared" si="97"/>
        <v>-1.349038622382619E-2</v>
      </c>
    </row>
    <row r="2971" spans="1:7" ht="15" customHeight="1" x14ac:dyDescent="0.2">
      <c r="A2971" s="19" t="s">
        <v>3118</v>
      </c>
      <c r="B2971" s="50">
        <v>328.19499999999999</v>
      </c>
      <c r="C2971" s="50">
        <v>4278</v>
      </c>
      <c r="D2971" s="51">
        <v>25290634.564920999</v>
      </c>
      <c r="E2971" s="51">
        <v>2651568444</v>
      </c>
      <c r="F2971" s="52">
        <f t="shared" si="96"/>
        <v>3.6630636664273094E-3</v>
      </c>
      <c r="G2971" s="52">
        <f t="shared" si="97"/>
        <v>-8.5190096941524674E-3</v>
      </c>
    </row>
    <row r="2972" spans="1:7" ht="15" customHeight="1" x14ac:dyDescent="0.2">
      <c r="A2972" s="19" t="s">
        <v>3119</v>
      </c>
      <c r="B2972" s="50">
        <v>323.58800000000002</v>
      </c>
      <c r="C2972" s="50">
        <v>4224.16</v>
      </c>
      <c r="D2972" s="51">
        <v>25266046.629836999</v>
      </c>
      <c r="E2972" s="51">
        <v>2734214474</v>
      </c>
      <c r="F2972" s="52">
        <f t="shared" si="96"/>
        <v>-1.4136842248444E-2</v>
      </c>
      <c r="G2972" s="52">
        <f t="shared" si="97"/>
        <v>-1.2665186185757991E-2</v>
      </c>
    </row>
    <row r="2973" spans="1:7" ht="15" customHeight="1" x14ac:dyDescent="0.2">
      <c r="A2973" s="19" t="s">
        <v>3120</v>
      </c>
      <c r="B2973" s="50">
        <v>326.21300000000002</v>
      </c>
      <c r="C2973" s="50">
        <v>4217.04</v>
      </c>
      <c r="D2973" s="51">
        <v>24606861.615554001</v>
      </c>
      <c r="E2973" s="51">
        <v>2453362856</v>
      </c>
      <c r="F2973" s="52">
        <f t="shared" si="96"/>
        <v>8.0794405653637543E-3</v>
      </c>
      <c r="G2973" s="52">
        <f t="shared" si="97"/>
        <v>-1.6869643388467898E-3</v>
      </c>
    </row>
    <row r="2974" spans="1:7" ht="15" customHeight="1" x14ac:dyDescent="0.2">
      <c r="A2974" s="19" t="s">
        <v>3121</v>
      </c>
      <c r="B2974" s="50">
        <v>327.41199999999998</v>
      </c>
      <c r="C2974" s="50">
        <v>4247.68</v>
      </c>
      <c r="D2974" s="51">
        <v>31450237.369729001</v>
      </c>
      <c r="E2974" s="51">
        <v>2494717609</v>
      </c>
      <c r="F2974" s="52">
        <f t="shared" si="96"/>
        <v>3.6687744344801806E-3</v>
      </c>
      <c r="G2974" s="52">
        <f t="shared" si="97"/>
        <v>7.2394913997594025E-3</v>
      </c>
    </row>
    <row r="2975" spans="1:7" ht="15" customHeight="1" x14ac:dyDescent="0.2">
      <c r="A2975" s="19" t="s">
        <v>3122</v>
      </c>
      <c r="B2975" s="50">
        <v>337.45699999999999</v>
      </c>
      <c r="C2975" s="50">
        <v>4186.7700000000004</v>
      </c>
      <c r="D2975" s="51">
        <v>55578089.545890003</v>
      </c>
      <c r="E2975" s="51">
        <v>2679078988</v>
      </c>
      <c r="F2975" s="52">
        <f t="shared" si="96"/>
        <v>3.0218778109862243E-2</v>
      </c>
      <c r="G2975" s="52">
        <f t="shared" si="97"/>
        <v>-1.4443397939346892E-2</v>
      </c>
    </row>
    <row r="2976" spans="1:7" ht="15" customHeight="1" x14ac:dyDescent="0.2">
      <c r="A2976" s="19" t="s">
        <v>3123</v>
      </c>
      <c r="B2976" s="50">
        <v>324.79700000000003</v>
      </c>
      <c r="C2976" s="50">
        <v>4137.2299999999996</v>
      </c>
      <c r="D2976" s="51">
        <v>38188773.181123003</v>
      </c>
      <c r="E2976" s="51">
        <v>3005920212</v>
      </c>
      <c r="F2976" s="52">
        <f t="shared" si="96"/>
        <v>-3.8237722996499253E-2</v>
      </c>
      <c r="G2976" s="52">
        <f t="shared" si="97"/>
        <v>-1.1903071819740901E-2</v>
      </c>
    </row>
    <row r="2977" spans="1:7" ht="15" customHeight="1" x14ac:dyDescent="0.2">
      <c r="A2977" s="19" t="s">
        <v>3124</v>
      </c>
      <c r="B2977" s="50">
        <v>326.69799999999998</v>
      </c>
      <c r="C2977" s="50">
        <v>4117.37</v>
      </c>
      <c r="D2977" s="51">
        <v>30140836.950426999</v>
      </c>
      <c r="E2977" s="51">
        <v>2806304532</v>
      </c>
      <c r="F2977" s="52">
        <f t="shared" si="96"/>
        <v>5.8358249723176273E-3</v>
      </c>
      <c r="G2977" s="52">
        <f t="shared" si="97"/>
        <v>-4.811871761208667E-3</v>
      </c>
    </row>
    <row r="2978" spans="1:7" ht="15" customHeight="1" x14ac:dyDescent="0.2">
      <c r="A2978" s="19" t="s">
        <v>3125</v>
      </c>
      <c r="B2978" s="50">
        <v>334.12900000000002</v>
      </c>
      <c r="C2978" s="50">
        <v>4166.82</v>
      </c>
      <c r="D2978" s="51">
        <v>23045467.166368999</v>
      </c>
      <c r="E2978" s="51">
        <v>2612198547</v>
      </c>
      <c r="F2978" s="52">
        <f t="shared" si="96"/>
        <v>2.2490949190969382E-2</v>
      </c>
      <c r="G2978" s="52">
        <f t="shared" si="97"/>
        <v>1.1938544947970331E-2</v>
      </c>
    </row>
    <row r="2979" spans="1:7" ht="15" customHeight="1" x14ac:dyDescent="0.2">
      <c r="A2979" s="19" t="s">
        <v>3126</v>
      </c>
      <c r="B2979" s="50">
        <v>334.92099999999999</v>
      </c>
      <c r="C2979" s="50">
        <v>4193.8</v>
      </c>
      <c r="D2979" s="51">
        <v>20458262.369488999</v>
      </c>
      <c r="E2979" s="51">
        <v>2707294939</v>
      </c>
      <c r="F2979" s="52">
        <f t="shared" si="96"/>
        <v>2.3675371644729069E-3</v>
      </c>
      <c r="G2979" s="52">
        <f t="shared" si="97"/>
        <v>6.4540892074659807E-3</v>
      </c>
    </row>
    <row r="2980" spans="1:7" ht="15" customHeight="1" x14ac:dyDescent="0.2">
      <c r="A2980" s="19" t="s">
        <v>3127</v>
      </c>
      <c r="B2980" s="50">
        <v>342.80599999999998</v>
      </c>
      <c r="C2980" s="50">
        <v>4237.8599999999997</v>
      </c>
      <c r="D2980" s="51">
        <v>28426967.219944999</v>
      </c>
      <c r="E2980" s="51">
        <v>2816162441</v>
      </c>
      <c r="F2980" s="52">
        <f t="shared" si="96"/>
        <v>2.3270006368178872E-2</v>
      </c>
      <c r="G2980" s="52">
        <f t="shared" si="97"/>
        <v>1.0451180679737281E-2</v>
      </c>
    </row>
    <row r="2981" spans="1:7" ht="15" customHeight="1" x14ac:dyDescent="0.2">
      <c r="A2981" s="19" t="s">
        <v>3128</v>
      </c>
      <c r="B2981" s="50">
        <v>345.03300000000002</v>
      </c>
      <c r="C2981" s="50">
        <v>4317.78</v>
      </c>
      <c r="D2981" s="51">
        <v>24579931.587786999</v>
      </c>
      <c r="E2981" s="51">
        <v>2832866448</v>
      </c>
      <c r="F2981" s="52">
        <f t="shared" si="96"/>
        <v>6.4753751432920911E-3</v>
      </c>
      <c r="G2981" s="52">
        <f t="shared" si="97"/>
        <v>1.8682956430735833E-2</v>
      </c>
    </row>
    <row r="2982" spans="1:7" ht="15" customHeight="1" x14ac:dyDescent="0.2">
      <c r="A2982" s="19" t="s">
        <v>3129</v>
      </c>
      <c r="B2982" s="50">
        <v>349.471</v>
      </c>
      <c r="C2982" s="50">
        <v>4358.34</v>
      </c>
      <c r="D2982" s="51">
        <v>23862767.665320002</v>
      </c>
      <c r="E2982" s="51">
        <v>2684012374</v>
      </c>
      <c r="F2982" s="52">
        <f t="shared" si="96"/>
        <v>1.2780517920755361E-2</v>
      </c>
      <c r="G2982" s="52">
        <f t="shared" si="97"/>
        <v>9.3498696374369732E-3</v>
      </c>
    </row>
    <row r="2983" spans="1:7" ht="15" customHeight="1" x14ac:dyDescent="0.2">
      <c r="A2983" s="19" t="s">
        <v>3130</v>
      </c>
      <c r="B2983" s="50">
        <v>353.16699999999997</v>
      </c>
      <c r="C2983" s="50">
        <v>4365.9799999999996</v>
      </c>
      <c r="D2983" s="51">
        <v>24055210.960161</v>
      </c>
      <c r="E2983" s="51">
        <v>2179931864</v>
      </c>
      <c r="F2983" s="52">
        <f t="shared" si="96"/>
        <v>1.0520450329582525E-2</v>
      </c>
      <c r="G2983" s="52">
        <f t="shared" si="97"/>
        <v>1.7514263468030517E-3</v>
      </c>
    </row>
    <row r="2984" spans="1:7" ht="15" customHeight="1" x14ac:dyDescent="0.2">
      <c r="A2984" s="19" t="s">
        <v>3131</v>
      </c>
      <c r="B2984" s="50">
        <v>357.12900000000002</v>
      </c>
      <c r="C2984" s="50">
        <v>4378.38</v>
      </c>
      <c r="D2984" s="51">
        <v>26079939.989647001</v>
      </c>
      <c r="E2984" s="51">
        <v>2281729918</v>
      </c>
      <c r="F2984" s="52">
        <f t="shared" si="96"/>
        <v>1.1156028167006211E-2</v>
      </c>
      <c r="G2984" s="52">
        <f t="shared" si="97"/>
        <v>2.8361156932399829E-3</v>
      </c>
    </row>
    <row r="2985" spans="1:7" ht="15" customHeight="1" x14ac:dyDescent="0.2">
      <c r="A2985" s="19" t="s">
        <v>3132</v>
      </c>
      <c r="B2985" s="50">
        <v>359.774</v>
      </c>
      <c r="C2985" s="50">
        <v>4382.78</v>
      </c>
      <c r="D2985" s="51">
        <v>27022730.218378</v>
      </c>
      <c r="E2985" s="51">
        <v>2290395761</v>
      </c>
      <c r="F2985" s="52">
        <f t="shared" si="96"/>
        <v>7.378995489160523E-3</v>
      </c>
      <c r="G2985" s="52">
        <f t="shared" si="97"/>
        <v>1.0044332873557552E-3</v>
      </c>
    </row>
    <row r="2986" spans="1:7" ht="15" customHeight="1" x14ac:dyDescent="0.2">
      <c r="A2986" s="19" t="s">
        <v>3133</v>
      </c>
      <c r="B2986" s="50">
        <v>357.28800000000001</v>
      </c>
      <c r="C2986" s="50">
        <v>4347.3500000000004</v>
      </c>
      <c r="D2986" s="51">
        <v>25083944.885619</v>
      </c>
      <c r="E2986" s="51">
        <v>2359322477</v>
      </c>
      <c r="F2986" s="52">
        <f t="shared" si="96"/>
        <v>-6.933877294534015E-3</v>
      </c>
      <c r="G2986" s="52">
        <f t="shared" si="97"/>
        <v>-8.1167621824379983E-3</v>
      </c>
    </row>
    <row r="2987" spans="1:7" ht="15" customHeight="1" x14ac:dyDescent="0.2">
      <c r="A2987" s="19" t="s">
        <v>3134</v>
      </c>
      <c r="B2987" s="50">
        <v>366.18299999999999</v>
      </c>
      <c r="C2987" s="50">
        <v>4415.24</v>
      </c>
      <c r="D2987" s="51">
        <v>28332420.370698001</v>
      </c>
      <c r="E2987" s="51">
        <v>2250329104</v>
      </c>
      <c r="F2987" s="52">
        <f t="shared" si="96"/>
        <v>2.4591029200151441E-2</v>
      </c>
      <c r="G2987" s="52">
        <f t="shared" si="97"/>
        <v>1.5495728650985885E-2</v>
      </c>
    </row>
    <row r="2988" spans="1:7" ht="15" customHeight="1" x14ac:dyDescent="0.2">
      <c r="A2988" s="19" t="s">
        <v>3135</v>
      </c>
      <c r="B2988" s="50">
        <v>363.221</v>
      </c>
      <c r="C2988" s="50">
        <v>4411.55</v>
      </c>
      <c r="D2988" s="51">
        <v>20176831.666954</v>
      </c>
      <c r="E2988" s="51">
        <v>1990746804</v>
      </c>
      <c r="F2988" s="52">
        <f t="shared" si="96"/>
        <v>-8.1217440040952538E-3</v>
      </c>
      <c r="G2988" s="52">
        <f t="shared" si="97"/>
        <v>-8.3609108519786131E-4</v>
      </c>
    </row>
    <row r="2989" spans="1:7" ht="15" customHeight="1" x14ac:dyDescent="0.2">
      <c r="A2989" s="19" t="s">
        <v>3136</v>
      </c>
      <c r="B2989" s="50">
        <v>366.77800000000002</v>
      </c>
      <c r="C2989" s="50">
        <v>4495.7</v>
      </c>
      <c r="D2989" s="51">
        <v>27947487.342969999</v>
      </c>
      <c r="E2989" s="51">
        <v>2683327879</v>
      </c>
      <c r="F2989" s="52">
        <f t="shared" si="96"/>
        <v>9.7452959548749926E-3</v>
      </c>
      <c r="G2989" s="52">
        <f t="shared" si="97"/>
        <v>1.8895282757298078E-2</v>
      </c>
    </row>
    <row r="2990" spans="1:7" ht="15" customHeight="1" x14ac:dyDescent="0.2">
      <c r="A2990" s="19" t="s">
        <v>3137</v>
      </c>
      <c r="B2990" s="50">
        <v>366.92700000000002</v>
      </c>
      <c r="C2990" s="50">
        <v>4502.88</v>
      </c>
      <c r="D2990" s="51">
        <v>27060951.316950001</v>
      </c>
      <c r="E2990" s="51">
        <v>2571112283</v>
      </c>
      <c r="F2990" s="52">
        <f t="shared" si="96"/>
        <v>4.0615779379539447E-4</v>
      </c>
      <c r="G2990" s="52">
        <f t="shared" si="97"/>
        <v>1.5958076771483444E-3</v>
      </c>
    </row>
    <row r="2991" spans="1:7" ht="15" customHeight="1" x14ac:dyDescent="0.2">
      <c r="A2991" s="19" t="s">
        <v>3138</v>
      </c>
      <c r="B2991" s="50">
        <v>373.37900000000002</v>
      </c>
      <c r="C2991" s="50">
        <v>4508.24</v>
      </c>
      <c r="D2991" s="51">
        <v>27385580.836442001</v>
      </c>
      <c r="E2991" s="51">
        <v>2502760821</v>
      </c>
      <c r="F2991" s="52">
        <f t="shared" si="96"/>
        <v>1.7431071381353535E-2</v>
      </c>
      <c r="G2991" s="52">
        <f t="shared" si="97"/>
        <v>1.1896413835666805E-3</v>
      </c>
    </row>
    <row r="2992" spans="1:7" ht="15" customHeight="1" x14ac:dyDescent="0.2">
      <c r="A2992" s="19" t="s">
        <v>3139</v>
      </c>
      <c r="B2992" s="50">
        <v>367.10399999999998</v>
      </c>
      <c r="C2992" s="50">
        <v>4514.0200000000004</v>
      </c>
      <c r="D2992" s="51">
        <v>40626918.909593001</v>
      </c>
      <c r="E2992" s="51">
        <v>2272264722</v>
      </c>
      <c r="F2992" s="52">
        <f t="shared" si="96"/>
        <v>-1.6948802911955031E-2</v>
      </c>
      <c r="G2992" s="52">
        <f t="shared" si="97"/>
        <v>1.2812755985166719E-3</v>
      </c>
    </row>
    <row r="2993" spans="1:7" ht="15" customHeight="1" x14ac:dyDescent="0.2">
      <c r="A2993" s="19" t="s">
        <v>3140</v>
      </c>
      <c r="B2993" s="50">
        <v>374.63799999999998</v>
      </c>
      <c r="C2993" s="50">
        <v>4547.38</v>
      </c>
      <c r="D2993" s="51">
        <v>52921768.799918003</v>
      </c>
      <c r="E2993" s="51">
        <v>2181326784</v>
      </c>
      <c r="F2993" s="52">
        <f t="shared" si="96"/>
        <v>2.0315039745792404E-2</v>
      </c>
      <c r="G2993" s="52">
        <f t="shared" si="97"/>
        <v>7.3631338909269815E-3</v>
      </c>
    </row>
    <row r="2994" spans="1:7" ht="15" customHeight="1" x14ac:dyDescent="0.2">
      <c r="A2994" s="19" t="s">
        <v>3141</v>
      </c>
      <c r="B2994" s="50">
        <v>370.30099999999999</v>
      </c>
      <c r="C2994" s="50">
        <v>4538.1899999999996</v>
      </c>
      <c r="D2994" s="51">
        <v>28635689.602722</v>
      </c>
      <c r="E2994" s="51">
        <v>2063417712</v>
      </c>
      <c r="F2994" s="52">
        <f t="shared" si="96"/>
        <v>-1.1644037973765273E-2</v>
      </c>
      <c r="G2994" s="52">
        <f t="shared" si="97"/>
        <v>-2.0229887908321687E-3</v>
      </c>
    </row>
    <row r="2995" spans="1:7" ht="15" customHeight="1" x14ac:dyDescent="0.2">
      <c r="A2995" s="19" t="s">
        <v>3142</v>
      </c>
      <c r="B2995" s="50">
        <v>375.04599999999999</v>
      </c>
      <c r="C2995" s="50">
        <v>4556.62</v>
      </c>
      <c r="D2995" s="51">
        <v>23535875.91296</v>
      </c>
      <c r="E2995" s="51">
        <v>1886708097</v>
      </c>
      <c r="F2995" s="52">
        <f t="shared" si="96"/>
        <v>1.2732496685119029E-2</v>
      </c>
      <c r="G2995" s="52">
        <f t="shared" si="97"/>
        <v>4.0528664649777243E-3</v>
      </c>
    </row>
    <row r="2996" spans="1:7" ht="15" customHeight="1" x14ac:dyDescent="0.2">
      <c r="A2996" s="19" t="s">
        <v>3143</v>
      </c>
      <c r="B2996" s="50">
        <v>374.62799999999999</v>
      </c>
      <c r="C2996" s="50">
        <v>4559.34</v>
      </c>
      <c r="D2996" s="51">
        <v>10252748.665211</v>
      </c>
      <c r="E2996" s="51">
        <v>891720277</v>
      </c>
      <c r="F2996" s="52">
        <f t="shared" si="96"/>
        <v>-1.1151515013657907E-3</v>
      </c>
      <c r="G2996" s="52">
        <f t="shared" si="97"/>
        <v>5.9675559803246874E-4</v>
      </c>
    </row>
    <row r="2997" spans="1:7" ht="15" customHeight="1" x14ac:dyDescent="0.2">
      <c r="A2997" s="19" t="s">
        <v>3144</v>
      </c>
      <c r="B2997" s="50">
        <v>375.8</v>
      </c>
      <c r="C2997" s="50">
        <v>4550.43</v>
      </c>
      <c r="D2997" s="51">
        <v>22345081.398839001</v>
      </c>
      <c r="E2997" s="51">
        <v>2024029146</v>
      </c>
      <c r="F2997" s="52">
        <f t="shared" si="96"/>
        <v>3.1235533665937201E-3</v>
      </c>
      <c r="G2997" s="52">
        <f t="shared" si="97"/>
        <v>-1.9561422168003027E-3</v>
      </c>
    </row>
    <row r="2998" spans="1:7" ht="15" customHeight="1" x14ac:dyDescent="0.2">
      <c r="A2998" s="19" t="s">
        <v>3145</v>
      </c>
      <c r="B2998" s="50">
        <v>379.86</v>
      </c>
      <c r="C2998" s="50">
        <v>4554.8900000000003</v>
      </c>
      <c r="D2998" s="51">
        <v>20606057.726606</v>
      </c>
      <c r="E2998" s="51">
        <v>2097781469</v>
      </c>
      <c r="F2998" s="52">
        <f t="shared" si="96"/>
        <v>1.0745676804725143E-2</v>
      </c>
      <c r="G2998" s="52">
        <f t="shared" si="97"/>
        <v>9.7964714182290037E-4</v>
      </c>
    </row>
    <row r="2999" spans="1:7" ht="15" customHeight="1" x14ac:dyDescent="0.2">
      <c r="A2999" s="19" t="s">
        <v>3146</v>
      </c>
      <c r="B2999" s="50">
        <v>376.03800000000001</v>
      </c>
      <c r="C2999" s="50">
        <v>4550.58</v>
      </c>
      <c r="D2999" s="51">
        <v>29179983.552269999</v>
      </c>
      <c r="E2999" s="51">
        <v>2434604114</v>
      </c>
      <c r="F2999" s="52">
        <f t="shared" si="96"/>
        <v>-1.0112561671013253E-2</v>
      </c>
      <c r="G2999" s="52">
        <f t="shared" si="97"/>
        <v>-9.4668376742538802E-4</v>
      </c>
    </row>
    <row r="3000" spans="1:7" ht="15" customHeight="1" x14ac:dyDescent="0.2">
      <c r="A3000" s="19" t="s">
        <v>3147</v>
      </c>
      <c r="B3000" s="50">
        <v>376.09800000000001</v>
      </c>
      <c r="C3000" s="50">
        <v>4567.8</v>
      </c>
      <c r="D3000" s="51">
        <v>30782896.964173</v>
      </c>
      <c r="E3000" s="51">
        <v>3550309990</v>
      </c>
      <c r="F3000" s="52">
        <f t="shared" si="96"/>
        <v>1.5954561442959014E-4</v>
      </c>
      <c r="G3000" s="52">
        <f t="shared" si="97"/>
        <v>3.7769911916856066E-3</v>
      </c>
    </row>
    <row r="3001" spans="1:7" ht="15" customHeight="1" x14ac:dyDescent="0.2">
      <c r="A3001" s="19" t="s">
        <v>3148</v>
      </c>
      <c r="B3001" s="50">
        <v>371.73099999999999</v>
      </c>
      <c r="C3001" s="50">
        <v>4594.63</v>
      </c>
      <c r="D3001" s="51">
        <v>33287544.376929998</v>
      </c>
      <c r="E3001" s="51">
        <v>2544483462</v>
      </c>
      <c r="F3001" s="52">
        <f t="shared" si="96"/>
        <v>-1.1679273310060845E-2</v>
      </c>
      <c r="G3001" s="52">
        <f t="shared" si="97"/>
        <v>5.8565417006152948E-3</v>
      </c>
    </row>
    <row r="3002" spans="1:7" ht="15" customHeight="1" x14ac:dyDescent="0.2">
      <c r="A3002" s="19" t="s">
        <v>3149</v>
      </c>
      <c r="B3002" s="50">
        <v>366.40100000000001</v>
      </c>
      <c r="C3002" s="50">
        <v>4569.78</v>
      </c>
      <c r="D3002" s="51">
        <v>32303070.248468</v>
      </c>
      <c r="E3002" s="51">
        <v>2490316718</v>
      </c>
      <c r="F3002" s="52">
        <f t="shared" si="96"/>
        <v>-1.4442112363552894E-2</v>
      </c>
      <c r="G3002" s="52">
        <f t="shared" si="97"/>
        <v>-5.4231665551195962E-3</v>
      </c>
    </row>
    <row r="3003" spans="1:7" ht="15" customHeight="1" x14ac:dyDescent="0.2">
      <c r="A3003" s="19" t="s">
        <v>3150</v>
      </c>
      <c r="B3003" s="50">
        <v>369.755</v>
      </c>
      <c r="C3003" s="50">
        <v>4567.18</v>
      </c>
      <c r="D3003" s="51">
        <v>23237512.349034999</v>
      </c>
      <c r="E3003" s="51">
        <v>2338779937</v>
      </c>
      <c r="F3003" s="52">
        <f t="shared" si="96"/>
        <v>9.1122620960257649E-3</v>
      </c>
      <c r="G3003" s="52">
        <f t="shared" si="97"/>
        <v>-5.691170958779145E-4</v>
      </c>
    </row>
    <row r="3004" spans="1:7" ht="15" customHeight="1" x14ac:dyDescent="0.2">
      <c r="A3004" s="19" t="s">
        <v>3151</v>
      </c>
      <c r="B3004" s="50">
        <v>366.06200000000001</v>
      </c>
      <c r="C3004" s="50">
        <v>4549.34</v>
      </c>
      <c r="D3004" s="51">
        <v>21340468.795219999</v>
      </c>
      <c r="E3004" s="51">
        <v>2403741486</v>
      </c>
      <c r="F3004" s="52">
        <f t="shared" si="96"/>
        <v>-1.0037906187822998E-2</v>
      </c>
      <c r="G3004" s="52">
        <f t="shared" si="97"/>
        <v>-3.9137791113844191E-3</v>
      </c>
    </row>
    <row r="3005" spans="1:7" ht="15" customHeight="1" x14ac:dyDescent="0.2">
      <c r="A3005" s="19" t="s">
        <v>3152</v>
      </c>
      <c r="B3005" s="50">
        <v>368.19600000000003</v>
      </c>
      <c r="C3005" s="50">
        <v>4585.59</v>
      </c>
      <c r="D3005" s="51">
        <v>23291743.875335999</v>
      </c>
      <c r="E3005" s="51">
        <v>2469802159</v>
      </c>
      <c r="F3005" s="52">
        <f t="shared" si="96"/>
        <v>5.8126871168183592E-3</v>
      </c>
      <c r="G3005" s="52">
        <f t="shared" si="97"/>
        <v>7.9366104133129379E-3</v>
      </c>
    </row>
    <row r="3006" spans="1:7" ht="15" customHeight="1" x14ac:dyDescent="0.2">
      <c r="A3006" s="19" t="s">
        <v>3153</v>
      </c>
      <c r="B3006" s="50">
        <v>371.45100000000002</v>
      </c>
      <c r="C3006" s="50">
        <v>4604.37</v>
      </c>
      <c r="D3006" s="51">
        <v>20305077.742651001</v>
      </c>
      <c r="E3006" s="51">
        <v>2333925302</v>
      </c>
      <c r="F3006" s="52">
        <f t="shared" si="96"/>
        <v>8.8015526676535564E-3</v>
      </c>
      <c r="G3006" s="52">
        <f t="shared" si="97"/>
        <v>4.0870746210065929E-3</v>
      </c>
    </row>
    <row r="3007" spans="1:7" ht="15" customHeight="1" x14ac:dyDescent="0.2">
      <c r="A3007" s="19" t="s">
        <v>3154</v>
      </c>
      <c r="B3007" s="50">
        <v>368.54399999999998</v>
      </c>
      <c r="C3007" s="50">
        <v>4622.4399999999996</v>
      </c>
      <c r="D3007" s="51">
        <v>27915959.501639999</v>
      </c>
      <c r="E3007" s="51">
        <v>2434162631</v>
      </c>
      <c r="F3007" s="52">
        <f t="shared" si="96"/>
        <v>-7.8568502600704308E-3</v>
      </c>
      <c r="G3007" s="52">
        <f t="shared" si="97"/>
        <v>3.9168516750811289E-3</v>
      </c>
    </row>
    <row r="3008" spans="1:7" ht="15" customHeight="1" x14ac:dyDescent="0.2">
      <c r="A3008" s="19" t="s">
        <v>3155</v>
      </c>
      <c r="B3008" s="50">
        <v>371.601</v>
      </c>
      <c r="C3008" s="50">
        <v>4643.7</v>
      </c>
      <c r="D3008" s="51">
        <v>25023990.243932001</v>
      </c>
      <c r="E3008" s="51">
        <v>2365341118</v>
      </c>
      <c r="F3008" s="52">
        <f t="shared" si="96"/>
        <v>8.2605905152276626E-3</v>
      </c>
      <c r="G3008" s="52">
        <f t="shared" si="97"/>
        <v>4.5887580600857377E-3</v>
      </c>
    </row>
    <row r="3009" spans="1:7" ht="15" customHeight="1" x14ac:dyDescent="0.2">
      <c r="A3009" s="19" t="s">
        <v>3156</v>
      </c>
      <c r="B3009" s="50">
        <v>371.59100000000001</v>
      </c>
      <c r="C3009" s="50">
        <v>4707.09</v>
      </c>
      <c r="D3009" s="51">
        <v>31187012.45775</v>
      </c>
      <c r="E3009" s="51">
        <v>3014960633</v>
      </c>
      <c r="F3009" s="52">
        <f t="shared" si="96"/>
        <v>-2.6910946298167384E-5</v>
      </c>
      <c r="G3009" s="52">
        <f t="shared" si="97"/>
        <v>1.3558420429298217E-2</v>
      </c>
    </row>
    <row r="3010" spans="1:7" ht="15" customHeight="1" x14ac:dyDescent="0.2">
      <c r="A3010" s="19" t="s">
        <v>3157</v>
      </c>
      <c r="B3010" s="50">
        <v>363.214</v>
      </c>
      <c r="C3010" s="50">
        <v>4719.55</v>
      </c>
      <c r="D3010" s="51">
        <v>43601084.256857999</v>
      </c>
      <c r="E3010" s="51">
        <v>3872955047</v>
      </c>
      <c r="F3010" s="52">
        <f t="shared" si="96"/>
        <v>-2.2801594815669457E-2</v>
      </c>
      <c r="G3010" s="52">
        <f t="shared" si="97"/>
        <v>2.6435733742609306E-3</v>
      </c>
    </row>
    <row r="3011" spans="1:7" ht="15" customHeight="1" x14ac:dyDescent="0.2">
      <c r="A3011" s="19" t="s">
        <v>3158</v>
      </c>
      <c r="B3011" s="50">
        <v>367.97800000000001</v>
      </c>
      <c r="C3011" s="50">
        <v>4719.1899999999996</v>
      </c>
      <c r="D3011" s="51">
        <v>79089354.227208003</v>
      </c>
      <c r="E3011" s="51">
        <v>5311921335</v>
      </c>
      <c r="F3011" s="52">
        <f t="shared" si="96"/>
        <v>1.3030961533426833E-2</v>
      </c>
      <c r="G3011" s="52">
        <f t="shared" si="97"/>
        <v>-7.6281368101049259E-5</v>
      </c>
    </row>
    <row r="3012" spans="1:7" ht="15" customHeight="1" x14ac:dyDescent="0.2">
      <c r="A3012" s="19" t="s">
        <v>3159</v>
      </c>
      <c r="B3012" s="50">
        <v>369.88400000000001</v>
      </c>
      <c r="C3012" s="50">
        <v>4740.5600000000004</v>
      </c>
      <c r="D3012" s="51">
        <v>21965917.102207001</v>
      </c>
      <c r="E3012" s="51">
        <v>2434634036</v>
      </c>
      <c r="F3012" s="52">
        <f t="shared" si="96"/>
        <v>5.1662891959369777E-3</v>
      </c>
      <c r="G3012" s="52">
        <f t="shared" si="97"/>
        <v>4.5180974872495441E-3</v>
      </c>
    </row>
    <row r="3013" spans="1:7" ht="15" customHeight="1" x14ac:dyDescent="0.2">
      <c r="A3013" s="19" t="s">
        <v>3160</v>
      </c>
      <c r="B3013" s="50">
        <v>370.48899999999998</v>
      </c>
      <c r="C3013" s="50">
        <v>4768.37</v>
      </c>
      <c r="D3013" s="51">
        <v>20757729.490125999</v>
      </c>
      <c r="E3013" s="51">
        <v>2325208666</v>
      </c>
      <c r="F3013" s="52">
        <f t="shared" si="96"/>
        <v>1.6343117176386239E-3</v>
      </c>
      <c r="G3013" s="52">
        <f t="shared" si="97"/>
        <v>5.8492552349014293E-3</v>
      </c>
    </row>
    <row r="3014" spans="1:7" ht="15" customHeight="1" x14ac:dyDescent="0.2">
      <c r="A3014" s="19" t="s">
        <v>3161</v>
      </c>
      <c r="B3014" s="50">
        <v>367.87</v>
      </c>
      <c r="C3014" s="50">
        <v>4698.3500000000004</v>
      </c>
      <c r="D3014" s="51">
        <v>26513442.505516998</v>
      </c>
      <c r="E3014" s="51">
        <v>2485662722</v>
      </c>
      <c r="F3014" s="52">
        <f t="shared" ref="F3014:F3077" si="98">LN(B3014/B3013)</f>
        <v>-7.0941397987134436E-3</v>
      </c>
      <c r="G3014" s="52">
        <f t="shared" ref="G3014:G3077" si="99">LN(C3014/C3013)</f>
        <v>-1.4793144174519959E-2</v>
      </c>
    </row>
    <row r="3015" spans="1:7" ht="15" customHeight="1" x14ac:dyDescent="0.2">
      <c r="A3015" s="19" t="s">
        <v>3162</v>
      </c>
      <c r="B3015" s="50">
        <v>370.76799999999997</v>
      </c>
      <c r="C3015" s="50">
        <v>4746.75</v>
      </c>
      <c r="D3015" s="51">
        <v>17840424.178927001</v>
      </c>
      <c r="E3015" s="51">
        <v>2154794168</v>
      </c>
      <c r="F3015" s="52">
        <f t="shared" si="98"/>
        <v>7.8469151874790317E-3</v>
      </c>
      <c r="G3015" s="52">
        <f t="shared" si="99"/>
        <v>1.024879009249407E-2</v>
      </c>
    </row>
    <row r="3016" spans="1:7" ht="15" customHeight="1" x14ac:dyDescent="0.2">
      <c r="A3016" s="19" t="s">
        <v>3163</v>
      </c>
      <c r="B3016" s="50">
        <v>371.80099999999999</v>
      </c>
      <c r="C3016" s="50">
        <v>4754.63</v>
      </c>
      <c r="D3016" s="51">
        <v>17235411.553068001</v>
      </c>
      <c r="E3016" s="51">
        <v>1743793044</v>
      </c>
      <c r="F3016" s="52">
        <f t="shared" si="98"/>
        <v>2.7822348262759042E-3</v>
      </c>
      <c r="G3016" s="52">
        <f t="shared" si="99"/>
        <v>1.6587067997896167E-3</v>
      </c>
    </row>
    <row r="3017" spans="1:7" ht="15" customHeight="1" x14ac:dyDescent="0.2">
      <c r="A3017" s="19" t="s">
        <v>3164</v>
      </c>
      <c r="B3017" s="50">
        <v>371.87900000000002</v>
      </c>
      <c r="C3017" s="50">
        <v>4774.75</v>
      </c>
      <c r="D3017" s="51">
        <v>12767817.429063</v>
      </c>
      <c r="E3017" s="51">
        <v>1447990937</v>
      </c>
      <c r="F3017" s="52">
        <f t="shared" si="98"/>
        <v>2.097676427657572E-4</v>
      </c>
      <c r="G3017" s="52">
        <f t="shared" si="99"/>
        <v>4.2227363999498384E-3</v>
      </c>
    </row>
    <row r="3018" spans="1:7" ht="15" customHeight="1" x14ac:dyDescent="0.2">
      <c r="A3018" s="19" t="s">
        <v>3165</v>
      </c>
      <c r="B3018" s="50">
        <v>371.29399999999998</v>
      </c>
      <c r="C3018" s="50">
        <v>4781.58</v>
      </c>
      <c r="D3018" s="51">
        <v>15016872.743417</v>
      </c>
      <c r="E3018" s="51">
        <v>1611192991</v>
      </c>
      <c r="F3018" s="52">
        <f t="shared" si="98"/>
        <v>-1.574330931903596E-3</v>
      </c>
      <c r="G3018" s="52">
        <f t="shared" si="99"/>
        <v>1.429419277681746E-3</v>
      </c>
    </row>
    <row r="3019" spans="1:7" ht="15" customHeight="1" x14ac:dyDescent="0.2">
      <c r="A3019" s="19" t="s">
        <v>3166</v>
      </c>
      <c r="B3019" s="50">
        <v>372.49400000000003</v>
      </c>
      <c r="C3019" s="50">
        <v>4783.3500000000004</v>
      </c>
      <c r="D3019" s="51">
        <v>14434148.550492</v>
      </c>
      <c r="E3019" s="51">
        <v>1482518840</v>
      </c>
      <c r="F3019" s="52">
        <f t="shared" si="98"/>
        <v>3.2267286946756281E-3</v>
      </c>
      <c r="G3019" s="52">
        <f t="shared" si="99"/>
        <v>3.7010203319937546E-4</v>
      </c>
    </row>
    <row r="3020" spans="1:7" ht="15" customHeight="1" x14ac:dyDescent="0.2">
      <c r="A3020" s="19" t="s">
        <v>3167</v>
      </c>
      <c r="B3020" s="50">
        <v>373.24900000000002</v>
      </c>
      <c r="C3020" s="50">
        <v>4769.83</v>
      </c>
      <c r="D3020" s="51">
        <v>18870904.784352999</v>
      </c>
      <c r="E3020" s="51">
        <v>1742503214</v>
      </c>
      <c r="F3020" s="52">
        <f t="shared" si="98"/>
        <v>2.0248269389148235E-3</v>
      </c>
      <c r="G3020" s="52">
        <f t="shared" si="99"/>
        <v>-2.8304729998547477E-3</v>
      </c>
    </row>
    <row r="3021" spans="1:7" ht="15" customHeight="1" x14ac:dyDescent="0.2">
      <c r="A3021" s="19" t="s">
        <v>3168</v>
      </c>
      <c r="B3021" s="50">
        <v>368.11599999999999</v>
      </c>
      <c r="C3021" s="50">
        <v>4742.83</v>
      </c>
      <c r="D3021" s="51">
        <v>25447513.791209999</v>
      </c>
      <c r="E3021" s="51">
        <v>2438700029</v>
      </c>
      <c r="F3021" s="52">
        <f t="shared" si="98"/>
        <v>-1.3847651356582306E-2</v>
      </c>
      <c r="G3021" s="52">
        <f t="shared" si="99"/>
        <v>-5.6766608929654707E-3</v>
      </c>
    </row>
    <row r="3022" spans="1:7" ht="15" customHeight="1" x14ac:dyDescent="0.2">
      <c r="A3022" s="19" t="s">
        <v>3169</v>
      </c>
      <c r="B3022" s="50">
        <v>367.85</v>
      </c>
      <c r="C3022" s="50">
        <v>4704.8100000000004</v>
      </c>
      <c r="D3022" s="51">
        <v>23256080.166191999</v>
      </c>
      <c r="E3022" s="51">
        <v>2459537218</v>
      </c>
      <c r="F3022" s="52">
        <f t="shared" si="98"/>
        <v>-7.2285951139760727E-4</v>
      </c>
      <c r="G3022" s="52">
        <f t="shared" si="99"/>
        <v>-8.0486143089745707E-3</v>
      </c>
    </row>
    <row r="3023" spans="1:7" ht="15" customHeight="1" x14ac:dyDescent="0.2">
      <c r="A3023" s="19" t="s">
        <v>3170</v>
      </c>
      <c r="B3023" s="50">
        <v>365.209</v>
      </c>
      <c r="C3023" s="50">
        <v>4688.68</v>
      </c>
      <c r="D3023" s="51">
        <v>21057800.729042001</v>
      </c>
      <c r="E3023" s="51">
        <v>2371772728</v>
      </c>
      <c r="F3023" s="52">
        <f t="shared" si="98"/>
        <v>-7.205453930451044E-3</v>
      </c>
      <c r="G3023" s="52">
        <f t="shared" si="99"/>
        <v>-3.434296699869414E-3</v>
      </c>
    </row>
    <row r="3024" spans="1:7" ht="15" customHeight="1" x14ac:dyDescent="0.2">
      <c r="A3024" s="19" t="s">
        <v>3171</v>
      </c>
      <c r="B3024" s="50">
        <v>365.02</v>
      </c>
      <c r="C3024" s="50">
        <v>4697.24</v>
      </c>
      <c r="D3024" s="51">
        <v>21161644.495607</v>
      </c>
      <c r="E3024" s="51">
        <v>2211672077</v>
      </c>
      <c r="F3024" s="52">
        <f t="shared" si="98"/>
        <v>-5.1764584594787507E-4</v>
      </c>
      <c r="G3024" s="52">
        <f t="shared" si="99"/>
        <v>1.8240092336748459E-3</v>
      </c>
    </row>
    <row r="3025" spans="1:7" ht="15" customHeight="1" x14ac:dyDescent="0.2">
      <c r="A3025" s="19" t="s">
        <v>3172</v>
      </c>
      <c r="B3025" s="50">
        <v>371.90899999999999</v>
      </c>
      <c r="C3025" s="50">
        <v>4763.54</v>
      </c>
      <c r="D3025" s="51">
        <v>23306959.813616998</v>
      </c>
      <c r="E3025" s="51">
        <v>2311628659</v>
      </c>
      <c r="F3025" s="52">
        <f t="shared" si="98"/>
        <v>1.8697054090111232E-2</v>
      </c>
      <c r="G3025" s="52">
        <f t="shared" si="99"/>
        <v>1.4015987132365047E-2</v>
      </c>
    </row>
    <row r="3026" spans="1:7" ht="15" customHeight="1" x14ac:dyDescent="0.2">
      <c r="A3026" s="19" t="s">
        <v>3173</v>
      </c>
      <c r="B3026" s="50">
        <v>373</v>
      </c>
      <c r="C3026" s="50">
        <v>4756.5</v>
      </c>
      <c r="D3026" s="51">
        <v>20985716.694873001</v>
      </c>
      <c r="E3026" s="51">
        <v>2241198577</v>
      </c>
      <c r="F3026" s="52">
        <f t="shared" si="98"/>
        <v>2.9292189518298865E-3</v>
      </c>
      <c r="G3026" s="52">
        <f t="shared" si="99"/>
        <v>-1.4789856520085827E-3</v>
      </c>
    </row>
    <row r="3027" spans="1:7" ht="15" customHeight="1" x14ac:dyDescent="0.2">
      <c r="A3027" s="19" t="s">
        <v>3174</v>
      </c>
      <c r="B3027" s="50">
        <v>379.92899999999997</v>
      </c>
      <c r="C3027" s="50">
        <v>4783.45</v>
      </c>
      <c r="D3027" s="51">
        <v>25705037.224691</v>
      </c>
      <c r="E3027" s="51">
        <v>2165979629</v>
      </c>
      <c r="F3027" s="52">
        <f t="shared" si="98"/>
        <v>1.840597351419198E-2</v>
      </c>
      <c r="G3027" s="52">
        <f t="shared" si="99"/>
        <v>5.6499398196109933E-3</v>
      </c>
    </row>
    <row r="3028" spans="1:7" ht="15" customHeight="1" x14ac:dyDescent="0.2">
      <c r="A3028" s="19" t="s">
        <v>3175</v>
      </c>
      <c r="B3028" s="50">
        <v>381.77600000000001</v>
      </c>
      <c r="C3028" s="50">
        <v>4780.24</v>
      </c>
      <c r="D3028" s="51">
        <v>28059111.024808001</v>
      </c>
      <c r="E3028" s="51">
        <v>2320989197</v>
      </c>
      <c r="F3028" s="52">
        <f t="shared" si="98"/>
        <v>4.8496560216616481E-3</v>
      </c>
      <c r="G3028" s="52">
        <f t="shared" si="99"/>
        <v>-6.7128903604016395E-4</v>
      </c>
    </row>
    <row r="3029" spans="1:7" ht="15" customHeight="1" x14ac:dyDescent="0.2">
      <c r="A3029" s="19" t="s">
        <v>3176</v>
      </c>
      <c r="B3029" s="50">
        <v>385.58699999999999</v>
      </c>
      <c r="C3029" s="50">
        <v>4783.83</v>
      </c>
      <c r="D3029" s="51">
        <v>21823132.300983999</v>
      </c>
      <c r="E3029" s="51">
        <v>2251917810</v>
      </c>
      <c r="F3029" s="52">
        <f t="shared" si="98"/>
        <v>9.9327992954560337E-3</v>
      </c>
      <c r="G3029" s="52">
        <f t="shared" si="99"/>
        <v>7.5072645194105983E-4</v>
      </c>
    </row>
    <row r="3030" spans="1:7" ht="15" customHeight="1" x14ac:dyDescent="0.2">
      <c r="A3030" s="19" t="s">
        <v>3177</v>
      </c>
      <c r="B3030" s="50">
        <v>387.37400000000002</v>
      </c>
      <c r="C3030" s="50">
        <v>4765.9799999999996</v>
      </c>
      <c r="D3030" s="51">
        <v>27405683.042396002</v>
      </c>
      <c r="E3030" s="51">
        <v>2601533887</v>
      </c>
      <c r="F3030" s="52">
        <f t="shared" si="98"/>
        <v>4.6237861515591788E-3</v>
      </c>
      <c r="G3030" s="52">
        <f t="shared" si="99"/>
        <v>-3.7382986232446964E-3</v>
      </c>
    </row>
    <row r="3031" spans="1:7" ht="15" customHeight="1" x14ac:dyDescent="0.2">
      <c r="A3031" s="19" t="s">
        <v>3178</v>
      </c>
      <c r="B3031" s="50">
        <v>386.57900000000001</v>
      </c>
      <c r="C3031" s="50">
        <v>4739.21</v>
      </c>
      <c r="D3031" s="51">
        <v>22400371.784382001</v>
      </c>
      <c r="E3031" s="51">
        <v>2323282256</v>
      </c>
      <c r="F3031" s="52">
        <f t="shared" si="98"/>
        <v>-2.0543890381174777E-3</v>
      </c>
      <c r="G3031" s="52">
        <f t="shared" si="99"/>
        <v>-5.6327271267556144E-3</v>
      </c>
    </row>
    <row r="3032" spans="1:7" ht="15" customHeight="1" x14ac:dyDescent="0.2">
      <c r="A3032" s="19" t="s">
        <v>3179</v>
      </c>
      <c r="B3032" s="50">
        <v>390.94600000000003</v>
      </c>
      <c r="C3032" s="50">
        <v>4780.9399999999996</v>
      </c>
      <c r="D3032" s="51">
        <v>23566990.859517999</v>
      </c>
      <c r="E3032" s="51">
        <v>2595424433</v>
      </c>
      <c r="F3032" s="52">
        <f t="shared" si="98"/>
        <v>1.1233197442211884E-2</v>
      </c>
      <c r="G3032" s="52">
        <f t="shared" si="99"/>
        <v>8.7667247395320728E-3</v>
      </c>
    </row>
    <row r="3033" spans="1:7" ht="15" customHeight="1" x14ac:dyDescent="0.2">
      <c r="A3033" s="19" t="s">
        <v>3180</v>
      </c>
      <c r="B3033" s="50">
        <v>395.71100000000001</v>
      </c>
      <c r="C3033" s="50">
        <v>4839.8100000000004</v>
      </c>
      <c r="D3033" s="51">
        <v>29550470.442001</v>
      </c>
      <c r="E3033" s="51">
        <v>2778139489</v>
      </c>
      <c r="F3033" s="52">
        <f t="shared" si="98"/>
        <v>1.2114703811722725E-2</v>
      </c>
      <c r="G3033" s="52">
        <f t="shared" si="99"/>
        <v>1.2238283870230153E-2</v>
      </c>
    </row>
    <row r="3034" spans="1:7" ht="15" customHeight="1" x14ac:dyDescent="0.2">
      <c r="A3034" s="19" t="s">
        <v>3181</v>
      </c>
      <c r="B3034" s="50">
        <v>393.56599999999997</v>
      </c>
      <c r="C3034" s="50">
        <v>4850.43</v>
      </c>
      <c r="D3034" s="51">
        <v>27218930.899418999</v>
      </c>
      <c r="E3034" s="51">
        <v>2674489114</v>
      </c>
      <c r="F3034" s="52">
        <f t="shared" si="98"/>
        <v>-5.4353675093737801E-3</v>
      </c>
      <c r="G3034" s="52">
        <f t="shared" si="99"/>
        <v>2.1918970535104105E-3</v>
      </c>
    </row>
    <row r="3035" spans="1:7" ht="15" customHeight="1" x14ac:dyDescent="0.2">
      <c r="A3035" s="19" t="s">
        <v>3182</v>
      </c>
      <c r="B3035" s="50">
        <v>395.93900000000002</v>
      </c>
      <c r="C3035" s="50">
        <v>4864.6000000000004</v>
      </c>
      <c r="D3035" s="51">
        <v>20679371.891256001</v>
      </c>
      <c r="E3035" s="51">
        <v>2409552852</v>
      </c>
      <c r="F3035" s="52">
        <f t="shared" si="98"/>
        <v>6.0113796518711932E-3</v>
      </c>
      <c r="G3035" s="52">
        <f t="shared" si="99"/>
        <v>2.917131506229948E-3</v>
      </c>
    </row>
    <row r="3036" spans="1:7" ht="15" customHeight="1" x14ac:dyDescent="0.2">
      <c r="A3036" s="19" t="s">
        <v>3183</v>
      </c>
      <c r="B3036" s="50">
        <v>399.572</v>
      </c>
      <c r="C3036" s="50">
        <v>4868.55</v>
      </c>
      <c r="D3036" s="51">
        <v>25052904.858821001</v>
      </c>
      <c r="E3036" s="51">
        <v>2709582602</v>
      </c>
      <c r="F3036" s="52">
        <f t="shared" si="98"/>
        <v>9.1338152643076122E-3</v>
      </c>
      <c r="G3036" s="52">
        <f t="shared" si="99"/>
        <v>8.1165916827587409E-4</v>
      </c>
    </row>
    <row r="3037" spans="1:7" ht="15" customHeight="1" x14ac:dyDescent="0.2">
      <c r="A3037" s="19" t="s">
        <v>3184</v>
      </c>
      <c r="B3037" s="50">
        <v>401.86500000000001</v>
      </c>
      <c r="C3037" s="50">
        <v>4894.16</v>
      </c>
      <c r="D3037" s="51">
        <v>21178348.478703</v>
      </c>
      <c r="E3037" s="51">
        <v>2925824199</v>
      </c>
      <c r="F3037" s="52">
        <f t="shared" si="98"/>
        <v>5.7222370737280972E-3</v>
      </c>
      <c r="G3037" s="52">
        <f t="shared" si="99"/>
        <v>5.2465060919916033E-3</v>
      </c>
    </row>
    <row r="3038" spans="1:7" ht="15" customHeight="1" x14ac:dyDescent="0.2">
      <c r="A3038" s="19" t="s">
        <v>3185</v>
      </c>
      <c r="B3038" s="50">
        <v>400.93099999999998</v>
      </c>
      <c r="C3038" s="50">
        <v>4890.97</v>
      </c>
      <c r="D3038" s="51">
        <v>17936401.558277</v>
      </c>
      <c r="E3038" s="51">
        <v>2391994169</v>
      </c>
      <c r="F3038" s="52">
        <f t="shared" si="98"/>
        <v>-2.3268686476125384E-3</v>
      </c>
      <c r="G3038" s="52">
        <f t="shared" si="99"/>
        <v>-6.52009756234213E-4</v>
      </c>
    </row>
    <row r="3039" spans="1:7" ht="15" customHeight="1" x14ac:dyDescent="0.2">
      <c r="A3039" s="19" t="s">
        <v>3186</v>
      </c>
      <c r="B3039" s="50">
        <v>406.68</v>
      </c>
      <c r="C3039" s="50">
        <v>4927.93</v>
      </c>
      <c r="D3039" s="51">
        <v>24693520.375224002</v>
      </c>
      <c r="E3039" s="51">
        <v>2318280410</v>
      </c>
      <c r="F3039" s="52">
        <f t="shared" si="98"/>
        <v>1.4237292731538424E-2</v>
      </c>
      <c r="G3039" s="52">
        <f t="shared" si="99"/>
        <v>7.5283737614565433E-3</v>
      </c>
    </row>
    <row r="3040" spans="1:7" ht="15" customHeight="1" x14ac:dyDescent="0.2">
      <c r="A3040" s="19" t="s">
        <v>3187</v>
      </c>
      <c r="B3040" s="50">
        <v>405.55799999999999</v>
      </c>
      <c r="C3040" s="50">
        <v>4924.97</v>
      </c>
      <c r="D3040" s="51">
        <v>33727951.238365002</v>
      </c>
      <c r="E3040" s="51">
        <v>2599908804</v>
      </c>
      <c r="F3040" s="52">
        <f t="shared" si="98"/>
        <v>-2.7627387875469177E-3</v>
      </c>
      <c r="G3040" s="52">
        <f t="shared" si="99"/>
        <v>-6.0083834993726029E-4</v>
      </c>
    </row>
    <row r="3041" spans="1:7" ht="15" customHeight="1" x14ac:dyDescent="0.2">
      <c r="A3041" s="19" t="s">
        <v>3188</v>
      </c>
      <c r="B3041" s="50">
        <v>394.62799999999999</v>
      </c>
      <c r="C3041" s="50">
        <v>4845.6499999999996</v>
      </c>
      <c r="D3041" s="51">
        <v>48229070.872832</v>
      </c>
      <c r="E3041" s="51">
        <v>3304847212</v>
      </c>
      <c r="F3041" s="52">
        <f t="shared" si="98"/>
        <v>-2.7320347616210251E-2</v>
      </c>
      <c r="G3041" s="52">
        <f t="shared" si="99"/>
        <v>-1.6236787963987382E-2</v>
      </c>
    </row>
    <row r="3042" spans="1:7" ht="15" customHeight="1" x14ac:dyDescent="0.2">
      <c r="A3042" s="19" t="s">
        <v>3189</v>
      </c>
      <c r="B3042" s="50">
        <v>400.78300000000002</v>
      </c>
      <c r="C3042" s="50">
        <v>4906.1899999999996</v>
      </c>
      <c r="D3042" s="51">
        <v>30886980.510471001</v>
      </c>
      <c r="E3042" s="51">
        <v>2850372778</v>
      </c>
      <c r="F3042" s="52">
        <f t="shared" si="98"/>
        <v>1.5476584698242596E-2</v>
      </c>
      <c r="G3042" s="52">
        <f t="shared" si="99"/>
        <v>1.2416277903485802E-2</v>
      </c>
    </row>
    <row r="3043" spans="1:7" ht="15" customHeight="1" x14ac:dyDescent="0.2">
      <c r="A3043" s="19" t="s">
        <v>3190</v>
      </c>
      <c r="B3043" s="50">
        <v>408.16800000000001</v>
      </c>
      <c r="C3043" s="50">
        <v>4958.6099999999997</v>
      </c>
      <c r="D3043" s="51">
        <v>28467969.724199999</v>
      </c>
      <c r="E3043" s="51">
        <v>2805437389</v>
      </c>
      <c r="F3043" s="52">
        <f t="shared" si="98"/>
        <v>1.8258720656776275E-2</v>
      </c>
      <c r="G3043" s="52">
        <f t="shared" si="99"/>
        <v>1.0627786351803241E-2</v>
      </c>
    </row>
    <row r="3044" spans="1:7" ht="15" customHeight="1" x14ac:dyDescent="0.2">
      <c r="A3044" s="19" t="s">
        <v>3191</v>
      </c>
      <c r="B3044" s="50">
        <v>402.63900000000001</v>
      </c>
      <c r="C3044" s="50">
        <v>4942.8100000000004</v>
      </c>
      <c r="D3044" s="51">
        <v>25541867.116232999</v>
      </c>
      <c r="E3044" s="51">
        <v>2594978093</v>
      </c>
      <c r="F3044" s="52">
        <f t="shared" si="98"/>
        <v>-1.3638475501387538E-2</v>
      </c>
      <c r="G3044" s="52">
        <f t="shared" si="99"/>
        <v>-3.191464135615035E-3</v>
      </c>
    </row>
    <row r="3045" spans="1:7" ht="15" customHeight="1" x14ac:dyDescent="0.2">
      <c r="A3045" s="19" t="s">
        <v>3192</v>
      </c>
      <c r="B3045" s="50">
        <v>402.48</v>
      </c>
      <c r="C3045" s="50">
        <v>4954.2299999999996</v>
      </c>
      <c r="D3045" s="51">
        <v>18520086.885090999</v>
      </c>
      <c r="E3045" s="51">
        <v>2488633314</v>
      </c>
      <c r="F3045" s="52">
        <f t="shared" si="98"/>
        <v>-3.9497267377134828E-4</v>
      </c>
      <c r="G3045" s="52">
        <f t="shared" si="99"/>
        <v>2.3077617284261594E-3</v>
      </c>
    </row>
    <row r="3046" spans="1:7" ht="15" customHeight="1" x14ac:dyDescent="0.2">
      <c r="A3046" s="19" t="s">
        <v>3193</v>
      </c>
      <c r="B3046" s="50">
        <v>410.97699999999998</v>
      </c>
      <c r="C3046" s="50">
        <v>4995.0600000000004</v>
      </c>
      <c r="D3046" s="51">
        <v>22507585.564424001</v>
      </c>
      <c r="E3046" s="51">
        <v>2600464337</v>
      </c>
      <c r="F3046" s="52">
        <f t="shared" si="98"/>
        <v>2.0891845676732589E-2</v>
      </c>
      <c r="G3046" s="52">
        <f t="shared" si="99"/>
        <v>8.2076669213310503E-3</v>
      </c>
    </row>
    <row r="3047" spans="1:7" ht="15" customHeight="1" x14ac:dyDescent="0.2">
      <c r="A3047" s="19" t="s">
        <v>3194</v>
      </c>
      <c r="B3047" s="50">
        <v>411.03699999999998</v>
      </c>
      <c r="C3047" s="50">
        <v>4997.91</v>
      </c>
      <c r="D3047" s="51">
        <v>21383976.727065001</v>
      </c>
      <c r="E3047" s="51">
        <v>2439217345</v>
      </c>
      <c r="F3047" s="52">
        <f t="shared" si="98"/>
        <v>1.4598291539199472E-4</v>
      </c>
      <c r="G3047" s="52">
        <f t="shared" si="99"/>
        <v>5.7040100736248747E-4</v>
      </c>
    </row>
    <row r="3048" spans="1:7" ht="15" customHeight="1" x14ac:dyDescent="0.2">
      <c r="A3048" s="19" t="s">
        <v>3195</v>
      </c>
      <c r="B3048" s="50">
        <v>417.428</v>
      </c>
      <c r="C3048" s="50">
        <v>5026.6099999999997</v>
      </c>
      <c r="D3048" s="51">
        <v>22197602.758216999</v>
      </c>
      <c r="E3048" s="51">
        <v>2314039033</v>
      </c>
      <c r="F3048" s="52">
        <f t="shared" si="98"/>
        <v>1.5428839553813066E-2</v>
      </c>
      <c r="G3048" s="52">
        <f t="shared" si="99"/>
        <v>5.7259755908601927E-3</v>
      </c>
    </row>
    <row r="3049" spans="1:7" ht="15" customHeight="1" x14ac:dyDescent="0.2">
      <c r="A3049" s="19" t="s">
        <v>3196</v>
      </c>
      <c r="B3049" s="50">
        <v>412.178</v>
      </c>
      <c r="C3049" s="50">
        <v>5021.84</v>
      </c>
      <c r="D3049" s="51">
        <v>21361473.701345999</v>
      </c>
      <c r="E3049" s="51">
        <v>2243585026</v>
      </c>
      <c r="F3049" s="52">
        <f t="shared" si="98"/>
        <v>-1.2656779446428129E-2</v>
      </c>
      <c r="G3049" s="52">
        <f t="shared" si="99"/>
        <v>-9.4940022755554091E-4</v>
      </c>
    </row>
    <row r="3050" spans="1:7" ht="15" customHeight="1" x14ac:dyDescent="0.2">
      <c r="A3050" s="19" t="s">
        <v>3197</v>
      </c>
      <c r="B3050" s="50">
        <v>403.30500000000001</v>
      </c>
      <c r="C3050" s="50">
        <v>4953.17</v>
      </c>
      <c r="D3050" s="51">
        <v>28033007.273178</v>
      </c>
      <c r="E3050" s="51">
        <v>2596243811</v>
      </c>
      <c r="F3050" s="52">
        <f t="shared" si="98"/>
        <v>-2.1762195361281624E-2</v>
      </c>
      <c r="G3050" s="52">
        <f t="shared" si="99"/>
        <v>-1.3768624761212093E-2</v>
      </c>
    </row>
    <row r="3051" spans="1:7" ht="15" customHeight="1" x14ac:dyDescent="0.2">
      <c r="A3051" s="19" t="s">
        <v>3198</v>
      </c>
      <c r="B3051" s="50">
        <v>407.20299999999997</v>
      </c>
      <c r="C3051" s="50">
        <v>5000.62</v>
      </c>
      <c r="D3051" s="51">
        <v>20515808.617931001</v>
      </c>
      <c r="E3051" s="51">
        <v>2324738755</v>
      </c>
      <c r="F3051" s="52">
        <f t="shared" si="98"/>
        <v>9.6187330749161505E-3</v>
      </c>
      <c r="G3051" s="52">
        <f t="shared" si="99"/>
        <v>9.5341290968955009E-3</v>
      </c>
    </row>
    <row r="3052" spans="1:7" ht="15" customHeight="1" x14ac:dyDescent="0.2">
      <c r="A3052" s="19" t="s">
        <v>3199</v>
      </c>
      <c r="B3052" s="50">
        <v>404.28899999999999</v>
      </c>
      <c r="C3052" s="50">
        <v>5029.7299999999996</v>
      </c>
      <c r="D3052" s="51">
        <v>21948145.862367</v>
      </c>
      <c r="E3052" s="51">
        <v>2448592265</v>
      </c>
      <c r="F3052" s="52">
        <f t="shared" si="98"/>
        <v>-7.1818638387822729E-3</v>
      </c>
      <c r="G3052" s="52">
        <f t="shared" si="99"/>
        <v>5.8043999917945753E-3</v>
      </c>
    </row>
    <row r="3053" spans="1:7" ht="15" customHeight="1" x14ac:dyDescent="0.2">
      <c r="A3053" s="19" t="s">
        <v>3200</v>
      </c>
      <c r="B3053" s="50">
        <v>401.803</v>
      </c>
      <c r="C3053" s="50">
        <v>5005.57</v>
      </c>
      <c r="D3053" s="51">
        <v>22421761.881078999</v>
      </c>
      <c r="E3053" s="51">
        <v>2321398576</v>
      </c>
      <c r="F3053" s="52">
        <f t="shared" si="98"/>
        <v>-6.1680500032697851E-3</v>
      </c>
      <c r="G3053" s="52">
        <f t="shared" si="99"/>
        <v>-4.8150123419915631E-3</v>
      </c>
    </row>
    <row r="3054" spans="1:7" ht="15" customHeight="1" x14ac:dyDescent="0.2">
      <c r="A3054" s="19" t="s">
        <v>3201</v>
      </c>
      <c r="B3054" s="50">
        <v>400.54</v>
      </c>
      <c r="C3054" s="50">
        <v>4975.51</v>
      </c>
      <c r="D3054" s="51">
        <v>24444482.505233001</v>
      </c>
      <c r="E3054" s="51">
        <v>2479202447</v>
      </c>
      <c r="F3054" s="52">
        <f t="shared" si="98"/>
        <v>-3.1482820768776658E-3</v>
      </c>
      <c r="G3054" s="52">
        <f t="shared" si="99"/>
        <v>-6.0234144772223523E-3</v>
      </c>
    </row>
    <row r="3055" spans="1:7" ht="15" customHeight="1" x14ac:dyDescent="0.2">
      <c r="A3055" s="19" t="s">
        <v>3202</v>
      </c>
      <c r="B3055" s="50">
        <v>399.93299999999999</v>
      </c>
      <c r="C3055" s="50">
        <v>4981.8</v>
      </c>
      <c r="D3055" s="51">
        <v>18735745.684388001</v>
      </c>
      <c r="E3055" s="51">
        <v>2285353273</v>
      </c>
      <c r="F3055" s="52">
        <f t="shared" si="98"/>
        <v>-1.5166035989872542E-3</v>
      </c>
      <c r="G3055" s="52">
        <f t="shared" si="99"/>
        <v>1.2633935945864823E-3</v>
      </c>
    </row>
    <row r="3056" spans="1:7" ht="15" customHeight="1" x14ac:dyDescent="0.2">
      <c r="A3056" s="19" t="s">
        <v>3203</v>
      </c>
      <c r="B3056" s="50">
        <v>409.351</v>
      </c>
      <c r="C3056" s="50">
        <v>5087.03</v>
      </c>
      <c r="D3056" s="51">
        <v>27161616.709582999</v>
      </c>
      <c r="E3056" s="51">
        <v>2587708301</v>
      </c>
      <c r="F3056" s="52">
        <f t="shared" si="98"/>
        <v>2.3275945638459188E-2</v>
      </c>
      <c r="G3056" s="52">
        <f t="shared" si="99"/>
        <v>2.0902891694828028E-2</v>
      </c>
    </row>
    <row r="3057" spans="1:7" ht="15" customHeight="1" x14ac:dyDescent="0.2">
      <c r="A3057" s="19" t="s">
        <v>3204</v>
      </c>
      <c r="B3057" s="50">
        <v>408.04700000000003</v>
      </c>
      <c r="C3057" s="50">
        <v>5088.8</v>
      </c>
      <c r="D3057" s="51">
        <v>16387433.028414</v>
      </c>
      <c r="E3057" s="51">
        <v>2261782711</v>
      </c>
      <c r="F3057" s="52">
        <f t="shared" si="98"/>
        <v>-3.1906148687150934E-3</v>
      </c>
      <c r="G3057" s="52">
        <f t="shared" si="99"/>
        <v>3.4788317372660206E-4</v>
      </c>
    </row>
    <row r="3058" spans="1:7" ht="15" customHeight="1" x14ac:dyDescent="0.2">
      <c r="A3058" s="19" t="s">
        <v>3205</v>
      </c>
      <c r="B3058" s="50">
        <v>405.26299999999998</v>
      </c>
      <c r="C3058" s="50">
        <v>5069.53</v>
      </c>
      <c r="D3058" s="51">
        <v>16284483.867534</v>
      </c>
      <c r="E3058" s="51">
        <v>2259650376</v>
      </c>
      <c r="F3058" s="52">
        <f t="shared" si="98"/>
        <v>-6.8461247831651702E-3</v>
      </c>
      <c r="G3058" s="52">
        <f t="shared" si="99"/>
        <v>-3.7939352461026604E-3</v>
      </c>
    </row>
    <row r="3059" spans="1:7" ht="15" customHeight="1" x14ac:dyDescent="0.2">
      <c r="A3059" s="19" t="s">
        <v>3206</v>
      </c>
      <c r="B3059" s="50">
        <v>405.20299999999997</v>
      </c>
      <c r="C3059" s="50">
        <v>5078.18</v>
      </c>
      <c r="D3059" s="51">
        <v>14919178.117587</v>
      </c>
      <c r="E3059" s="51">
        <v>2154332795</v>
      </c>
      <c r="F3059" s="52">
        <f t="shared" si="98"/>
        <v>-1.4806296651459158E-4</v>
      </c>
      <c r="G3059" s="52">
        <f t="shared" si="99"/>
        <v>1.7048185442892359E-3</v>
      </c>
    </row>
    <row r="3060" spans="1:7" ht="15" customHeight="1" x14ac:dyDescent="0.2">
      <c r="A3060" s="19" t="s">
        <v>3207</v>
      </c>
      <c r="B3060" s="50">
        <v>405.44200000000001</v>
      </c>
      <c r="C3060" s="50">
        <v>5069.76</v>
      </c>
      <c r="D3060" s="51">
        <v>13257190.85437</v>
      </c>
      <c r="E3060" s="51">
        <v>2091422108</v>
      </c>
      <c r="F3060" s="52">
        <f t="shared" si="98"/>
        <v>5.8965393464430009E-4</v>
      </c>
      <c r="G3060" s="52">
        <f t="shared" si="99"/>
        <v>-1.659450476103029E-3</v>
      </c>
    </row>
    <row r="3061" spans="1:7" ht="15" customHeight="1" x14ac:dyDescent="0.2">
      <c r="A3061" s="19" t="s">
        <v>3208</v>
      </c>
      <c r="B3061" s="50">
        <v>411.32900000000001</v>
      </c>
      <c r="C3061" s="50">
        <v>5096.2700000000004</v>
      </c>
      <c r="D3061" s="51">
        <v>32126750.134413999</v>
      </c>
      <c r="E3061" s="51">
        <v>3317173868</v>
      </c>
      <c r="F3061" s="52">
        <f t="shared" si="98"/>
        <v>1.4415550862703345E-2</v>
      </c>
      <c r="G3061" s="52">
        <f t="shared" si="99"/>
        <v>5.2154203933401618E-3</v>
      </c>
    </row>
    <row r="3062" spans="1:7" ht="15" customHeight="1" x14ac:dyDescent="0.2">
      <c r="A3062" s="19" t="s">
        <v>3209</v>
      </c>
      <c r="B3062" s="50">
        <v>413.17899999999997</v>
      </c>
      <c r="C3062" s="50">
        <v>5137.08</v>
      </c>
      <c r="D3062" s="51">
        <v>17923581.248555001</v>
      </c>
      <c r="E3062" s="51">
        <v>2477695327</v>
      </c>
      <c r="F3062" s="52">
        <f t="shared" si="98"/>
        <v>4.4875322121770127E-3</v>
      </c>
      <c r="G3062" s="52">
        <f t="shared" si="99"/>
        <v>7.9759250577916968E-3</v>
      </c>
    </row>
    <row r="3063" spans="1:7" ht="15" customHeight="1" x14ac:dyDescent="0.2">
      <c r="A3063" s="19" t="s">
        <v>3210</v>
      </c>
      <c r="B3063" s="50">
        <v>412.60199999999998</v>
      </c>
      <c r="C3063" s="50">
        <v>5130.95</v>
      </c>
      <c r="D3063" s="51">
        <v>17694814.162581999</v>
      </c>
      <c r="E3063" s="51">
        <v>2818607654</v>
      </c>
      <c r="F3063" s="52">
        <f t="shared" si="98"/>
        <v>-1.3974651727330836E-3</v>
      </c>
      <c r="G3063" s="52">
        <f t="shared" si="99"/>
        <v>-1.1939974324694175E-3</v>
      </c>
    </row>
    <row r="3064" spans="1:7" ht="15" customHeight="1" x14ac:dyDescent="0.2">
      <c r="A3064" s="19" t="s">
        <v>3211</v>
      </c>
      <c r="B3064" s="50">
        <v>400.40100000000001</v>
      </c>
      <c r="C3064" s="50">
        <v>5078.6499999999996</v>
      </c>
      <c r="D3064" s="51">
        <v>27070415.180888999</v>
      </c>
      <c r="E3064" s="51">
        <v>2679706658</v>
      </c>
      <c r="F3064" s="52">
        <f t="shared" si="98"/>
        <v>-3.0016902994701989E-2</v>
      </c>
      <c r="G3064" s="52">
        <f t="shared" si="99"/>
        <v>-1.0245348981574391E-2</v>
      </c>
    </row>
    <row r="3065" spans="1:7" ht="15" customHeight="1" x14ac:dyDescent="0.2">
      <c r="A3065" s="19" t="s">
        <v>3212</v>
      </c>
      <c r="B3065" s="50">
        <v>399.84399999999999</v>
      </c>
      <c r="C3065" s="50">
        <v>5104.76</v>
      </c>
      <c r="D3065" s="51">
        <v>22469683.612305</v>
      </c>
      <c r="E3065" s="51">
        <v>2601927495</v>
      </c>
      <c r="F3065" s="52">
        <f t="shared" si="98"/>
        <v>-1.3920739022410665E-3</v>
      </c>
      <c r="G3065" s="52">
        <f t="shared" si="99"/>
        <v>5.1279595372516517E-3</v>
      </c>
    </row>
    <row r="3066" spans="1:7" ht="15" customHeight="1" x14ac:dyDescent="0.2">
      <c r="A3066" s="19" t="s">
        <v>3213</v>
      </c>
      <c r="B3066" s="50">
        <v>406.85399999999998</v>
      </c>
      <c r="C3066" s="50">
        <v>5157.3599999999997</v>
      </c>
      <c r="D3066" s="51">
        <v>18823643.75719</v>
      </c>
      <c r="E3066" s="51">
        <v>2385022115</v>
      </c>
      <c r="F3066" s="52">
        <f t="shared" si="98"/>
        <v>1.7379927689412964E-2</v>
      </c>
      <c r="G3066" s="52">
        <f t="shared" si="99"/>
        <v>1.0251382881397443E-2</v>
      </c>
    </row>
    <row r="3067" spans="1:7" ht="15" customHeight="1" x14ac:dyDescent="0.2">
      <c r="A3067" s="19" t="s">
        <v>3214</v>
      </c>
      <c r="B3067" s="50">
        <v>403.95</v>
      </c>
      <c r="C3067" s="50">
        <v>5123.6899999999996</v>
      </c>
      <c r="D3067" s="51">
        <v>18103326.456955999</v>
      </c>
      <c r="E3067" s="51">
        <v>2426961467</v>
      </c>
      <c r="F3067" s="52">
        <f t="shared" si="98"/>
        <v>-7.1632908018985624E-3</v>
      </c>
      <c r="G3067" s="52">
        <f t="shared" si="99"/>
        <v>-6.5499380656454595E-3</v>
      </c>
    </row>
    <row r="3068" spans="1:7" ht="15" customHeight="1" x14ac:dyDescent="0.2">
      <c r="A3068" s="19" t="s">
        <v>3215</v>
      </c>
      <c r="B3068" s="50">
        <v>402.26100000000002</v>
      </c>
      <c r="C3068" s="50">
        <v>5117.9399999999996</v>
      </c>
      <c r="D3068" s="51">
        <v>16211322.124304</v>
      </c>
      <c r="E3068" s="51">
        <v>2202734060</v>
      </c>
      <c r="F3068" s="52">
        <f t="shared" si="98"/>
        <v>-4.1899762493746414E-3</v>
      </c>
      <c r="G3068" s="52">
        <f t="shared" si="99"/>
        <v>-1.1228682551799477E-3</v>
      </c>
    </row>
    <row r="3069" spans="1:7" ht="15" customHeight="1" x14ac:dyDescent="0.2">
      <c r="A3069" s="19" t="s">
        <v>3216</v>
      </c>
      <c r="B3069" s="50">
        <v>412.959</v>
      </c>
      <c r="C3069" s="50">
        <v>5175.2700000000004</v>
      </c>
      <c r="D3069" s="51">
        <v>22583171.652256001</v>
      </c>
      <c r="E3069" s="51">
        <v>2310772429</v>
      </c>
      <c r="F3069" s="52">
        <f t="shared" si="98"/>
        <v>2.6247182748990846E-2</v>
      </c>
      <c r="G3069" s="52">
        <f t="shared" si="99"/>
        <v>1.1139497364012345E-2</v>
      </c>
    </row>
    <row r="3070" spans="1:7" ht="15" customHeight="1" x14ac:dyDescent="0.2">
      <c r="A3070" s="19" t="s">
        <v>3217</v>
      </c>
      <c r="B3070" s="50">
        <v>412.78199999999998</v>
      </c>
      <c r="C3070" s="50">
        <v>5165.3100000000004</v>
      </c>
      <c r="D3070" s="51">
        <v>17212092.270780001</v>
      </c>
      <c r="E3070" s="51">
        <v>2415696749</v>
      </c>
      <c r="F3070" s="52">
        <f t="shared" si="98"/>
        <v>-4.287058598541398E-4</v>
      </c>
      <c r="G3070" s="52">
        <f t="shared" si="99"/>
        <v>-1.926391571868686E-3</v>
      </c>
    </row>
    <row r="3071" spans="1:7" ht="15" customHeight="1" x14ac:dyDescent="0.2">
      <c r="A3071" s="19" t="s">
        <v>3218</v>
      </c>
      <c r="B3071" s="50">
        <v>422.84399999999999</v>
      </c>
      <c r="C3071" s="50">
        <v>5150.4799999999996</v>
      </c>
      <c r="D3071" s="51">
        <v>34349202.629329003</v>
      </c>
      <c r="E3071" s="51">
        <v>2640696835</v>
      </c>
      <c r="F3071" s="52">
        <f t="shared" si="98"/>
        <v>2.4083708133205043E-2</v>
      </c>
      <c r="G3071" s="52">
        <f t="shared" si="99"/>
        <v>-2.8752059156686048E-3</v>
      </c>
    </row>
    <row r="3072" spans="1:7" ht="15" customHeight="1" x14ac:dyDescent="0.2">
      <c r="A3072" s="19" t="s">
        <v>3219</v>
      </c>
      <c r="B3072" s="50">
        <v>414.09300000000002</v>
      </c>
      <c r="C3072" s="50">
        <v>5117.09</v>
      </c>
      <c r="D3072" s="51">
        <v>45333172.352342002</v>
      </c>
      <c r="E3072" s="51">
        <v>5130706705</v>
      </c>
      <c r="F3072" s="52">
        <f t="shared" si="98"/>
        <v>-2.0912730419477017E-2</v>
      </c>
      <c r="G3072" s="52">
        <f t="shared" si="99"/>
        <v>-6.5039961169264899E-3</v>
      </c>
    </row>
    <row r="3073" spans="1:7" ht="15" customHeight="1" x14ac:dyDescent="0.2">
      <c r="A3073" s="19" t="s">
        <v>3220</v>
      </c>
      <c r="B3073" s="50">
        <v>414.98899999999998</v>
      </c>
      <c r="C3073" s="50">
        <v>5149.42</v>
      </c>
      <c r="D3073" s="51">
        <v>20218937.042815</v>
      </c>
      <c r="E3073" s="51">
        <v>2399639733</v>
      </c>
      <c r="F3073" s="52">
        <f t="shared" si="98"/>
        <v>2.1614275761031427E-3</v>
      </c>
      <c r="G3073" s="52">
        <f t="shared" si="99"/>
        <v>6.2981688751588584E-3</v>
      </c>
    </row>
    <row r="3074" spans="1:7" ht="15" customHeight="1" x14ac:dyDescent="0.2">
      <c r="A3074" s="19" t="s">
        <v>3221</v>
      </c>
      <c r="B3074" s="50">
        <v>419.05500000000001</v>
      </c>
      <c r="C3074" s="50">
        <v>5178.51</v>
      </c>
      <c r="D3074" s="51">
        <v>19949369.008317001</v>
      </c>
      <c r="E3074" s="51">
        <v>2203396793</v>
      </c>
      <c r="F3074" s="52">
        <f t="shared" si="98"/>
        <v>9.7501623688091513E-3</v>
      </c>
      <c r="G3074" s="52">
        <f t="shared" si="99"/>
        <v>5.6332831318901015E-3</v>
      </c>
    </row>
    <row r="3075" spans="1:7" ht="15" customHeight="1" x14ac:dyDescent="0.2">
      <c r="A3075" s="19" t="s">
        <v>3222</v>
      </c>
      <c r="B3075" s="50">
        <v>422.85399999999998</v>
      </c>
      <c r="C3075" s="50">
        <v>5224.62</v>
      </c>
      <c r="D3075" s="51">
        <v>17960427.100575</v>
      </c>
      <c r="E3075" s="51">
        <v>2325178060</v>
      </c>
      <c r="F3075" s="52">
        <f t="shared" si="98"/>
        <v>9.0247895786194458E-3</v>
      </c>
      <c r="G3075" s="52">
        <f t="shared" si="99"/>
        <v>8.8646978273410684E-3</v>
      </c>
    </row>
    <row r="3076" spans="1:7" ht="15" customHeight="1" x14ac:dyDescent="0.2">
      <c r="A3076" s="19" t="s">
        <v>3223</v>
      </c>
      <c r="B3076" s="50">
        <v>426.971</v>
      </c>
      <c r="C3076" s="50">
        <v>5241.53</v>
      </c>
      <c r="D3076" s="51">
        <v>21415869.115329001</v>
      </c>
      <c r="E3076" s="51">
        <v>2526285033</v>
      </c>
      <c r="F3076" s="52">
        <f t="shared" si="98"/>
        <v>9.6891294286433737E-3</v>
      </c>
      <c r="G3076" s="52">
        <f t="shared" si="99"/>
        <v>3.2313725131378058E-3</v>
      </c>
    </row>
    <row r="3077" spans="1:7" ht="15" customHeight="1" x14ac:dyDescent="0.2">
      <c r="A3077" s="19" t="s">
        <v>3224</v>
      </c>
      <c r="B3077" s="50">
        <v>426.34500000000003</v>
      </c>
      <c r="C3077" s="50">
        <v>5234.18</v>
      </c>
      <c r="D3077" s="51">
        <v>17747626.215271</v>
      </c>
      <c r="E3077" s="51">
        <v>2016955324</v>
      </c>
      <c r="F3077" s="52">
        <f t="shared" si="98"/>
        <v>-1.4672175660612593E-3</v>
      </c>
      <c r="G3077" s="52">
        <f t="shared" si="99"/>
        <v>-1.4032464064151588E-3</v>
      </c>
    </row>
    <row r="3078" spans="1:7" ht="15" customHeight="1" x14ac:dyDescent="0.2">
      <c r="A3078" s="19" t="s">
        <v>3225</v>
      </c>
      <c r="B3078" s="50">
        <v>420.49799999999999</v>
      </c>
      <c r="C3078" s="50">
        <v>5218.1899999999996</v>
      </c>
      <c r="D3078" s="51">
        <v>18161917.797623999</v>
      </c>
      <c r="E3078" s="51">
        <v>2087907897</v>
      </c>
      <c r="F3078" s="52">
        <f t="shared" ref="F3078:F3141" si="100">LN(B3078/B3077)</f>
        <v>-1.3809154506198433E-2</v>
      </c>
      <c r="G3078" s="52">
        <f t="shared" ref="G3078:G3141" si="101">LN(C3078/C3077)</f>
        <v>-3.0595955699421543E-3</v>
      </c>
    </row>
    <row r="3079" spans="1:7" ht="15" customHeight="1" x14ac:dyDescent="0.2">
      <c r="A3079" s="19" t="s">
        <v>3226</v>
      </c>
      <c r="B3079" s="50">
        <v>419.29500000000002</v>
      </c>
      <c r="C3079" s="50">
        <v>5203.58</v>
      </c>
      <c r="D3079" s="51">
        <v>16819615.564732999</v>
      </c>
      <c r="E3079" s="51">
        <v>2263813090</v>
      </c>
      <c r="F3079" s="52">
        <f t="shared" si="100"/>
        <v>-2.8649936898040278E-3</v>
      </c>
      <c r="G3079" s="52">
        <f t="shared" si="101"/>
        <v>-2.8037482252575453E-3</v>
      </c>
    </row>
    <row r="3080" spans="1:7" ht="15" customHeight="1" x14ac:dyDescent="0.2">
      <c r="A3080" s="19" t="s">
        <v>3227</v>
      </c>
      <c r="B3080" s="50">
        <v>419.07499999999999</v>
      </c>
      <c r="C3080" s="50">
        <v>5248.49</v>
      </c>
      <c r="D3080" s="51">
        <v>16798830.441496</v>
      </c>
      <c r="E3080" s="51">
        <v>2286418193</v>
      </c>
      <c r="F3080" s="52">
        <f t="shared" si="100"/>
        <v>-5.2482795197784373E-4</v>
      </c>
      <c r="G3080" s="52">
        <f t="shared" si="101"/>
        <v>8.5935659407079552E-3</v>
      </c>
    </row>
    <row r="3081" spans="1:7" ht="15" customHeight="1" x14ac:dyDescent="0.2">
      <c r="A3081" s="19" t="s">
        <v>3228</v>
      </c>
      <c r="B3081" s="50">
        <v>418.37</v>
      </c>
      <c r="C3081" s="50">
        <v>5254.35</v>
      </c>
      <c r="D3081" s="51">
        <v>21994038.256000999</v>
      </c>
      <c r="E3081" s="51">
        <v>2404021251</v>
      </c>
      <c r="F3081" s="52">
        <f t="shared" si="100"/>
        <v>-1.683693058160903E-3</v>
      </c>
      <c r="G3081" s="52">
        <f t="shared" si="101"/>
        <v>1.1158887706710923E-3</v>
      </c>
    </row>
    <row r="3082" spans="1:7" ht="15" customHeight="1" x14ac:dyDescent="0.2">
      <c r="A3082" s="19" t="s">
        <v>3229</v>
      </c>
      <c r="B3082" s="50">
        <v>422.19900000000001</v>
      </c>
      <c r="C3082" s="50">
        <v>5243.77</v>
      </c>
      <c r="D3082" s="51">
        <v>16407627.853749</v>
      </c>
      <c r="E3082" s="51">
        <v>1976432105</v>
      </c>
      <c r="F3082" s="52">
        <f t="shared" si="100"/>
        <v>9.1105584065217168E-3</v>
      </c>
      <c r="G3082" s="52">
        <f t="shared" si="101"/>
        <v>-2.0155996658250933E-3</v>
      </c>
    </row>
    <row r="3083" spans="1:7" ht="15" customHeight="1" x14ac:dyDescent="0.2">
      <c r="A3083" s="19" t="s">
        <v>3230</v>
      </c>
      <c r="B3083" s="50">
        <v>419.08499999999998</v>
      </c>
      <c r="C3083" s="50">
        <v>5205.8100000000004</v>
      </c>
      <c r="D3083" s="51">
        <v>18012625.726142</v>
      </c>
      <c r="E3083" s="51">
        <v>2374146858</v>
      </c>
      <c r="F3083" s="52">
        <f t="shared" si="100"/>
        <v>-7.4030035558618349E-3</v>
      </c>
      <c r="G3083" s="52">
        <f t="shared" si="101"/>
        <v>-7.2653957344673645E-3</v>
      </c>
    </row>
    <row r="3084" spans="1:7" ht="15" customHeight="1" x14ac:dyDescent="0.2">
      <c r="A3084" s="19" t="s">
        <v>3231</v>
      </c>
      <c r="B3084" s="50">
        <v>418.101</v>
      </c>
      <c r="C3084" s="50">
        <v>5211.49</v>
      </c>
      <c r="D3084" s="51">
        <v>16594977.547219999</v>
      </c>
      <c r="E3084" s="51">
        <v>2287219066</v>
      </c>
      <c r="F3084" s="52">
        <f t="shared" si="100"/>
        <v>-2.3507331778781599E-3</v>
      </c>
      <c r="G3084" s="52">
        <f t="shared" si="101"/>
        <v>1.0904938060488179E-3</v>
      </c>
    </row>
    <row r="3085" spans="1:7" ht="15" customHeight="1" x14ac:dyDescent="0.2">
      <c r="A3085" s="19" t="s">
        <v>3232</v>
      </c>
      <c r="B3085" s="50">
        <v>415.54599999999999</v>
      </c>
      <c r="C3085" s="50">
        <v>5147.21</v>
      </c>
      <c r="D3085" s="51">
        <v>19479705.069256</v>
      </c>
      <c r="E3085" s="51">
        <v>2526870842</v>
      </c>
      <c r="F3085" s="52">
        <f t="shared" si="100"/>
        <v>-6.1297119763916285E-3</v>
      </c>
      <c r="G3085" s="52">
        <f t="shared" si="101"/>
        <v>-1.2410983057457463E-2</v>
      </c>
    </row>
    <row r="3086" spans="1:7" ht="15" customHeight="1" x14ac:dyDescent="0.2">
      <c r="A3086" s="19" t="s">
        <v>3233</v>
      </c>
      <c r="B3086" s="50">
        <v>423.14299999999997</v>
      </c>
      <c r="C3086" s="50">
        <v>5204.34</v>
      </c>
      <c r="D3086" s="51">
        <v>16647769.487544</v>
      </c>
      <c r="E3086" s="51">
        <v>2189563251</v>
      </c>
      <c r="F3086" s="52">
        <f t="shared" si="100"/>
        <v>1.8116865226526117E-2</v>
      </c>
      <c r="G3086" s="52">
        <f t="shared" si="101"/>
        <v>1.1038072569656417E-2</v>
      </c>
    </row>
    <row r="3087" spans="1:7" ht="15" customHeight="1" x14ac:dyDescent="0.2">
      <c r="A3087" s="19" t="s">
        <v>3234</v>
      </c>
      <c r="B3087" s="50">
        <v>422.28699999999998</v>
      </c>
      <c r="C3087" s="50">
        <v>5202.3900000000003</v>
      </c>
      <c r="D3087" s="51">
        <v>14341271.443273</v>
      </c>
      <c r="E3087" s="51">
        <v>2000910024</v>
      </c>
      <c r="F3087" s="52">
        <f t="shared" si="100"/>
        <v>-2.0250057190136753E-3</v>
      </c>
      <c r="G3087" s="52">
        <f t="shared" si="101"/>
        <v>-3.747574930495873E-4</v>
      </c>
    </row>
    <row r="3088" spans="1:7" ht="15" customHeight="1" x14ac:dyDescent="0.2">
      <c r="A3088" s="19" t="s">
        <v>3235</v>
      </c>
      <c r="B3088" s="50">
        <v>423.89800000000002</v>
      </c>
      <c r="C3088" s="50">
        <v>5209.91</v>
      </c>
      <c r="D3088" s="51">
        <v>12582585.942105999</v>
      </c>
      <c r="E3088" s="51">
        <v>2035068912</v>
      </c>
      <c r="F3088" s="52">
        <f t="shared" si="100"/>
        <v>3.8076825904879573E-3</v>
      </c>
      <c r="G3088" s="52">
        <f t="shared" si="101"/>
        <v>1.4444457627020377E-3</v>
      </c>
    </row>
    <row r="3089" spans="1:7" ht="15" customHeight="1" x14ac:dyDescent="0.2">
      <c r="A3089" s="19" t="s">
        <v>3236</v>
      </c>
      <c r="B3089" s="50">
        <v>420.89600000000002</v>
      </c>
      <c r="C3089" s="50">
        <v>5160.6400000000003</v>
      </c>
      <c r="D3089" s="51">
        <v>16307689.513854999</v>
      </c>
      <c r="E3089" s="51">
        <v>2297703488</v>
      </c>
      <c r="F3089" s="52">
        <f t="shared" si="100"/>
        <v>-7.1070879672030674E-3</v>
      </c>
      <c r="G3089" s="52">
        <f t="shared" si="101"/>
        <v>-9.5019783338873547E-3</v>
      </c>
    </row>
    <row r="3090" spans="1:7" ht="15" customHeight="1" x14ac:dyDescent="0.2">
      <c r="A3090" s="19" t="s">
        <v>3237</v>
      </c>
      <c r="B3090" s="50">
        <v>425.53899999999999</v>
      </c>
      <c r="C3090" s="50">
        <v>5199.0600000000004</v>
      </c>
      <c r="D3090" s="51">
        <v>18067362.532125998</v>
      </c>
      <c r="E3090" s="51">
        <v>2225501129</v>
      </c>
      <c r="F3090" s="52">
        <f t="shared" si="100"/>
        <v>1.097082840109162E-2</v>
      </c>
      <c r="G3090" s="52">
        <f t="shared" si="101"/>
        <v>7.4172372058720279E-3</v>
      </c>
    </row>
    <row r="3091" spans="1:7" ht="15" customHeight="1" x14ac:dyDescent="0.2">
      <c r="A3091" s="19" t="s">
        <v>3238</v>
      </c>
      <c r="B3091" s="50">
        <v>419.54199999999997</v>
      </c>
      <c r="C3091" s="50">
        <v>5123.41</v>
      </c>
      <c r="D3091" s="51">
        <v>19361922.033836</v>
      </c>
      <c r="E3091" s="51">
        <v>2437575759</v>
      </c>
      <c r="F3091" s="52">
        <f t="shared" si="100"/>
        <v>-1.4192960602279101E-2</v>
      </c>
      <c r="G3091" s="52">
        <f t="shared" si="101"/>
        <v>-1.4657607029448559E-2</v>
      </c>
    </row>
    <row r="3092" spans="1:7" ht="15" customHeight="1" x14ac:dyDescent="0.2">
      <c r="A3092" s="19" t="s">
        <v>3239</v>
      </c>
      <c r="B3092" s="50">
        <v>411.32900000000001</v>
      </c>
      <c r="C3092" s="50">
        <v>5061.82</v>
      </c>
      <c r="D3092" s="51">
        <v>20387439.439383</v>
      </c>
      <c r="E3092" s="51">
        <v>2319451668</v>
      </c>
      <c r="F3092" s="52">
        <f t="shared" si="100"/>
        <v>-1.9770259189478202E-2</v>
      </c>
      <c r="G3092" s="52">
        <f t="shared" si="101"/>
        <v>-1.2094130563305876E-2</v>
      </c>
    </row>
    <row r="3093" spans="1:7" ht="15" customHeight="1" x14ac:dyDescent="0.2">
      <c r="A3093" s="19" t="s">
        <v>3240</v>
      </c>
      <c r="B3093" s="50">
        <v>412.26400000000001</v>
      </c>
      <c r="C3093" s="50">
        <v>5051.41</v>
      </c>
      <c r="D3093" s="51">
        <v>16859809.119846001</v>
      </c>
      <c r="E3093" s="51">
        <v>2347349557</v>
      </c>
      <c r="F3093" s="52">
        <f t="shared" si="100"/>
        <v>2.2705399431219141E-3</v>
      </c>
      <c r="G3093" s="52">
        <f t="shared" si="101"/>
        <v>-2.0586901863485071E-3</v>
      </c>
    </row>
    <row r="3094" spans="1:7" ht="15" customHeight="1" x14ac:dyDescent="0.2">
      <c r="A3094" s="19" t="s">
        <v>3241</v>
      </c>
      <c r="B3094" s="50">
        <v>409.53800000000001</v>
      </c>
      <c r="C3094" s="50">
        <v>5022.21</v>
      </c>
      <c r="D3094" s="51">
        <v>15944564.792763</v>
      </c>
      <c r="E3094" s="51">
        <v>2295627862</v>
      </c>
      <c r="F3094" s="52">
        <f t="shared" si="100"/>
        <v>-6.6342257581951461E-3</v>
      </c>
      <c r="G3094" s="52">
        <f t="shared" si="101"/>
        <v>-5.797336366096615E-3</v>
      </c>
    </row>
    <row r="3095" spans="1:7" ht="15" customHeight="1" x14ac:dyDescent="0.2">
      <c r="A3095" s="19" t="s">
        <v>3242</v>
      </c>
      <c r="B3095" s="50">
        <v>402.01100000000002</v>
      </c>
      <c r="C3095" s="50">
        <v>5011.12</v>
      </c>
      <c r="D3095" s="51">
        <v>21148067.952064</v>
      </c>
      <c r="E3095" s="51">
        <v>2217368600</v>
      </c>
      <c r="F3095" s="52">
        <f t="shared" si="100"/>
        <v>-1.8550243651893526E-2</v>
      </c>
      <c r="G3095" s="52">
        <f t="shared" si="101"/>
        <v>-2.2106328639260849E-3</v>
      </c>
    </row>
    <row r="3096" spans="1:7" ht="15" customHeight="1" x14ac:dyDescent="0.2">
      <c r="A3096" s="19" t="s">
        <v>3243</v>
      </c>
      <c r="B3096" s="50">
        <v>396.89</v>
      </c>
      <c r="C3096" s="50">
        <v>4967.2299999999996</v>
      </c>
      <c r="D3096" s="51">
        <v>30167538.324081998</v>
      </c>
      <c r="E3096" s="51">
        <v>2735280288</v>
      </c>
      <c r="F3096" s="52">
        <f t="shared" si="100"/>
        <v>-1.2820287220412455E-2</v>
      </c>
      <c r="G3096" s="52">
        <f t="shared" si="101"/>
        <v>-8.7971023365461913E-3</v>
      </c>
    </row>
    <row r="3097" spans="1:7" ht="15" customHeight="1" x14ac:dyDescent="0.2">
      <c r="A3097" s="19" t="s">
        <v>3244</v>
      </c>
      <c r="B3097" s="50">
        <v>398.72</v>
      </c>
      <c r="C3097" s="50">
        <v>5010.6000000000004</v>
      </c>
      <c r="D3097" s="51">
        <v>20400851.369743001</v>
      </c>
      <c r="E3097" s="51">
        <v>2352808739</v>
      </c>
      <c r="F3097" s="52">
        <f t="shared" si="100"/>
        <v>4.6002519507105594E-3</v>
      </c>
      <c r="G3097" s="52">
        <f t="shared" si="101"/>
        <v>8.6933277348877659E-3</v>
      </c>
    </row>
    <row r="3098" spans="1:7" ht="15" customHeight="1" x14ac:dyDescent="0.2">
      <c r="A3098" s="19" t="s">
        <v>3245</v>
      </c>
      <c r="B3098" s="50">
        <v>405.29300000000001</v>
      </c>
      <c r="C3098" s="50">
        <v>5070.55</v>
      </c>
      <c r="D3098" s="51">
        <v>15822901.076586001</v>
      </c>
      <c r="E3098" s="51">
        <v>2346599683</v>
      </c>
      <c r="F3098" s="52">
        <f t="shared" si="100"/>
        <v>1.6350846168913503E-2</v>
      </c>
      <c r="G3098" s="52">
        <f t="shared" si="101"/>
        <v>1.1893624576650831E-2</v>
      </c>
    </row>
    <row r="3099" spans="1:7" ht="15" customHeight="1" x14ac:dyDescent="0.2">
      <c r="A3099" s="19" t="s">
        <v>3246</v>
      </c>
      <c r="B3099" s="50">
        <v>406.77499999999998</v>
      </c>
      <c r="C3099" s="50">
        <v>5071.63</v>
      </c>
      <c r="D3099" s="51">
        <v>15149970.518679</v>
      </c>
      <c r="E3099" s="51">
        <v>2548618761</v>
      </c>
      <c r="F3099" s="52">
        <f t="shared" si="100"/>
        <v>3.649944697435497E-3</v>
      </c>
      <c r="G3099" s="52">
        <f t="shared" si="101"/>
        <v>2.1297196541228134E-4</v>
      </c>
    </row>
    <row r="3100" spans="1:7" ht="15" customHeight="1" x14ac:dyDescent="0.2">
      <c r="A3100" s="19" t="s">
        <v>3247</v>
      </c>
      <c r="B3100" s="50">
        <v>396.81099999999998</v>
      </c>
      <c r="C3100" s="50">
        <v>5048.42</v>
      </c>
      <c r="D3100" s="51">
        <v>40814474.091031998</v>
      </c>
      <c r="E3100" s="51">
        <v>2714067024</v>
      </c>
      <c r="F3100" s="52">
        <f t="shared" si="100"/>
        <v>-2.4800110224712638E-2</v>
      </c>
      <c r="G3100" s="52">
        <f t="shared" si="101"/>
        <v>-4.5869419014574458E-3</v>
      </c>
    </row>
    <row r="3101" spans="1:7" ht="15" customHeight="1" x14ac:dyDescent="0.2">
      <c r="A3101" s="19" t="s">
        <v>3248</v>
      </c>
      <c r="B3101" s="50">
        <v>404.04899999999998</v>
      </c>
      <c r="C3101" s="50">
        <v>5099.96</v>
      </c>
      <c r="D3101" s="51">
        <v>29861485.454509001</v>
      </c>
      <c r="E3101" s="51">
        <v>2411681661</v>
      </c>
      <c r="F3101" s="52">
        <f t="shared" si="100"/>
        <v>1.807606093450391E-2</v>
      </c>
      <c r="G3101" s="52">
        <f t="shared" si="101"/>
        <v>1.0157373516560254E-2</v>
      </c>
    </row>
    <row r="3102" spans="1:7" ht="15" customHeight="1" x14ac:dyDescent="0.2">
      <c r="A3102" s="19" t="s">
        <v>3249</v>
      </c>
      <c r="B3102" s="50">
        <v>400.00299999999999</v>
      </c>
      <c r="C3102" s="50">
        <v>5116.17</v>
      </c>
      <c r="D3102" s="51">
        <v>19692107.729740001</v>
      </c>
      <c r="E3102" s="51">
        <v>2358542839</v>
      </c>
      <c r="F3102" s="52">
        <f t="shared" si="100"/>
        <v>-1.0064110655316693E-2</v>
      </c>
      <c r="G3102" s="52">
        <f t="shared" si="101"/>
        <v>3.1734156874775382E-3</v>
      </c>
    </row>
    <row r="3103" spans="1:7" ht="15" customHeight="1" x14ac:dyDescent="0.2">
      <c r="A3103" s="19" t="s">
        <v>3250</v>
      </c>
      <c r="B3103" s="50">
        <v>387.15499999999997</v>
      </c>
      <c r="C3103" s="50">
        <v>5035.6899999999996</v>
      </c>
      <c r="D3103" s="51">
        <v>28943074.435612999</v>
      </c>
      <c r="E3103" s="51">
        <v>2794500429</v>
      </c>
      <c r="F3103" s="52">
        <f t="shared" si="100"/>
        <v>-3.2646917439651896E-2</v>
      </c>
      <c r="G3103" s="52">
        <f t="shared" si="101"/>
        <v>-1.5855554753445709E-2</v>
      </c>
    </row>
    <row r="3104" spans="1:7" ht="15" customHeight="1" x14ac:dyDescent="0.2">
      <c r="A3104" s="19" t="s">
        <v>3251</v>
      </c>
      <c r="B3104" s="50">
        <v>392.73399999999998</v>
      </c>
      <c r="C3104" s="50">
        <v>5018.3900000000003</v>
      </c>
      <c r="D3104" s="51">
        <v>23694860.484101001</v>
      </c>
      <c r="E3104" s="51">
        <v>2897659203</v>
      </c>
      <c r="F3104" s="52">
        <f t="shared" si="100"/>
        <v>1.4307408282499486E-2</v>
      </c>
      <c r="G3104" s="52">
        <f t="shared" si="101"/>
        <v>-3.4413923648739225E-3</v>
      </c>
    </row>
    <row r="3105" spans="1:7" ht="15" customHeight="1" x14ac:dyDescent="0.2">
      <c r="A3105" s="19" t="s">
        <v>3252</v>
      </c>
      <c r="B3105" s="50">
        <v>395.61799999999999</v>
      </c>
      <c r="C3105" s="50">
        <v>5064.2</v>
      </c>
      <c r="D3105" s="51">
        <v>17808859.315033998</v>
      </c>
      <c r="E3105" s="51">
        <v>2623809616</v>
      </c>
      <c r="F3105" s="52">
        <f t="shared" si="100"/>
        <v>7.3165612962969358E-3</v>
      </c>
      <c r="G3105" s="52">
        <f t="shared" si="101"/>
        <v>9.0870134013374317E-3</v>
      </c>
    </row>
    <row r="3106" spans="1:7" ht="15" customHeight="1" x14ac:dyDescent="0.2">
      <c r="A3106" s="19" t="s">
        <v>3253</v>
      </c>
      <c r="B3106" s="50">
        <v>404.38900000000001</v>
      </c>
      <c r="C3106" s="50">
        <v>5127.79</v>
      </c>
      <c r="D3106" s="51">
        <v>17544743.742587999</v>
      </c>
      <c r="E3106" s="51">
        <v>2454686447</v>
      </c>
      <c r="F3106" s="52">
        <f t="shared" si="100"/>
        <v>2.1928186766070838E-2</v>
      </c>
      <c r="G3106" s="52">
        <f t="shared" si="101"/>
        <v>1.247858860899914E-2</v>
      </c>
    </row>
    <row r="3107" spans="1:7" ht="15" customHeight="1" x14ac:dyDescent="0.2">
      <c r="A3107" s="19" t="s">
        <v>3254</v>
      </c>
      <c r="B3107" s="50">
        <v>411.22899999999998</v>
      </c>
      <c r="C3107" s="50">
        <v>5180.74</v>
      </c>
      <c r="D3107" s="51">
        <v>17092130.060651001</v>
      </c>
      <c r="E3107" s="51">
        <v>2196280800</v>
      </c>
      <c r="F3107" s="52">
        <f t="shared" si="100"/>
        <v>1.677295096092029E-2</v>
      </c>
      <c r="G3107" s="52">
        <f t="shared" si="101"/>
        <v>1.0273136069376812E-2</v>
      </c>
    </row>
    <row r="3108" spans="1:7" ht="15" customHeight="1" x14ac:dyDescent="0.2">
      <c r="A3108" s="19" t="s">
        <v>3255</v>
      </c>
      <c r="B3108" s="50">
        <v>407.053</v>
      </c>
      <c r="C3108" s="50">
        <v>5187.7</v>
      </c>
      <c r="D3108" s="51">
        <v>20130695.048578002</v>
      </c>
      <c r="E3108" s="51">
        <v>2293458854</v>
      </c>
      <c r="F3108" s="52">
        <f t="shared" si="100"/>
        <v>-1.0206838851211894E-2</v>
      </c>
      <c r="G3108" s="52">
        <f t="shared" si="101"/>
        <v>1.3425358193505205E-3</v>
      </c>
    </row>
    <row r="3109" spans="1:7" ht="15" customHeight="1" x14ac:dyDescent="0.2">
      <c r="A3109" s="19" t="s">
        <v>3256</v>
      </c>
      <c r="B3109" s="50">
        <v>408.24700000000001</v>
      </c>
      <c r="C3109" s="50">
        <v>5187.67</v>
      </c>
      <c r="D3109" s="51">
        <v>11858559.921832999</v>
      </c>
      <c r="E3109" s="51">
        <v>2107757418</v>
      </c>
      <c r="F3109" s="52">
        <f t="shared" si="100"/>
        <v>2.9289852903370654E-3</v>
      </c>
      <c r="G3109" s="52">
        <f t="shared" si="101"/>
        <v>-5.7829262956225704E-6</v>
      </c>
    </row>
    <row r="3110" spans="1:7" ht="15" customHeight="1" x14ac:dyDescent="0.2">
      <c r="A3110" s="19" t="s">
        <v>3257</v>
      </c>
      <c r="B3110" s="50">
        <v>410.017</v>
      </c>
      <c r="C3110" s="50">
        <v>5214.08</v>
      </c>
      <c r="D3110" s="51">
        <v>14772257.293896001</v>
      </c>
      <c r="E3110" s="51">
        <v>1975552229</v>
      </c>
      <c r="F3110" s="52">
        <f t="shared" si="100"/>
        <v>4.3262388682863157E-3</v>
      </c>
      <c r="G3110" s="52">
        <f t="shared" si="101"/>
        <v>5.0780025958913483E-3</v>
      </c>
    </row>
    <row r="3111" spans="1:7" ht="15" customHeight="1" x14ac:dyDescent="0.2">
      <c r="A3111" s="19" t="s">
        <v>3258</v>
      </c>
      <c r="B3111" s="50">
        <v>412.42200000000003</v>
      </c>
      <c r="C3111" s="50">
        <v>5222.68</v>
      </c>
      <c r="D3111" s="51">
        <v>13477578.123616001</v>
      </c>
      <c r="E3111" s="51">
        <v>1878510189</v>
      </c>
      <c r="F3111" s="52">
        <f t="shared" si="100"/>
        <v>5.848474732300944E-3</v>
      </c>
      <c r="G3111" s="52">
        <f t="shared" si="101"/>
        <v>1.6480214063461682E-3</v>
      </c>
    </row>
    <row r="3112" spans="1:7" ht="15" customHeight="1" x14ac:dyDescent="0.2">
      <c r="A3112" s="19" t="s">
        <v>3259</v>
      </c>
      <c r="B3112" s="50">
        <v>411.40899999999999</v>
      </c>
      <c r="C3112" s="50">
        <v>5221.42</v>
      </c>
      <c r="D3112" s="51">
        <v>15526972.771373</v>
      </c>
      <c r="E3112" s="51">
        <v>1961589631</v>
      </c>
      <c r="F3112" s="52">
        <f t="shared" si="100"/>
        <v>-2.459243486932927E-3</v>
      </c>
      <c r="G3112" s="52">
        <f t="shared" si="101"/>
        <v>-2.4128455417182781E-4</v>
      </c>
    </row>
    <row r="3113" spans="1:7" ht="15" customHeight="1" x14ac:dyDescent="0.2">
      <c r="A3113" s="19" t="s">
        <v>3260</v>
      </c>
      <c r="B3113" s="50">
        <v>414.233</v>
      </c>
      <c r="C3113" s="50">
        <v>5246.68</v>
      </c>
      <c r="D3113" s="51">
        <v>15194193.586048</v>
      </c>
      <c r="E3113" s="51">
        <v>2035819885</v>
      </c>
      <c r="F3113" s="52">
        <f t="shared" si="100"/>
        <v>6.840763945298688E-3</v>
      </c>
      <c r="G3113" s="52">
        <f t="shared" si="101"/>
        <v>4.8261000617198218E-3</v>
      </c>
    </row>
    <row r="3114" spans="1:7" ht="15" customHeight="1" x14ac:dyDescent="0.2">
      <c r="A3114" s="19" t="s">
        <v>3261</v>
      </c>
      <c r="B3114" s="50">
        <v>421.47500000000002</v>
      </c>
      <c r="C3114" s="50">
        <v>5308.15</v>
      </c>
      <c r="D3114" s="51">
        <v>22324213.483964998</v>
      </c>
      <c r="E3114" s="51">
        <v>2316274995</v>
      </c>
      <c r="F3114" s="52">
        <f t="shared" si="100"/>
        <v>1.7331846257794294E-2</v>
      </c>
      <c r="G3114" s="52">
        <f t="shared" si="101"/>
        <v>1.1647879688045933E-2</v>
      </c>
    </row>
    <row r="3115" spans="1:7" ht="15" customHeight="1" x14ac:dyDescent="0.2">
      <c r="A3115" s="19" t="s">
        <v>3262</v>
      </c>
      <c r="B3115" s="50">
        <v>419.39400000000001</v>
      </c>
      <c r="C3115" s="50">
        <v>5297.1</v>
      </c>
      <c r="D3115" s="51">
        <v>17596798.394308999</v>
      </c>
      <c r="E3115" s="51">
        <v>2208658193</v>
      </c>
      <c r="F3115" s="52">
        <f t="shared" si="100"/>
        <v>-4.9496514880245212E-3</v>
      </c>
      <c r="G3115" s="52">
        <f t="shared" si="101"/>
        <v>-2.08387430730016E-3</v>
      </c>
    </row>
    <row r="3116" spans="1:7" ht="15" customHeight="1" x14ac:dyDescent="0.2">
      <c r="A3116" s="19" t="s">
        <v>3263</v>
      </c>
      <c r="B3116" s="50">
        <v>418.61599999999999</v>
      </c>
      <c r="C3116" s="50">
        <v>5303.27</v>
      </c>
      <c r="D3116" s="51">
        <v>15410695.039903</v>
      </c>
      <c r="E3116" s="51">
        <v>1970449920</v>
      </c>
      <c r="F3116" s="52">
        <f t="shared" si="100"/>
        <v>-1.8567802854895787E-3</v>
      </c>
      <c r="G3116" s="52">
        <f t="shared" si="101"/>
        <v>1.1641104408194052E-3</v>
      </c>
    </row>
    <row r="3117" spans="1:7" ht="15" customHeight="1" x14ac:dyDescent="0.2">
      <c r="A3117" s="19" t="s">
        <v>3264</v>
      </c>
      <c r="B3117" s="50">
        <v>423.72699999999998</v>
      </c>
      <c r="C3117" s="50">
        <v>5308.13</v>
      </c>
      <c r="D3117" s="51">
        <v>16334095.694739999</v>
      </c>
      <c r="E3117" s="51">
        <v>1850085770</v>
      </c>
      <c r="F3117" s="52">
        <f t="shared" si="100"/>
        <v>1.2135348007108094E-2</v>
      </c>
      <c r="G3117" s="52">
        <f t="shared" si="101"/>
        <v>9.159960683443537E-4</v>
      </c>
    </row>
    <row r="3118" spans="1:7" ht="15" customHeight="1" x14ac:dyDescent="0.2">
      <c r="A3118" s="19" t="s">
        <v>3265</v>
      </c>
      <c r="B3118" s="50">
        <v>427.41199999999998</v>
      </c>
      <c r="C3118" s="50">
        <v>5321.41</v>
      </c>
      <c r="D3118" s="51">
        <v>21534941.608079001</v>
      </c>
      <c r="E3118" s="51">
        <v>1989595940</v>
      </c>
      <c r="F3118" s="52">
        <f t="shared" si="100"/>
        <v>8.6590392985415338E-3</v>
      </c>
      <c r="G3118" s="52">
        <f t="shared" si="101"/>
        <v>2.498698327390512E-3</v>
      </c>
    </row>
    <row r="3119" spans="1:7" ht="15" customHeight="1" x14ac:dyDescent="0.2">
      <c r="A3119" s="19" t="s">
        <v>3266</v>
      </c>
      <c r="B3119" s="50">
        <v>428.887</v>
      </c>
      <c r="C3119" s="50">
        <v>5307.01</v>
      </c>
      <c r="D3119" s="51">
        <v>18142516.418699998</v>
      </c>
      <c r="E3119" s="51">
        <v>2094854091</v>
      </c>
      <c r="F3119" s="52">
        <f t="shared" si="100"/>
        <v>3.4450617338805641E-3</v>
      </c>
      <c r="G3119" s="52">
        <f t="shared" si="101"/>
        <v>-2.7097176835470336E-3</v>
      </c>
    </row>
    <row r="3120" spans="1:7" ht="15" customHeight="1" x14ac:dyDescent="0.2">
      <c r="A3120" s="19" t="s">
        <v>3267</v>
      </c>
      <c r="B3120" s="50">
        <v>425.38099999999997</v>
      </c>
      <c r="C3120" s="50">
        <v>5267.84</v>
      </c>
      <c r="D3120" s="51">
        <v>17277225.185242001</v>
      </c>
      <c r="E3120" s="51">
        <v>2298491779</v>
      </c>
      <c r="F3120" s="52">
        <f t="shared" si="100"/>
        <v>-8.2082430449958825E-3</v>
      </c>
      <c r="G3120" s="52">
        <f t="shared" si="101"/>
        <v>-7.4081767856449404E-3</v>
      </c>
    </row>
    <row r="3121" spans="1:7" ht="15" customHeight="1" x14ac:dyDescent="0.2">
      <c r="A3121" s="19" t="s">
        <v>3268</v>
      </c>
      <c r="B3121" s="50">
        <v>428.52800000000002</v>
      </c>
      <c r="C3121" s="50">
        <v>5304.72</v>
      </c>
      <c r="D3121" s="51">
        <v>11900425.843171</v>
      </c>
      <c r="E3121" s="51">
        <v>1742668171</v>
      </c>
      <c r="F3121" s="52">
        <f t="shared" si="100"/>
        <v>7.370842204145734E-3</v>
      </c>
      <c r="G3121" s="52">
        <f t="shared" si="101"/>
        <v>6.9765789150719763E-3</v>
      </c>
    </row>
    <row r="3122" spans="1:7" ht="15" customHeight="1" x14ac:dyDescent="0.2">
      <c r="A3122" s="19" t="s">
        <v>3269</v>
      </c>
      <c r="B3122" s="50">
        <v>428.68799999999999</v>
      </c>
      <c r="C3122" s="50">
        <v>5306.04</v>
      </c>
      <c r="D3122" s="51">
        <v>15777872.823232999</v>
      </c>
      <c r="E3122" s="51">
        <v>2121768716</v>
      </c>
      <c r="F3122" s="52">
        <f t="shared" si="100"/>
        <v>3.7330148260884762E-4</v>
      </c>
      <c r="G3122" s="52">
        <f t="shared" si="101"/>
        <v>2.4880404548013993E-4</v>
      </c>
    </row>
    <row r="3123" spans="1:7" ht="15" customHeight="1" x14ac:dyDescent="0.2">
      <c r="A3123" s="19" t="s">
        <v>3270</v>
      </c>
      <c r="B3123" s="50">
        <v>427.54199999999997</v>
      </c>
      <c r="C3123" s="50">
        <v>5266.95</v>
      </c>
      <c r="D3123" s="51">
        <v>15576213.888054</v>
      </c>
      <c r="E3123" s="51">
        <v>2262811675</v>
      </c>
      <c r="F3123" s="52">
        <f t="shared" si="100"/>
        <v>-2.6768524445742788E-3</v>
      </c>
      <c r="G3123" s="52">
        <f t="shared" si="101"/>
        <v>-7.3943469365055463E-3</v>
      </c>
    </row>
    <row r="3124" spans="1:7" ht="15" customHeight="1" x14ac:dyDescent="0.2">
      <c r="A3124" s="19" t="s">
        <v>3271</v>
      </c>
      <c r="B3124" s="50">
        <v>413.09699999999998</v>
      </c>
      <c r="C3124" s="50">
        <v>5235.4799999999996</v>
      </c>
      <c r="D3124" s="51">
        <v>28533079.029899001</v>
      </c>
      <c r="E3124" s="51">
        <v>2347065836</v>
      </c>
      <c r="F3124" s="52">
        <f t="shared" si="100"/>
        <v>-3.4370096952841434E-2</v>
      </c>
      <c r="G3124" s="52">
        <f t="shared" si="101"/>
        <v>-5.9929167225422977E-3</v>
      </c>
    </row>
    <row r="3125" spans="1:7" ht="15" customHeight="1" x14ac:dyDescent="0.2">
      <c r="A3125" s="19" t="s">
        <v>3272</v>
      </c>
      <c r="B3125" s="50">
        <v>413.55500000000001</v>
      </c>
      <c r="C3125" s="50">
        <v>5277.51</v>
      </c>
      <c r="D3125" s="51">
        <v>48177999.385880001</v>
      </c>
      <c r="E3125" s="51">
        <v>3926771337</v>
      </c>
      <c r="F3125" s="52">
        <f t="shared" si="100"/>
        <v>1.1080842890672168E-3</v>
      </c>
      <c r="G3125" s="52">
        <f t="shared" si="101"/>
        <v>7.9958649115222311E-3</v>
      </c>
    </row>
    <row r="3126" spans="1:7" ht="15" customHeight="1" x14ac:dyDescent="0.2">
      <c r="A3126" s="19" t="s">
        <v>3273</v>
      </c>
      <c r="B3126" s="50">
        <v>411.95100000000002</v>
      </c>
      <c r="C3126" s="50">
        <v>5283.4</v>
      </c>
      <c r="D3126" s="51">
        <v>17551250.621932998</v>
      </c>
      <c r="E3126" s="51">
        <v>2312234085</v>
      </c>
      <c r="F3126" s="52">
        <f t="shared" si="100"/>
        <v>-3.8861062635757097E-3</v>
      </c>
      <c r="G3126" s="52">
        <f t="shared" si="101"/>
        <v>1.1154342969859781E-3</v>
      </c>
    </row>
    <row r="3127" spans="1:7" ht="15" customHeight="1" x14ac:dyDescent="0.2">
      <c r="A3127" s="19" t="s">
        <v>3274</v>
      </c>
      <c r="B3127" s="50">
        <v>414.49099999999999</v>
      </c>
      <c r="C3127" s="50">
        <v>5291.34</v>
      </c>
      <c r="D3127" s="51">
        <v>14403552.735199001</v>
      </c>
      <c r="E3127" s="51">
        <v>2176202870</v>
      </c>
      <c r="F3127" s="52">
        <f t="shared" si="100"/>
        <v>6.1468511947882004E-3</v>
      </c>
      <c r="G3127" s="52">
        <f t="shared" si="101"/>
        <v>1.5016920495655548E-3</v>
      </c>
    </row>
    <row r="3128" spans="1:7" ht="15" customHeight="1" x14ac:dyDescent="0.2">
      <c r="A3128" s="19" t="s">
        <v>3275</v>
      </c>
      <c r="B3128" s="50">
        <v>422.40199999999999</v>
      </c>
      <c r="C3128" s="50">
        <v>5354.03</v>
      </c>
      <c r="D3128" s="51">
        <v>17052722.599243</v>
      </c>
      <c r="E3128" s="51">
        <v>2173890233</v>
      </c>
      <c r="F3128" s="52">
        <f t="shared" si="100"/>
        <v>1.8906205796823054E-2</v>
      </c>
      <c r="G3128" s="52">
        <f t="shared" si="101"/>
        <v>1.1778026448059028E-2</v>
      </c>
    </row>
    <row r="3129" spans="1:7" ht="15" customHeight="1" x14ac:dyDescent="0.2">
      <c r="A3129" s="19" t="s">
        <v>3276</v>
      </c>
      <c r="B3129" s="50">
        <v>422.90899999999999</v>
      </c>
      <c r="C3129" s="50">
        <v>5352.96</v>
      </c>
      <c r="D3129" s="51">
        <v>14917837.526660001</v>
      </c>
      <c r="E3129" s="51">
        <v>2038598824</v>
      </c>
      <c r="F3129" s="52">
        <f t="shared" si="100"/>
        <v>1.1995586495272376E-3</v>
      </c>
      <c r="G3129" s="52">
        <f t="shared" si="101"/>
        <v>-1.9986943175659869E-4</v>
      </c>
    </row>
    <row r="3130" spans="1:7" ht="15" customHeight="1" x14ac:dyDescent="0.2">
      <c r="A3130" s="19" t="s">
        <v>3277</v>
      </c>
      <c r="B3130" s="50">
        <v>422.24200000000002</v>
      </c>
      <c r="C3130" s="50">
        <v>5346.99</v>
      </c>
      <c r="D3130" s="51">
        <v>13673516.552881001</v>
      </c>
      <c r="E3130" s="51">
        <v>1873173209</v>
      </c>
      <c r="F3130" s="52">
        <f t="shared" si="100"/>
        <v>-1.5784164923905992E-3</v>
      </c>
      <c r="G3130" s="52">
        <f t="shared" si="101"/>
        <v>-1.1158931807150971E-3</v>
      </c>
    </row>
    <row r="3131" spans="1:7" ht="15" customHeight="1" x14ac:dyDescent="0.2">
      <c r="A3131" s="19" t="s">
        <v>3278</v>
      </c>
      <c r="B3131" s="50">
        <v>426.24700000000001</v>
      </c>
      <c r="C3131" s="50">
        <v>5360.79</v>
      </c>
      <c r="D3131" s="51">
        <v>14056352.731831999</v>
      </c>
      <c r="E3131" s="51">
        <v>2464401855</v>
      </c>
      <c r="F3131" s="52">
        <f t="shared" si="100"/>
        <v>9.4403810633279257E-3</v>
      </c>
      <c r="G3131" s="52">
        <f t="shared" si="101"/>
        <v>2.5775665246065955E-3</v>
      </c>
    </row>
    <row r="3132" spans="1:7" ht="15" customHeight="1" x14ac:dyDescent="0.2">
      <c r="A3132" s="19" t="s">
        <v>3279</v>
      </c>
      <c r="B3132" s="50">
        <v>431.03899999999999</v>
      </c>
      <c r="C3132" s="50">
        <v>5375.32</v>
      </c>
      <c r="D3132" s="51">
        <v>14606506.582253</v>
      </c>
      <c r="E3132" s="51">
        <v>2345183455</v>
      </c>
      <c r="F3132" s="52">
        <f t="shared" si="100"/>
        <v>1.1179582799211848E-2</v>
      </c>
      <c r="G3132" s="52">
        <f t="shared" si="101"/>
        <v>2.7067548434573357E-3</v>
      </c>
    </row>
    <row r="3133" spans="1:7" ht="15" customHeight="1" x14ac:dyDescent="0.2">
      <c r="A3133" s="19" t="s">
        <v>3280</v>
      </c>
      <c r="B3133" s="50">
        <v>439.387</v>
      </c>
      <c r="C3133" s="50">
        <v>5421.03</v>
      </c>
      <c r="D3133" s="51">
        <v>22451395.913938999</v>
      </c>
      <c r="E3133" s="51">
        <v>2719670709</v>
      </c>
      <c r="F3133" s="52">
        <f t="shared" si="100"/>
        <v>1.9182000465021207E-2</v>
      </c>
      <c r="G3133" s="52">
        <f t="shared" si="101"/>
        <v>8.4677271718827819E-3</v>
      </c>
    </row>
    <row r="3134" spans="1:7" ht="15" customHeight="1" x14ac:dyDescent="0.2">
      <c r="A3134" s="19" t="s">
        <v>3281</v>
      </c>
      <c r="B3134" s="50">
        <v>439.90499999999997</v>
      </c>
      <c r="C3134" s="50">
        <v>5433.74</v>
      </c>
      <c r="D3134" s="51">
        <v>16021337.335847</v>
      </c>
      <c r="E3134" s="51">
        <v>2422956962</v>
      </c>
      <c r="F3134" s="52">
        <f t="shared" si="100"/>
        <v>1.1782207956495038E-3</v>
      </c>
      <c r="G3134" s="52">
        <f t="shared" si="101"/>
        <v>2.341828672305396E-3</v>
      </c>
    </row>
    <row r="3135" spans="1:7" ht="15" customHeight="1" x14ac:dyDescent="0.2">
      <c r="A3135" s="19" t="s">
        <v>3282</v>
      </c>
      <c r="B3135" s="50">
        <v>440.89100000000002</v>
      </c>
      <c r="C3135" s="50">
        <v>5431.6</v>
      </c>
      <c r="D3135" s="51">
        <v>13633700.522219</v>
      </c>
      <c r="E3135" s="51">
        <v>2263451050</v>
      </c>
      <c r="F3135" s="52">
        <f t="shared" si="100"/>
        <v>2.2388848538574149E-3</v>
      </c>
      <c r="G3135" s="52">
        <f t="shared" si="101"/>
        <v>-3.9391312700216223E-4</v>
      </c>
    </row>
    <row r="3136" spans="1:7" ht="15" customHeight="1" x14ac:dyDescent="0.2">
      <c r="A3136" s="19" t="s">
        <v>3283</v>
      </c>
      <c r="B3136" s="50">
        <v>446.66899999999998</v>
      </c>
      <c r="C3136" s="50">
        <v>5473.23</v>
      </c>
      <c r="D3136" s="51">
        <v>20869191.275646001</v>
      </c>
      <c r="E3136" s="51">
        <v>2441679412</v>
      </c>
      <c r="F3136" s="52">
        <f t="shared" si="100"/>
        <v>1.3020148780268035E-2</v>
      </c>
      <c r="G3136" s="52">
        <f t="shared" si="101"/>
        <v>7.6351859201040807E-3</v>
      </c>
    </row>
    <row r="3137" spans="1:7" ht="15" customHeight="1" x14ac:dyDescent="0.2">
      <c r="A3137" s="19" t="s">
        <v>3284</v>
      </c>
      <c r="B3137" s="50">
        <v>444.64699999999999</v>
      </c>
      <c r="C3137" s="50">
        <v>5487.03</v>
      </c>
      <c r="D3137" s="51">
        <v>17177662.522914</v>
      </c>
      <c r="E3137" s="51">
        <v>2464316280</v>
      </c>
      <c r="F3137" s="52">
        <f t="shared" si="100"/>
        <v>-4.5371192004793979E-3</v>
      </c>
      <c r="G3137" s="52">
        <f t="shared" si="101"/>
        <v>2.5181897678469146E-3</v>
      </c>
    </row>
    <row r="3138" spans="1:7" ht="15" customHeight="1" x14ac:dyDescent="0.2">
      <c r="A3138" s="19" t="s">
        <v>3285</v>
      </c>
      <c r="B3138" s="50">
        <v>444.00900000000001</v>
      </c>
      <c r="C3138" s="50">
        <v>5473.17</v>
      </c>
      <c r="D3138" s="51">
        <v>19953064.211082</v>
      </c>
      <c r="E3138" s="51">
        <v>2911217741</v>
      </c>
      <c r="F3138" s="52">
        <f t="shared" si="100"/>
        <v>-1.4358764462646975E-3</v>
      </c>
      <c r="G3138" s="52">
        <f t="shared" si="101"/>
        <v>-2.5291522760688338E-3</v>
      </c>
    </row>
    <row r="3139" spans="1:7" ht="15" customHeight="1" x14ac:dyDescent="0.2">
      <c r="A3139" s="19" t="s">
        <v>3286</v>
      </c>
      <c r="B3139" s="50">
        <v>448.07400000000001</v>
      </c>
      <c r="C3139" s="50">
        <v>5464.62</v>
      </c>
      <c r="D3139" s="51">
        <v>34617483.468413003</v>
      </c>
      <c r="E3139" s="51">
        <v>5250419839</v>
      </c>
      <c r="F3139" s="52">
        <f t="shared" si="100"/>
        <v>9.1135648488797003E-3</v>
      </c>
      <c r="G3139" s="52">
        <f t="shared" si="101"/>
        <v>-1.5633874377691908E-3</v>
      </c>
    </row>
    <row r="3140" spans="1:7" ht="15" customHeight="1" x14ac:dyDescent="0.2">
      <c r="A3140" s="19" t="s">
        <v>3287</v>
      </c>
      <c r="B3140" s="50">
        <v>445.97199999999998</v>
      </c>
      <c r="C3140" s="50">
        <v>5447.87</v>
      </c>
      <c r="D3140" s="51">
        <v>15974312.962409001</v>
      </c>
      <c r="E3140" s="51">
        <v>2784702853</v>
      </c>
      <c r="F3140" s="52">
        <f t="shared" si="100"/>
        <v>-4.7022275656934875E-3</v>
      </c>
      <c r="G3140" s="52">
        <f t="shared" si="101"/>
        <v>-3.0698792218004059E-3</v>
      </c>
    </row>
    <row r="3141" spans="1:7" ht="15" customHeight="1" x14ac:dyDescent="0.2">
      <c r="A3141" s="19" t="s">
        <v>3288</v>
      </c>
      <c r="B3141" s="50">
        <v>449.24</v>
      </c>
      <c r="C3141" s="50">
        <v>5469.3</v>
      </c>
      <c r="D3141" s="51">
        <v>16811297.823785</v>
      </c>
      <c r="E3141" s="51">
        <v>2621644040</v>
      </c>
      <c r="F3141" s="52">
        <f t="shared" si="100"/>
        <v>7.3010963145932369E-3</v>
      </c>
      <c r="G3141" s="52">
        <f t="shared" si="101"/>
        <v>3.9259309005764296E-3</v>
      </c>
    </row>
    <row r="3142" spans="1:7" ht="15" customHeight="1" x14ac:dyDescent="0.2">
      <c r="A3142" s="19" t="s">
        <v>3289</v>
      </c>
      <c r="B3142" s="50">
        <v>450.44400000000002</v>
      </c>
      <c r="C3142" s="50">
        <v>5477.9</v>
      </c>
      <c r="D3142" s="51">
        <v>16569883.086403999</v>
      </c>
      <c r="E3142" s="51">
        <v>2599403409</v>
      </c>
      <c r="F3142" s="52">
        <f t="shared" ref="F3142:F3205" si="102">LN(B3142/B3141)</f>
        <v>2.6764969005814445E-3</v>
      </c>
      <c r="G3142" s="52">
        <f t="shared" ref="G3142:G3205" si="103">LN(C3142/C3141)</f>
        <v>1.5711783413408377E-3</v>
      </c>
    </row>
    <row r="3143" spans="1:7" ht="15" customHeight="1" x14ac:dyDescent="0.2">
      <c r="A3143" s="19" t="s">
        <v>3290</v>
      </c>
      <c r="B3143" s="50">
        <v>451.13200000000001</v>
      </c>
      <c r="C3143" s="50">
        <v>5482.87</v>
      </c>
      <c r="D3143" s="51">
        <v>14862701.383556999</v>
      </c>
      <c r="E3143" s="51">
        <v>2479600758</v>
      </c>
      <c r="F3143" s="52">
        <f t="shared" si="102"/>
        <v>1.5262166107985788E-3</v>
      </c>
      <c r="G3143" s="52">
        <f t="shared" si="103"/>
        <v>9.068706560974762E-4</v>
      </c>
    </row>
    <row r="3144" spans="1:7" ht="15" customHeight="1" x14ac:dyDescent="0.2">
      <c r="A3144" s="19" t="s">
        <v>3291</v>
      </c>
      <c r="B3144" s="50">
        <v>445.255</v>
      </c>
      <c r="C3144" s="50">
        <v>5460.48</v>
      </c>
      <c r="D3144" s="51">
        <v>28470264.762037002</v>
      </c>
      <c r="E3144" s="51">
        <v>4197548072</v>
      </c>
      <c r="F3144" s="52">
        <f t="shared" si="102"/>
        <v>-1.311282785323015E-2</v>
      </c>
      <c r="G3144" s="52">
        <f t="shared" si="103"/>
        <v>-4.0919885121458088E-3</v>
      </c>
    </row>
    <row r="3145" spans="1:7" ht="15" customHeight="1" x14ac:dyDescent="0.2">
      <c r="A3145" s="19" t="s">
        <v>3292</v>
      </c>
      <c r="B3145" s="50">
        <v>454.99700000000001</v>
      </c>
      <c r="C3145" s="50">
        <v>5475.09</v>
      </c>
      <c r="D3145" s="51">
        <v>17730071.929136999</v>
      </c>
      <c r="E3145" s="51">
        <v>2433991467</v>
      </c>
      <c r="F3145" s="52">
        <f t="shared" si="102"/>
        <v>2.1643673769635354E-2</v>
      </c>
      <c r="G3145" s="52">
        <f t="shared" si="103"/>
        <v>2.6720159429360979E-3</v>
      </c>
    </row>
    <row r="3146" spans="1:7" ht="15" customHeight="1" x14ac:dyDescent="0.2">
      <c r="A3146" s="19" t="s">
        <v>3293</v>
      </c>
      <c r="B3146" s="50">
        <v>457.53800000000001</v>
      </c>
      <c r="C3146" s="50">
        <v>5509.01</v>
      </c>
      <c r="D3146" s="51">
        <v>14033009.184799001</v>
      </c>
      <c r="E3146" s="51">
        <v>2342512009</v>
      </c>
      <c r="F3146" s="52">
        <f t="shared" si="102"/>
        <v>5.5691158529452243E-3</v>
      </c>
      <c r="G3146" s="52">
        <f t="shared" si="103"/>
        <v>6.1762197767835335E-3</v>
      </c>
    </row>
    <row r="3147" spans="1:7" ht="15" customHeight="1" x14ac:dyDescent="0.2">
      <c r="A3147" s="19" t="s">
        <v>3294</v>
      </c>
      <c r="B3147" s="50">
        <v>459.02199999999999</v>
      </c>
      <c r="C3147" s="50">
        <v>5537.02</v>
      </c>
      <c r="D3147" s="51">
        <v>9970650.7964862008</v>
      </c>
      <c r="E3147" s="51">
        <v>1561072809</v>
      </c>
      <c r="F3147" s="52">
        <f t="shared" si="102"/>
        <v>3.2381978195845248E-3</v>
      </c>
      <c r="G3147" s="52">
        <f t="shared" si="103"/>
        <v>5.0715161981972666E-3</v>
      </c>
    </row>
    <row r="3148" spans="1:7" ht="15" customHeight="1" x14ac:dyDescent="0.2">
      <c r="A3148" s="19" t="s">
        <v>3295</v>
      </c>
      <c r="B3148" s="50">
        <v>465.78699999999998</v>
      </c>
      <c r="C3148" s="50">
        <v>5567.19</v>
      </c>
      <c r="D3148" s="51">
        <v>16061213.594968</v>
      </c>
      <c r="E3148" s="51">
        <v>2263729908</v>
      </c>
      <c r="F3148" s="52">
        <f t="shared" si="102"/>
        <v>1.463030889181921E-2</v>
      </c>
      <c r="G3148" s="52">
        <f t="shared" si="103"/>
        <v>5.4339884131971751E-3</v>
      </c>
    </row>
    <row r="3149" spans="1:7" ht="15" customHeight="1" x14ac:dyDescent="0.2">
      <c r="A3149" s="19" t="s">
        <v>3296</v>
      </c>
      <c r="B3149" s="50">
        <v>464.471</v>
      </c>
      <c r="C3149" s="50">
        <v>5572.85</v>
      </c>
      <c r="D3149" s="51">
        <v>13011677.055074999</v>
      </c>
      <c r="E3149" s="51">
        <v>2332765276</v>
      </c>
      <c r="F3149" s="52">
        <f t="shared" si="102"/>
        <v>-2.8293245054381985E-3</v>
      </c>
      <c r="G3149" s="52">
        <f t="shared" si="103"/>
        <v>1.0161544279964853E-3</v>
      </c>
    </row>
    <row r="3150" spans="1:7" ht="15" customHeight="1" x14ac:dyDescent="0.2">
      <c r="A3150" s="19" t="s">
        <v>3297</v>
      </c>
      <c r="B3150" s="50">
        <v>457.79700000000003</v>
      </c>
      <c r="C3150" s="50">
        <v>5576.98</v>
      </c>
      <c r="D3150" s="51">
        <v>17294107.222394999</v>
      </c>
      <c r="E3150" s="51">
        <v>2413050509</v>
      </c>
      <c r="F3150" s="52">
        <f t="shared" si="102"/>
        <v>-1.4473269164483838E-2</v>
      </c>
      <c r="G3150" s="52">
        <f t="shared" si="103"/>
        <v>7.4081850375864739E-4</v>
      </c>
    </row>
    <row r="3151" spans="1:7" ht="15" customHeight="1" x14ac:dyDescent="0.2">
      <c r="A3151" s="19" t="s">
        <v>3298</v>
      </c>
      <c r="B3151" s="50">
        <v>464.48099999999999</v>
      </c>
      <c r="C3151" s="50">
        <v>5633.91</v>
      </c>
      <c r="D3151" s="51">
        <v>18265384.483369</v>
      </c>
      <c r="E3151" s="51">
        <v>2301402646</v>
      </c>
      <c r="F3151" s="52">
        <f t="shared" si="102"/>
        <v>1.4494798802184027E-2</v>
      </c>
      <c r="G3151" s="52">
        <f t="shared" si="103"/>
        <v>1.0156283642139425E-2</v>
      </c>
    </row>
    <row r="3152" spans="1:7" ht="15" customHeight="1" x14ac:dyDescent="0.2">
      <c r="A3152" s="19" t="s">
        <v>3299</v>
      </c>
      <c r="B3152" s="50">
        <v>452.97500000000002</v>
      </c>
      <c r="C3152" s="50">
        <v>5584.54</v>
      </c>
      <c r="D3152" s="51">
        <v>23199174.396570001</v>
      </c>
      <c r="E3152" s="51">
        <v>2887487972</v>
      </c>
      <c r="F3152" s="52">
        <f t="shared" si="102"/>
        <v>-2.5083716897060026E-2</v>
      </c>
      <c r="G3152" s="52">
        <f t="shared" si="103"/>
        <v>-8.8016292301766504E-3</v>
      </c>
    </row>
    <row r="3153" spans="1:7" ht="15" customHeight="1" x14ac:dyDescent="0.2">
      <c r="A3153" s="19" t="s">
        <v>3300</v>
      </c>
      <c r="B3153" s="50">
        <v>451.83</v>
      </c>
      <c r="C3153" s="50">
        <v>5615.35</v>
      </c>
      <c r="D3153" s="51">
        <v>16386431.214484001</v>
      </c>
      <c r="E3153" s="51">
        <v>2472649993</v>
      </c>
      <c r="F3153" s="52">
        <f t="shared" si="102"/>
        <v>-2.5309334303043403E-3</v>
      </c>
      <c r="G3153" s="52">
        <f t="shared" si="103"/>
        <v>5.5018536287759819E-3</v>
      </c>
    </row>
    <row r="3154" spans="1:7" ht="15" customHeight="1" x14ac:dyDescent="0.2">
      <c r="A3154" s="19" t="s">
        <v>3301</v>
      </c>
      <c r="B3154" s="50">
        <v>452.238</v>
      </c>
      <c r="C3154" s="50">
        <v>5631.22</v>
      </c>
      <c r="D3154" s="51">
        <v>14484389.36571</v>
      </c>
      <c r="E3154" s="51">
        <v>2410721815</v>
      </c>
      <c r="F3154" s="52">
        <f t="shared" si="102"/>
        <v>9.025870348215772E-4</v>
      </c>
      <c r="G3154" s="52">
        <f t="shared" si="103"/>
        <v>2.822195662042845E-3</v>
      </c>
    </row>
    <row r="3155" spans="1:7" ht="15" customHeight="1" x14ac:dyDescent="0.2">
      <c r="A3155" s="19" t="s">
        <v>3302</v>
      </c>
      <c r="B3155" s="50">
        <v>447.815</v>
      </c>
      <c r="C3155" s="50">
        <v>5667.2</v>
      </c>
      <c r="D3155" s="51">
        <v>17241078.071561001</v>
      </c>
      <c r="E3155" s="51">
        <v>2528071451</v>
      </c>
      <c r="F3155" s="52">
        <f t="shared" si="102"/>
        <v>-9.828389226131079E-3</v>
      </c>
      <c r="G3155" s="52">
        <f t="shared" si="103"/>
        <v>6.3690536600414091E-3</v>
      </c>
    </row>
    <row r="3156" spans="1:7" ht="15" customHeight="1" x14ac:dyDescent="0.2">
      <c r="A3156" s="19" t="s">
        <v>3303</v>
      </c>
      <c r="B3156" s="50">
        <v>441.83800000000002</v>
      </c>
      <c r="C3156" s="50">
        <v>5588.27</v>
      </c>
      <c r="D3156" s="51">
        <v>21836852.821444001</v>
      </c>
      <c r="E3156" s="51">
        <v>3173114918</v>
      </c>
      <c r="F3156" s="52">
        <f t="shared" si="102"/>
        <v>-1.3436901643309159E-2</v>
      </c>
      <c r="G3156" s="52">
        <f t="shared" si="103"/>
        <v>-1.4025410555021933E-2</v>
      </c>
    </row>
    <row r="3157" spans="1:7" ht="15" customHeight="1" x14ac:dyDescent="0.2">
      <c r="A3157" s="19" t="s">
        <v>3304</v>
      </c>
      <c r="B3157" s="50">
        <v>438.7</v>
      </c>
      <c r="C3157" s="50">
        <v>5544.59</v>
      </c>
      <c r="D3157" s="51">
        <v>20874001.521931998</v>
      </c>
      <c r="E3157" s="51">
        <v>2935073001</v>
      </c>
      <c r="F3157" s="52">
        <f t="shared" si="102"/>
        <v>-7.127490885080039E-3</v>
      </c>
      <c r="G3157" s="52">
        <f t="shared" si="103"/>
        <v>-7.8470804696827295E-3</v>
      </c>
    </row>
    <row r="3158" spans="1:7" ht="15" customHeight="1" x14ac:dyDescent="0.2">
      <c r="A3158" s="19" t="s">
        <v>3305</v>
      </c>
      <c r="B3158" s="50">
        <v>435.452</v>
      </c>
      <c r="C3158" s="50">
        <v>5505</v>
      </c>
      <c r="D3158" s="51">
        <v>21020150.897558998</v>
      </c>
      <c r="E3158" s="51">
        <v>2649224224</v>
      </c>
      <c r="F3158" s="52">
        <f t="shared" si="102"/>
        <v>-7.4312360941452141E-3</v>
      </c>
      <c r="G3158" s="52">
        <f t="shared" si="103"/>
        <v>-7.1659074070294041E-3</v>
      </c>
    </row>
    <row r="3159" spans="1:7" ht="15" customHeight="1" x14ac:dyDescent="0.2">
      <c r="A3159" s="19" t="s">
        <v>3306</v>
      </c>
      <c r="B3159" s="50">
        <v>441.26</v>
      </c>
      <c r="C3159" s="50">
        <v>5564.41</v>
      </c>
      <c r="D3159" s="51">
        <v>15868949.295639001</v>
      </c>
      <c r="E3159" s="51">
        <v>2525550865</v>
      </c>
      <c r="F3159" s="52">
        <f t="shared" si="102"/>
        <v>1.3249698802202399E-2</v>
      </c>
      <c r="G3159" s="52">
        <f t="shared" si="103"/>
        <v>1.0734189165974961E-2</v>
      </c>
    </row>
    <row r="3160" spans="1:7" ht="15" customHeight="1" x14ac:dyDescent="0.2">
      <c r="A3160" s="19" t="s">
        <v>3307</v>
      </c>
      <c r="B3160" s="50">
        <v>443.16300000000001</v>
      </c>
      <c r="C3160" s="50">
        <v>5555.74</v>
      </c>
      <c r="D3160" s="51">
        <v>13156957.133273</v>
      </c>
      <c r="E3160" s="51">
        <v>2425966152</v>
      </c>
      <c r="F3160" s="52">
        <f t="shared" si="102"/>
        <v>4.3033773133732437E-3</v>
      </c>
      <c r="G3160" s="52">
        <f t="shared" si="103"/>
        <v>-1.5593317997995005E-3</v>
      </c>
    </row>
    <row r="3161" spans="1:7" ht="15" customHeight="1" x14ac:dyDescent="0.2">
      <c r="A3161" s="19" t="s">
        <v>3308</v>
      </c>
      <c r="B3161" s="50">
        <v>427.27300000000002</v>
      </c>
      <c r="C3161" s="50">
        <v>5427.13</v>
      </c>
      <c r="D3161" s="51">
        <v>26907867.256406002</v>
      </c>
      <c r="E3161" s="51">
        <v>3050597564</v>
      </c>
      <c r="F3161" s="52">
        <f t="shared" si="102"/>
        <v>-3.6514494996150788E-2</v>
      </c>
      <c r="G3161" s="52">
        <f t="shared" si="103"/>
        <v>-2.3421178443889513E-2</v>
      </c>
    </row>
    <row r="3162" spans="1:7" ht="15" customHeight="1" x14ac:dyDescent="0.2">
      <c r="A3162" s="19" t="s">
        <v>3309</v>
      </c>
      <c r="B3162" s="50">
        <v>416.81299999999999</v>
      </c>
      <c r="C3162" s="50">
        <v>5399.22</v>
      </c>
      <c r="D3162" s="51">
        <v>30057810.660866</v>
      </c>
      <c r="E3162" s="51">
        <v>3529408636</v>
      </c>
      <c r="F3162" s="52">
        <f t="shared" si="102"/>
        <v>-2.4785473225495635E-2</v>
      </c>
      <c r="G3162" s="52">
        <f t="shared" si="103"/>
        <v>-5.1559504042484414E-3</v>
      </c>
    </row>
    <row r="3163" spans="1:7" ht="15" customHeight="1" x14ac:dyDescent="0.2">
      <c r="A3163" s="19" t="s">
        <v>3310</v>
      </c>
      <c r="B3163" s="50">
        <v>423.65699999999998</v>
      </c>
      <c r="C3163" s="50">
        <v>5459.1</v>
      </c>
      <c r="D3163" s="51">
        <v>23673638.138330001</v>
      </c>
      <c r="E3163" s="51">
        <v>2644512496</v>
      </c>
      <c r="F3163" s="52">
        <f t="shared" si="102"/>
        <v>1.6286485609307677E-2</v>
      </c>
      <c r="G3163" s="52">
        <f t="shared" si="103"/>
        <v>1.1029442312488889E-2</v>
      </c>
    </row>
    <row r="3164" spans="1:7" ht="15" customHeight="1" x14ac:dyDescent="0.2">
      <c r="A3164" s="19" t="s">
        <v>3311</v>
      </c>
      <c r="B3164" s="50">
        <v>425.11099999999999</v>
      </c>
      <c r="C3164" s="50">
        <v>5463.54</v>
      </c>
      <c r="D3164" s="51">
        <v>15183429.975236</v>
      </c>
      <c r="E3164" s="51">
        <v>2380028599</v>
      </c>
      <c r="F3164" s="52">
        <f t="shared" si="102"/>
        <v>3.4261457131079236E-3</v>
      </c>
      <c r="G3164" s="52">
        <f t="shared" si="103"/>
        <v>8.129903108684501E-4</v>
      </c>
    </row>
    <row r="3165" spans="1:7" ht="15" customHeight="1" x14ac:dyDescent="0.2">
      <c r="A3165" s="19" t="s">
        <v>3312</v>
      </c>
      <c r="B3165" s="50">
        <v>421.31599999999997</v>
      </c>
      <c r="C3165" s="50">
        <v>5436.44</v>
      </c>
      <c r="D3165" s="51">
        <v>32812041.041768</v>
      </c>
      <c r="E3165" s="51">
        <v>3024984923</v>
      </c>
      <c r="F3165" s="52">
        <f t="shared" si="102"/>
        <v>-8.9671653424231029E-3</v>
      </c>
      <c r="G3165" s="52">
        <f t="shared" si="103"/>
        <v>-4.9724964337360253E-3</v>
      </c>
    </row>
    <row r="3166" spans="1:7" ht="15" customHeight="1" x14ac:dyDescent="0.2">
      <c r="A3166" s="19" t="s">
        <v>3313</v>
      </c>
      <c r="B3166" s="50">
        <v>416.76299999999998</v>
      </c>
      <c r="C3166" s="50">
        <v>5522.3</v>
      </c>
      <c r="D3166" s="51">
        <v>43054681.55302</v>
      </c>
      <c r="E3166" s="51">
        <v>3466915317</v>
      </c>
      <c r="F3166" s="52">
        <f t="shared" si="102"/>
        <v>-1.0865431046309111E-2</v>
      </c>
      <c r="G3166" s="52">
        <f t="shared" si="103"/>
        <v>1.567000529191805E-2</v>
      </c>
    </row>
    <row r="3167" spans="1:7" ht="15" customHeight="1" x14ac:dyDescent="0.2">
      <c r="A3167" s="19" t="s">
        <v>3314</v>
      </c>
      <c r="B3167" s="50">
        <v>415.52800000000002</v>
      </c>
      <c r="C3167" s="50">
        <v>5446.68</v>
      </c>
      <c r="D3167" s="51">
        <v>30411758.259294</v>
      </c>
      <c r="E3167" s="51">
        <v>3465998526</v>
      </c>
      <c r="F3167" s="52">
        <f t="shared" si="102"/>
        <v>-2.9677141923212494E-3</v>
      </c>
      <c r="G3167" s="52">
        <f t="shared" si="103"/>
        <v>-1.3788191433053192E-2</v>
      </c>
    </row>
    <row r="3168" spans="1:7" ht="15" customHeight="1" x14ac:dyDescent="0.2">
      <c r="A3168" s="19" t="s">
        <v>3315</v>
      </c>
      <c r="B3168" s="50">
        <v>406.94</v>
      </c>
      <c r="C3168" s="50">
        <v>5346.56</v>
      </c>
      <c r="D3168" s="51">
        <v>29549989.3869</v>
      </c>
      <c r="E3168" s="51">
        <v>4005791030</v>
      </c>
      <c r="F3168" s="52">
        <f t="shared" si="102"/>
        <v>-2.0884246285557708E-2</v>
      </c>
      <c r="G3168" s="52">
        <f t="shared" si="103"/>
        <v>-1.8552885294602865E-2</v>
      </c>
    </row>
    <row r="3169" spans="1:7" ht="15" customHeight="1" x14ac:dyDescent="0.2">
      <c r="A3169" s="19" t="s">
        <v>3316</v>
      </c>
      <c r="B3169" s="50">
        <v>393.65100000000001</v>
      </c>
      <c r="C3169" s="50">
        <v>5186.33</v>
      </c>
      <c r="D3169" s="51">
        <v>40864244.760963999</v>
      </c>
      <c r="E3169" s="51">
        <v>4013798197</v>
      </c>
      <c r="F3169" s="52">
        <f t="shared" si="102"/>
        <v>-3.3201024472804937E-2</v>
      </c>
      <c r="G3169" s="52">
        <f t="shared" si="103"/>
        <v>-3.0427045496882188E-2</v>
      </c>
    </row>
    <row r="3170" spans="1:7" ht="15" customHeight="1" x14ac:dyDescent="0.2">
      <c r="A3170" s="19" t="s">
        <v>3317</v>
      </c>
      <c r="B3170" s="50">
        <v>398.09399999999999</v>
      </c>
      <c r="C3170" s="50">
        <v>5240.03</v>
      </c>
      <c r="D3170" s="51">
        <v>25041512.777407002</v>
      </c>
      <c r="E3170" s="51">
        <v>3179578829</v>
      </c>
      <c r="F3170" s="52">
        <f t="shared" si="102"/>
        <v>1.1223428347689251E-2</v>
      </c>
      <c r="G3170" s="52">
        <f t="shared" si="103"/>
        <v>1.0300905557719547E-2</v>
      </c>
    </row>
    <row r="3171" spans="1:7" ht="15" customHeight="1" x14ac:dyDescent="0.2">
      <c r="A3171" s="19" t="s">
        <v>3318</v>
      </c>
      <c r="B3171" s="50">
        <v>396.91899999999998</v>
      </c>
      <c r="C3171" s="50">
        <v>5199.5</v>
      </c>
      <c r="D3171" s="51">
        <v>20729537.539358001</v>
      </c>
      <c r="E3171" s="51">
        <v>2994459938</v>
      </c>
      <c r="F3171" s="52">
        <f t="shared" si="102"/>
        <v>-2.9559286591493393E-3</v>
      </c>
      <c r="G3171" s="52">
        <f t="shared" si="103"/>
        <v>-7.7647563892511828E-3</v>
      </c>
    </row>
    <row r="3172" spans="1:7" ht="15" customHeight="1" x14ac:dyDescent="0.2">
      <c r="A3172" s="19" t="s">
        <v>3319</v>
      </c>
      <c r="B3172" s="50">
        <v>401.16199999999998</v>
      </c>
      <c r="C3172" s="50">
        <v>5319.31</v>
      </c>
      <c r="D3172" s="51">
        <v>20279956.181766</v>
      </c>
      <c r="E3172" s="51">
        <v>2714860214</v>
      </c>
      <c r="F3172" s="52">
        <f t="shared" si="102"/>
        <v>1.0633106106016289E-2</v>
      </c>
      <c r="G3172" s="52">
        <f t="shared" si="103"/>
        <v>2.2781128575607587E-2</v>
      </c>
    </row>
    <row r="3173" spans="1:7" ht="15" customHeight="1" x14ac:dyDescent="0.2">
      <c r="A3173" s="19" t="s">
        <v>3320</v>
      </c>
      <c r="B3173" s="50">
        <v>404.48</v>
      </c>
      <c r="C3173" s="50">
        <v>5344.16</v>
      </c>
      <c r="D3173" s="51">
        <v>19350064.906628001</v>
      </c>
      <c r="E3173" s="51">
        <v>2195024918</v>
      </c>
      <c r="F3173" s="52">
        <f t="shared" si="102"/>
        <v>8.2369557689297972E-3</v>
      </c>
      <c r="G3173" s="52">
        <f t="shared" si="103"/>
        <v>4.660780212150723E-3</v>
      </c>
    </row>
    <row r="3174" spans="1:7" ht="15" customHeight="1" x14ac:dyDescent="0.2">
      <c r="A3174" s="19" t="s">
        <v>3321</v>
      </c>
      <c r="B3174" s="50">
        <v>405.267</v>
      </c>
      <c r="C3174" s="50">
        <v>5344.39</v>
      </c>
      <c r="D3174" s="51">
        <v>16826710.286529999</v>
      </c>
      <c r="E3174" s="51">
        <v>2285608247</v>
      </c>
      <c r="F3174" s="52">
        <f t="shared" si="102"/>
        <v>1.9438176314374054E-3</v>
      </c>
      <c r="G3174" s="52">
        <f t="shared" si="103"/>
        <v>4.3036707511422095E-5</v>
      </c>
    </row>
    <row r="3175" spans="1:7" ht="15" customHeight="1" x14ac:dyDescent="0.2">
      <c r="A3175" s="19" t="s">
        <v>3322</v>
      </c>
      <c r="B3175" s="50">
        <v>412.43900000000002</v>
      </c>
      <c r="C3175" s="50">
        <v>5434.43</v>
      </c>
      <c r="D3175" s="51">
        <v>19488193.859085999</v>
      </c>
      <c r="E3175" s="51">
        <v>2602423658</v>
      </c>
      <c r="F3175" s="52">
        <f t="shared" si="102"/>
        <v>1.7542206901835528E-2</v>
      </c>
      <c r="G3175" s="52">
        <f t="shared" si="103"/>
        <v>1.6707226654933075E-2</v>
      </c>
    </row>
    <row r="3176" spans="1:7" ht="15" customHeight="1" x14ac:dyDescent="0.2">
      <c r="A3176" s="19" t="s">
        <v>3323</v>
      </c>
      <c r="B3176" s="50">
        <v>415.279</v>
      </c>
      <c r="C3176" s="50">
        <v>5455.21</v>
      </c>
      <c r="D3176" s="51">
        <v>18336534.370003</v>
      </c>
      <c r="E3176" s="51">
        <v>2352132914</v>
      </c>
      <c r="F3176" s="52">
        <f t="shared" si="102"/>
        <v>6.8622674504931914E-3</v>
      </c>
      <c r="G3176" s="52">
        <f t="shared" si="103"/>
        <v>3.816476067632372E-3</v>
      </c>
    </row>
    <row r="3177" spans="1:7" ht="15" customHeight="1" x14ac:dyDescent="0.2">
      <c r="A3177" s="19" t="s">
        <v>3324</v>
      </c>
      <c r="B3177" s="50">
        <v>420.18900000000002</v>
      </c>
      <c r="C3177" s="50">
        <v>5543.22</v>
      </c>
      <c r="D3177" s="51">
        <v>20793682.319441002</v>
      </c>
      <c r="E3177" s="51">
        <v>2676735788</v>
      </c>
      <c r="F3177" s="52">
        <f t="shared" si="102"/>
        <v>1.1754026555574719E-2</v>
      </c>
      <c r="G3177" s="52">
        <f t="shared" si="103"/>
        <v>1.6004444012785939E-2</v>
      </c>
    </row>
    <row r="3178" spans="1:7" ht="15" customHeight="1" x14ac:dyDescent="0.2">
      <c r="A3178" s="19" t="s">
        <v>3325</v>
      </c>
      <c r="B3178" s="50">
        <v>417.63400000000001</v>
      </c>
      <c r="C3178" s="50">
        <v>5554.25</v>
      </c>
      <c r="D3178" s="51">
        <v>22821181.535695001</v>
      </c>
      <c r="E3178" s="51">
        <v>2290560567</v>
      </c>
      <c r="F3178" s="52">
        <f t="shared" si="102"/>
        <v>-6.0991591790636153E-3</v>
      </c>
      <c r="G3178" s="52">
        <f t="shared" si="103"/>
        <v>1.9878411263283945E-3</v>
      </c>
    </row>
    <row r="3179" spans="1:7" ht="15" customHeight="1" x14ac:dyDescent="0.2">
      <c r="A3179" s="19" t="s">
        <v>3326</v>
      </c>
      <c r="B3179" s="50">
        <v>420.68799999999999</v>
      </c>
      <c r="C3179" s="50">
        <v>5608.25</v>
      </c>
      <c r="D3179" s="51">
        <v>15264449.896166001</v>
      </c>
      <c r="E3179" s="51">
        <v>2091521270</v>
      </c>
      <c r="F3179" s="52">
        <f t="shared" si="102"/>
        <v>7.2860154221892374E-3</v>
      </c>
      <c r="G3179" s="52">
        <f t="shared" si="103"/>
        <v>9.6753274361777754E-3</v>
      </c>
    </row>
    <row r="3180" spans="1:7" ht="15" customHeight="1" x14ac:dyDescent="0.2">
      <c r="A3180" s="19" t="s">
        <v>3327</v>
      </c>
      <c r="B3180" s="50">
        <v>423.95100000000002</v>
      </c>
      <c r="C3180" s="50">
        <v>5597.12</v>
      </c>
      <c r="D3180" s="51">
        <v>16420383.035994001</v>
      </c>
      <c r="E3180" s="51">
        <v>2143953087</v>
      </c>
      <c r="F3180" s="52">
        <f t="shared" si="102"/>
        <v>7.7264162150484667E-3</v>
      </c>
      <c r="G3180" s="52">
        <f t="shared" si="103"/>
        <v>-1.9865481747165059E-3</v>
      </c>
    </row>
    <row r="3181" spans="1:7" ht="15" customHeight="1" x14ac:dyDescent="0.2">
      <c r="A3181" s="19" t="s">
        <v>3328</v>
      </c>
      <c r="B3181" s="50">
        <v>423.29300000000001</v>
      </c>
      <c r="C3181" s="50">
        <v>5620.85</v>
      </c>
      <c r="D3181" s="51">
        <v>16099458.944762001</v>
      </c>
      <c r="E3181" s="51">
        <v>2043181668</v>
      </c>
      <c r="F3181" s="52">
        <f t="shared" si="102"/>
        <v>-1.5532718609842266E-3</v>
      </c>
      <c r="G3181" s="52">
        <f t="shared" si="103"/>
        <v>4.2307182841846242E-3</v>
      </c>
    </row>
    <row r="3182" spans="1:7" ht="15" customHeight="1" x14ac:dyDescent="0.2">
      <c r="A3182" s="19" t="s">
        <v>3329</v>
      </c>
      <c r="B3182" s="50">
        <v>414.72</v>
      </c>
      <c r="C3182" s="50">
        <v>5570.64</v>
      </c>
      <c r="D3182" s="51">
        <v>19400656.553580999</v>
      </c>
      <c r="E3182" s="51">
        <v>2229614521</v>
      </c>
      <c r="F3182" s="52">
        <f t="shared" si="102"/>
        <v>-2.0461016931113421E-2</v>
      </c>
      <c r="G3182" s="52">
        <f t="shared" si="103"/>
        <v>-8.9729494254644684E-3</v>
      </c>
    </row>
    <row r="3183" spans="1:7" ht="15" customHeight="1" x14ac:dyDescent="0.2">
      <c r="A3183" s="19" t="s">
        <v>3330</v>
      </c>
      <c r="B3183" s="50">
        <v>415.95699999999999</v>
      </c>
      <c r="C3183" s="50">
        <v>5634.61</v>
      </c>
      <c r="D3183" s="51">
        <v>18530801.895955998</v>
      </c>
      <c r="E3183" s="51">
        <v>2217187088</v>
      </c>
      <c r="F3183" s="52">
        <f t="shared" si="102"/>
        <v>2.9782958102230078E-3</v>
      </c>
      <c r="G3183" s="52">
        <f t="shared" si="103"/>
        <v>1.1417986208502448E-2</v>
      </c>
    </row>
    <row r="3184" spans="1:7" ht="15" customHeight="1" x14ac:dyDescent="0.2">
      <c r="A3184" s="19" t="s">
        <v>3331</v>
      </c>
      <c r="B3184" s="50">
        <v>412.66399999999999</v>
      </c>
      <c r="C3184" s="50">
        <v>5616.84</v>
      </c>
      <c r="D3184" s="51">
        <v>13179157.229326</v>
      </c>
      <c r="E3184" s="51">
        <v>2019362094</v>
      </c>
      <c r="F3184" s="52">
        <f t="shared" si="102"/>
        <v>-7.9481870140668664E-3</v>
      </c>
      <c r="G3184" s="52">
        <f t="shared" si="103"/>
        <v>-3.1587066155747872E-3</v>
      </c>
    </row>
    <row r="3185" spans="1:7" ht="15" customHeight="1" x14ac:dyDescent="0.2">
      <c r="A3185" s="19" t="s">
        <v>3332</v>
      </c>
      <c r="B3185" s="50">
        <v>413.01299999999998</v>
      </c>
      <c r="C3185" s="50">
        <v>5625.8</v>
      </c>
      <c r="D3185" s="51">
        <v>13519918.949025</v>
      </c>
      <c r="E3185" s="51">
        <v>1985907243</v>
      </c>
      <c r="F3185" s="52">
        <f t="shared" si="102"/>
        <v>8.4536694320974475E-4</v>
      </c>
      <c r="G3185" s="52">
        <f t="shared" si="103"/>
        <v>1.5939320118754585E-3</v>
      </c>
    </row>
    <row r="3186" spans="1:7" ht="15" customHeight="1" x14ac:dyDescent="0.2">
      <c r="A3186" s="19" t="s">
        <v>3333</v>
      </c>
      <c r="B3186" s="50">
        <v>409.78</v>
      </c>
      <c r="C3186" s="50">
        <v>5592.18</v>
      </c>
      <c r="D3186" s="51">
        <v>14912449.726074001</v>
      </c>
      <c r="E3186" s="51">
        <v>2195175203</v>
      </c>
      <c r="F3186" s="52">
        <f t="shared" si="102"/>
        <v>-7.8586391441681225E-3</v>
      </c>
      <c r="G3186" s="52">
        <f t="shared" si="103"/>
        <v>-5.9939669454233853E-3</v>
      </c>
    </row>
    <row r="3187" spans="1:7" ht="15" customHeight="1" x14ac:dyDescent="0.2">
      <c r="A3187" s="19" t="s">
        <v>3334</v>
      </c>
      <c r="B3187" s="50">
        <v>412.29500000000002</v>
      </c>
      <c r="C3187" s="50">
        <v>5591.96</v>
      </c>
      <c r="D3187" s="51">
        <v>17079359.434491001</v>
      </c>
      <c r="E3187" s="51">
        <v>2330884305</v>
      </c>
      <c r="F3187" s="52">
        <f t="shared" si="102"/>
        <v>6.1186822283440983E-3</v>
      </c>
      <c r="G3187" s="52">
        <f t="shared" si="103"/>
        <v>-3.934142455813639E-5</v>
      </c>
    </row>
    <row r="3188" spans="1:7" ht="15" customHeight="1" x14ac:dyDescent="0.2">
      <c r="A3188" s="19" t="s">
        <v>3335</v>
      </c>
      <c r="B3188" s="50">
        <v>416.30700000000002</v>
      </c>
      <c r="C3188" s="50">
        <v>5648.4</v>
      </c>
      <c r="D3188" s="51">
        <v>24356980.511220999</v>
      </c>
      <c r="E3188" s="51">
        <v>2763540635</v>
      </c>
      <c r="F3188" s="52">
        <f t="shared" si="102"/>
        <v>9.6838563091867936E-3</v>
      </c>
      <c r="G3188" s="52">
        <f t="shared" si="103"/>
        <v>1.0042467382856683E-2</v>
      </c>
    </row>
    <row r="3189" spans="1:7" ht="15" customHeight="1" x14ac:dyDescent="0.2">
      <c r="A3189" s="19" t="s">
        <v>3336</v>
      </c>
      <c r="B3189" s="50">
        <v>408.62200000000001</v>
      </c>
      <c r="C3189" s="50">
        <v>5528.93</v>
      </c>
      <c r="D3189" s="51">
        <v>20354263.518277999</v>
      </c>
      <c r="E3189" s="51">
        <v>2918660358</v>
      </c>
      <c r="F3189" s="52">
        <f t="shared" si="102"/>
        <v>-1.8632445533867583E-2</v>
      </c>
      <c r="G3189" s="52">
        <f t="shared" si="103"/>
        <v>-2.137801245458143E-2</v>
      </c>
    </row>
    <row r="3190" spans="1:7" ht="15" customHeight="1" x14ac:dyDescent="0.2">
      <c r="A3190" s="19" t="s">
        <v>3337</v>
      </c>
      <c r="B3190" s="50">
        <v>408.08300000000003</v>
      </c>
      <c r="C3190" s="50">
        <v>5520.07</v>
      </c>
      <c r="D3190" s="51">
        <v>15166102.433208</v>
      </c>
      <c r="E3190" s="51">
        <v>2507929516</v>
      </c>
      <c r="F3190" s="52">
        <f t="shared" si="102"/>
        <v>-1.3199382353614628E-3</v>
      </c>
      <c r="G3190" s="52">
        <f t="shared" si="103"/>
        <v>-1.6037653903594354E-3</v>
      </c>
    </row>
    <row r="3191" spans="1:7" ht="15" customHeight="1" x14ac:dyDescent="0.2">
      <c r="A3191" s="19" t="s">
        <v>3338</v>
      </c>
      <c r="B3191" s="50">
        <v>407.57400000000001</v>
      </c>
      <c r="C3191" s="50">
        <v>5503.41</v>
      </c>
      <c r="D3191" s="51">
        <v>14223930.311226999</v>
      </c>
      <c r="E3191" s="51">
        <v>2459175279</v>
      </c>
      <c r="F3191" s="52">
        <f t="shared" si="102"/>
        <v>-1.2480738008058513E-3</v>
      </c>
      <c r="G3191" s="52">
        <f t="shared" si="103"/>
        <v>-3.0226412501879545E-3</v>
      </c>
    </row>
    <row r="3192" spans="1:7" ht="15" customHeight="1" x14ac:dyDescent="0.2">
      <c r="A3192" s="19" t="s">
        <v>3339</v>
      </c>
      <c r="B3192" s="50">
        <v>400.89800000000002</v>
      </c>
      <c r="C3192" s="50">
        <v>5408.42</v>
      </c>
      <c r="D3192" s="51">
        <v>19648777.209662002</v>
      </c>
      <c r="E3192" s="51">
        <v>2846447424</v>
      </c>
      <c r="F3192" s="52">
        <f t="shared" si="102"/>
        <v>-1.6515480425787401E-2</v>
      </c>
      <c r="G3192" s="52">
        <f t="shared" si="103"/>
        <v>-1.7410901670867562E-2</v>
      </c>
    </row>
    <row r="3193" spans="1:7" ht="15" customHeight="1" x14ac:dyDescent="0.2">
      <c r="A3193" s="19" t="s">
        <v>3340</v>
      </c>
      <c r="B3193" s="50">
        <v>404.91</v>
      </c>
      <c r="C3193" s="50">
        <v>5471.05</v>
      </c>
      <c r="D3193" s="51">
        <v>15325749.35049</v>
      </c>
      <c r="E3193" s="51">
        <v>2596711180</v>
      </c>
      <c r="F3193" s="52">
        <f t="shared" si="102"/>
        <v>9.9577893285387378E-3</v>
      </c>
      <c r="G3193" s="52">
        <f t="shared" si="103"/>
        <v>1.1513555690021488E-2</v>
      </c>
    </row>
    <row r="3194" spans="1:7" ht="15" customHeight="1" x14ac:dyDescent="0.2">
      <c r="A3194" s="19" t="s">
        <v>3341</v>
      </c>
      <c r="B3194" s="50">
        <v>413.37299999999999</v>
      </c>
      <c r="C3194" s="50">
        <v>5495.52</v>
      </c>
      <c r="D3194" s="51">
        <v>19633507.706671</v>
      </c>
      <c r="E3194" s="51">
        <v>2556010161</v>
      </c>
      <c r="F3194" s="52">
        <f t="shared" si="102"/>
        <v>2.0685512878998811E-2</v>
      </c>
      <c r="G3194" s="52">
        <f t="shared" si="103"/>
        <v>4.4626607244902189E-3</v>
      </c>
    </row>
    <row r="3195" spans="1:7" ht="15" customHeight="1" x14ac:dyDescent="0.2">
      <c r="A3195" s="19" t="s">
        <v>3342</v>
      </c>
      <c r="B3195" s="50">
        <v>422.19499999999999</v>
      </c>
      <c r="C3195" s="50">
        <v>5554.13</v>
      </c>
      <c r="D3195" s="51">
        <v>19305488.441826999</v>
      </c>
      <c r="E3195" s="51">
        <v>2840609874</v>
      </c>
      <c r="F3195" s="52">
        <f t="shared" si="102"/>
        <v>2.1116959547230717E-2</v>
      </c>
      <c r="G3195" s="52">
        <f t="shared" si="103"/>
        <v>1.0608580303038784E-2</v>
      </c>
    </row>
    <row r="3196" spans="1:7" ht="15" customHeight="1" x14ac:dyDescent="0.2">
      <c r="A3196" s="19" t="s">
        <v>3343</v>
      </c>
      <c r="B3196" s="50">
        <v>426.14699999999999</v>
      </c>
      <c r="C3196" s="50">
        <v>5595.76</v>
      </c>
      <c r="D3196" s="51">
        <v>17453625.083023001</v>
      </c>
      <c r="E3196" s="51">
        <v>2599880993</v>
      </c>
      <c r="F3196" s="52">
        <f t="shared" si="102"/>
        <v>9.3170645532701171E-3</v>
      </c>
      <c r="G3196" s="52">
        <f t="shared" si="103"/>
        <v>7.46737294203047E-3</v>
      </c>
    </row>
    <row r="3197" spans="1:7" ht="15" customHeight="1" x14ac:dyDescent="0.2">
      <c r="A3197" s="19" t="s">
        <v>3344</v>
      </c>
      <c r="B3197" s="50">
        <v>429.73</v>
      </c>
      <c r="C3197" s="50">
        <v>5626.02</v>
      </c>
      <c r="D3197" s="51">
        <v>15906330.142682999</v>
      </c>
      <c r="E3197" s="51">
        <v>2218001699</v>
      </c>
      <c r="F3197" s="52">
        <f t="shared" si="102"/>
        <v>8.3727473259183182E-3</v>
      </c>
      <c r="G3197" s="52">
        <f t="shared" si="103"/>
        <v>5.3930968783714164E-3</v>
      </c>
    </row>
    <row r="3198" spans="1:7" ht="15" customHeight="1" x14ac:dyDescent="0.2">
      <c r="A3198" s="19" t="s">
        <v>3345</v>
      </c>
      <c r="B3198" s="50">
        <v>430.47800000000001</v>
      </c>
      <c r="C3198" s="50">
        <v>5633.09</v>
      </c>
      <c r="D3198" s="51">
        <v>13862389.08152</v>
      </c>
      <c r="E3198" s="51">
        <v>2355704324</v>
      </c>
      <c r="F3198" s="52">
        <f t="shared" si="102"/>
        <v>1.7391146990691372E-3</v>
      </c>
      <c r="G3198" s="52">
        <f t="shared" si="103"/>
        <v>1.2558720767880025E-3</v>
      </c>
    </row>
    <row r="3199" spans="1:7" ht="15" customHeight="1" x14ac:dyDescent="0.2">
      <c r="A3199" s="19" t="s">
        <v>3346</v>
      </c>
      <c r="B3199" s="50">
        <v>434.28100000000001</v>
      </c>
      <c r="C3199" s="50">
        <v>5634.58</v>
      </c>
      <c r="D3199" s="51">
        <v>18912010.413851</v>
      </c>
      <c r="E3199" s="51">
        <v>2352005863</v>
      </c>
      <c r="F3199" s="52">
        <f t="shared" si="102"/>
        <v>8.7955708290900353E-3</v>
      </c>
      <c r="G3199" s="52">
        <f t="shared" si="103"/>
        <v>2.6447349073670164E-4</v>
      </c>
    </row>
    <row r="3200" spans="1:7" ht="15" customHeight="1" x14ac:dyDescent="0.2">
      <c r="A3200" s="19" t="s">
        <v>3347</v>
      </c>
      <c r="B3200" s="50">
        <v>429.94900000000001</v>
      </c>
      <c r="C3200" s="50">
        <v>5618.26</v>
      </c>
      <c r="D3200" s="51">
        <v>18935869.074898999</v>
      </c>
      <c r="E3200" s="51">
        <v>2478222849</v>
      </c>
      <c r="F3200" s="52">
        <f t="shared" si="102"/>
        <v>-1.002519302051989E-2</v>
      </c>
      <c r="G3200" s="52">
        <f t="shared" si="103"/>
        <v>-2.9006031263851696E-3</v>
      </c>
    </row>
    <row r="3201" spans="1:7" ht="15" customHeight="1" x14ac:dyDescent="0.2">
      <c r="A3201" s="19" t="s">
        <v>3348</v>
      </c>
      <c r="B3201" s="50">
        <v>437.81400000000002</v>
      </c>
      <c r="C3201" s="50">
        <v>5713.64</v>
      </c>
      <c r="D3201" s="51">
        <v>21750007.714586001</v>
      </c>
      <c r="E3201" s="51">
        <v>2802061343</v>
      </c>
      <c r="F3201" s="52">
        <f t="shared" si="102"/>
        <v>1.8127565647296499E-2</v>
      </c>
      <c r="G3201" s="52">
        <f t="shared" si="103"/>
        <v>1.6834291247586949E-2</v>
      </c>
    </row>
    <row r="3202" spans="1:7" ht="15" customHeight="1" x14ac:dyDescent="0.2">
      <c r="A3202" s="19" t="s">
        <v>3349</v>
      </c>
      <c r="B3202" s="50">
        <v>434.4</v>
      </c>
      <c r="C3202" s="50">
        <v>5702.55</v>
      </c>
      <c r="D3202" s="51">
        <v>55277530.680537</v>
      </c>
      <c r="E3202" s="51">
        <v>5746133311</v>
      </c>
      <c r="F3202" s="52">
        <f t="shared" si="102"/>
        <v>-7.8283940299284129E-3</v>
      </c>
      <c r="G3202" s="52">
        <f t="shared" si="103"/>
        <v>-1.942855451501775E-3</v>
      </c>
    </row>
    <row r="3203" spans="1:7" ht="15" customHeight="1" x14ac:dyDescent="0.2">
      <c r="A3203" s="19" t="s">
        <v>3350</v>
      </c>
      <c r="B3203" s="50">
        <v>432.64400000000001</v>
      </c>
      <c r="C3203" s="50">
        <v>5718.57</v>
      </c>
      <c r="D3203" s="51">
        <v>15159173.591868</v>
      </c>
      <c r="E3203" s="51">
        <v>2421690533</v>
      </c>
      <c r="F3203" s="52">
        <f t="shared" si="102"/>
        <v>-4.0505496857907849E-3</v>
      </c>
      <c r="G3203" s="52">
        <f t="shared" si="103"/>
        <v>2.8053309143568263E-3</v>
      </c>
    </row>
    <row r="3204" spans="1:7" ht="15" customHeight="1" x14ac:dyDescent="0.2">
      <c r="A3204" s="19" t="s">
        <v>3351</v>
      </c>
      <c r="B3204" s="50">
        <v>428.31299999999999</v>
      </c>
      <c r="C3204" s="50">
        <v>5732.93</v>
      </c>
      <c r="D3204" s="51">
        <v>17049813.412135001</v>
      </c>
      <c r="E3204" s="51">
        <v>2560831360</v>
      </c>
      <c r="F3204" s="52">
        <f t="shared" si="102"/>
        <v>-1.0060982216619852E-2</v>
      </c>
      <c r="G3204" s="52">
        <f t="shared" si="103"/>
        <v>2.5079697029956895E-3</v>
      </c>
    </row>
    <row r="3205" spans="1:7" ht="15" customHeight="1" x14ac:dyDescent="0.2">
      <c r="A3205" s="19" t="s">
        <v>3352</v>
      </c>
      <c r="B3205" s="50">
        <v>431.24700000000001</v>
      </c>
      <c r="C3205" s="50">
        <v>5722.26</v>
      </c>
      <c r="D3205" s="51">
        <v>13423178.696697</v>
      </c>
      <c r="E3205" s="51">
        <v>2461681291</v>
      </c>
      <c r="F3205" s="52">
        <f t="shared" si="102"/>
        <v>6.8267750823187215E-3</v>
      </c>
      <c r="G3205" s="52">
        <f t="shared" si="103"/>
        <v>-1.8629115860669923E-3</v>
      </c>
    </row>
    <row r="3206" spans="1:7" ht="15" customHeight="1" x14ac:dyDescent="0.2">
      <c r="A3206" s="19" t="s">
        <v>3353</v>
      </c>
      <c r="B3206" s="50">
        <v>430.44799999999998</v>
      </c>
      <c r="C3206" s="50">
        <v>5745.37</v>
      </c>
      <c r="D3206" s="51">
        <v>14521051.853503</v>
      </c>
      <c r="E3206" s="51">
        <v>2772978914</v>
      </c>
      <c r="F3206" s="52">
        <f t="shared" ref="F3206:F3269" si="104">LN(B3206/B3205)</f>
        <v>-1.8544850068475784E-3</v>
      </c>
      <c r="G3206" s="52">
        <f t="shared" ref="G3206:G3269" si="105">LN(C3206/C3205)</f>
        <v>4.0304808028723289E-3</v>
      </c>
    </row>
    <row r="3207" spans="1:7" ht="15" customHeight="1" x14ac:dyDescent="0.2">
      <c r="A3207" s="19" t="s">
        <v>3354</v>
      </c>
      <c r="B3207" s="50">
        <v>427.16500000000002</v>
      </c>
      <c r="C3207" s="50">
        <v>5738.17</v>
      </c>
      <c r="D3207" s="51">
        <v>14925947.690165</v>
      </c>
      <c r="E3207" s="51">
        <v>2330866872</v>
      </c>
      <c r="F3207" s="52">
        <f t="shared" si="104"/>
        <v>-7.656171342102956E-3</v>
      </c>
      <c r="G3207" s="52">
        <f t="shared" si="105"/>
        <v>-1.2539688882457197E-3</v>
      </c>
    </row>
    <row r="3208" spans="1:7" ht="15" customHeight="1" x14ac:dyDescent="0.2">
      <c r="A3208" s="19" t="s">
        <v>3355</v>
      </c>
      <c r="B3208" s="50">
        <v>429.44</v>
      </c>
      <c r="C3208" s="50">
        <v>5762.48</v>
      </c>
      <c r="D3208" s="51">
        <v>16888342.851868</v>
      </c>
      <c r="E3208" s="51">
        <v>2525809879</v>
      </c>
      <c r="F3208" s="52">
        <f t="shared" si="104"/>
        <v>5.3116788925790977E-3</v>
      </c>
      <c r="G3208" s="52">
        <f t="shared" si="105"/>
        <v>4.227593432856073E-3</v>
      </c>
    </row>
    <row r="3209" spans="1:7" ht="15" customHeight="1" x14ac:dyDescent="0.2">
      <c r="A3209" s="19" t="s">
        <v>3356</v>
      </c>
      <c r="B3209" s="50">
        <v>419.85</v>
      </c>
      <c r="C3209" s="50">
        <v>5708.75</v>
      </c>
      <c r="D3209" s="51">
        <v>19131162.200521</v>
      </c>
      <c r="E3209" s="51">
        <v>2660892168</v>
      </c>
      <c r="F3209" s="52">
        <f t="shared" si="104"/>
        <v>-2.2584529713689992E-2</v>
      </c>
      <c r="G3209" s="52">
        <f t="shared" si="105"/>
        <v>-9.3678520838370288E-3</v>
      </c>
    </row>
    <row r="3210" spans="1:7" ht="15" customHeight="1" x14ac:dyDescent="0.2">
      <c r="A3210" s="19" t="s">
        <v>3357</v>
      </c>
      <c r="B3210" s="50">
        <v>416.29700000000003</v>
      </c>
      <c r="C3210" s="50">
        <v>5709.54</v>
      </c>
      <c r="D3210" s="51">
        <v>16615448.707242999</v>
      </c>
      <c r="E3210" s="51">
        <v>2249151383</v>
      </c>
      <c r="F3210" s="52">
        <f t="shared" si="104"/>
        <v>-8.4985567961888293E-3</v>
      </c>
      <c r="G3210" s="52">
        <f t="shared" si="105"/>
        <v>1.3837448536698041E-4</v>
      </c>
    </row>
    <row r="3211" spans="1:7" ht="15" customHeight="1" x14ac:dyDescent="0.2">
      <c r="A3211" s="19" t="s">
        <v>3358</v>
      </c>
      <c r="B3211" s="50">
        <v>415.70800000000003</v>
      </c>
      <c r="C3211" s="50">
        <v>5699.94</v>
      </c>
      <c r="D3211" s="51">
        <v>13713816.286362</v>
      </c>
      <c r="E3211" s="51">
        <v>2210219663</v>
      </c>
      <c r="F3211" s="52">
        <f t="shared" si="104"/>
        <v>-1.4158571123850489E-3</v>
      </c>
      <c r="G3211" s="52">
        <f t="shared" si="105"/>
        <v>-1.6828115331257495E-3</v>
      </c>
    </row>
    <row r="3212" spans="1:7" ht="15" customHeight="1" x14ac:dyDescent="0.2">
      <c r="A3212" s="19" t="s">
        <v>3359</v>
      </c>
      <c r="B3212" s="50">
        <v>415.22899999999998</v>
      </c>
      <c r="C3212" s="50">
        <v>5751.07</v>
      </c>
      <c r="D3212" s="51">
        <v>19229326.297178</v>
      </c>
      <c r="E3212" s="51">
        <v>2221127200</v>
      </c>
      <c r="F3212" s="52">
        <f t="shared" si="104"/>
        <v>-1.1529154510097706E-3</v>
      </c>
      <c r="G3212" s="52">
        <f t="shared" si="105"/>
        <v>8.9302759844378885E-3</v>
      </c>
    </row>
    <row r="3213" spans="1:7" ht="15" customHeight="1" x14ac:dyDescent="0.2">
      <c r="A3213" s="19" t="s">
        <v>3360</v>
      </c>
      <c r="B3213" s="50">
        <v>408.72199999999998</v>
      </c>
      <c r="C3213" s="50">
        <v>5695.94</v>
      </c>
      <c r="D3213" s="51">
        <v>20961634.828315999</v>
      </c>
      <c r="E3213" s="51">
        <v>2292762825</v>
      </c>
      <c r="F3213" s="52">
        <f t="shared" si="104"/>
        <v>-1.5794956933914424E-2</v>
      </c>
      <c r="G3213" s="52">
        <f t="shared" si="105"/>
        <v>-9.6322841074211688E-3</v>
      </c>
    </row>
    <row r="3214" spans="1:7" ht="15" customHeight="1" x14ac:dyDescent="0.2">
      <c r="A3214" s="19" t="s">
        <v>3361</v>
      </c>
      <c r="B3214" s="50">
        <v>413.88200000000001</v>
      </c>
      <c r="C3214" s="50">
        <v>5751.13</v>
      </c>
      <c r="D3214" s="51">
        <v>19267751.056065001</v>
      </c>
      <c r="E3214" s="51">
        <v>2187473625</v>
      </c>
      <c r="F3214" s="52">
        <f t="shared" si="104"/>
        <v>1.2545690707546511E-2</v>
      </c>
      <c r="G3214" s="52">
        <f t="shared" si="105"/>
        <v>9.6427168941927138E-3</v>
      </c>
    </row>
    <row r="3215" spans="1:7" ht="15" customHeight="1" x14ac:dyDescent="0.2">
      <c r="A3215" s="19" t="s">
        <v>3362</v>
      </c>
      <c r="B3215" s="50">
        <v>416.62599999999998</v>
      </c>
      <c r="C3215" s="50">
        <v>5792.04</v>
      </c>
      <c r="D3215" s="51">
        <v>15004230.070284</v>
      </c>
      <c r="E3215" s="51">
        <v>2172928121</v>
      </c>
      <c r="F3215" s="52">
        <f t="shared" si="104"/>
        <v>6.6080278214264493E-3</v>
      </c>
      <c r="G3215" s="52">
        <f t="shared" si="105"/>
        <v>7.0882038963943272E-3</v>
      </c>
    </row>
    <row r="3216" spans="1:7" ht="15" customHeight="1" x14ac:dyDescent="0.2">
      <c r="A3216" s="19" t="s">
        <v>3363</v>
      </c>
      <c r="B3216" s="50">
        <v>415.00900000000001</v>
      </c>
      <c r="C3216" s="50">
        <v>5780.05</v>
      </c>
      <c r="D3216" s="51">
        <v>13876095.461952001</v>
      </c>
      <c r="E3216" s="51">
        <v>2067810368</v>
      </c>
      <c r="F3216" s="52">
        <f t="shared" si="104"/>
        <v>-3.8887301225149135E-3</v>
      </c>
      <c r="G3216" s="52">
        <f t="shared" si="105"/>
        <v>-2.0722279710146596E-3</v>
      </c>
    </row>
    <row r="3217" spans="1:7" ht="15" customHeight="1" x14ac:dyDescent="0.2">
      <c r="A3217" s="19" t="s">
        <v>3364</v>
      </c>
      <c r="B3217" s="50">
        <v>415.488</v>
      </c>
      <c r="C3217" s="50">
        <v>5815.03</v>
      </c>
      <c r="D3217" s="51">
        <v>14173257.084294001</v>
      </c>
      <c r="E3217" s="51">
        <v>2127780848</v>
      </c>
      <c r="F3217" s="52">
        <f t="shared" si="104"/>
        <v>1.153526269484376E-3</v>
      </c>
      <c r="G3217" s="52">
        <f t="shared" si="105"/>
        <v>6.0336118627852325E-3</v>
      </c>
    </row>
    <row r="3218" spans="1:7" ht="15" customHeight="1" x14ac:dyDescent="0.2">
      <c r="A3218" s="19" t="s">
        <v>3365</v>
      </c>
      <c r="B3218" s="50">
        <v>418.303</v>
      </c>
      <c r="C3218" s="50">
        <v>5859.85</v>
      </c>
      <c r="D3218" s="51">
        <v>16686419.481396001</v>
      </c>
      <c r="E3218" s="51">
        <v>1983168494</v>
      </c>
      <c r="F3218" s="52">
        <f t="shared" si="104"/>
        <v>6.7523172966243213E-3</v>
      </c>
      <c r="G3218" s="52">
        <f t="shared" si="105"/>
        <v>7.6780609629941675E-3</v>
      </c>
    </row>
    <row r="3219" spans="1:7" ht="15" customHeight="1" x14ac:dyDescent="0.2">
      <c r="A3219" s="19" t="s">
        <v>3366</v>
      </c>
      <c r="B3219" s="50">
        <v>417.904</v>
      </c>
      <c r="C3219" s="50">
        <v>5815.26</v>
      </c>
      <c r="D3219" s="51">
        <v>18938032.396439999</v>
      </c>
      <c r="E3219" s="51">
        <v>2826023465</v>
      </c>
      <c r="F3219" s="52">
        <f t="shared" si="104"/>
        <v>-9.5430923271628686E-4</v>
      </c>
      <c r="G3219" s="52">
        <f t="shared" si="105"/>
        <v>-7.6385090687541464E-3</v>
      </c>
    </row>
    <row r="3220" spans="1:7" ht="15" customHeight="1" x14ac:dyDescent="0.2">
      <c r="A3220" s="19" t="s">
        <v>3367</v>
      </c>
      <c r="B3220" s="50">
        <v>415.28899999999999</v>
      </c>
      <c r="C3220" s="50">
        <v>5842.47</v>
      </c>
      <c r="D3220" s="51">
        <v>15539975.297098</v>
      </c>
      <c r="E3220" s="51">
        <v>2269908582</v>
      </c>
      <c r="F3220" s="52">
        <f t="shared" si="104"/>
        <v>-6.2770776669568611E-3</v>
      </c>
      <c r="G3220" s="52">
        <f t="shared" si="105"/>
        <v>4.6681557065759915E-3</v>
      </c>
    </row>
    <row r="3221" spans="1:7" ht="15" customHeight="1" x14ac:dyDescent="0.2">
      <c r="A3221" s="19" t="s">
        <v>3368</v>
      </c>
      <c r="B3221" s="50">
        <v>415.88799999999998</v>
      </c>
      <c r="C3221" s="50">
        <v>5841.47</v>
      </c>
      <c r="D3221" s="51">
        <v>14849668.311325001</v>
      </c>
      <c r="E3221" s="51">
        <v>2347819901</v>
      </c>
      <c r="F3221" s="52">
        <f t="shared" si="104"/>
        <v>1.4413298339546853E-3</v>
      </c>
      <c r="G3221" s="52">
        <f t="shared" si="105"/>
        <v>-1.7117513483320916E-4</v>
      </c>
    </row>
    <row r="3222" spans="1:7" ht="15" customHeight="1" x14ac:dyDescent="0.2">
      <c r="A3222" s="19" t="s">
        <v>3369</v>
      </c>
      <c r="B3222" s="50">
        <v>417.32499999999999</v>
      </c>
      <c r="C3222" s="50">
        <v>5864.67</v>
      </c>
      <c r="D3222" s="51">
        <v>17179635.750604998</v>
      </c>
      <c r="E3222" s="51">
        <v>2151748587</v>
      </c>
      <c r="F3222" s="52">
        <f t="shared" si="104"/>
        <v>3.449301498529241E-3</v>
      </c>
      <c r="G3222" s="52">
        <f t="shared" si="105"/>
        <v>3.9637370431245362E-3</v>
      </c>
    </row>
    <row r="3223" spans="1:7" ht="15" customHeight="1" x14ac:dyDescent="0.2">
      <c r="A3223" s="19" t="s">
        <v>3370</v>
      </c>
      <c r="B3223" s="50">
        <v>417.94299999999998</v>
      </c>
      <c r="C3223" s="50">
        <v>5853.98</v>
      </c>
      <c r="D3223" s="51">
        <v>14234550.526608</v>
      </c>
      <c r="E3223" s="51">
        <v>2106670973</v>
      </c>
      <c r="F3223" s="52">
        <f t="shared" si="104"/>
        <v>1.4797648485748414E-3</v>
      </c>
      <c r="G3223" s="52">
        <f t="shared" si="105"/>
        <v>-1.8244427413090425E-3</v>
      </c>
    </row>
    <row r="3224" spans="1:7" ht="15" customHeight="1" x14ac:dyDescent="0.2">
      <c r="A3224" s="19" t="s">
        <v>3371</v>
      </c>
      <c r="B3224" s="50">
        <v>426.65600000000001</v>
      </c>
      <c r="C3224" s="50">
        <v>5851.2</v>
      </c>
      <c r="D3224" s="51">
        <v>25533203.182255</v>
      </c>
      <c r="E3224" s="51">
        <v>2281964492</v>
      </c>
      <c r="F3224" s="52">
        <f t="shared" si="104"/>
        <v>2.063300834302122E-2</v>
      </c>
      <c r="G3224" s="52">
        <f t="shared" si="105"/>
        <v>-4.7500338350551163E-4</v>
      </c>
    </row>
    <row r="3225" spans="1:7" ht="15" customHeight="1" x14ac:dyDescent="0.2">
      <c r="A3225" s="19" t="s">
        <v>3372</v>
      </c>
      <c r="B3225" s="50">
        <v>423.75200000000001</v>
      </c>
      <c r="C3225" s="50">
        <v>5797.42</v>
      </c>
      <c r="D3225" s="51">
        <v>19693719.989216</v>
      </c>
      <c r="E3225" s="51">
        <v>2403900391</v>
      </c>
      <c r="F3225" s="52">
        <f t="shared" si="104"/>
        <v>-6.8296894855142077E-3</v>
      </c>
      <c r="G3225" s="52">
        <f t="shared" si="105"/>
        <v>-9.2337774119530536E-3</v>
      </c>
    </row>
    <row r="3226" spans="1:7" ht="15" customHeight="1" x14ac:dyDescent="0.2">
      <c r="A3226" s="19" t="s">
        <v>3373</v>
      </c>
      <c r="B3226" s="50">
        <v>423.88200000000001</v>
      </c>
      <c r="C3226" s="50">
        <v>5809.86</v>
      </c>
      <c r="D3226" s="51">
        <v>13608816.534516999</v>
      </c>
      <c r="E3226" s="51">
        <v>2309079983</v>
      </c>
      <c r="F3226" s="52">
        <f t="shared" si="104"/>
        <v>3.0673616447486255E-4</v>
      </c>
      <c r="G3226" s="52">
        <f t="shared" si="105"/>
        <v>2.1434831869283494E-3</v>
      </c>
    </row>
    <row r="3227" spans="1:7" ht="15" customHeight="1" x14ac:dyDescent="0.2">
      <c r="A3227" s="19" t="s">
        <v>3374</v>
      </c>
      <c r="B3227" s="50">
        <v>427.29500000000002</v>
      </c>
      <c r="C3227" s="50">
        <v>5808.12</v>
      </c>
      <c r="D3227" s="51">
        <v>16932889.840775002</v>
      </c>
      <c r="E3227" s="51">
        <v>2285689375</v>
      </c>
      <c r="F3227" s="52">
        <f t="shared" si="104"/>
        <v>8.0195265887459798E-3</v>
      </c>
      <c r="G3227" s="52">
        <f t="shared" si="105"/>
        <v>-2.9953572187414154E-4</v>
      </c>
    </row>
    <row r="3228" spans="1:7" ht="15" customHeight="1" x14ac:dyDescent="0.2">
      <c r="A3228" s="19" t="s">
        <v>3375</v>
      </c>
      <c r="B3228" s="50">
        <v>425.738</v>
      </c>
      <c r="C3228" s="50">
        <v>5823.52</v>
      </c>
      <c r="D3228" s="51">
        <v>14912233.293719999</v>
      </c>
      <c r="E3228" s="51">
        <v>2229819590</v>
      </c>
      <c r="F3228" s="52">
        <f t="shared" si="104"/>
        <v>-3.6505076100803928E-3</v>
      </c>
      <c r="G3228" s="52">
        <f t="shared" si="105"/>
        <v>2.6479514493707988E-3</v>
      </c>
    </row>
    <row r="3229" spans="1:7" ht="15" customHeight="1" x14ac:dyDescent="0.2">
      <c r="A3229" s="19" t="s">
        <v>3376</v>
      </c>
      <c r="B3229" s="50">
        <v>431.08699999999999</v>
      </c>
      <c r="C3229" s="50">
        <v>5832.92</v>
      </c>
      <c r="D3229" s="51">
        <v>17679397.094526999</v>
      </c>
      <c r="E3229" s="51">
        <v>2703268392</v>
      </c>
      <c r="F3229" s="52">
        <f t="shared" si="104"/>
        <v>1.248579229135419E-2</v>
      </c>
      <c r="G3229" s="52">
        <f t="shared" si="105"/>
        <v>1.6128426925638532E-3</v>
      </c>
    </row>
    <row r="3230" spans="1:7" ht="15" customHeight="1" x14ac:dyDescent="0.2">
      <c r="A3230" s="19" t="s">
        <v>3377</v>
      </c>
      <c r="B3230" s="50">
        <v>431.666</v>
      </c>
      <c r="C3230" s="50">
        <v>5813.67</v>
      </c>
      <c r="D3230" s="51">
        <v>29808696.083629001</v>
      </c>
      <c r="E3230" s="51">
        <v>2883407623</v>
      </c>
      <c r="F3230" s="52">
        <f t="shared" si="104"/>
        <v>1.3422151807628848E-3</v>
      </c>
      <c r="G3230" s="52">
        <f t="shared" si="105"/>
        <v>-3.3056916281390038E-3</v>
      </c>
    </row>
    <row r="3231" spans="1:7" ht="15" customHeight="1" x14ac:dyDescent="0.2">
      <c r="A3231" s="19" t="s">
        <v>3378</v>
      </c>
      <c r="B3231" s="50">
        <v>405.53800000000001</v>
      </c>
      <c r="C3231" s="50">
        <v>5705.45</v>
      </c>
      <c r="D3231" s="51">
        <v>54079011.469012</v>
      </c>
      <c r="E3231" s="51">
        <v>3348081587</v>
      </c>
      <c r="F3231" s="52">
        <f t="shared" si="104"/>
        <v>-6.2437560430644787E-2</v>
      </c>
      <c r="G3231" s="52">
        <f t="shared" si="105"/>
        <v>-1.8790182599519829E-2</v>
      </c>
    </row>
    <row r="3232" spans="1:7" ht="15" customHeight="1" x14ac:dyDescent="0.2">
      <c r="A3232" s="19" t="s">
        <v>3379</v>
      </c>
      <c r="B3232" s="50">
        <v>409.55</v>
      </c>
      <c r="C3232" s="50">
        <v>5728.8</v>
      </c>
      <c r="D3232" s="51">
        <v>24278942.619502001</v>
      </c>
      <c r="E3232" s="51">
        <v>2795181639</v>
      </c>
      <c r="F3232" s="52">
        <f t="shared" si="104"/>
        <v>9.844415329464359E-3</v>
      </c>
      <c r="G3232" s="52">
        <f t="shared" si="105"/>
        <v>4.0842263302362366E-3</v>
      </c>
    </row>
    <row r="3233" spans="1:7" ht="15" customHeight="1" x14ac:dyDescent="0.2">
      <c r="A3233" s="19" t="s">
        <v>3380</v>
      </c>
      <c r="B3233" s="50">
        <v>407.64400000000001</v>
      </c>
      <c r="C3233" s="50">
        <v>5712.69</v>
      </c>
      <c r="D3233" s="51">
        <v>19711662.832582001</v>
      </c>
      <c r="E3233" s="51">
        <v>2435296825</v>
      </c>
      <c r="F3233" s="52">
        <f t="shared" si="104"/>
        <v>-4.6647514695340436E-3</v>
      </c>
      <c r="G3233" s="52">
        <f t="shared" si="105"/>
        <v>-2.8160686495115016E-3</v>
      </c>
    </row>
    <row r="3234" spans="1:7" ht="15" customHeight="1" x14ac:dyDescent="0.2">
      <c r="A3234" s="19" t="s">
        <v>3381</v>
      </c>
      <c r="B3234" s="50">
        <v>410.63799999999998</v>
      </c>
      <c r="C3234" s="50">
        <v>5782.76</v>
      </c>
      <c r="D3234" s="51">
        <v>17661291.926895</v>
      </c>
      <c r="E3234" s="51">
        <v>2415526221</v>
      </c>
      <c r="F3234" s="52">
        <f t="shared" si="104"/>
        <v>7.3178033019771754E-3</v>
      </c>
      <c r="G3234" s="52">
        <f t="shared" si="105"/>
        <v>1.219106130274809E-2</v>
      </c>
    </row>
    <row r="3235" spans="1:7" ht="15" customHeight="1" x14ac:dyDescent="0.2">
      <c r="A3235" s="19" t="s">
        <v>3382</v>
      </c>
      <c r="B3235" s="50">
        <v>419.34100000000001</v>
      </c>
      <c r="C3235" s="50">
        <v>5929.04</v>
      </c>
      <c r="D3235" s="51">
        <v>26735249.439553</v>
      </c>
      <c r="E3235" s="51">
        <v>4188415588</v>
      </c>
      <c r="F3235" s="52">
        <f t="shared" si="104"/>
        <v>2.0972383619961333E-2</v>
      </c>
      <c r="G3235" s="52">
        <f t="shared" si="105"/>
        <v>2.4981233838896531E-2</v>
      </c>
    </row>
    <row r="3236" spans="1:7" ht="15" customHeight="1" x14ac:dyDescent="0.2">
      <c r="A3236" s="19" t="s">
        <v>3383</v>
      </c>
      <c r="B3236" s="50">
        <v>424.58</v>
      </c>
      <c r="C3236" s="50">
        <v>5973.1</v>
      </c>
      <c r="D3236" s="51">
        <v>19941618.200932</v>
      </c>
      <c r="E3236" s="51">
        <v>3113022582</v>
      </c>
      <c r="F3236" s="52">
        <f t="shared" si="104"/>
        <v>1.2416013589840156E-2</v>
      </c>
      <c r="G3236" s="52">
        <f t="shared" si="105"/>
        <v>7.4037444129894632E-3</v>
      </c>
    </row>
    <row r="3237" spans="1:7" ht="15" customHeight="1" x14ac:dyDescent="0.2">
      <c r="A3237" s="19" t="s">
        <v>3384</v>
      </c>
      <c r="B3237" s="50">
        <v>421.69600000000003</v>
      </c>
      <c r="C3237" s="50">
        <v>5995.54</v>
      </c>
      <c r="D3237" s="51">
        <v>16925224.52823</v>
      </c>
      <c r="E3237" s="51">
        <v>2776355347</v>
      </c>
      <c r="F3237" s="52">
        <f t="shared" si="104"/>
        <v>-6.815769712501028E-3</v>
      </c>
      <c r="G3237" s="52">
        <f t="shared" si="105"/>
        <v>3.7498038697994338E-3</v>
      </c>
    </row>
    <row r="3238" spans="1:7" ht="15" customHeight="1" x14ac:dyDescent="0.2">
      <c r="A3238" s="19" t="s">
        <v>3385</v>
      </c>
      <c r="B3238" s="50">
        <v>417.17500000000001</v>
      </c>
      <c r="C3238" s="50">
        <v>6001.35</v>
      </c>
      <c r="D3238" s="51">
        <v>24552367.824995998</v>
      </c>
      <c r="E3238" s="51">
        <v>2765183831</v>
      </c>
      <c r="F3238" s="52">
        <f t="shared" si="104"/>
        <v>-1.0778877258388199E-2</v>
      </c>
      <c r="G3238" s="52">
        <f t="shared" si="105"/>
        <v>9.6858443383637458E-4</v>
      </c>
    </row>
    <row r="3239" spans="1:7" ht="15" customHeight="1" x14ac:dyDescent="0.2">
      <c r="A3239" s="19" t="s">
        <v>3386</v>
      </c>
      <c r="B3239" s="50">
        <v>422.185</v>
      </c>
      <c r="C3239" s="50">
        <v>5983.99</v>
      </c>
      <c r="D3239" s="51">
        <v>19440038.224034</v>
      </c>
      <c r="E3239" s="51">
        <v>2635771640</v>
      </c>
      <c r="F3239" s="52">
        <f t="shared" si="104"/>
        <v>1.193780856441874E-2</v>
      </c>
      <c r="G3239" s="52">
        <f t="shared" si="105"/>
        <v>-2.8968743715661891E-3</v>
      </c>
    </row>
    <row r="3240" spans="1:7" ht="15" customHeight="1" x14ac:dyDescent="0.2">
      <c r="A3240" s="19" t="s">
        <v>3387</v>
      </c>
      <c r="B3240" s="50">
        <v>424.351</v>
      </c>
      <c r="C3240" s="50">
        <v>5985.38</v>
      </c>
      <c r="D3240" s="51">
        <v>21545224.631432999</v>
      </c>
      <c r="E3240" s="51">
        <v>2606607974</v>
      </c>
      <c r="F3240" s="52">
        <f t="shared" si="104"/>
        <v>5.1173363608285494E-3</v>
      </c>
      <c r="G3240" s="52">
        <f t="shared" si="105"/>
        <v>2.322595101076364E-4</v>
      </c>
    </row>
    <row r="3241" spans="1:7" ht="15" customHeight="1" x14ac:dyDescent="0.2">
      <c r="A3241" s="19" t="s">
        <v>3388</v>
      </c>
      <c r="B3241" s="50">
        <v>426.03699999999998</v>
      </c>
      <c r="C3241" s="50">
        <v>5949.17</v>
      </c>
      <c r="D3241" s="51">
        <v>30307424.36386</v>
      </c>
      <c r="E3241" s="51">
        <v>2650482299</v>
      </c>
      <c r="F3241" s="52">
        <f t="shared" si="104"/>
        <v>3.96525399962011E-3</v>
      </c>
      <c r="G3241" s="52">
        <f t="shared" si="105"/>
        <v>-6.0681150291174617E-3</v>
      </c>
    </row>
    <row r="3242" spans="1:7" ht="15" customHeight="1" x14ac:dyDescent="0.2">
      <c r="A3242" s="19" t="s">
        <v>3389</v>
      </c>
      <c r="B3242" s="50">
        <v>414.17099999999999</v>
      </c>
      <c r="C3242" s="50">
        <v>5870.62</v>
      </c>
      <c r="D3242" s="51">
        <v>28304185.611311</v>
      </c>
      <c r="E3242" s="51">
        <v>3307311778</v>
      </c>
      <c r="F3242" s="52">
        <f t="shared" si="104"/>
        <v>-2.8247264933234418E-2</v>
      </c>
      <c r="G3242" s="52">
        <f t="shared" si="105"/>
        <v>-1.3291463960568205E-2</v>
      </c>
    </row>
    <row r="3243" spans="1:7" ht="15" customHeight="1" x14ac:dyDescent="0.2">
      <c r="A3243" s="19" t="s">
        <v>3390</v>
      </c>
      <c r="B3243" s="50">
        <v>414.92899999999997</v>
      </c>
      <c r="C3243" s="50">
        <v>5893.62</v>
      </c>
      <c r="D3243" s="51">
        <v>24791537.600427002</v>
      </c>
      <c r="E3243" s="51">
        <v>2873987244</v>
      </c>
      <c r="F3243" s="52">
        <f t="shared" si="104"/>
        <v>1.8284892321546358E-3</v>
      </c>
      <c r="G3243" s="52">
        <f t="shared" si="105"/>
        <v>3.9101598241076656E-3</v>
      </c>
    </row>
    <row r="3244" spans="1:7" ht="15" customHeight="1" x14ac:dyDescent="0.2">
      <c r="A3244" s="19" t="s">
        <v>3391</v>
      </c>
      <c r="B3244" s="50">
        <v>416.95499999999998</v>
      </c>
      <c r="C3244" s="50">
        <v>5916.98</v>
      </c>
      <c r="D3244" s="51">
        <v>18169825.795173999</v>
      </c>
      <c r="E3244" s="51">
        <v>2728398371</v>
      </c>
      <c r="F3244" s="52">
        <f t="shared" si="104"/>
        <v>4.8708810498834998E-3</v>
      </c>
      <c r="G3244" s="52">
        <f t="shared" si="105"/>
        <v>3.9557737052673715E-3</v>
      </c>
    </row>
    <row r="3245" spans="1:7" ht="15" customHeight="1" x14ac:dyDescent="0.2">
      <c r="A3245" s="19" t="s">
        <v>3392</v>
      </c>
      <c r="B3245" s="50">
        <v>414.66</v>
      </c>
      <c r="C3245" s="50">
        <v>5917.11</v>
      </c>
      <c r="D3245" s="51">
        <v>19230069.782395002</v>
      </c>
      <c r="E3245" s="51">
        <v>2623316625</v>
      </c>
      <c r="F3245" s="52">
        <f t="shared" si="104"/>
        <v>-5.5193949752797098E-3</v>
      </c>
      <c r="G3245" s="52">
        <f t="shared" si="105"/>
        <v>2.1970426117316337E-5</v>
      </c>
    </row>
    <row r="3246" spans="1:7" ht="15" customHeight="1" x14ac:dyDescent="0.2">
      <c r="A3246" s="19" t="s">
        <v>3393</v>
      </c>
      <c r="B3246" s="50">
        <v>412.87</v>
      </c>
      <c r="C3246" s="50">
        <v>5948.71</v>
      </c>
      <c r="D3246" s="51">
        <v>20780162</v>
      </c>
      <c r="E3246" s="51">
        <v>2889328509</v>
      </c>
      <c r="F3246" s="52">
        <f t="shared" si="104"/>
        <v>-4.3261338965792356E-3</v>
      </c>
      <c r="G3246" s="52">
        <f t="shared" si="105"/>
        <v>5.3262353051749837E-3</v>
      </c>
    </row>
    <row r="3247" spans="1:7" ht="15" customHeight="1" x14ac:dyDescent="0.2">
      <c r="A3247" s="19" t="s">
        <v>3394</v>
      </c>
      <c r="B3247" s="50">
        <v>417</v>
      </c>
      <c r="C3247" s="50">
        <v>5969.34</v>
      </c>
      <c r="D3247" s="51">
        <v>24814626</v>
      </c>
      <c r="E3247" s="51">
        <v>2642080825</v>
      </c>
      <c r="F3247" s="52">
        <f t="shared" si="104"/>
        <v>9.9534483640226559E-3</v>
      </c>
      <c r="G3247" s="52">
        <f t="shared" si="105"/>
        <v>3.4619792004100735E-3</v>
      </c>
    </row>
    <row r="3248" spans="1:7" ht="15" customHeight="1" x14ac:dyDescent="0.2">
      <c r="A3248" s="19" t="s">
        <v>3395</v>
      </c>
      <c r="B3248" s="50">
        <v>418.79</v>
      </c>
      <c r="C3248" s="50">
        <v>5987.37</v>
      </c>
      <c r="D3248" s="51">
        <v>27691090</v>
      </c>
      <c r="E3248" s="51">
        <v>3980582178</v>
      </c>
      <c r="F3248" s="52">
        <f t="shared" si="104"/>
        <v>4.2833791665618029E-3</v>
      </c>
      <c r="G3248" s="52">
        <f t="shared" si="105"/>
        <v>3.015882072251307E-3</v>
      </c>
    </row>
    <row r="3249" spans="1:7" ht="15" customHeight="1" x14ac:dyDescent="0.2">
      <c r="A3249" s="19" t="s">
        <v>3396</v>
      </c>
      <c r="B3249" s="50">
        <v>427.99</v>
      </c>
      <c r="C3249" s="50">
        <v>6021.63</v>
      </c>
      <c r="D3249" s="51">
        <v>23458889</v>
      </c>
      <c r="E3249" s="51">
        <v>2440492719</v>
      </c>
      <c r="F3249" s="52">
        <f t="shared" si="104"/>
        <v>2.1730229857498513E-2</v>
      </c>
      <c r="G3249" s="52">
        <f t="shared" si="105"/>
        <v>5.7057361888066833E-3</v>
      </c>
    </row>
    <row r="3250" spans="1:7" ht="15" customHeight="1" x14ac:dyDescent="0.2">
      <c r="A3250" s="19" t="s">
        <v>3397</v>
      </c>
      <c r="B3250" s="50">
        <v>422.99</v>
      </c>
      <c r="C3250" s="50">
        <v>5998.74</v>
      </c>
      <c r="D3250" s="51">
        <v>18332444</v>
      </c>
      <c r="E3250" s="51">
        <v>2099481940</v>
      </c>
      <c r="F3250" s="52">
        <f t="shared" si="104"/>
        <v>-1.1751292717967056E-2</v>
      </c>
      <c r="G3250" s="52">
        <f t="shared" si="105"/>
        <v>-3.8085396153748753E-3</v>
      </c>
    </row>
    <row r="3251" spans="1:7" ht="15" customHeight="1" x14ac:dyDescent="0.2">
      <c r="A3251" s="19" t="s">
        <v>3398</v>
      </c>
      <c r="B3251" s="50">
        <v>423.46</v>
      </c>
      <c r="C3251" s="50">
        <v>6032.38</v>
      </c>
      <c r="D3251" s="51">
        <v>16271921</v>
      </c>
      <c r="E3251" s="51">
        <v>1465439728</v>
      </c>
      <c r="F3251" s="52">
        <f t="shared" si="104"/>
        <v>1.1105205228955624E-3</v>
      </c>
      <c r="G3251" s="52">
        <f t="shared" si="105"/>
        <v>5.5921788939180331E-3</v>
      </c>
    </row>
    <row r="3252" spans="1:7" ht="15" customHeight="1" x14ac:dyDescent="0.2">
      <c r="A3252" s="19" t="s">
        <v>3399</v>
      </c>
      <c r="B3252" s="50">
        <v>430.98</v>
      </c>
      <c r="C3252" s="50">
        <v>6047.15</v>
      </c>
      <c r="D3252" s="51">
        <v>20207223</v>
      </c>
      <c r="E3252" s="51">
        <v>2758054562</v>
      </c>
      <c r="F3252" s="52">
        <f t="shared" si="104"/>
        <v>1.760262668697498E-2</v>
      </c>
      <c r="G3252" s="52">
        <f t="shared" si="105"/>
        <v>2.4454606033056034E-3</v>
      </c>
    </row>
    <row r="3253" spans="1:7" ht="15" customHeight="1" x14ac:dyDescent="0.2">
      <c r="A3253" s="19" t="s">
        <v>3400</v>
      </c>
      <c r="B3253" s="50">
        <v>431.2</v>
      </c>
      <c r="C3253" s="50">
        <v>6049.88</v>
      </c>
      <c r="D3253" s="51">
        <v>18301987</v>
      </c>
      <c r="E3253" s="51">
        <v>2655568059</v>
      </c>
      <c r="F3253" s="52">
        <f t="shared" si="104"/>
        <v>5.103342800221258E-4</v>
      </c>
      <c r="G3253" s="52">
        <f t="shared" si="105"/>
        <v>4.5135046310470323E-4</v>
      </c>
    </row>
    <row r="3254" spans="1:7" ht="15" customHeight="1" x14ac:dyDescent="0.2">
      <c r="A3254" s="19" t="s">
        <v>3401</v>
      </c>
      <c r="B3254" s="50">
        <v>437.42</v>
      </c>
      <c r="C3254" s="50">
        <v>6086.49</v>
      </c>
      <c r="D3254" s="51">
        <v>26009429</v>
      </c>
      <c r="E3254" s="51">
        <v>2712321623</v>
      </c>
      <c r="F3254" s="52">
        <f t="shared" si="104"/>
        <v>1.432181233961893E-2</v>
      </c>
      <c r="G3254" s="52">
        <f t="shared" si="105"/>
        <v>6.0331237505021089E-3</v>
      </c>
    </row>
    <row r="3255" spans="1:7" ht="15" customHeight="1" x14ac:dyDescent="0.2">
      <c r="A3255" s="19" t="s">
        <v>3402</v>
      </c>
      <c r="B3255" s="50">
        <v>442.62</v>
      </c>
      <c r="C3255" s="50">
        <v>6075.11</v>
      </c>
      <c r="D3255" s="51">
        <v>21697775</v>
      </c>
      <c r="E3255" s="51">
        <v>2675005481</v>
      </c>
      <c r="F3255" s="52">
        <f t="shared" si="104"/>
        <v>1.1817782189859459E-2</v>
      </c>
      <c r="G3255" s="52">
        <f t="shared" si="105"/>
        <v>-1.8714648272306858E-3</v>
      </c>
    </row>
    <row r="3256" spans="1:7" ht="15" customHeight="1" x14ac:dyDescent="0.2">
      <c r="A3256" s="19" t="s">
        <v>3403</v>
      </c>
      <c r="B3256" s="50">
        <v>443.57</v>
      </c>
      <c r="C3256" s="50">
        <v>6090.27</v>
      </c>
      <c r="D3256" s="51">
        <v>18821002</v>
      </c>
      <c r="E3256" s="51">
        <v>2526693758</v>
      </c>
      <c r="F3256" s="52">
        <f t="shared" si="104"/>
        <v>2.1440105708975103E-3</v>
      </c>
      <c r="G3256" s="52">
        <f t="shared" si="105"/>
        <v>2.4923196558419955E-3</v>
      </c>
    </row>
    <row r="3257" spans="1:7" ht="15" customHeight="1" x14ac:dyDescent="0.2">
      <c r="A3257" s="19" t="s">
        <v>3404</v>
      </c>
      <c r="B3257" s="50">
        <v>446.02</v>
      </c>
      <c r="C3257" s="50">
        <v>6052.85</v>
      </c>
      <c r="D3257" s="51">
        <v>19144388</v>
      </c>
      <c r="E3257" s="51">
        <v>2941794303</v>
      </c>
      <c r="F3257" s="52">
        <f t="shared" si="104"/>
        <v>5.5081693688085664E-3</v>
      </c>
      <c r="G3257" s="52">
        <f t="shared" si="105"/>
        <v>-6.1631802121963038E-3</v>
      </c>
    </row>
    <row r="3258" spans="1:7" ht="15" customHeight="1" x14ac:dyDescent="0.2">
      <c r="A3258" s="19" t="s">
        <v>3405</v>
      </c>
      <c r="B3258" s="50">
        <v>443.33</v>
      </c>
      <c r="C3258" s="50">
        <v>6034.91</v>
      </c>
      <c r="D3258" s="51">
        <v>18469459</v>
      </c>
      <c r="E3258" s="51">
        <v>2802540531</v>
      </c>
      <c r="F3258" s="52">
        <f t="shared" si="104"/>
        <v>-6.0493803415409345E-3</v>
      </c>
      <c r="G3258" s="52">
        <f t="shared" si="105"/>
        <v>-2.9682940713745675E-3</v>
      </c>
    </row>
    <row r="3259" spans="1:7" ht="15" customHeight="1" x14ac:dyDescent="0.2">
      <c r="A3259" s="19" t="s">
        <v>3406</v>
      </c>
      <c r="B3259" s="50">
        <v>448.99</v>
      </c>
      <c r="C3259" s="50">
        <v>6084.19</v>
      </c>
      <c r="D3259" s="51">
        <v>19200208</v>
      </c>
      <c r="E3259" s="51">
        <v>2908653941</v>
      </c>
      <c r="F3259" s="52">
        <f t="shared" si="104"/>
        <v>1.2686202056882959E-2</v>
      </c>
      <c r="G3259" s="52">
        <f t="shared" si="105"/>
        <v>8.1326619328850828E-3</v>
      </c>
    </row>
    <row r="3260" spans="1:7" ht="15" customHeight="1" x14ac:dyDescent="0.2">
      <c r="A3260" s="19" t="s">
        <v>3407</v>
      </c>
      <c r="B3260" s="50">
        <v>449.56</v>
      </c>
      <c r="C3260" s="50">
        <v>6051.25</v>
      </c>
      <c r="D3260" s="51">
        <v>20834779</v>
      </c>
      <c r="E3260" s="51">
        <v>2407534449</v>
      </c>
      <c r="F3260" s="52">
        <f t="shared" si="104"/>
        <v>1.2687108707523317E-3</v>
      </c>
      <c r="G3260" s="52">
        <f t="shared" si="105"/>
        <v>-5.4287410919564485E-3</v>
      </c>
    </row>
    <row r="3261" spans="1:7" ht="15" customHeight="1" x14ac:dyDescent="0.2">
      <c r="A3261" s="19" t="s">
        <v>3408</v>
      </c>
      <c r="B3261" s="50">
        <v>447.27</v>
      </c>
      <c r="C3261" s="50">
        <v>6051.09</v>
      </c>
      <c r="D3261" s="51">
        <v>20177833</v>
      </c>
      <c r="E3261" s="51">
        <v>2525493236</v>
      </c>
      <c r="F3261" s="52">
        <f t="shared" si="104"/>
        <v>-5.106887541648961E-3</v>
      </c>
      <c r="G3261" s="52">
        <f t="shared" si="105"/>
        <v>-2.6441167577320025E-5</v>
      </c>
    </row>
    <row r="3262" spans="1:7" ht="15" customHeight="1" x14ac:dyDescent="0.2">
      <c r="A3262" s="19" t="s">
        <v>3409</v>
      </c>
      <c r="B3262" s="50">
        <v>451.59</v>
      </c>
      <c r="C3262" s="50">
        <v>6074.08</v>
      </c>
      <c r="D3262" s="51">
        <v>23598834</v>
      </c>
      <c r="E3262" s="51">
        <v>3113591762</v>
      </c>
      <c r="F3262" s="52">
        <f t="shared" si="104"/>
        <v>9.6122494321048465E-3</v>
      </c>
      <c r="G3262" s="52">
        <f t="shared" si="105"/>
        <v>3.7921163249597686E-3</v>
      </c>
    </row>
    <row r="3263" spans="1:7" ht="15" customHeight="1" x14ac:dyDescent="0.2">
      <c r="A3263" s="19" t="s">
        <v>3410</v>
      </c>
      <c r="B3263" s="50">
        <v>454.46</v>
      </c>
      <c r="C3263" s="50">
        <v>6050.61</v>
      </c>
      <c r="D3263" s="51">
        <v>22733494</v>
      </c>
      <c r="E3263" s="51">
        <v>3038427124</v>
      </c>
      <c r="F3263" s="52">
        <f t="shared" si="104"/>
        <v>6.3352124031293821E-3</v>
      </c>
      <c r="G3263" s="52">
        <f t="shared" si="105"/>
        <v>-3.8714440227630084E-3</v>
      </c>
    </row>
    <row r="3264" spans="1:7" ht="15" customHeight="1" x14ac:dyDescent="0.2">
      <c r="A3264" s="19" t="s">
        <v>3411</v>
      </c>
      <c r="B3264" s="50">
        <v>437.39</v>
      </c>
      <c r="C3264" s="50">
        <v>5872.16</v>
      </c>
      <c r="D3264" s="51">
        <v>24444545</v>
      </c>
      <c r="E3264" s="51">
        <v>3400301958</v>
      </c>
      <c r="F3264" s="52">
        <f t="shared" si="104"/>
        <v>-3.8284655330873545E-2</v>
      </c>
      <c r="G3264" s="52">
        <f t="shared" si="105"/>
        <v>-2.9936554508987644E-2</v>
      </c>
    </row>
    <row r="3265" spans="1:7" ht="15" customHeight="1" x14ac:dyDescent="0.2">
      <c r="A3265" s="19" t="s">
        <v>3412</v>
      </c>
      <c r="B3265" s="50">
        <v>437.03</v>
      </c>
      <c r="C3265" s="50">
        <v>5867.08</v>
      </c>
      <c r="D3265" s="51">
        <v>22963681</v>
      </c>
      <c r="E3265" s="51">
        <v>3296178745</v>
      </c>
      <c r="F3265" s="52">
        <f t="shared" si="104"/>
        <v>-8.2340298790001861E-4</v>
      </c>
      <c r="G3265" s="52">
        <f t="shared" si="105"/>
        <v>-8.6547345775283581E-4</v>
      </c>
    </row>
    <row r="3266" spans="1:7" ht="15" customHeight="1" x14ac:dyDescent="0.2">
      <c r="A3266" s="19" t="s">
        <v>3413</v>
      </c>
      <c r="B3266" s="50">
        <v>436.6</v>
      </c>
      <c r="C3266" s="50">
        <v>5930.85</v>
      </c>
      <c r="D3266" s="51">
        <v>64263694</v>
      </c>
      <c r="E3266" s="51">
        <v>6423401075</v>
      </c>
      <c r="F3266" s="52">
        <f t="shared" si="104"/>
        <v>-9.8439850903452616E-4</v>
      </c>
      <c r="G3266" s="52">
        <f t="shared" si="105"/>
        <v>1.0810476252410672E-2</v>
      </c>
    </row>
    <row r="3267" spans="1:7" ht="15" customHeight="1" x14ac:dyDescent="0.2">
      <c r="A3267" s="19" t="s">
        <v>3414</v>
      </c>
      <c r="B3267" s="50">
        <v>435.25</v>
      </c>
      <c r="C3267" s="50">
        <v>5974.07</v>
      </c>
      <c r="D3267" s="51">
        <v>19152519</v>
      </c>
      <c r="E3267" s="51">
        <v>2322849535</v>
      </c>
      <c r="F3267" s="52">
        <f t="shared" si="104"/>
        <v>-3.0968654675452034E-3</v>
      </c>
      <c r="G3267" s="52">
        <f t="shared" si="105"/>
        <v>7.2608954754625398E-3</v>
      </c>
    </row>
    <row r="3268" spans="1:7" ht="15" customHeight="1" x14ac:dyDescent="0.2">
      <c r="A3268" s="19" t="s">
        <v>3415</v>
      </c>
      <c r="B3268" s="50">
        <v>439.33</v>
      </c>
      <c r="C3268" s="50">
        <v>6040.04</v>
      </c>
      <c r="D3268" s="51">
        <v>7164543</v>
      </c>
      <c r="E3268" s="51">
        <v>1133216588</v>
      </c>
      <c r="F3268" s="52">
        <f t="shared" si="104"/>
        <v>9.3302604638468636E-3</v>
      </c>
      <c r="G3268" s="52">
        <f t="shared" si="105"/>
        <v>1.0982197273831982E-2</v>
      </c>
    </row>
    <row r="3269" spans="1:7" ht="15" customHeight="1" x14ac:dyDescent="0.2">
      <c r="A3269" s="19" t="s">
        <v>3416</v>
      </c>
      <c r="B3269" s="50">
        <v>438.11</v>
      </c>
      <c r="C3269" s="50">
        <v>6037.59</v>
      </c>
      <c r="D3269" s="51">
        <v>8199927</v>
      </c>
      <c r="E3269" s="51">
        <v>1506250902</v>
      </c>
      <c r="F3269" s="52">
        <f t="shared" si="104"/>
        <v>-2.780818713948305E-3</v>
      </c>
      <c r="G3269" s="52">
        <f t="shared" si="105"/>
        <v>-4.0570874146761795E-4</v>
      </c>
    </row>
    <row r="3270" spans="1:7" ht="15" customHeight="1" x14ac:dyDescent="0.2">
      <c r="A3270" s="19" t="s">
        <v>3417</v>
      </c>
      <c r="B3270" s="50">
        <v>430.53</v>
      </c>
      <c r="C3270" s="50">
        <v>5970.84</v>
      </c>
      <c r="D3270" s="51">
        <v>18117713</v>
      </c>
      <c r="E3270" s="51">
        <v>1817797977</v>
      </c>
      <c r="F3270" s="52">
        <f t="shared" ref="F3270:F3333" si="106">LN(B3270/B3269)</f>
        <v>-1.7453012547246734E-2</v>
      </c>
      <c r="G3270" s="52">
        <f t="shared" ref="G3270:G3333" si="107">LN(C3270/C3269)</f>
        <v>-1.111730467559637E-2</v>
      </c>
    </row>
    <row r="3271" spans="1:7" ht="15" customHeight="1" x14ac:dyDescent="0.2">
      <c r="A3271" s="19" t="s">
        <v>3418</v>
      </c>
      <c r="B3271" s="50">
        <v>424.83</v>
      </c>
      <c r="C3271" s="50">
        <v>5906.94</v>
      </c>
      <c r="D3271" s="51">
        <v>13158703</v>
      </c>
      <c r="E3271" s="51">
        <v>1943393216</v>
      </c>
      <c r="F3271" s="52">
        <f t="shared" si="106"/>
        <v>-1.3327918947873099E-2</v>
      </c>
      <c r="G3271" s="52">
        <f t="shared" si="107"/>
        <v>-1.0759690191101295E-2</v>
      </c>
    </row>
    <row r="3272" spans="1:7" ht="15" customHeight="1" x14ac:dyDescent="0.2">
      <c r="A3272" s="19" t="s">
        <v>3419</v>
      </c>
      <c r="B3272" s="50">
        <v>421.5</v>
      </c>
      <c r="C3272" s="50">
        <v>5881.63</v>
      </c>
      <c r="D3272" s="51">
        <v>13246509</v>
      </c>
      <c r="E3272" s="51">
        <v>1796606528</v>
      </c>
      <c r="F3272" s="52">
        <f t="shared" si="106"/>
        <v>-7.8693114611669106E-3</v>
      </c>
      <c r="G3272" s="52">
        <f t="shared" si="107"/>
        <v>-4.2939964541344501E-3</v>
      </c>
    </row>
    <row r="3273" spans="1:7" ht="15" customHeight="1" x14ac:dyDescent="0.2">
      <c r="A3273" s="19" t="s">
        <v>3420</v>
      </c>
      <c r="B3273" s="50">
        <v>418.58</v>
      </c>
      <c r="C3273" s="50">
        <v>5868.55</v>
      </c>
      <c r="D3273" s="51">
        <v>16896469</v>
      </c>
      <c r="E3273" s="51">
        <v>2248974081</v>
      </c>
      <c r="F3273" s="52">
        <f t="shared" si="106"/>
        <v>-6.9517468800784493E-3</v>
      </c>
      <c r="G3273" s="52">
        <f t="shared" si="107"/>
        <v>-2.2263497925529528E-3</v>
      </c>
    </row>
    <row r="3274" spans="1:7" ht="15" customHeight="1" x14ac:dyDescent="0.2">
      <c r="A3274" s="19" t="s">
        <v>3421</v>
      </c>
      <c r="B3274" s="50">
        <v>423.35</v>
      </c>
      <c r="C3274" s="50">
        <v>5942.47</v>
      </c>
      <c r="D3274" s="51">
        <v>16662943</v>
      </c>
      <c r="E3274" s="51">
        <v>2208965666</v>
      </c>
      <c r="F3274" s="52">
        <f t="shared" si="106"/>
        <v>1.1331229526454522E-2</v>
      </c>
      <c r="G3274" s="52">
        <f t="shared" si="107"/>
        <v>1.2517287272659085E-2</v>
      </c>
    </row>
    <row r="3275" spans="1:7" ht="15" customHeight="1" x14ac:dyDescent="0.2">
      <c r="A3275" s="19" t="s">
        <v>3422</v>
      </c>
      <c r="B3275" s="50">
        <v>427.85</v>
      </c>
      <c r="C3275" s="50">
        <v>5975.38</v>
      </c>
      <c r="D3275" s="51">
        <v>20573648</v>
      </c>
      <c r="E3275" s="51">
        <v>2825734456</v>
      </c>
      <c r="F3275" s="52">
        <f t="shared" si="106"/>
        <v>1.057340677577758E-2</v>
      </c>
      <c r="G3275" s="52">
        <f t="shared" si="107"/>
        <v>5.5228222624888485E-3</v>
      </c>
    </row>
    <row r="3276" spans="1:7" ht="15" customHeight="1" x14ac:dyDescent="0.2">
      <c r="A3276" s="19" t="s">
        <v>3423</v>
      </c>
      <c r="B3276" s="50">
        <v>422.37</v>
      </c>
      <c r="C3276" s="50">
        <v>5909.03</v>
      </c>
      <c r="D3276" s="51">
        <v>18139065</v>
      </c>
      <c r="E3276" s="51">
        <v>2695892906</v>
      </c>
      <c r="F3276" s="52">
        <f t="shared" si="106"/>
        <v>-1.2890959721518212E-2</v>
      </c>
      <c r="G3276" s="52">
        <f t="shared" si="107"/>
        <v>-1.116600476981219E-2</v>
      </c>
    </row>
    <row r="3277" spans="1:7" ht="15" customHeight="1" x14ac:dyDescent="0.2">
      <c r="A3277" s="19" t="s">
        <v>3424</v>
      </c>
      <c r="B3277" s="50">
        <v>424.56</v>
      </c>
      <c r="C3277" s="50">
        <v>5918.25</v>
      </c>
      <c r="D3277" s="51">
        <v>15054575</v>
      </c>
      <c r="E3277" s="51">
        <v>2552763188</v>
      </c>
      <c r="F3277" s="52">
        <f t="shared" si="106"/>
        <v>5.1716313770938417E-3</v>
      </c>
      <c r="G3277" s="52">
        <f t="shared" si="107"/>
        <v>1.559107735282887E-3</v>
      </c>
    </row>
    <row r="3278" spans="1:7" ht="15" customHeight="1" x14ac:dyDescent="0.2">
      <c r="A3278" s="19" t="s">
        <v>3425</v>
      </c>
      <c r="B3278" s="50">
        <v>418.95</v>
      </c>
      <c r="C3278" s="50">
        <v>5827.04</v>
      </c>
      <c r="D3278" s="51">
        <v>20201132</v>
      </c>
      <c r="E3278" s="51">
        <v>3074140013</v>
      </c>
      <c r="F3278" s="52">
        <f t="shared" si="106"/>
        <v>-1.3301757460344052E-2</v>
      </c>
      <c r="G3278" s="52">
        <f t="shared" si="107"/>
        <v>-1.5531644353894208E-2</v>
      </c>
    </row>
    <row r="3279" spans="1:7" ht="15" customHeight="1" x14ac:dyDescent="0.2">
      <c r="A3279" s="19" t="s">
        <v>3426</v>
      </c>
      <c r="B3279" s="50">
        <v>417.19</v>
      </c>
      <c r="C3279" s="50">
        <v>5836.22</v>
      </c>
      <c r="D3279" s="51">
        <v>17604780</v>
      </c>
      <c r="E3279" s="51">
        <v>2734604885</v>
      </c>
      <c r="F3279" s="52">
        <f t="shared" si="106"/>
        <v>-4.209827539218081E-3</v>
      </c>
      <c r="G3279" s="52">
        <f t="shared" si="107"/>
        <v>1.5741742695762329E-3</v>
      </c>
    </row>
    <row r="3280" spans="1:7" ht="15" customHeight="1" x14ac:dyDescent="0.2">
      <c r="A3280" s="19" t="s">
        <v>3427</v>
      </c>
      <c r="B3280" s="50">
        <v>415.67</v>
      </c>
      <c r="C3280" s="50">
        <v>5842.91</v>
      </c>
      <c r="D3280" s="51">
        <v>16935856</v>
      </c>
      <c r="E3280" s="51">
        <v>2456378108</v>
      </c>
      <c r="F3280" s="52">
        <f t="shared" si="106"/>
        <v>-3.6500772941136213E-3</v>
      </c>
      <c r="G3280" s="52">
        <f t="shared" si="107"/>
        <v>1.1456334044923633E-3</v>
      </c>
    </row>
    <row r="3281" spans="1:7" ht="15" customHeight="1" x14ac:dyDescent="0.2">
      <c r="A3281" s="19" t="s">
        <v>3428</v>
      </c>
      <c r="B3281" s="50">
        <v>426.31</v>
      </c>
      <c r="C3281" s="50">
        <v>5949.91</v>
      </c>
      <c r="D3281" s="51">
        <v>19637838</v>
      </c>
      <c r="E3281" s="51">
        <v>2766846545</v>
      </c>
      <c r="F3281" s="52">
        <f t="shared" si="106"/>
        <v>2.5275104928999953E-2</v>
      </c>
      <c r="G3281" s="52">
        <f t="shared" si="107"/>
        <v>1.8147132985426716E-2</v>
      </c>
    </row>
    <row r="3282" spans="1:7" ht="15" customHeight="1" x14ac:dyDescent="0.2">
      <c r="A3282" s="19" t="s">
        <v>3429</v>
      </c>
      <c r="B3282" s="50">
        <v>424.58</v>
      </c>
      <c r="C3282" s="50">
        <v>5937.34</v>
      </c>
      <c r="D3282" s="51">
        <v>15300023</v>
      </c>
      <c r="E3282" s="51">
        <v>2536020064</v>
      </c>
      <c r="F3282" s="52">
        <f t="shared" si="106"/>
        <v>-4.066336151107945E-3</v>
      </c>
      <c r="G3282" s="52">
        <f t="shared" si="107"/>
        <v>-2.1148717634665781E-3</v>
      </c>
    </row>
    <row r="3283" spans="1:7" ht="15" customHeight="1" x14ac:dyDescent="0.2">
      <c r="A3283" s="19" t="s">
        <v>3430</v>
      </c>
      <c r="B3283" s="50">
        <v>429.03</v>
      </c>
      <c r="C3283" s="50">
        <v>5996.66</v>
      </c>
      <c r="D3283" s="51">
        <v>26197507</v>
      </c>
      <c r="E3283" s="51">
        <v>3000130402</v>
      </c>
      <c r="F3283" s="52">
        <f t="shared" si="106"/>
        <v>1.0426401549097972E-2</v>
      </c>
      <c r="G3283" s="52">
        <f t="shared" si="107"/>
        <v>9.9414259357241096E-3</v>
      </c>
    </row>
    <row r="3284" spans="1:7" ht="15" customHeight="1" x14ac:dyDescent="0.2">
      <c r="A3284" s="19" t="s">
        <v>3431</v>
      </c>
      <c r="B3284" s="50">
        <v>428.5</v>
      </c>
      <c r="C3284" s="50">
        <v>6049.24</v>
      </c>
      <c r="D3284" s="51">
        <v>26085703</v>
      </c>
      <c r="E3284" s="51">
        <v>3098927599</v>
      </c>
      <c r="F3284" s="52">
        <f t="shared" si="106"/>
        <v>-1.236108515119177E-3</v>
      </c>
      <c r="G3284" s="52">
        <f t="shared" si="107"/>
        <v>8.7299967522312897E-3</v>
      </c>
    </row>
    <row r="3285" spans="1:7" ht="15" customHeight="1" x14ac:dyDescent="0.2">
      <c r="A3285" s="19" t="s">
        <v>3432</v>
      </c>
      <c r="B3285" s="50">
        <v>446.2</v>
      </c>
      <c r="C3285" s="50">
        <v>6086.37</v>
      </c>
      <c r="D3285" s="51">
        <v>27803811</v>
      </c>
      <c r="E3285" s="51">
        <v>2882204031</v>
      </c>
      <c r="F3285" s="52">
        <f t="shared" si="106"/>
        <v>4.0476543960597577E-2</v>
      </c>
      <c r="G3285" s="52">
        <f t="shared" si="107"/>
        <v>6.1192005774427091E-3</v>
      </c>
    </row>
    <row r="3286" spans="1:7" ht="15" customHeight="1" x14ac:dyDescent="0.2">
      <c r="A3286" s="19" t="s">
        <v>3433</v>
      </c>
      <c r="B3286" s="50">
        <v>446.71</v>
      </c>
      <c r="C3286" s="50">
        <v>6118.71</v>
      </c>
      <c r="D3286" s="51">
        <v>18389270</v>
      </c>
      <c r="E3286" s="51">
        <v>2490857980</v>
      </c>
      <c r="F3286" s="52">
        <f t="shared" si="106"/>
        <v>1.142332498144708E-3</v>
      </c>
      <c r="G3286" s="52">
        <f t="shared" si="107"/>
        <v>5.2994450977238887E-3</v>
      </c>
    </row>
    <row r="3287" spans="1:7" ht="15" customHeight="1" x14ac:dyDescent="0.2">
      <c r="A3287" s="19" t="s">
        <v>3434</v>
      </c>
      <c r="B3287" s="50">
        <v>444.06</v>
      </c>
      <c r="C3287" s="50">
        <v>6101.24</v>
      </c>
      <c r="D3287" s="51">
        <v>15549453</v>
      </c>
      <c r="E3287" s="51">
        <v>2521445434</v>
      </c>
      <c r="F3287" s="52">
        <f t="shared" si="106"/>
        <v>-5.9499260591469177E-3</v>
      </c>
      <c r="G3287" s="52">
        <f t="shared" si="107"/>
        <v>-2.8592607828964826E-3</v>
      </c>
    </row>
    <row r="3288" spans="1:7" ht="15" customHeight="1" x14ac:dyDescent="0.2">
      <c r="A3288" s="19" t="s">
        <v>3435</v>
      </c>
      <c r="B3288" s="50">
        <v>434.56</v>
      </c>
      <c r="C3288" s="50">
        <v>6012.28</v>
      </c>
      <c r="D3288" s="51">
        <v>35647805</v>
      </c>
      <c r="E3288" s="51">
        <v>4121065675</v>
      </c>
      <c r="F3288" s="52">
        <f t="shared" si="106"/>
        <v>-2.1625663507153406E-2</v>
      </c>
      <c r="G3288" s="52">
        <f t="shared" si="107"/>
        <v>-1.4687984883634318E-2</v>
      </c>
    </row>
    <row r="3289" spans="1:7" ht="15" customHeight="1" x14ac:dyDescent="0.2">
      <c r="A3289" s="19" t="s">
        <v>3436</v>
      </c>
      <c r="B3289" s="50">
        <v>447.2</v>
      </c>
      <c r="C3289" s="50">
        <v>6067.7</v>
      </c>
      <c r="D3289" s="51">
        <v>23491703</v>
      </c>
      <c r="E3289" s="51">
        <v>3367907580</v>
      </c>
      <c r="F3289" s="52">
        <f t="shared" si="106"/>
        <v>2.8671896910612688E-2</v>
      </c>
      <c r="G3289" s="52">
        <f t="shared" si="107"/>
        <v>9.1755762546756169E-3</v>
      </c>
    </row>
    <row r="3290" spans="1:7" ht="15" customHeight="1" x14ac:dyDescent="0.2">
      <c r="A3290" s="19" t="s">
        <v>3437</v>
      </c>
      <c r="B3290" s="50">
        <v>442.33</v>
      </c>
      <c r="C3290" s="50">
        <v>6039.31</v>
      </c>
      <c r="D3290" s="51">
        <v>23581370</v>
      </c>
      <c r="E3290" s="51">
        <v>2912197567</v>
      </c>
      <c r="F3290" s="52">
        <f t="shared" si="106"/>
        <v>-1.0949712000212162E-2</v>
      </c>
      <c r="G3290" s="52">
        <f t="shared" si="107"/>
        <v>-4.6898535700948913E-3</v>
      </c>
    </row>
    <row r="3291" spans="1:7" ht="15" customHeight="1" x14ac:dyDescent="0.2">
      <c r="A3291" s="19" t="s">
        <v>3438</v>
      </c>
      <c r="B3291" s="50">
        <v>414.99</v>
      </c>
      <c r="C3291" s="50">
        <v>6071.17</v>
      </c>
      <c r="D3291" s="51">
        <v>54586260</v>
      </c>
      <c r="E3291" s="51">
        <v>3095917460</v>
      </c>
      <c r="F3291" s="52">
        <f t="shared" si="106"/>
        <v>-6.3801786285843556E-2</v>
      </c>
      <c r="G3291" s="52">
        <f t="shared" si="107"/>
        <v>5.2615707224356184E-3</v>
      </c>
    </row>
    <row r="3292" spans="1:7" ht="15" customHeight="1" x14ac:dyDescent="0.2">
      <c r="A3292" s="19" t="s">
        <v>3439</v>
      </c>
      <c r="B3292" s="50">
        <v>415.06</v>
      </c>
      <c r="C3292" s="50">
        <v>6040.53</v>
      </c>
      <c r="D3292" s="51">
        <v>34223388</v>
      </c>
      <c r="E3292" s="51">
        <v>3538446119</v>
      </c>
      <c r="F3292" s="52">
        <f t="shared" si="106"/>
        <v>1.6866453868067421E-4</v>
      </c>
      <c r="G3292" s="52">
        <f t="shared" si="107"/>
        <v>-5.0595812914254659E-3</v>
      </c>
    </row>
    <row r="3293" spans="1:7" ht="15" customHeight="1" x14ac:dyDescent="0.2">
      <c r="A3293" s="19" t="s">
        <v>3440</v>
      </c>
      <c r="B3293" s="50">
        <v>410.92</v>
      </c>
      <c r="C3293" s="50">
        <v>5994.57</v>
      </c>
      <c r="D3293" s="51">
        <v>25679149</v>
      </c>
      <c r="E3293" s="51">
        <v>3330237167</v>
      </c>
      <c r="F3293" s="52">
        <f t="shared" si="106"/>
        <v>-1.0024539745451297E-2</v>
      </c>
      <c r="G3293" s="52">
        <f t="shared" si="107"/>
        <v>-7.637696973119063E-3</v>
      </c>
    </row>
    <row r="3294" spans="1:7" ht="15" customHeight="1" x14ac:dyDescent="0.2">
      <c r="A3294" s="19" t="s">
        <v>3441</v>
      </c>
      <c r="B3294" s="50">
        <v>412.37</v>
      </c>
      <c r="C3294" s="50">
        <v>6037.88</v>
      </c>
      <c r="D3294" s="51">
        <v>20532096</v>
      </c>
      <c r="E3294" s="51">
        <v>3123611016</v>
      </c>
      <c r="F3294" s="52">
        <f t="shared" si="106"/>
        <v>3.5224562408462663E-3</v>
      </c>
      <c r="G3294" s="52">
        <f t="shared" si="107"/>
        <v>7.1988974883324779E-3</v>
      </c>
    </row>
    <row r="3295" spans="1:7" ht="15" customHeight="1" x14ac:dyDescent="0.2">
      <c r="A3295" s="19" t="s">
        <v>3442</v>
      </c>
      <c r="B3295" s="50">
        <v>413.29</v>
      </c>
      <c r="C3295" s="50">
        <v>6061.48</v>
      </c>
      <c r="D3295" s="51">
        <v>16336188</v>
      </c>
      <c r="E3295" s="51">
        <v>3180982517</v>
      </c>
      <c r="F3295" s="52">
        <f t="shared" si="106"/>
        <v>2.2285211364244705E-3</v>
      </c>
      <c r="G3295" s="52">
        <f t="shared" si="107"/>
        <v>3.9010377290886913E-3</v>
      </c>
    </row>
    <row r="3296" spans="1:7" ht="15" customHeight="1" x14ac:dyDescent="0.2">
      <c r="A3296" s="19" t="s">
        <v>3443</v>
      </c>
      <c r="B3296" s="50">
        <v>415.82</v>
      </c>
      <c r="C3296" s="50">
        <v>6083.57</v>
      </c>
      <c r="D3296" s="51">
        <v>16309755</v>
      </c>
      <c r="E3296" s="51">
        <v>3123712582</v>
      </c>
      <c r="F3296" s="52">
        <f t="shared" si="106"/>
        <v>6.1029485899084931E-3</v>
      </c>
      <c r="G3296" s="52">
        <f t="shared" si="107"/>
        <v>3.637700027498819E-3</v>
      </c>
    </row>
    <row r="3297" spans="1:7" ht="15" customHeight="1" x14ac:dyDescent="0.2">
      <c r="A3297" s="19" t="s">
        <v>3444</v>
      </c>
      <c r="B3297" s="50">
        <v>409.75</v>
      </c>
      <c r="C3297" s="50">
        <v>6025.99</v>
      </c>
      <c r="D3297" s="51">
        <v>22886844</v>
      </c>
      <c r="E3297" s="51">
        <v>2940934310</v>
      </c>
      <c r="F3297" s="52">
        <f t="shared" si="106"/>
        <v>-1.4705256691303348E-2</v>
      </c>
      <c r="G3297" s="52">
        <f t="shared" si="107"/>
        <v>-9.5099134821077444E-3</v>
      </c>
    </row>
    <row r="3298" spans="1:7" ht="15" customHeight="1" x14ac:dyDescent="0.2">
      <c r="A3298" s="19" t="s">
        <v>3445</v>
      </c>
      <c r="B3298" s="50">
        <v>412.22</v>
      </c>
      <c r="C3298" s="50">
        <v>6066.44</v>
      </c>
      <c r="D3298" s="51">
        <v>20817919</v>
      </c>
      <c r="E3298" s="51">
        <v>2770081402</v>
      </c>
      <c r="F3298" s="52">
        <f t="shared" si="106"/>
        <v>6.0099697912124102E-3</v>
      </c>
      <c r="G3298" s="52">
        <f t="shared" si="107"/>
        <v>6.6901608481496353E-3</v>
      </c>
    </row>
    <row r="3299" spans="1:7" ht="15" customHeight="1" x14ac:dyDescent="0.2">
      <c r="A3299" s="19" t="s">
        <v>3446</v>
      </c>
      <c r="B3299" s="50">
        <v>411.44</v>
      </c>
      <c r="C3299" s="50">
        <v>6068.5</v>
      </c>
      <c r="D3299" s="51">
        <v>18140592</v>
      </c>
      <c r="E3299" s="51">
        <v>2804797291</v>
      </c>
      <c r="F3299" s="52">
        <f t="shared" si="106"/>
        <v>-1.8939859484906557E-3</v>
      </c>
      <c r="G3299" s="52">
        <f t="shared" si="107"/>
        <v>3.3951548500248807E-4</v>
      </c>
    </row>
    <row r="3300" spans="1:7" ht="15" customHeight="1" x14ac:dyDescent="0.2">
      <c r="A3300" s="19" t="s">
        <v>3447</v>
      </c>
      <c r="B3300" s="50">
        <v>409.04</v>
      </c>
      <c r="C3300" s="50">
        <v>6051.97</v>
      </c>
      <c r="D3300" s="51">
        <v>19121734</v>
      </c>
      <c r="E3300" s="51">
        <v>2900610176</v>
      </c>
      <c r="F3300" s="52">
        <f t="shared" si="106"/>
        <v>-5.8502506949169517E-3</v>
      </c>
      <c r="G3300" s="52">
        <f t="shared" si="107"/>
        <v>-2.7276186894511618E-3</v>
      </c>
    </row>
    <row r="3301" spans="1:7" ht="15" customHeight="1" x14ac:dyDescent="0.2">
      <c r="A3301" s="19" t="s">
        <v>3448</v>
      </c>
      <c r="B3301" s="50">
        <v>410.54</v>
      </c>
      <c r="C3301" s="50">
        <v>6115.07</v>
      </c>
      <c r="D3301" s="51">
        <v>23891731</v>
      </c>
      <c r="E3301" s="51">
        <v>2971515778</v>
      </c>
      <c r="F3301" s="52">
        <f t="shared" si="106"/>
        <v>3.6604155172889801E-3</v>
      </c>
      <c r="G3301" s="52">
        <f t="shared" si="107"/>
        <v>1.0372377459622351E-2</v>
      </c>
    </row>
    <row r="3302" spans="1:7" ht="15" customHeight="1" x14ac:dyDescent="0.2">
      <c r="A3302" s="19" t="s">
        <v>3449</v>
      </c>
      <c r="B3302" s="50">
        <v>408.43</v>
      </c>
      <c r="C3302" s="50">
        <v>6114.63</v>
      </c>
      <c r="D3302" s="51">
        <v>22758464</v>
      </c>
      <c r="E3302" s="51">
        <v>2829179249</v>
      </c>
      <c r="F3302" s="52">
        <f t="shared" si="106"/>
        <v>-5.15282530167358E-3</v>
      </c>
      <c r="G3302" s="52">
        <f t="shared" si="107"/>
        <v>-7.1955976056534599E-5</v>
      </c>
    </row>
    <row r="3303" spans="1:7" ht="15" customHeight="1" x14ac:dyDescent="0.2">
      <c r="A3303" s="19" t="s">
        <v>3450</v>
      </c>
      <c r="B3303" s="50">
        <v>409.64</v>
      </c>
      <c r="C3303" s="50">
        <v>6129.58</v>
      </c>
      <c r="D3303" s="51">
        <v>21423051</v>
      </c>
      <c r="E3303" s="51">
        <v>3288056630</v>
      </c>
      <c r="F3303" s="52">
        <f t="shared" si="106"/>
        <v>2.9581842198776473E-3</v>
      </c>
      <c r="G3303" s="52">
        <f t="shared" si="107"/>
        <v>2.4419717448794743E-3</v>
      </c>
    </row>
    <row r="3304" spans="1:7" ht="15" customHeight="1" x14ac:dyDescent="0.2">
      <c r="A3304" s="19" t="s">
        <v>3451</v>
      </c>
      <c r="B3304" s="50">
        <v>414.77</v>
      </c>
      <c r="C3304" s="50">
        <v>6144.15</v>
      </c>
      <c r="D3304" s="51">
        <v>24114197</v>
      </c>
      <c r="E3304" s="51">
        <v>3068012369</v>
      </c>
      <c r="F3304" s="52">
        <f t="shared" si="106"/>
        <v>1.24454245210562E-2</v>
      </c>
      <c r="G3304" s="52">
        <f t="shared" si="107"/>
        <v>2.3741775065794562E-3</v>
      </c>
    </row>
    <row r="3305" spans="1:7" ht="15" customHeight="1" x14ac:dyDescent="0.2">
      <c r="A3305" s="19" t="s">
        <v>3452</v>
      </c>
      <c r="B3305" s="50">
        <v>416.13</v>
      </c>
      <c r="C3305" s="50">
        <v>6117.52</v>
      </c>
      <c r="D3305" s="51">
        <v>23508728</v>
      </c>
      <c r="E3305" s="51">
        <v>2972975947</v>
      </c>
      <c r="F3305" s="52">
        <f t="shared" si="106"/>
        <v>3.2735617150155796E-3</v>
      </c>
      <c r="G3305" s="52">
        <f t="shared" si="107"/>
        <v>-4.3436239711486854E-3</v>
      </c>
    </row>
    <row r="3306" spans="1:7" ht="15" customHeight="1" x14ac:dyDescent="0.2">
      <c r="A3306" s="19" t="s">
        <v>3453</v>
      </c>
      <c r="B3306" s="50">
        <v>408.21</v>
      </c>
      <c r="C3306" s="50">
        <v>6013.13</v>
      </c>
      <c r="D3306" s="51">
        <v>27524799</v>
      </c>
      <c r="E3306" s="51">
        <v>3429439969</v>
      </c>
      <c r="F3306" s="52">
        <f t="shared" si="106"/>
        <v>-1.9215963572431702E-2</v>
      </c>
      <c r="G3306" s="52">
        <f t="shared" si="107"/>
        <v>-1.7211373991262081E-2</v>
      </c>
    </row>
    <row r="3307" spans="1:7" ht="15" customHeight="1" x14ac:dyDescent="0.2">
      <c r="A3307" s="19" t="s">
        <v>3454</v>
      </c>
      <c r="B3307" s="50">
        <v>404</v>
      </c>
      <c r="C3307" s="50">
        <v>5983.25</v>
      </c>
      <c r="D3307" s="51">
        <v>26443656</v>
      </c>
      <c r="E3307" s="51">
        <v>3277532553</v>
      </c>
      <c r="F3307" s="52">
        <f t="shared" si="106"/>
        <v>-1.0366869909726645E-2</v>
      </c>
      <c r="G3307" s="52">
        <f t="shared" si="107"/>
        <v>-4.9815130548550111E-3</v>
      </c>
    </row>
    <row r="3308" spans="1:7" ht="15" customHeight="1" x14ac:dyDescent="0.2">
      <c r="A3308" s="19" t="s">
        <v>3455</v>
      </c>
      <c r="B3308" s="50">
        <v>397.9</v>
      </c>
      <c r="C3308" s="50">
        <v>5955.25</v>
      </c>
      <c r="D3308" s="51">
        <v>29387402</v>
      </c>
      <c r="E3308" s="51">
        <v>3514532613</v>
      </c>
      <c r="F3308" s="52">
        <f t="shared" si="106"/>
        <v>-1.5214160528267129E-2</v>
      </c>
      <c r="G3308" s="52">
        <f t="shared" si="107"/>
        <v>-4.690715138395557E-3</v>
      </c>
    </row>
    <row r="3309" spans="1:7" ht="15" customHeight="1" x14ac:dyDescent="0.2">
      <c r="A3309" s="19" t="s">
        <v>3456</v>
      </c>
      <c r="B3309" s="50">
        <v>399.73</v>
      </c>
      <c r="C3309" s="50">
        <v>5956.06</v>
      </c>
      <c r="D3309" s="51">
        <v>19618954</v>
      </c>
      <c r="E3309" s="51">
        <v>3010698433</v>
      </c>
      <c r="F3309" s="52">
        <f t="shared" si="106"/>
        <v>4.5886017600314973E-3</v>
      </c>
      <c r="G3309" s="52">
        <f t="shared" si="107"/>
        <v>1.3600519191397061E-4</v>
      </c>
    </row>
    <row r="3310" spans="1:7" ht="15" customHeight="1" x14ac:dyDescent="0.2">
      <c r="A3310" s="19" t="s">
        <v>3457</v>
      </c>
      <c r="B3310" s="50">
        <v>392.53</v>
      </c>
      <c r="C3310" s="50">
        <v>5861.57</v>
      </c>
      <c r="D3310" s="51">
        <v>21127406</v>
      </c>
      <c r="E3310" s="51">
        <v>3363296300</v>
      </c>
      <c r="F3310" s="52">
        <f t="shared" si="106"/>
        <v>-1.8176351770294481E-2</v>
      </c>
      <c r="G3310" s="52">
        <f t="shared" si="107"/>
        <v>-1.5991702852089028E-2</v>
      </c>
    </row>
    <row r="3311" spans="1:7" ht="15" customHeight="1" x14ac:dyDescent="0.2">
      <c r="A3311" s="19" t="s">
        <v>3458</v>
      </c>
      <c r="B3311" s="50">
        <v>396.99</v>
      </c>
      <c r="C3311" s="50">
        <v>5954.5</v>
      </c>
      <c r="D3311" s="51">
        <v>32845658</v>
      </c>
      <c r="E3311" s="51">
        <v>4324759998</v>
      </c>
      <c r="F3311" s="52">
        <f t="shared" si="106"/>
        <v>1.1298124030447871E-2</v>
      </c>
      <c r="G3311" s="52">
        <f t="shared" si="107"/>
        <v>1.5729750431897126E-2</v>
      </c>
    </row>
    <row r="3312" spans="1:7" ht="15" customHeight="1" x14ac:dyDescent="0.2">
      <c r="A3312" s="19" t="s">
        <v>3459</v>
      </c>
      <c r="B3312" s="50">
        <v>388.49</v>
      </c>
      <c r="C3312" s="50">
        <v>5849.72</v>
      </c>
      <c r="D3312" s="51">
        <v>23007726</v>
      </c>
      <c r="E3312" s="51">
        <v>3643065709</v>
      </c>
      <c r="F3312" s="52">
        <f t="shared" si="106"/>
        <v>-2.1643662002385777E-2</v>
      </c>
      <c r="G3312" s="52">
        <f t="shared" si="107"/>
        <v>-1.7753439375493379E-2</v>
      </c>
    </row>
    <row r="3313" spans="1:7" ht="15" customHeight="1" x14ac:dyDescent="0.2">
      <c r="A3313" s="19" t="s">
        <v>3460</v>
      </c>
      <c r="B3313" s="50">
        <v>388.61</v>
      </c>
      <c r="C3313" s="50">
        <v>5778.15</v>
      </c>
      <c r="D3313" s="51">
        <v>29342923</v>
      </c>
      <c r="E3313" s="51">
        <v>4292552884</v>
      </c>
      <c r="F3313" s="52">
        <f t="shared" si="106"/>
        <v>3.0884056351513414E-4</v>
      </c>
      <c r="G3313" s="52">
        <f t="shared" si="107"/>
        <v>-1.2310234603366469E-2</v>
      </c>
    </row>
    <row r="3314" spans="1:7" ht="15" customHeight="1" x14ac:dyDescent="0.2">
      <c r="A3314" s="19" t="s">
        <v>3461</v>
      </c>
      <c r="B3314" s="50">
        <v>401.02</v>
      </c>
      <c r="C3314" s="50">
        <v>5842.63</v>
      </c>
      <c r="D3314" s="51">
        <v>23433132</v>
      </c>
      <c r="E3314" s="51">
        <v>3358765660</v>
      </c>
      <c r="F3314" s="52">
        <f t="shared" si="106"/>
        <v>3.1435031360360591E-2</v>
      </c>
      <c r="G3314" s="52">
        <f t="shared" si="107"/>
        <v>1.1097475685101249E-2</v>
      </c>
    </row>
    <row r="3315" spans="1:7" ht="15" customHeight="1" x14ac:dyDescent="0.2">
      <c r="A3315" s="19" t="s">
        <v>3462</v>
      </c>
      <c r="B3315" s="50">
        <v>396.89</v>
      </c>
      <c r="C3315" s="50">
        <v>5738.52</v>
      </c>
      <c r="D3315" s="51">
        <v>23304625</v>
      </c>
      <c r="E3315" s="51">
        <v>3374067793</v>
      </c>
      <c r="F3315" s="52">
        <f t="shared" si="106"/>
        <v>-1.035213716623464E-2</v>
      </c>
      <c r="G3315" s="52">
        <f t="shared" si="107"/>
        <v>-1.7979700568310077E-2</v>
      </c>
    </row>
    <row r="3316" spans="1:7" ht="15" customHeight="1" x14ac:dyDescent="0.2">
      <c r="A3316" s="19" t="s">
        <v>3463</v>
      </c>
      <c r="B3316" s="50">
        <v>393.31</v>
      </c>
      <c r="C3316" s="50">
        <v>5770.2</v>
      </c>
      <c r="D3316" s="51">
        <v>22034087</v>
      </c>
      <c r="E3316" s="51">
        <v>3989438816</v>
      </c>
      <c r="F3316" s="52">
        <f t="shared" si="106"/>
        <v>-9.0610592102421551E-3</v>
      </c>
      <c r="G3316" s="52">
        <f t="shared" si="107"/>
        <v>5.5054046005090125E-3</v>
      </c>
    </row>
    <row r="3317" spans="1:7" ht="15" customHeight="1" x14ac:dyDescent="0.2">
      <c r="A3317" s="19" t="s">
        <v>3464</v>
      </c>
      <c r="B3317" s="50">
        <v>380.16</v>
      </c>
      <c r="C3317" s="50">
        <v>5614.56</v>
      </c>
      <c r="D3317" s="51">
        <v>32840134</v>
      </c>
      <c r="E3317" s="51">
        <v>4360082077</v>
      </c>
      <c r="F3317" s="52">
        <f t="shared" si="106"/>
        <v>-3.400588826385554E-2</v>
      </c>
      <c r="G3317" s="52">
        <f t="shared" si="107"/>
        <v>-2.7343518375984407E-2</v>
      </c>
    </row>
    <row r="3318" spans="1:7" ht="15" customHeight="1" x14ac:dyDescent="0.2">
      <c r="A3318" s="19" t="s">
        <v>3465</v>
      </c>
      <c r="B3318" s="50">
        <v>380.45</v>
      </c>
      <c r="C3318" s="50">
        <v>5572.07</v>
      </c>
      <c r="D3318" s="51">
        <v>30380177</v>
      </c>
      <c r="E3318" s="51">
        <v>4149151870</v>
      </c>
      <c r="F3318" s="52">
        <f t="shared" si="106"/>
        <v>7.625458883061385E-4</v>
      </c>
      <c r="G3318" s="52">
        <f t="shared" si="107"/>
        <v>-7.596604935651537E-3</v>
      </c>
    </row>
    <row r="3319" spans="1:7" ht="15" customHeight="1" x14ac:dyDescent="0.2">
      <c r="A3319" s="19" t="s">
        <v>3466</v>
      </c>
      <c r="B3319" s="50">
        <v>383.27</v>
      </c>
      <c r="C3319" s="50">
        <v>5599.3</v>
      </c>
      <c r="D3319" s="51">
        <v>24253567</v>
      </c>
      <c r="E3319" s="51">
        <v>3479733142</v>
      </c>
      <c r="F3319" s="52">
        <f t="shared" si="106"/>
        <v>7.3849390254533617E-3</v>
      </c>
      <c r="G3319" s="52">
        <f t="shared" si="107"/>
        <v>4.8749712752344252E-3</v>
      </c>
    </row>
    <row r="3320" spans="1:7" ht="15" customHeight="1" x14ac:dyDescent="0.2">
      <c r="A3320" s="19" t="s">
        <v>3467</v>
      </c>
      <c r="B3320" s="50">
        <v>378.77</v>
      </c>
      <c r="C3320" s="50">
        <v>5521.52</v>
      </c>
      <c r="D3320" s="51">
        <v>20473017</v>
      </c>
      <c r="E3320" s="51">
        <v>3339958710</v>
      </c>
      <c r="F3320" s="52">
        <f t="shared" si="106"/>
        <v>-1.1810540938027794E-2</v>
      </c>
      <c r="G3320" s="52">
        <f t="shared" si="107"/>
        <v>-1.3988405225352909E-2</v>
      </c>
    </row>
    <row r="3321" spans="1:7" ht="15" customHeight="1" x14ac:dyDescent="0.2">
      <c r="A3321" s="19" t="s">
        <v>3468</v>
      </c>
      <c r="B3321" s="50">
        <v>388.56</v>
      </c>
      <c r="C3321" s="50">
        <v>5638.94</v>
      </c>
      <c r="D3321" s="51">
        <v>19952846</v>
      </c>
      <c r="E3321" s="51">
        <v>3014214616</v>
      </c>
      <c r="F3321" s="52">
        <f t="shared" si="106"/>
        <v>2.5518437327532274E-2</v>
      </c>
      <c r="G3321" s="52">
        <f t="shared" si="107"/>
        <v>2.1042919881408308E-2</v>
      </c>
    </row>
    <row r="3322" spans="1:7" ht="15" customHeight="1" x14ac:dyDescent="0.2">
      <c r="A3322" s="19" t="s">
        <v>3469</v>
      </c>
      <c r="B3322" s="50">
        <v>388.7</v>
      </c>
      <c r="C3322" s="50">
        <v>5675.12</v>
      </c>
      <c r="D3322" s="51">
        <v>22474272</v>
      </c>
      <c r="E3322" s="51">
        <v>2990890037</v>
      </c>
      <c r="F3322" s="52">
        <f t="shared" si="106"/>
        <v>3.6023982068814872E-4</v>
      </c>
      <c r="G3322" s="52">
        <f t="shared" si="107"/>
        <v>6.3956039343475201E-3</v>
      </c>
    </row>
    <row r="3323" spans="1:7" ht="15" customHeight="1" x14ac:dyDescent="0.2">
      <c r="A3323" s="19" t="s">
        <v>3470</v>
      </c>
      <c r="B3323" s="50">
        <v>383.52</v>
      </c>
      <c r="C3323" s="50">
        <v>5614.66</v>
      </c>
      <c r="D3323" s="51">
        <v>19486850</v>
      </c>
      <c r="E3323" s="51">
        <v>2920470375</v>
      </c>
      <c r="F3323" s="52">
        <f t="shared" si="106"/>
        <v>-1.3416067172103214E-2</v>
      </c>
      <c r="G3323" s="52">
        <f t="shared" si="107"/>
        <v>-1.071067425391002E-2</v>
      </c>
    </row>
    <row r="3324" spans="1:7" ht="15" customHeight="1" x14ac:dyDescent="0.2">
      <c r="A3324" s="19" t="s">
        <v>3471</v>
      </c>
      <c r="B3324" s="50">
        <v>387.82</v>
      </c>
      <c r="C3324" s="50">
        <v>5675.29</v>
      </c>
      <c r="D3324" s="51">
        <v>19185532</v>
      </c>
      <c r="E3324" s="51">
        <v>3036779615</v>
      </c>
      <c r="F3324" s="52">
        <f t="shared" si="106"/>
        <v>1.1149543768397812E-2</v>
      </c>
      <c r="G3324" s="52">
        <f t="shared" si="107"/>
        <v>1.0740629118978858E-2</v>
      </c>
    </row>
    <row r="3325" spans="1:7" ht="15" customHeight="1" x14ac:dyDescent="0.2">
      <c r="A3325" s="19" t="s">
        <v>3472</v>
      </c>
      <c r="B3325" s="50">
        <v>386.84</v>
      </c>
      <c r="C3325" s="50">
        <v>5662.89</v>
      </c>
      <c r="D3325" s="51">
        <v>18470542</v>
      </c>
      <c r="E3325" s="51">
        <v>2850149846</v>
      </c>
      <c r="F3325" s="52">
        <f t="shared" si="106"/>
        <v>-2.5301436057094781E-3</v>
      </c>
      <c r="G3325" s="52">
        <f t="shared" si="107"/>
        <v>-2.1873007738032347E-3</v>
      </c>
    </row>
    <row r="3326" spans="1:7" ht="15" customHeight="1" x14ac:dyDescent="0.2">
      <c r="A3326" s="19" t="s">
        <v>3473</v>
      </c>
      <c r="B3326" s="50">
        <v>391.26</v>
      </c>
      <c r="C3326" s="50">
        <v>5667.56</v>
      </c>
      <c r="D3326" s="51">
        <v>39675928</v>
      </c>
      <c r="E3326" s="51">
        <v>6488692228</v>
      </c>
      <c r="F3326" s="52">
        <f t="shared" si="106"/>
        <v>1.1361129784403443E-2</v>
      </c>
      <c r="G3326" s="52">
        <f t="shared" si="107"/>
        <v>8.2432741231720308E-4</v>
      </c>
    </row>
    <row r="3327" spans="1:7" ht="15" customHeight="1" x14ac:dyDescent="0.2">
      <c r="A3327" s="19" t="s">
        <v>3474</v>
      </c>
      <c r="B3327" s="50">
        <v>393.08</v>
      </c>
      <c r="C3327" s="50">
        <v>5767.57</v>
      </c>
      <c r="D3327" s="51">
        <v>21004548</v>
      </c>
      <c r="E3327" s="51">
        <v>3047868018</v>
      </c>
      <c r="F3327" s="52">
        <f t="shared" si="106"/>
        <v>4.6408528610601728E-3</v>
      </c>
      <c r="G3327" s="52">
        <f t="shared" si="107"/>
        <v>1.7492157944606672E-2</v>
      </c>
    </row>
    <row r="3328" spans="1:7" ht="15" customHeight="1" x14ac:dyDescent="0.2">
      <c r="A3328" s="19" t="s">
        <v>3475</v>
      </c>
      <c r="B3328" s="50">
        <v>395.16</v>
      </c>
      <c r="C3328" s="50">
        <v>5776.65</v>
      </c>
      <c r="D3328" s="51">
        <v>15774968</v>
      </c>
      <c r="E3328" s="51">
        <v>2701963544</v>
      </c>
      <c r="F3328" s="52">
        <f t="shared" si="106"/>
        <v>5.2775926820471525E-3</v>
      </c>
      <c r="G3328" s="52">
        <f t="shared" si="107"/>
        <v>1.5730819184730236E-3</v>
      </c>
    </row>
    <row r="3329" spans="1:7" ht="15" customHeight="1" x14ac:dyDescent="0.2">
      <c r="A3329" s="19" t="s">
        <v>3476</v>
      </c>
      <c r="B3329" s="50">
        <v>389.97</v>
      </c>
      <c r="C3329" s="50">
        <v>5712.2</v>
      </c>
      <c r="D3329" s="51">
        <v>16132906</v>
      </c>
      <c r="E3329" s="51">
        <v>2886232743</v>
      </c>
      <c r="F3329" s="52">
        <f t="shared" si="106"/>
        <v>-1.3220933088235803E-2</v>
      </c>
      <c r="G3329" s="52">
        <f t="shared" si="107"/>
        <v>-1.1219691455108281E-2</v>
      </c>
    </row>
    <row r="3330" spans="1:7" ht="15" customHeight="1" x14ac:dyDescent="0.2">
      <c r="A3330" s="19" t="s">
        <v>3477</v>
      </c>
      <c r="B3330" s="50">
        <v>390.58</v>
      </c>
      <c r="C3330" s="50">
        <v>5693.31</v>
      </c>
      <c r="D3330" s="51">
        <v>13766761</v>
      </c>
      <c r="E3330" s="51">
        <v>2832194159</v>
      </c>
      <c r="F3330" s="52">
        <f t="shared" si="106"/>
        <v>1.5630007665987881E-3</v>
      </c>
      <c r="G3330" s="52">
        <f t="shared" si="107"/>
        <v>-3.3124371066493626E-3</v>
      </c>
    </row>
    <row r="3331" spans="1:7" ht="15" customHeight="1" x14ac:dyDescent="0.2">
      <c r="A3331" s="19" t="s">
        <v>3478</v>
      </c>
      <c r="B3331" s="50">
        <v>378.8</v>
      </c>
      <c r="C3331" s="50">
        <v>5580.94</v>
      </c>
      <c r="D3331" s="51">
        <v>21632016</v>
      </c>
      <c r="E3331" s="51">
        <v>2841143271</v>
      </c>
      <c r="F3331" s="52">
        <f t="shared" si="106"/>
        <v>-3.0624452542713034E-2</v>
      </c>
      <c r="G3331" s="52">
        <f t="shared" si="107"/>
        <v>-1.9934580336265845E-2</v>
      </c>
    </row>
    <row r="3332" spans="1:7" ht="15" customHeight="1" x14ac:dyDescent="0.2">
      <c r="A3332" s="19" t="s">
        <v>3479</v>
      </c>
      <c r="B3332" s="50">
        <v>375.39</v>
      </c>
      <c r="C3332" s="50">
        <v>5611.85</v>
      </c>
      <c r="D3332" s="51">
        <v>35184676</v>
      </c>
      <c r="E3332" s="51">
        <v>3678236098</v>
      </c>
      <c r="F3332" s="52">
        <f t="shared" si="106"/>
        <v>-9.0428757668499331E-3</v>
      </c>
      <c r="G3332" s="52">
        <f t="shared" si="107"/>
        <v>5.523212456950013E-3</v>
      </c>
    </row>
    <row r="3333" spans="1:7" ht="15" customHeight="1" x14ac:dyDescent="0.2">
      <c r="A3333" s="19" t="s">
        <v>3480</v>
      </c>
      <c r="B3333" s="50">
        <v>382.19</v>
      </c>
      <c r="C3333" s="50">
        <v>5633.07</v>
      </c>
      <c r="D3333" s="51">
        <v>19689503</v>
      </c>
      <c r="E3333" s="51">
        <v>2806321225</v>
      </c>
      <c r="F3333" s="52">
        <f t="shared" si="106"/>
        <v>1.7952381606929239E-2</v>
      </c>
      <c r="G3333" s="52">
        <f t="shared" si="107"/>
        <v>3.7741531622356647E-3</v>
      </c>
    </row>
    <row r="3334" spans="1:7" ht="15" customHeight="1" x14ac:dyDescent="0.2">
      <c r="A3334" s="19" t="s">
        <v>3481</v>
      </c>
      <c r="B3334" s="50">
        <v>382.14</v>
      </c>
      <c r="C3334" s="50">
        <v>5670.97</v>
      </c>
      <c r="D3334" s="51">
        <v>16092555</v>
      </c>
      <c r="E3334" s="51">
        <v>2785811866</v>
      </c>
      <c r="F3334" s="52">
        <f t="shared" ref="F3334:F3397" si="108">LN(B3334/B3333)</f>
        <v>-1.308335406730681E-4</v>
      </c>
      <c r="G3334" s="52">
        <f t="shared" ref="G3334:G3397" si="109">LN(C3334/C3333)</f>
        <v>6.7055923394208307E-3</v>
      </c>
    </row>
    <row r="3335" spans="1:7" ht="15" customHeight="1" x14ac:dyDescent="0.2">
      <c r="A3335" s="19" t="s">
        <v>3482</v>
      </c>
      <c r="B3335" s="50">
        <v>373.11</v>
      </c>
      <c r="C3335" s="50">
        <v>5396.52</v>
      </c>
      <c r="D3335" s="51">
        <v>30197997</v>
      </c>
      <c r="E3335" s="51">
        <v>5005321892</v>
      </c>
      <c r="F3335" s="52">
        <f t="shared" si="108"/>
        <v>-2.3913751277569985E-2</v>
      </c>
      <c r="G3335" s="52">
        <f t="shared" si="109"/>
        <v>-4.9605877563395052E-2</v>
      </c>
    </row>
    <row r="3336" spans="1:7" ht="15" customHeight="1" x14ac:dyDescent="0.2">
      <c r="A3336" s="19" t="s">
        <v>3483</v>
      </c>
      <c r="B3336" s="50">
        <v>359.84</v>
      </c>
      <c r="C3336" s="50">
        <v>5074.08</v>
      </c>
      <c r="D3336" s="51">
        <v>49209854</v>
      </c>
      <c r="E3336" s="51">
        <v>6086848913</v>
      </c>
      <c r="F3336" s="52">
        <f t="shared" si="108"/>
        <v>-3.6213794122753933E-2</v>
      </c>
      <c r="G3336" s="52">
        <f t="shared" si="109"/>
        <v>-6.160907367588022E-2</v>
      </c>
    </row>
    <row r="3337" spans="1:7" ht="15" customHeight="1" x14ac:dyDescent="0.2">
      <c r="A3337" s="19" t="s">
        <v>3484</v>
      </c>
      <c r="B3337" s="50">
        <v>357.86</v>
      </c>
      <c r="C3337" s="50">
        <v>5062.25</v>
      </c>
      <c r="D3337" s="51">
        <v>50424998</v>
      </c>
      <c r="E3337" s="51">
        <v>6290342696</v>
      </c>
      <c r="F3337" s="52">
        <f t="shared" si="108"/>
        <v>-5.5176397472896594E-3</v>
      </c>
      <c r="G3337" s="52">
        <f t="shared" si="109"/>
        <v>-2.3341792090838189E-3</v>
      </c>
    </row>
    <row r="3338" spans="1:7" ht="15" customHeight="1" x14ac:dyDescent="0.2">
      <c r="A3338" s="19" t="s">
        <v>3485</v>
      </c>
      <c r="B3338" s="50">
        <v>354.56</v>
      </c>
      <c r="C3338" s="50">
        <v>4982.7700000000004</v>
      </c>
      <c r="D3338" s="51">
        <v>35868918</v>
      </c>
      <c r="E3338" s="51">
        <v>5129379581</v>
      </c>
      <c r="F3338" s="52">
        <f t="shared" si="108"/>
        <v>-9.2642643448515635E-3</v>
      </c>
      <c r="G3338" s="52">
        <f t="shared" si="109"/>
        <v>-1.5825087196812301E-2</v>
      </c>
    </row>
    <row r="3339" spans="1:7" ht="15" customHeight="1" x14ac:dyDescent="0.2">
      <c r="A3339" s="19" t="s">
        <v>3486</v>
      </c>
      <c r="B3339" s="50">
        <v>390.49</v>
      </c>
      <c r="C3339" s="50">
        <v>5456.9</v>
      </c>
      <c r="D3339" s="51">
        <v>50199696</v>
      </c>
      <c r="E3339" s="51">
        <v>6714323344</v>
      </c>
      <c r="F3339" s="52">
        <f t="shared" si="108"/>
        <v>9.6524776638358664E-2</v>
      </c>
      <c r="G3339" s="52">
        <f t="shared" si="109"/>
        <v>9.0894901648714818E-2</v>
      </c>
    </row>
    <row r="3340" spans="1:7" ht="15" customHeight="1" x14ac:dyDescent="0.2">
      <c r="A3340" s="19" t="s">
        <v>3487</v>
      </c>
      <c r="B3340" s="50">
        <v>381.35</v>
      </c>
      <c r="C3340" s="50">
        <v>5268.05</v>
      </c>
      <c r="D3340" s="51">
        <v>38024368</v>
      </c>
      <c r="E3340" s="51">
        <v>4827946954</v>
      </c>
      <c r="F3340" s="52">
        <f t="shared" si="108"/>
        <v>-2.3684772146975341E-2</v>
      </c>
      <c r="G3340" s="52">
        <f t="shared" si="109"/>
        <v>-3.5220587845117973E-2</v>
      </c>
    </row>
    <row r="3341" spans="1:7" ht="15" customHeight="1" x14ac:dyDescent="0.2">
      <c r="A3341" s="19" t="s">
        <v>3488</v>
      </c>
      <c r="B3341" s="50">
        <v>388.45</v>
      </c>
      <c r="C3341" s="50">
        <v>5363.36</v>
      </c>
      <c r="D3341" s="51">
        <v>23839220</v>
      </c>
      <c r="E3341" s="51">
        <v>3769018345</v>
      </c>
      <c r="F3341" s="52">
        <f t="shared" si="108"/>
        <v>1.8446872786182199E-2</v>
      </c>
      <c r="G3341" s="52">
        <f t="shared" si="109"/>
        <v>1.7930369252113488E-2</v>
      </c>
    </row>
    <row r="3342" spans="1:7" ht="15" customHeight="1" x14ac:dyDescent="0.2">
      <c r="A3342" s="19" t="s">
        <v>3489</v>
      </c>
      <c r="B3342" s="50">
        <v>387.81</v>
      </c>
      <c r="C3342" s="50">
        <v>5405.97</v>
      </c>
      <c r="D3342" s="51">
        <v>19251172</v>
      </c>
      <c r="E3342" s="51">
        <v>3287277699</v>
      </c>
      <c r="F3342" s="52">
        <f t="shared" si="108"/>
        <v>-1.6489324324636817E-3</v>
      </c>
      <c r="G3342" s="52">
        <f t="shared" si="109"/>
        <v>7.9132540931510648E-3</v>
      </c>
    </row>
    <row r="3343" spans="1:7" ht="15" customHeight="1" x14ac:dyDescent="0.2">
      <c r="A3343" s="19" t="s">
        <v>3490</v>
      </c>
      <c r="B3343" s="50">
        <v>385.73</v>
      </c>
      <c r="C3343" s="50">
        <v>5396.63</v>
      </c>
      <c r="D3343" s="51">
        <v>17199890</v>
      </c>
      <c r="E3343" s="51">
        <v>2856819167</v>
      </c>
      <c r="F3343" s="52">
        <f t="shared" si="108"/>
        <v>-5.3778861159995183E-3</v>
      </c>
      <c r="G3343" s="52">
        <f t="shared" si="109"/>
        <v>-1.7292137684181356E-3</v>
      </c>
    </row>
    <row r="3344" spans="1:7" ht="15" customHeight="1" x14ac:dyDescent="0.2">
      <c r="A3344" s="19" t="s">
        <v>3491</v>
      </c>
      <c r="B3344" s="50">
        <v>371.61</v>
      </c>
      <c r="C3344" s="50">
        <v>5275.7</v>
      </c>
      <c r="D3344" s="51">
        <v>21967826</v>
      </c>
      <c r="E3344" s="51">
        <v>3352865807</v>
      </c>
      <c r="F3344" s="52">
        <f t="shared" si="108"/>
        <v>-3.7292725613748225E-2</v>
      </c>
      <c r="G3344" s="52">
        <f t="shared" si="109"/>
        <v>-2.2663312700996363E-2</v>
      </c>
    </row>
    <row r="3345" spans="1:7" ht="15" customHeight="1" x14ac:dyDescent="0.2">
      <c r="A3345" s="19" t="s">
        <v>3492</v>
      </c>
      <c r="B3345" s="50">
        <v>367.78</v>
      </c>
      <c r="C3345" s="50">
        <v>5282.7</v>
      </c>
      <c r="D3345" s="51">
        <v>21120192</v>
      </c>
      <c r="E3345" s="51">
        <v>3153699686</v>
      </c>
      <c r="F3345" s="52">
        <f t="shared" si="108"/>
        <v>-1.0359983921511193E-2</v>
      </c>
      <c r="G3345" s="52">
        <f t="shared" si="109"/>
        <v>1.3259586728286152E-3</v>
      </c>
    </row>
    <row r="3346" spans="1:7" ht="15" customHeight="1" x14ac:dyDescent="0.2">
      <c r="A3346" s="19" t="s">
        <v>3493</v>
      </c>
      <c r="B3346" s="50">
        <v>359.12</v>
      </c>
      <c r="C3346" s="50">
        <v>5158.2</v>
      </c>
      <c r="D3346" s="51">
        <v>20807279</v>
      </c>
      <c r="E3346" s="51">
        <v>2968348904</v>
      </c>
      <c r="F3346" s="52">
        <f t="shared" si="108"/>
        <v>-2.3828338839030391E-2</v>
      </c>
      <c r="G3346" s="52">
        <f t="shared" si="109"/>
        <v>-2.3849649226388613E-2</v>
      </c>
    </row>
    <row r="3347" spans="1:7" ht="15" customHeight="1" x14ac:dyDescent="0.2">
      <c r="A3347" s="19" t="s">
        <v>3494</v>
      </c>
      <c r="B3347" s="50">
        <v>366.82</v>
      </c>
      <c r="C3347" s="50">
        <v>5287.76</v>
      </c>
      <c r="D3347" s="51">
        <v>19484993</v>
      </c>
      <c r="E3347" s="51">
        <v>3110055926</v>
      </c>
      <c r="F3347" s="52">
        <f t="shared" si="108"/>
        <v>2.1214670049209856E-2</v>
      </c>
      <c r="G3347" s="52">
        <f t="shared" si="109"/>
        <v>2.4807034313980802E-2</v>
      </c>
    </row>
    <row r="3348" spans="1:7" ht="15" customHeight="1" x14ac:dyDescent="0.2">
      <c r="A3348" s="19" t="s">
        <v>3495</v>
      </c>
      <c r="B3348" s="50">
        <v>374.39</v>
      </c>
      <c r="C3348" s="50">
        <v>5375.86</v>
      </c>
      <c r="D3348" s="51">
        <v>20545526</v>
      </c>
      <c r="E3348" s="51">
        <v>3557338239</v>
      </c>
      <c r="F3348" s="52">
        <f t="shared" si="108"/>
        <v>2.0426770322138518E-2</v>
      </c>
      <c r="G3348" s="52">
        <f t="shared" si="109"/>
        <v>1.6523845474794581E-2</v>
      </c>
    </row>
    <row r="3349" spans="1:7" ht="15" customHeight="1" x14ac:dyDescent="0.2">
      <c r="A3349" s="19" t="s">
        <v>3496</v>
      </c>
      <c r="B3349" s="50">
        <v>387.3</v>
      </c>
      <c r="C3349" s="50">
        <v>5484.77</v>
      </c>
      <c r="D3349" s="51">
        <v>22232289</v>
      </c>
      <c r="E3349" s="51">
        <v>3167406758</v>
      </c>
      <c r="F3349" s="52">
        <f t="shared" si="108"/>
        <v>3.3901551675681416E-2</v>
      </c>
      <c r="G3349" s="52">
        <f t="shared" si="109"/>
        <v>2.005659908960853E-2</v>
      </c>
    </row>
    <row r="3350" spans="1:7" ht="15" customHeight="1" x14ac:dyDescent="0.2">
      <c r="A3350" s="19" t="s">
        <v>3497</v>
      </c>
      <c r="B3350" s="50">
        <v>391.85</v>
      </c>
      <c r="C3350" s="50">
        <v>5525.21</v>
      </c>
      <c r="D3350" s="51">
        <v>18973165</v>
      </c>
      <c r="E3350" s="51">
        <v>2948448664</v>
      </c>
      <c r="F3350" s="52">
        <f t="shared" si="108"/>
        <v>1.1679526978167121E-2</v>
      </c>
      <c r="G3350" s="52">
        <f t="shared" si="109"/>
        <v>7.3460954265644985E-3</v>
      </c>
    </row>
    <row r="3351" spans="1:7" ht="15" customHeight="1" x14ac:dyDescent="0.2">
      <c r="A3351" s="19" t="s">
        <v>3498</v>
      </c>
      <c r="B3351" s="50">
        <v>391.16</v>
      </c>
      <c r="C3351" s="50">
        <v>5528.75</v>
      </c>
      <c r="D3351" s="51">
        <v>16579430</v>
      </c>
      <c r="E3351" s="51">
        <v>2781484249</v>
      </c>
      <c r="F3351" s="52">
        <f t="shared" si="108"/>
        <v>-1.7624300547992623E-3</v>
      </c>
      <c r="G3351" s="52">
        <f t="shared" si="109"/>
        <v>6.4049446913477337E-4</v>
      </c>
    </row>
    <row r="3352" spans="1:7" ht="15" customHeight="1" x14ac:dyDescent="0.2">
      <c r="A3352" s="19" t="s">
        <v>3499</v>
      </c>
      <c r="B3352" s="50">
        <v>394.04</v>
      </c>
      <c r="C3352" s="50">
        <v>5560.83</v>
      </c>
      <c r="D3352" s="51">
        <v>14973976</v>
      </c>
      <c r="E3352" s="51">
        <v>2873460382</v>
      </c>
      <c r="F3352" s="52">
        <f t="shared" si="108"/>
        <v>7.3357435434040783E-3</v>
      </c>
      <c r="G3352" s="52">
        <f t="shared" si="109"/>
        <v>5.7856274963946795E-3</v>
      </c>
    </row>
    <row r="3353" spans="1:7" ht="15" customHeight="1" x14ac:dyDescent="0.2">
      <c r="A3353" s="19" t="s">
        <v>3500</v>
      </c>
      <c r="B3353" s="50">
        <v>395.26</v>
      </c>
      <c r="C3353" s="50">
        <v>5569.06</v>
      </c>
      <c r="D3353" s="51">
        <v>36461075</v>
      </c>
      <c r="E3353" s="51">
        <v>3778234782</v>
      </c>
      <c r="F3353" s="52">
        <f t="shared" si="108"/>
        <v>3.0913492248099282E-3</v>
      </c>
      <c r="G3353" s="52">
        <f t="shared" si="109"/>
        <v>1.4789007797954687E-3</v>
      </c>
    </row>
    <row r="3354" spans="1:7" ht="15" customHeight="1" x14ac:dyDescent="0.2">
      <c r="A3354" s="19" t="s">
        <v>3501</v>
      </c>
      <c r="B3354" s="50">
        <v>425.4</v>
      </c>
      <c r="C3354" s="50">
        <v>5604.14</v>
      </c>
      <c r="D3354" s="51">
        <v>58938100</v>
      </c>
      <c r="E3354" s="51">
        <v>3254820687</v>
      </c>
      <c r="F3354" s="52">
        <f t="shared" si="108"/>
        <v>7.3486126553848397E-2</v>
      </c>
      <c r="G3354" s="52">
        <f t="shared" si="109"/>
        <v>6.2793318417251861E-3</v>
      </c>
    </row>
    <row r="3355" spans="1:7" ht="15" customHeight="1" x14ac:dyDescent="0.2">
      <c r="A3355" s="19" t="s">
        <v>3502</v>
      </c>
      <c r="B3355" s="50">
        <v>435.28</v>
      </c>
      <c r="C3355" s="50">
        <v>5686.67</v>
      </c>
      <c r="D3355" s="51">
        <v>30757434</v>
      </c>
      <c r="E3355" s="51">
        <v>3023303433</v>
      </c>
      <c r="F3355" s="52">
        <f t="shared" si="108"/>
        <v>2.2959599411533093E-2</v>
      </c>
      <c r="G3355" s="52">
        <f t="shared" si="109"/>
        <v>1.4619229243407843E-2</v>
      </c>
    </row>
    <row r="3356" spans="1:7" ht="15" customHeight="1" x14ac:dyDescent="0.2">
      <c r="A3356" s="19" t="s">
        <v>3503</v>
      </c>
      <c r="B3356" s="50">
        <v>436.17</v>
      </c>
      <c r="C3356" s="50">
        <v>5650.38</v>
      </c>
      <c r="D3356" s="51">
        <v>20136053</v>
      </c>
      <c r="E3356" s="51">
        <v>2704187234</v>
      </c>
      <c r="F3356" s="52">
        <f t="shared" si="108"/>
        <v>2.0425734337741314E-3</v>
      </c>
      <c r="G3356" s="52">
        <f t="shared" si="109"/>
        <v>-6.4020400278313339E-3</v>
      </c>
    </row>
    <row r="3357" spans="1:7" ht="15" customHeight="1" x14ac:dyDescent="0.2">
      <c r="A3357" s="19" t="s">
        <v>3504</v>
      </c>
      <c r="B3357" s="50">
        <v>433.31</v>
      </c>
      <c r="C3357" s="50">
        <v>5606.91</v>
      </c>
      <c r="D3357" s="51">
        <v>15104204</v>
      </c>
      <c r="E3357" s="51">
        <v>2819089147</v>
      </c>
      <c r="F3357" s="52">
        <f t="shared" si="108"/>
        <v>-6.5786684335278952E-3</v>
      </c>
      <c r="G3357" s="52">
        <f t="shared" si="109"/>
        <v>-7.7230338855465552E-3</v>
      </c>
    </row>
    <row r="3358" spans="1:7" ht="15" customHeight="1" x14ac:dyDescent="0.2">
      <c r="A3358" s="19" t="s">
        <v>3505</v>
      </c>
      <c r="B3358" s="50">
        <v>433.35</v>
      </c>
      <c r="C3358" s="50">
        <v>5631.28</v>
      </c>
      <c r="D3358" s="51">
        <v>23307241</v>
      </c>
      <c r="E3358" s="51">
        <v>3217062436</v>
      </c>
      <c r="F3358" s="52">
        <f t="shared" si="108"/>
        <v>9.2308402438027751E-5</v>
      </c>
      <c r="G3358" s="52">
        <f t="shared" si="109"/>
        <v>4.3370041259597454E-3</v>
      </c>
    </row>
    <row r="3359" spans="1:7" ht="15" customHeight="1" x14ac:dyDescent="0.2">
      <c r="A3359" s="19" t="s">
        <v>3506</v>
      </c>
      <c r="B3359" s="50">
        <v>438.17</v>
      </c>
      <c r="C3359" s="50">
        <v>5663.94</v>
      </c>
      <c r="D3359" s="51">
        <v>23491330</v>
      </c>
      <c r="E3359" s="51">
        <v>3223260422</v>
      </c>
      <c r="F3359" s="52">
        <f t="shared" si="108"/>
        <v>1.1061247347841878E-2</v>
      </c>
      <c r="G3359" s="52">
        <f t="shared" si="109"/>
        <v>5.7829933406661335E-3</v>
      </c>
    </row>
    <row r="3360" spans="1:7" ht="15" customHeight="1" x14ac:dyDescent="0.2">
      <c r="A3360" s="19" t="s">
        <v>3507</v>
      </c>
      <c r="B3360" s="50">
        <v>438.73</v>
      </c>
      <c r="C3360" s="50">
        <v>5659.91</v>
      </c>
      <c r="D3360" s="51">
        <v>15324233</v>
      </c>
      <c r="E3360" s="51">
        <v>2455756301</v>
      </c>
      <c r="F3360" s="52">
        <f t="shared" si="108"/>
        <v>1.2772267673115025E-3</v>
      </c>
      <c r="G3360" s="52">
        <f t="shared" si="109"/>
        <v>-7.117720863733933E-4</v>
      </c>
    </row>
    <row r="3361" spans="1:7" ht="15" customHeight="1" x14ac:dyDescent="0.2">
      <c r="A3361" s="19" t="s">
        <v>3508</v>
      </c>
      <c r="B3361" s="50">
        <v>449.26</v>
      </c>
      <c r="C3361" s="50">
        <v>5844.19</v>
      </c>
      <c r="D3361" s="51">
        <v>22821935</v>
      </c>
      <c r="E3361" s="51">
        <v>3760355072</v>
      </c>
      <c r="F3361" s="52">
        <f t="shared" si="108"/>
        <v>2.3717595041516697E-2</v>
      </c>
      <c r="G3361" s="52">
        <f t="shared" si="109"/>
        <v>3.204001430944952E-2</v>
      </c>
    </row>
    <row r="3362" spans="1:7" ht="15" customHeight="1" x14ac:dyDescent="0.2">
      <c r="A3362" s="19" t="s">
        <v>3509</v>
      </c>
      <c r="B3362" s="50">
        <v>449.14</v>
      </c>
      <c r="C3362" s="50">
        <v>5886.55</v>
      </c>
      <c r="D3362" s="51">
        <v>23618819</v>
      </c>
      <c r="E3362" s="51">
        <v>3560150856</v>
      </c>
      <c r="F3362" s="52">
        <f t="shared" si="108"/>
        <v>-2.6714158662880427E-4</v>
      </c>
      <c r="G3362" s="52">
        <f t="shared" si="109"/>
        <v>7.2220821737149429E-3</v>
      </c>
    </row>
    <row r="3363" spans="1:7" ht="15" customHeight="1" x14ac:dyDescent="0.2">
      <c r="A3363" s="19" t="s">
        <v>3510</v>
      </c>
      <c r="B3363" s="50">
        <v>452.94</v>
      </c>
      <c r="C3363" s="50">
        <v>5892.58</v>
      </c>
      <c r="D3363" s="51">
        <v>19902796</v>
      </c>
      <c r="E3363" s="51">
        <v>3460287578</v>
      </c>
      <c r="F3363" s="52">
        <f t="shared" si="108"/>
        <v>8.4250232291931838E-3</v>
      </c>
      <c r="G3363" s="52">
        <f t="shared" si="109"/>
        <v>1.0238448046247569E-3</v>
      </c>
    </row>
    <row r="3364" spans="1:7" ht="15" customHeight="1" x14ac:dyDescent="0.2">
      <c r="A3364" s="19" t="s">
        <v>3511</v>
      </c>
      <c r="B3364" s="50">
        <v>453.13</v>
      </c>
      <c r="C3364" s="50">
        <v>5916.93</v>
      </c>
      <c r="D3364" s="51">
        <v>21992323</v>
      </c>
      <c r="E3364" s="51">
        <v>3162012704</v>
      </c>
      <c r="F3364" s="52">
        <f t="shared" si="108"/>
        <v>4.1939365122980522E-4</v>
      </c>
      <c r="G3364" s="52">
        <f t="shared" si="109"/>
        <v>4.1238009887726761E-3</v>
      </c>
    </row>
    <row r="3365" spans="1:7" ht="15" customHeight="1" x14ac:dyDescent="0.2">
      <c r="A3365" s="19" t="s">
        <v>3512</v>
      </c>
      <c r="B3365" s="50">
        <v>454.27</v>
      </c>
      <c r="C3365" s="50">
        <v>5958.38</v>
      </c>
      <c r="D3365" s="51">
        <v>23849781</v>
      </c>
      <c r="E3365" s="51">
        <v>2964380123</v>
      </c>
      <c r="F3365" s="52">
        <f t="shared" si="108"/>
        <v>2.5126748948330183E-3</v>
      </c>
      <c r="G3365" s="52">
        <f t="shared" si="109"/>
        <v>6.9808987439629782E-3</v>
      </c>
    </row>
    <row r="3366" spans="1:7" ht="15" customHeight="1" x14ac:dyDescent="0.2">
      <c r="A3366" s="19" t="s">
        <v>3513</v>
      </c>
      <c r="B3366" s="50">
        <v>458.87</v>
      </c>
      <c r="C3366" s="50">
        <v>5963.6</v>
      </c>
      <c r="D3366" s="51">
        <v>21336509</v>
      </c>
      <c r="E3366" s="51">
        <v>2570089512</v>
      </c>
      <c r="F3366" s="52">
        <f t="shared" si="108"/>
        <v>1.0075210618417079E-2</v>
      </c>
      <c r="G3366" s="52">
        <f t="shared" si="109"/>
        <v>8.7569352298437302E-4</v>
      </c>
    </row>
    <row r="3367" spans="1:7" ht="15" customHeight="1" x14ac:dyDescent="0.2">
      <c r="A3367" s="19" t="s">
        <v>3514</v>
      </c>
      <c r="B3367" s="50">
        <v>458.17</v>
      </c>
      <c r="C3367" s="50">
        <v>5940.46</v>
      </c>
      <c r="D3367" s="51">
        <v>15441808</v>
      </c>
      <c r="E3367" s="51">
        <v>2548764044</v>
      </c>
      <c r="F3367" s="52">
        <f t="shared" si="108"/>
        <v>-1.5266512604802495E-3</v>
      </c>
      <c r="G3367" s="52">
        <f t="shared" si="109"/>
        <v>-3.8877541185178555E-3</v>
      </c>
    </row>
    <row r="3368" spans="1:7" ht="15" customHeight="1" x14ac:dyDescent="0.2">
      <c r="A3368" s="19" t="s">
        <v>3515</v>
      </c>
      <c r="B3368" s="50">
        <v>452.57</v>
      </c>
      <c r="C3368" s="50">
        <v>5844.61</v>
      </c>
      <c r="D3368" s="51">
        <v>19216906</v>
      </c>
      <c r="E3368" s="51">
        <v>3120335266</v>
      </c>
      <c r="F3368" s="52">
        <f t="shared" si="108"/>
        <v>-1.2297846975223624E-2</v>
      </c>
      <c r="G3368" s="52">
        <f t="shared" si="109"/>
        <v>-1.6266702451148567E-2</v>
      </c>
    </row>
    <row r="3369" spans="1:7" ht="15" customHeight="1" x14ac:dyDescent="0.2">
      <c r="A3369" s="19" t="s">
        <v>3516</v>
      </c>
      <c r="B3369" s="50">
        <v>454.86</v>
      </c>
      <c r="C3369" s="50">
        <v>5842.01</v>
      </c>
      <c r="D3369" s="51">
        <v>18025612</v>
      </c>
      <c r="E3369" s="51">
        <v>2780476653</v>
      </c>
      <c r="F3369" s="52">
        <f t="shared" si="108"/>
        <v>5.0472319879030173E-3</v>
      </c>
      <c r="G3369" s="52">
        <f t="shared" si="109"/>
        <v>-4.4495329580252299E-4</v>
      </c>
    </row>
    <row r="3370" spans="1:7" ht="15" customHeight="1" x14ac:dyDescent="0.2">
      <c r="A3370" s="19" t="s">
        <v>3517</v>
      </c>
      <c r="B3370" s="50">
        <v>450.18</v>
      </c>
      <c r="C3370" s="50">
        <v>5802.82</v>
      </c>
      <c r="D3370" s="51">
        <v>16883509</v>
      </c>
      <c r="E3370" s="51">
        <v>2552789941</v>
      </c>
      <c r="F3370" s="52">
        <f t="shared" si="108"/>
        <v>-1.0342176510575202E-2</v>
      </c>
      <c r="G3370" s="52">
        <f t="shared" si="109"/>
        <v>-6.7309094179872579E-3</v>
      </c>
    </row>
    <row r="3371" spans="1:7" ht="15" customHeight="1" x14ac:dyDescent="0.2">
      <c r="A3371" s="19" t="s">
        <v>3518</v>
      </c>
      <c r="B3371" s="50">
        <v>460.69</v>
      </c>
      <c r="C3371" s="50">
        <v>5921.54</v>
      </c>
      <c r="D3371" s="51">
        <v>20974293</v>
      </c>
      <c r="E3371" s="51">
        <v>2908886707</v>
      </c>
      <c r="F3371" s="52">
        <f t="shared" si="108"/>
        <v>2.3077862821184108E-2</v>
      </c>
      <c r="G3371" s="52">
        <f t="shared" si="109"/>
        <v>2.025254391312099E-2</v>
      </c>
    </row>
    <row r="3372" spans="1:7" ht="15" customHeight="1" x14ac:dyDescent="0.2">
      <c r="A3372" s="19" t="s">
        <v>3519</v>
      </c>
      <c r="B3372" s="50">
        <v>457.36</v>
      </c>
      <c r="C3372" s="50">
        <v>5888.55</v>
      </c>
      <c r="D3372" s="51">
        <v>17086261</v>
      </c>
      <c r="E3372" s="51">
        <v>2671435626</v>
      </c>
      <c r="F3372" s="52">
        <f t="shared" si="108"/>
        <v>-7.254538651160704E-3</v>
      </c>
      <c r="G3372" s="52">
        <f t="shared" si="109"/>
        <v>-5.586762811582561E-3</v>
      </c>
    </row>
    <row r="3373" spans="1:7" ht="15" customHeight="1" x14ac:dyDescent="0.2">
      <c r="A3373" s="19" t="s">
        <v>3520</v>
      </c>
      <c r="B3373" s="50">
        <v>458.68</v>
      </c>
      <c r="C3373" s="50">
        <v>5912.17</v>
      </c>
      <c r="D3373" s="51">
        <v>13982211</v>
      </c>
      <c r="E3373" s="51">
        <v>2860740970</v>
      </c>
      <c r="F3373" s="52">
        <f t="shared" si="108"/>
        <v>2.8819722143877146E-3</v>
      </c>
      <c r="G3373" s="52">
        <f t="shared" si="109"/>
        <v>4.0031509167171844E-3</v>
      </c>
    </row>
    <row r="3374" spans="1:7" ht="15" customHeight="1" x14ac:dyDescent="0.2">
      <c r="A3374" s="19" t="s">
        <v>3521</v>
      </c>
      <c r="B3374" s="50">
        <v>460.36</v>
      </c>
      <c r="C3374" s="50">
        <v>5911.69</v>
      </c>
      <c r="D3374" s="51">
        <v>34770475</v>
      </c>
      <c r="E3374" s="51">
        <v>4815797845</v>
      </c>
      <c r="F3374" s="52">
        <f t="shared" si="108"/>
        <v>3.6559929301866012E-3</v>
      </c>
      <c r="G3374" s="52">
        <f t="shared" si="109"/>
        <v>-8.119175975762441E-5</v>
      </c>
    </row>
    <row r="3375" spans="1:7" ht="15" customHeight="1" x14ac:dyDescent="0.2">
      <c r="A3375" s="19" t="s">
        <v>3522</v>
      </c>
      <c r="B3375" s="50">
        <v>461.97</v>
      </c>
      <c r="C3375" s="50">
        <v>5935.94</v>
      </c>
      <c r="D3375" s="51">
        <v>16626495</v>
      </c>
      <c r="E3375" s="51">
        <v>2765357514</v>
      </c>
      <c r="F3375" s="52">
        <f t="shared" si="108"/>
        <v>3.4911618081408594E-3</v>
      </c>
      <c r="G3375" s="52">
        <f t="shared" si="109"/>
        <v>4.0936514501346477E-3</v>
      </c>
    </row>
    <row r="3376" spans="1:7" ht="15" customHeight="1" x14ac:dyDescent="0.2">
      <c r="A3376" s="19" t="s">
        <v>3523</v>
      </c>
      <c r="B3376" s="50">
        <v>462.97</v>
      </c>
      <c r="C3376" s="50">
        <v>5970.37</v>
      </c>
      <c r="D3376" s="51">
        <v>15743760</v>
      </c>
      <c r="E3376" s="51">
        <v>2995303857</v>
      </c>
      <c r="F3376" s="52">
        <f t="shared" si="108"/>
        <v>2.1623032621133197E-3</v>
      </c>
      <c r="G3376" s="52">
        <f t="shared" si="109"/>
        <v>5.7835040361739996E-3</v>
      </c>
    </row>
    <row r="3377" spans="1:7" ht="15" customHeight="1" x14ac:dyDescent="0.2">
      <c r="A3377" s="19" t="s">
        <v>3524</v>
      </c>
      <c r="B3377" s="50">
        <v>463.87</v>
      </c>
      <c r="C3377" s="50">
        <v>5970.81</v>
      </c>
      <c r="D3377" s="51">
        <v>14162688</v>
      </c>
      <c r="E3377" s="51">
        <v>2682443108</v>
      </c>
      <c r="F3377" s="52">
        <f t="shared" si="108"/>
        <v>1.9420833862943819E-3</v>
      </c>
      <c r="G3377" s="52">
        <f t="shared" si="109"/>
        <v>7.3694559532491577E-5</v>
      </c>
    </row>
    <row r="3378" spans="1:7" ht="15" customHeight="1" x14ac:dyDescent="0.2">
      <c r="A3378" s="19" t="s">
        <v>3525</v>
      </c>
      <c r="B3378" s="50">
        <v>467.68</v>
      </c>
      <c r="C3378" s="50">
        <v>5939.3</v>
      </c>
      <c r="D3378" s="51">
        <v>20154460</v>
      </c>
      <c r="E3378" s="51">
        <v>3140507873</v>
      </c>
      <c r="F3378" s="52">
        <f t="shared" si="108"/>
        <v>8.1799608060967484E-3</v>
      </c>
      <c r="G3378" s="52">
        <f t="shared" si="109"/>
        <v>-5.2913152805629804E-3</v>
      </c>
    </row>
    <row r="3379" spans="1:7" ht="15" customHeight="1" x14ac:dyDescent="0.2">
      <c r="A3379" s="19" t="s">
        <v>3526</v>
      </c>
      <c r="B3379" s="50">
        <v>470.38</v>
      </c>
      <c r="C3379" s="50">
        <v>6000.36</v>
      </c>
      <c r="D3379" s="51">
        <v>15285624</v>
      </c>
      <c r="E3379" s="51">
        <v>2556627346</v>
      </c>
      <c r="F3379" s="52">
        <f t="shared" si="108"/>
        <v>5.7565773108050828E-3</v>
      </c>
      <c r="G3379" s="52">
        <f t="shared" si="109"/>
        <v>1.0228186115699976E-2</v>
      </c>
    </row>
    <row r="3380" spans="1:7" ht="15" customHeight="1" x14ac:dyDescent="0.2">
      <c r="A3380" s="19" t="s">
        <v>3527</v>
      </c>
      <c r="B3380" s="50">
        <v>472.75</v>
      </c>
      <c r="C3380" s="50">
        <v>6005.88</v>
      </c>
      <c r="D3380" s="51">
        <v>16469932</v>
      </c>
      <c r="E3380" s="51">
        <v>2893721501</v>
      </c>
      <c r="F3380" s="52">
        <f t="shared" si="108"/>
        <v>5.0258288648259248E-3</v>
      </c>
      <c r="G3380" s="52">
        <f t="shared" si="109"/>
        <v>9.1952191342837999E-4</v>
      </c>
    </row>
    <row r="3381" spans="1:7" ht="15" customHeight="1" x14ac:dyDescent="0.2">
      <c r="A3381" s="19" t="s">
        <v>3528</v>
      </c>
      <c r="B3381" s="50">
        <v>470.92</v>
      </c>
      <c r="C3381" s="50">
        <v>6038.81</v>
      </c>
      <c r="D3381" s="51">
        <v>15375944</v>
      </c>
      <c r="E3381" s="51">
        <v>3011278347</v>
      </c>
      <c r="F3381" s="52">
        <f t="shared" si="108"/>
        <v>-3.878479328570745E-3</v>
      </c>
      <c r="G3381" s="52">
        <f t="shared" si="109"/>
        <v>5.4679833266549453E-3</v>
      </c>
    </row>
    <row r="3382" spans="1:7" ht="15" customHeight="1" x14ac:dyDescent="0.2">
      <c r="A3382" s="19" t="s">
        <v>3529</v>
      </c>
      <c r="B3382" s="50">
        <v>472.62</v>
      </c>
      <c r="C3382" s="50">
        <v>6022.24</v>
      </c>
      <c r="D3382" s="51">
        <v>16399176</v>
      </c>
      <c r="E3382" s="51">
        <v>2981333190</v>
      </c>
      <c r="F3382" s="52">
        <f t="shared" si="108"/>
        <v>3.6034547332919114E-3</v>
      </c>
      <c r="G3382" s="52">
        <f t="shared" si="109"/>
        <v>-2.7476895336661002E-3</v>
      </c>
    </row>
    <row r="3383" spans="1:7" ht="15" customHeight="1" x14ac:dyDescent="0.2">
      <c r="A3383" s="19" t="s">
        <v>3530</v>
      </c>
      <c r="B3383" s="50">
        <v>478.87</v>
      </c>
      <c r="C3383" s="50">
        <v>6045.26</v>
      </c>
      <c r="D3383" s="51">
        <v>18950582</v>
      </c>
      <c r="E3383" s="51">
        <v>2623578843</v>
      </c>
      <c r="F3383" s="52">
        <f t="shared" si="108"/>
        <v>1.3137478884932047E-2</v>
      </c>
      <c r="G3383" s="52">
        <f t="shared" si="109"/>
        <v>3.815210759964134E-3</v>
      </c>
    </row>
    <row r="3384" spans="1:7" ht="15" customHeight="1" x14ac:dyDescent="0.2">
      <c r="A3384" s="19" t="s">
        <v>3531</v>
      </c>
      <c r="B3384" s="50">
        <v>474.96</v>
      </c>
      <c r="C3384" s="50">
        <v>5976.97</v>
      </c>
      <c r="D3384" s="51">
        <v>16814456</v>
      </c>
      <c r="E3384" s="51">
        <v>3029890480</v>
      </c>
      <c r="F3384" s="52">
        <f t="shared" si="108"/>
        <v>-8.1985718657999838E-3</v>
      </c>
      <c r="G3384" s="52">
        <f t="shared" si="109"/>
        <v>-1.1360743305409217E-2</v>
      </c>
    </row>
    <row r="3385" spans="1:7" ht="15" customHeight="1" x14ac:dyDescent="0.2">
      <c r="A3385" s="19" t="s">
        <v>3532</v>
      </c>
      <c r="B3385" s="50">
        <v>479.14</v>
      </c>
      <c r="C3385" s="50">
        <v>6033.11</v>
      </c>
      <c r="D3385" s="51">
        <v>15626104</v>
      </c>
      <c r="E3385" s="51">
        <v>2880110512</v>
      </c>
      <c r="F3385" s="52">
        <f t="shared" si="108"/>
        <v>8.7622403184230927E-3</v>
      </c>
      <c r="G3385" s="52">
        <f t="shared" si="109"/>
        <v>9.3488817548551834E-3</v>
      </c>
    </row>
    <row r="3386" spans="1:7" ht="15" customHeight="1" x14ac:dyDescent="0.2">
      <c r="A3386" s="19" t="s">
        <v>3533</v>
      </c>
      <c r="B3386" s="50">
        <v>478.04</v>
      </c>
      <c r="C3386" s="50">
        <v>5982.72</v>
      </c>
      <c r="D3386" s="51">
        <v>15414128</v>
      </c>
      <c r="E3386" s="51">
        <v>2853845438</v>
      </c>
      <c r="F3386" s="52">
        <f t="shared" si="108"/>
        <v>-2.2984192821627544E-3</v>
      </c>
      <c r="G3386" s="52">
        <f t="shared" si="109"/>
        <v>-8.3873182957623672E-3</v>
      </c>
    </row>
    <row r="3387" spans="1:7" ht="15" customHeight="1" x14ac:dyDescent="0.2">
      <c r="A3387" s="19" t="s">
        <v>3534</v>
      </c>
      <c r="B3387" s="50">
        <v>480.24</v>
      </c>
      <c r="C3387" s="50">
        <v>5980.87</v>
      </c>
      <c r="D3387" s="51">
        <v>17526452</v>
      </c>
      <c r="E3387" s="51">
        <v>2951831932</v>
      </c>
      <c r="F3387" s="52">
        <f t="shared" si="108"/>
        <v>4.5915679449073828E-3</v>
      </c>
      <c r="G3387" s="52">
        <f t="shared" si="109"/>
        <v>-3.0927171772794648E-4</v>
      </c>
    </row>
    <row r="3388" spans="1:7" ht="15" customHeight="1" x14ac:dyDescent="0.2">
      <c r="A3388" s="19" t="s">
        <v>3535</v>
      </c>
      <c r="B3388" s="50">
        <v>477.4</v>
      </c>
      <c r="C3388" s="50">
        <v>5967.84</v>
      </c>
      <c r="D3388" s="51">
        <v>37576206</v>
      </c>
      <c r="E3388" s="51">
        <v>5195984630</v>
      </c>
      <c r="F3388" s="52">
        <f t="shared" si="108"/>
        <v>-5.9312650388580251E-3</v>
      </c>
      <c r="G3388" s="52">
        <f t="shared" si="109"/>
        <v>-2.1809894398640384E-3</v>
      </c>
    </row>
    <row r="3389" spans="1:7" ht="15" customHeight="1" x14ac:dyDescent="0.2">
      <c r="A3389" s="19" t="s">
        <v>3536</v>
      </c>
      <c r="B3389" s="50">
        <v>486</v>
      </c>
      <c r="C3389" s="50">
        <v>6025.17</v>
      </c>
      <c r="D3389" s="51">
        <v>24863952</v>
      </c>
      <c r="E3389" s="51">
        <v>3270234044</v>
      </c>
      <c r="F3389" s="52">
        <f t="shared" si="108"/>
        <v>1.7853909995764E-2</v>
      </c>
      <c r="G3389" s="52">
        <f t="shared" si="109"/>
        <v>9.5606418556962881E-3</v>
      </c>
    </row>
    <row r="3390" spans="1:7" ht="15" customHeight="1" x14ac:dyDescent="0.2">
      <c r="A3390" s="19" t="s">
        <v>3537</v>
      </c>
      <c r="B3390" s="50">
        <v>490.11</v>
      </c>
      <c r="C3390" s="50">
        <v>6092.18</v>
      </c>
      <c r="D3390" s="51">
        <v>22305642</v>
      </c>
      <c r="E3390" s="51">
        <v>3291211984</v>
      </c>
      <c r="F3390" s="52">
        <f t="shared" si="108"/>
        <v>8.4212318060332414E-3</v>
      </c>
      <c r="G3390" s="52">
        <f t="shared" si="109"/>
        <v>1.1060286796932295E-2</v>
      </c>
    </row>
    <row r="3391" spans="1:7" ht="15" customHeight="1" x14ac:dyDescent="0.2">
      <c r="A3391" s="19" t="s">
        <v>3538</v>
      </c>
      <c r="B3391" s="50">
        <v>492.27</v>
      </c>
      <c r="C3391" s="50">
        <v>6092.16</v>
      </c>
      <c r="D3391" s="51">
        <v>17495099</v>
      </c>
      <c r="E3391" s="51">
        <v>2894445051</v>
      </c>
      <c r="F3391" s="52">
        <f t="shared" si="108"/>
        <v>4.39749074864165E-3</v>
      </c>
      <c r="G3391" s="52">
        <f t="shared" si="109"/>
        <v>-3.2829024797798922E-6</v>
      </c>
    </row>
    <row r="3392" spans="1:7" ht="15" customHeight="1" x14ac:dyDescent="0.2">
      <c r="A3392" s="19" t="s">
        <v>3539</v>
      </c>
      <c r="B3392" s="50">
        <v>497.45</v>
      </c>
      <c r="C3392" s="50">
        <v>6141.02</v>
      </c>
      <c r="D3392" s="51">
        <v>21578853</v>
      </c>
      <c r="E3392" s="51">
        <v>3049538066</v>
      </c>
      <c r="F3392" s="52">
        <f t="shared" si="108"/>
        <v>1.0467702580200092E-2</v>
      </c>
      <c r="G3392" s="52">
        <f t="shared" si="109"/>
        <v>7.9881534997771932E-3</v>
      </c>
    </row>
    <row r="3393" spans="1:7" ht="15" customHeight="1" x14ac:dyDescent="0.2">
      <c r="A3393" s="19" t="s">
        <v>3540</v>
      </c>
      <c r="B3393" s="50">
        <v>495.94</v>
      </c>
      <c r="C3393" s="50">
        <v>6173.07</v>
      </c>
      <c r="D3393" s="51">
        <v>34539236</v>
      </c>
      <c r="E3393" s="51">
        <v>4642836205</v>
      </c>
      <c r="F3393" s="52">
        <f t="shared" si="108"/>
        <v>-3.0400973695640823E-3</v>
      </c>
      <c r="G3393" s="52">
        <f t="shared" si="109"/>
        <v>5.2054309121066676E-3</v>
      </c>
    </row>
    <row r="3394" spans="1:7" ht="15" customHeight="1" x14ac:dyDescent="0.2">
      <c r="A3394" s="19" t="s">
        <v>3541</v>
      </c>
      <c r="B3394" s="50">
        <v>497.41</v>
      </c>
      <c r="C3394" s="50">
        <v>6204.95</v>
      </c>
      <c r="D3394" s="51">
        <v>28368991</v>
      </c>
      <c r="E3394" s="51">
        <v>3332438031</v>
      </c>
      <c r="F3394" s="52">
        <f t="shared" si="108"/>
        <v>2.9596840450329376E-3</v>
      </c>
      <c r="G3394" s="52">
        <f t="shared" si="109"/>
        <v>5.1510775537443156E-3</v>
      </c>
    </row>
    <row r="3395" spans="1:7" ht="15" customHeight="1" x14ac:dyDescent="0.2">
      <c r="A3395" s="19" t="s">
        <v>3542</v>
      </c>
      <c r="B3395" s="50">
        <v>492.05</v>
      </c>
      <c r="C3395" s="50">
        <v>6198.01</v>
      </c>
      <c r="D3395" s="51">
        <v>19945375</v>
      </c>
      <c r="E3395" s="51">
        <v>3572880894</v>
      </c>
      <c r="F3395" s="52">
        <f t="shared" si="108"/>
        <v>-1.0834298365843018E-2</v>
      </c>
      <c r="G3395" s="52">
        <f t="shared" si="109"/>
        <v>-1.1190878184368853E-3</v>
      </c>
    </row>
    <row r="3396" spans="1:7" ht="15" customHeight="1" x14ac:dyDescent="0.2">
      <c r="A3396" s="19" t="s">
        <v>3543</v>
      </c>
      <c r="B3396" s="50">
        <v>491.09</v>
      </c>
      <c r="C3396" s="50">
        <v>6227.42</v>
      </c>
      <c r="D3396" s="51">
        <v>16319641</v>
      </c>
      <c r="E3396" s="51">
        <v>3141259934</v>
      </c>
      <c r="F3396" s="52">
        <f t="shared" si="108"/>
        <v>-1.9529269587524277E-3</v>
      </c>
      <c r="G3396" s="52">
        <f t="shared" si="109"/>
        <v>4.7338490372572867E-3</v>
      </c>
    </row>
    <row r="3397" spans="1:7" ht="15" customHeight="1" x14ac:dyDescent="0.2">
      <c r="A3397" s="19" t="s">
        <v>3544</v>
      </c>
      <c r="B3397" s="50">
        <v>498.84</v>
      </c>
      <c r="C3397" s="50">
        <v>6279.35</v>
      </c>
      <c r="D3397" s="51">
        <v>13984829</v>
      </c>
      <c r="E3397" s="51">
        <v>1839509804</v>
      </c>
      <c r="F3397" s="52">
        <f t="shared" si="108"/>
        <v>1.5657992666304153E-2</v>
      </c>
      <c r="G3397" s="52">
        <f t="shared" si="109"/>
        <v>8.3043501133723049E-3</v>
      </c>
    </row>
    <row r="3398" spans="1:7" ht="15" customHeight="1" x14ac:dyDescent="0.2">
      <c r="A3398" s="19" t="s">
        <v>3545</v>
      </c>
      <c r="B3398" s="50">
        <v>497.72</v>
      </c>
      <c r="C3398" s="50">
        <v>6229.98</v>
      </c>
      <c r="D3398" s="51">
        <v>13981605</v>
      </c>
      <c r="E3398" s="51">
        <v>2760139183</v>
      </c>
      <c r="F3398" s="52">
        <f t="shared" ref="F3398:F3461" si="110">LN(B3398/B3397)</f>
        <v>-2.2477331451158352E-3</v>
      </c>
      <c r="G3398" s="52">
        <f t="shared" ref="G3398:G3461" si="111">LN(C3398/C3397)</f>
        <v>-7.8933494172341197E-3</v>
      </c>
    </row>
    <row r="3399" spans="1:7" ht="15" customHeight="1" x14ac:dyDescent="0.2">
      <c r="A3399" s="19" t="s">
        <v>3546</v>
      </c>
      <c r="B3399" s="50">
        <v>496.62</v>
      </c>
      <c r="C3399" s="50">
        <v>6225.52</v>
      </c>
      <c r="D3399" s="51">
        <v>11846586</v>
      </c>
      <c r="E3399" s="51">
        <v>3027418207</v>
      </c>
      <c r="F3399" s="52">
        <f t="shared" si="110"/>
        <v>-2.2125237820710877E-3</v>
      </c>
      <c r="G3399" s="52">
        <f t="shared" si="111"/>
        <v>-7.1614952279967596E-4</v>
      </c>
    </row>
    <row r="3400" spans="1:7" ht="15" customHeight="1" x14ac:dyDescent="0.2">
      <c r="A3400" s="19" t="s">
        <v>3547</v>
      </c>
      <c r="B3400" s="50">
        <v>503.51</v>
      </c>
      <c r="C3400" s="50">
        <v>6263.26</v>
      </c>
      <c r="D3400" s="51">
        <v>18659538</v>
      </c>
      <c r="E3400" s="51">
        <v>2808148693</v>
      </c>
      <c r="F3400" s="52">
        <f t="shared" si="110"/>
        <v>1.3778426809218635E-2</v>
      </c>
      <c r="G3400" s="52">
        <f t="shared" si="111"/>
        <v>6.0438433346768419E-3</v>
      </c>
    </row>
    <row r="3401" spans="1:7" ht="15" customHeight="1" x14ac:dyDescent="0.2">
      <c r="A3401" s="19" t="s">
        <v>3548</v>
      </c>
      <c r="B3401" s="50">
        <v>501.48</v>
      </c>
      <c r="C3401" s="50">
        <v>6280.46</v>
      </c>
      <c r="D3401" s="51">
        <v>16498740</v>
      </c>
      <c r="E3401" s="51">
        <v>2818582888</v>
      </c>
      <c r="F3401" s="52">
        <f t="shared" si="110"/>
        <v>-4.0398466867537551E-3</v>
      </c>
      <c r="G3401" s="52">
        <f t="shared" si="111"/>
        <v>2.7424098720043449E-3</v>
      </c>
    </row>
    <row r="3402" spans="1:7" ht="15" customHeight="1" x14ac:dyDescent="0.2">
      <c r="A3402" s="19" t="s">
        <v>3549</v>
      </c>
      <c r="B3402" s="50">
        <v>503.32</v>
      </c>
      <c r="C3402" s="50">
        <v>6259.75</v>
      </c>
      <c r="D3402" s="51">
        <v>16459512</v>
      </c>
      <c r="E3402" s="51">
        <v>2631005038</v>
      </c>
      <c r="F3402" s="52">
        <f t="shared" si="110"/>
        <v>3.662424475942728E-3</v>
      </c>
      <c r="G3402" s="52">
        <f t="shared" si="111"/>
        <v>-3.3029779929135954E-3</v>
      </c>
    </row>
    <row r="3403" spans="1:7" ht="15" customHeight="1" x14ac:dyDescent="0.2">
      <c r="A3403" s="19" t="s">
        <v>3550</v>
      </c>
      <c r="B3403" s="50">
        <v>503.02</v>
      </c>
      <c r="C3403" s="50">
        <v>6268.56</v>
      </c>
      <c r="D3403" s="51">
        <v>12058848</v>
      </c>
      <c r="E3403" s="51">
        <v>2705073872</v>
      </c>
      <c r="F3403" s="52">
        <f t="shared" si="110"/>
        <v>-5.9621998308118768E-4</v>
      </c>
      <c r="G3403" s="52">
        <f t="shared" si="111"/>
        <v>1.4064149836943984E-3</v>
      </c>
    </row>
    <row r="3404" spans="1:7" ht="15" customHeight="1" x14ac:dyDescent="0.2">
      <c r="A3404" s="19" t="s">
        <v>3551</v>
      </c>
      <c r="B3404" s="50">
        <v>505.82</v>
      </c>
      <c r="C3404" s="50">
        <v>6243.76</v>
      </c>
      <c r="D3404" s="51">
        <v>14927202</v>
      </c>
      <c r="E3404" s="51">
        <v>3107719334</v>
      </c>
      <c r="F3404" s="52">
        <f t="shared" si="110"/>
        <v>5.5509440341215939E-3</v>
      </c>
      <c r="G3404" s="52">
        <f t="shared" si="111"/>
        <v>-3.9640981809521275E-3</v>
      </c>
    </row>
    <row r="3405" spans="1:7" ht="15" customHeight="1" x14ac:dyDescent="0.2">
      <c r="A3405" s="19" t="s">
        <v>3552</v>
      </c>
      <c r="B3405" s="50">
        <v>505.62</v>
      </c>
      <c r="C3405" s="50">
        <v>6263.7</v>
      </c>
      <c r="D3405" s="51">
        <v>15154374</v>
      </c>
      <c r="E3405" s="51">
        <v>2960714110</v>
      </c>
      <c r="F3405" s="52">
        <f t="shared" si="110"/>
        <v>-3.9547576249049837E-4</v>
      </c>
      <c r="G3405" s="52">
        <f t="shared" si="111"/>
        <v>3.1884998062567844E-3</v>
      </c>
    </row>
    <row r="3406" spans="1:7" ht="15" customHeight="1" x14ac:dyDescent="0.2">
      <c r="A3406" s="19" t="s">
        <v>3553</v>
      </c>
      <c r="B3406" s="50">
        <v>511.7</v>
      </c>
      <c r="C3406" s="50">
        <v>6297.36</v>
      </c>
      <c r="D3406" s="51">
        <v>17503129</v>
      </c>
      <c r="E3406" s="51">
        <v>3025942711</v>
      </c>
      <c r="F3406" s="52">
        <f t="shared" si="110"/>
        <v>1.1953116798728996E-2</v>
      </c>
      <c r="G3406" s="52">
        <f t="shared" si="111"/>
        <v>5.359433132147322E-3</v>
      </c>
    </row>
    <row r="3407" spans="1:7" ht="15" customHeight="1" x14ac:dyDescent="0.2">
      <c r="A3407" s="19" t="s">
        <v>3554</v>
      </c>
      <c r="B3407" s="50">
        <v>510.05</v>
      </c>
      <c r="C3407" s="50">
        <v>6296.79</v>
      </c>
      <c r="D3407" s="51">
        <v>21209666</v>
      </c>
      <c r="E3407" s="51">
        <v>3037348968</v>
      </c>
      <c r="F3407" s="52">
        <f t="shared" si="110"/>
        <v>-3.2297556825181557E-3</v>
      </c>
      <c r="G3407" s="52">
        <f t="shared" si="111"/>
        <v>-9.051821685285016E-5</v>
      </c>
    </row>
    <row r="3408" spans="1:7" ht="15" customHeight="1" x14ac:dyDescent="0.2">
      <c r="A3408" s="19" t="s">
        <v>3555</v>
      </c>
      <c r="B3408" s="50">
        <v>510.06</v>
      </c>
      <c r="C3408" s="50">
        <v>6305.6</v>
      </c>
      <c r="D3408" s="51">
        <v>14066805</v>
      </c>
      <c r="E3408" s="51">
        <v>2661136349</v>
      </c>
      <c r="F3408" s="52">
        <f t="shared" si="110"/>
        <v>1.9605728794484891E-5</v>
      </c>
      <c r="G3408" s="52">
        <f t="shared" si="111"/>
        <v>1.3981477220053166E-3</v>
      </c>
    </row>
    <row r="3409" spans="1:7" ht="15" customHeight="1" x14ac:dyDescent="0.2">
      <c r="A3409" s="19" t="s">
        <v>3556</v>
      </c>
      <c r="B3409" s="50">
        <v>505.27</v>
      </c>
      <c r="C3409" s="50">
        <v>6309.62</v>
      </c>
      <c r="D3409" s="51">
        <v>13868644</v>
      </c>
      <c r="E3409" s="51">
        <v>3003304728</v>
      </c>
      <c r="F3409" s="52">
        <f t="shared" si="110"/>
        <v>-9.4354259928562771E-3</v>
      </c>
      <c r="G3409" s="52">
        <f t="shared" si="111"/>
        <v>6.3732541106239072E-4</v>
      </c>
    </row>
    <row r="3410" spans="1:7" ht="15" customHeight="1" x14ac:dyDescent="0.2">
      <c r="A3410" s="19" t="s">
        <v>3557</v>
      </c>
      <c r="B3410" s="50">
        <v>505.87</v>
      </c>
      <c r="C3410" s="50">
        <v>6358.91</v>
      </c>
      <c r="D3410" s="51">
        <v>16396585</v>
      </c>
      <c r="E3410" s="51">
        <v>3241469766</v>
      </c>
      <c r="F3410" s="52">
        <f t="shared" si="110"/>
        <v>1.1867794181265449E-3</v>
      </c>
      <c r="G3410" s="52">
        <f t="shared" si="111"/>
        <v>7.7815261467118115E-3</v>
      </c>
    </row>
    <row r="3411" spans="1:7" ht="15" customHeight="1" x14ac:dyDescent="0.2">
      <c r="A3411" s="19" t="s">
        <v>3558</v>
      </c>
      <c r="B3411" s="50">
        <v>510.88</v>
      </c>
      <c r="C3411" s="50">
        <v>6363.35</v>
      </c>
      <c r="D3411" s="51">
        <v>16107000</v>
      </c>
      <c r="E3411" s="51">
        <v>3369954808</v>
      </c>
      <c r="F3411" s="52">
        <f t="shared" si="110"/>
        <v>9.8550096838789375E-3</v>
      </c>
      <c r="G3411" s="52">
        <f t="shared" si="111"/>
        <v>6.9798922208170696E-4</v>
      </c>
    </row>
    <row r="3412" spans="1:7" ht="15" customHeight="1" x14ac:dyDescent="0.2">
      <c r="A3412" s="19" t="s">
        <v>3559</v>
      </c>
      <c r="B3412" s="50">
        <v>513.71</v>
      </c>
      <c r="C3412" s="50">
        <v>6388.64</v>
      </c>
      <c r="D3412" s="51">
        <v>19125699</v>
      </c>
      <c r="E3412" s="51">
        <v>2983956118</v>
      </c>
      <c r="F3412" s="52">
        <f t="shared" si="110"/>
        <v>5.5241749320338734E-3</v>
      </c>
      <c r="G3412" s="52">
        <f t="shared" si="111"/>
        <v>3.9664449480632307E-3</v>
      </c>
    </row>
    <row r="3413" spans="1:7" ht="15" customHeight="1" x14ac:dyDescent="0.2">
      <c r="A3413" s="19" t="s">
        <v>3560</v>
      </c>
      <c r="B3413" s="50">
        <v>512.5</v>
      </c>
      <c r="C3413" s="50">
        <v>6389.77</v>
      </c>
      <c r="D3413" s="51">
        <v>14308027</v>
      </c>
      <c r="E3413" s="51">
        <v>2844306551</v>
      </c>
      <c r="F3413" s="52">
        <f t="shared" si="110"/>
        <v>-2.3581928859426281E-3</v>
      </c>
      <c r="G3413" s="52">
        <f t="shared" si="111"/>
        <v>1.7686081491285848E-4</v>
      </c>
    </row>
    <row r="3414" spans="1:7" ht="15" customHeight="1" x14ac:dyDescent="0.2">
      <c r="A3414" s="19" t="s">
        <v>3561</v>
      </c>
      <c r="B3414" s="50">
        <v>512.57000000000005</v>
      </c>
      <c r="C3414" s="50">
        <v>6370.86</v>
      </c>
      <c r="D3414" s="51">
        <v>16469235</v>
      </c>
      <c r="E3414" s="51">
        <v>3254273473</v>
      </c>
      <c r="F3414" s="52">
        <f t="shared" si="110"/>
        <v>1.3657603892189231E-4</v>
      </c>
      <c r="G3414" s="52">
        <f t="shared" si="111"/>
        <v>-2.9638056808081927E-3</v>
      </c>
    </row>
    <row r="3415" spans="1:7" ht="15" customHeight="1" x14ac:dyDescent="0.2">
      <c r="A3415" s="19" t="s">
        <v>3562</v>
      </c>
      <c r="B3415" s="50">
        <v>513.24</v>
      </c>
      <c r="C3415" s="50">
        <v>6362.9</v>
      </c>
      <c r="D3415" s="51">
        <v>26380434</v>
      </c>
      <c r="E3415" s="51">
        <v>3332521297</v>
      </c>
      <c r="F3415" s="52">
        <f t="shared" si="110"/>
        <v>1.306284975332303E-3</v>
      </c>
      <c r="G3415" s="52">
        <f t="shared" si="111"/>
        <v>-1.2502200507663753E-3</v>
      </c>
    </row>
    <row r="3416" spans="1:7" ht="15" customHeight="1" x14ac:dyDescent="0.2">
      <c r="A3416" s="19" t="s">
        <v>3563</v>
      </c>
      <c r="B3416" s="50">
        <v>533.5</v>
      </c>
      <c r="C3416" s="50">
        <v>6339.39</v>
      </c>
      <c r="D3416" s="51">
        <v>51617326</v>
      </c>
      <c r="E3416" s="51">
        <v>4089137265</v>
      </c>
      <c r="F3416" s="52">
        <f t="shared" si="110"/>
        <v>3.8715498714990526E-2</v>
      </c>
      <c r="G3416" s="52">
        <f t="shared" si="111"/>
        <v>-3.701698960678981E-3</v>
      </c>
    </row>
    <row r="3417" spans="1:7" ht="15" customHeight="1" x14ac:dyDescent="0.2">
      <c r="A3417" s="19" t="s">
        <v>3564</v>
      </c>
      <c r="B3417" s="50">
        <v>524.11</v>
      </c>
      <c r="C3417" s="50">
        <v>6238.01</v>
      </c>
      <c r="D3417" s="51">
        <v>28977628</v>
      </c>
      <c r="E3417" s="51">
        <v>3624071031</v>
      </c>
      <c r="F3417" s="52">
        <f t="shared" si="110"/>
        <v>-1.7757484787532907E-2</v>
      </c>
      <c r="G3417" s="52">
        <f t="shared" si="111"/>
        <v>-1.6121328046944453E-2</v>
      </c>
    </row>
    <row r="3418" spans="1:7" ht="15" customHeight="1" x14ac:dyDescent="0.2">
      <c r="A3418" s="19" t="s">
        <v>3565</v>
      </c>
      <c r="B3418" s="50">
        <v>535.64</v>
      </c>
      <c r="C3418" s="50">
        <v>6329.94</v>
      </c>
      <c r="D3418" s="51">
        <v>25349004</v>
      </c>
      <c r="E3418" s="51">
        <v>3003746989</v>
      </c>
      <c r="F3418" s="52">
        <f t="shared" si="110"/>
        <v>2.1760707673090265E-2</v>
      </c>
      <c r="G3418" s="52">
        <f t="shared" si="111"/>
        <v>1.4629536175939909E-2</v>
      </c>
    </row>
    <row r="3419" spans="1:7" ht="15" customHeight="1" x14ac:dyDescent="0.2">
      <c r="A3419" s="19" t="s">
        <v>3566</v>
      </c>
      <c r="B3419" s="50">
        <v>527.75</v>
      </c>
      <c r="C3419" s="50">
        <v>6299.19</v>
      </c>
      <c r="D3419" s="51">
        <v>19171569</v>
      </c>
      <c r="E3419" s="51">
        <v>3191721992</v>
      </c>
      <c r="F3419" s="52">
        <f t="shared" si="110"/>
        <v>-1.4839606898935459E-2</v>
      </c>
      <c r="G3419" s="52">
        <f t="shared" si="111"/>
        <v>-4.8697037352752534E-3</v>
      </c>
    </row>
    <row r="3420" spans="1:7" ht="15" customHeight="1" x14ac:dyDescent="0.2">
      <c r="A3420" s="19" t="s">
        <v>3567</v>
      </c>
      <c r="B3420" s="50">
        <v>524.94000000000005</v>
      </c>
      <c r="C3420" s="50">
        <v>6345.06</v>
      </c>
      <c r="D3420" s="51">
        <v>21355702</v>
      </c>
      <c r="E3420" s="51">
        <v>3310732124</v>
      </c>
      <c r="F3420" s="52">
        <f t="shared" si="110"/>
        <v>-5.3387163822017046E-3</v>
      </c>
      <c r="G3420" s="52">
        <f t="shared" si="111"/>
        <v>7.255503683515384E-3</v>
      </c>
    </row>
    <row r="3421" spans="1:7" ht="15" customHeight="1" x14ac:dyDescent="0.2">
      <c r="A3421" s="19" t="s">
        <v>3568</v>
      </c>
      <c r="B3421" s="50">
        <v>520.84</v>
      </c>
      <c r="C3421" s="50">
        <v>6340</v>
      </c>
      <c r="D3421" s="51">
        <v>16079144</v>
      </c>
      <c r="E3421" s="51">
        <v>3120148645</v>
      </c>
      <c r="F3421" s="52">
        <f t="shared" si="110"/>
        <v>-7.8410774857006864E-3</v>
      </c>
      <c r="G3421" s="52">
        <f t="shared" si="111"/>
        <v>-7.9778893728174702E-4</v>
      </c>
    </row>
    <row r="3422" spans="1:7" ht="15" customHeight="1" x14ac:dyDescent="0.2">
      <c r="A3422" s="19" t="s">
        <v>3569</v>
      </c>
      <c r="B3422" s="50">
        <v>522.04</v>
      </c>
      <c r="C3422" s="50">
        <v>6389.45</v>
      </c>
      <c r="D3422" s="51">
        <v>15531009</v>
      </c>
      <c r="E3422" s="51">
        <v>2798987026</v>
      </c>
      <c r="F3422" s="52">
        <f t="shared" si="110"/>
        <v>2.3013204387992716E-3</v>
      </c>
      <c r="G3422" s="52">
        <f t="shared" si="111"/>
        <v>7.7694242484223387E-3</v>
      </c>
    </row>
    <row r="3423" spans="1:7" ht="15" customHeight="1" x14ac:dyDescent="0.2">
      <c r="A3423" s="19" t="s">
        <v>3570</v>
      </c>
      <c r="B3423" s="50">
        <v>521.77</v>
      </c>
      <c r="C3423" s="50">
        <v>6373.45</v>
      </c>
      <c r="D3423" s="51">
        <v>20194372</v>
      </c>
      <c r="E3423" s="51">
        <v>2870335047</v>
      </c>
      <c r="F3423" s="52">
        <f t="shared" si="110"/>
        <v>-5.1733554195073847E-4</v>
      </c>
      <c r="G3423" s="52">
        <f t="shared" si="111"/>
        <v>-2.5072684706233723E-3</v>
      </c>
    </row>
    <row r="3424" spans="1:7" ht="15" customHeight="1" x14ac:dyDescent="0.2">
      <c r="A3424" s="19" t="s">
        <v>3571</v>
      </c>
      <c r="B3424" s="50">
        <v>529.24</v>
      </c>
      <c r="C3424" s="50">
        <v>6445.76</v>
      </c>
      <c r="D3424" s="51">
        <v>18688921</v>
      </c>
      <c r="E3424" s="51">
        <v>2880921978</v>
      </c>
      <c r="F3424" s="52">
        <f t="shared" si="110"/>
        <v>1.4215137416834164E-2</v>
      </c>
      <c r="G3424" s="52">
        <f t="shared" si="111"/>
        <v>1.1281626080988628E-2</v>
      </c>
    </row>
    <row r="3425" spans="1:7" ht="15" customHeight="1" x14ac:dyDescent="0.2">
      <c r="A3425" s="19" t="s">
        <v>3572</v>
      </c>
      <c r="B3425" s="50">
        <v>520.58000000000004</v>
      </c>
      <c r="C3425" s="50">
        <v>6466.58</v>
      </c>
      <c r="D3425" s="51">
        <v>19619160</v>
      </c>
      <c r="E3425" s="51">
        <v>2961340868</v>
      </c>
      <c r="F3425" s="52">
        <f t="shared" si="110"/>
        <v>-1.6498440562615617E-2</v>
      </c>
      <c r="G3425" s="52">
        <f t="shared" si="111"/>
        <v>3.2248249415864237E-3</v>
      </c>
    </row>
    <row r="3426" spans="1:7" ht="15" customHeight="1" x14ac:dyDescent="0.2">
      <c r="A3426" s="19" t="s">
        <v>3573</v>
      </c>
      <c r="B3426" s="50">
        <v>522.48</v>
      </c>
      <c r="C3426" s="50">
        <v>6468.54</v>
      </c>
      <c r="D3426" s="51">
        <v>20269074</v>
      </c>
      <c r="E3426" s="51">
        <v>2792441868</v>
      </c>
      <c r="F3426" s="52">
        <f t="shared" si="110"/>
        <v>3.6431309828070797E-3</v>
      </c>
      <c r="G3426" s="52">
        <f t="shared" si="111"/>
        <v>3.0305092105848265E-4</v>
      </c>
    </row>
    <row r="3427" spans="1:7" ht="15" customHeight="1" x14ac:dyDescent="0.2">
      <c r="A3427" s="19" t="s">
        <v>3574</v>
      </c>
      <c r="B3427" s="50">
        <v>520.16999999999996</v>
      </c>
      <c r="C3427" s="50">
        <v>6449.8</v>
      </c>
      <c r="D3427" s="51">
        <v>25213272</v>
      </c>
      <c r="E3427" s="51">
        <v>3142526592</v>
      </c>
      <c r="F3427" s="52">
        <f t="shared" si="110"/>
        <v>-4.4310243697106002E-3</v>
      </c>
      <c r="G3427" s="52">
        <f t="shared" si="111"/>
        <v>-2.9013035955741404E-3</v>
      </c>
    </row>
    <row r="3428" spans="1:7" ht="15" customHeight="1" x14ac:dyDescent="0.2">
      <c r="A3428" s="19" t="s">
        <v>3575</v>
      </c>
      <c r="B3428" s="50">
        <v>517.1</v>
      </c>
      <c r="C3428" s="50">
        <v>6449.15</v>
      </c>
      <c r="D3428" s="51">
        <v>23760583</v>
      </c>
      <c r="E3428" s="51">
        <v>2597294219</v>
      </c>
      <c r="F3428" s="52">
        <f t="shared" si="110"/>
        <v>-5.9194018225152238E-3</v>
      </c>
      <c r="G3428" s="52">
        <f t="shared" si="111"/>
        <v>-1.0078339718365875E-4</v>
      </c>
    </row>
    <row r="3429" spans="1:7" ht="15" customHeight="1" x14ac:dyDescent="0.2">
      <c r="A3429" s="19" t="s">
        <v>3576</v>
      </c>
      <c r="B3429" s="50">
        <v>509.77</v>
      </c>
      <c r="C3429" s="50">
        <v>6411.37</v>
      </c>
      <c r="D3429" s="51">
        <v>21481016</v>
      </c>
      <c r="E3429" s="51">
        <v>2958805344</v>
      </c>
      <c r="F3429" s="52">
        <f t="shared" si="110"/>
        <v>-1.4276635798202614E-2</v>
      </c>
      <c r="G3429" s="52">
        <f t="shared" si="111"/>
        <v>-5.8753625327812135E-3</v>
      </c>
    </row>
    <row r="3430" spans="1:7" ht="15" customHeight="1" x14ac:dyDescent="0.2">
      <c r="A3430" s="19" t="s">
        <v>3577</v>
      </c>
      <c r="B3430" s="50">
        <v>505.72</v>
      </c>
      <c r="C3430" s="50">
        <v>6395.78</v>
      </c>
      <c r="D3430" s="51">
        <v>27723025</v>
      </c>
      <c r="E3430" s="51">
        <v>3043844556</v>
      </c>
      <c r="F3430" s="52">
        <f t="shared" si="110"/>
        <v>-7.9764871602762358E-3</v>
      </c>
      <c r="G3430" s="52">
        <f t="shared" si="111"/>
        <v>-2.4345787627045859E-3</v>
      </c>
    </row>
    <row r="3431" spans="1:7" ht="15" customHeight="1" x14ac:dyDescent="0.2">
      <c r="A3431" s="19" t="s">
        <v>3578</v>
      </c>
      <c r="B3431" s="50">
        <v>504.24</v>
      </c>
      <c r="C3431" s="50">
        <v>6370.17</v>
      </c>
      <c r="D3431" s="51">
        <v>18443254</v>
      </c>
      <c r="E3431" s="51">
        <v>2424712887</v>
      </c>
      <c r="F3431" s="52">
        <f t="shared" si="110"/>
        <v>-2.9308112388423155E-3</v>
      </c>
      <c r="G3431" s="52">
        <f t="shared" si="111"/>
        <v>-4.0122410562429415E-3</v>
      </c>
    </row>
    <row r="3432" spans="1:7" ht="15" customHeight="1" x14ac:dyDescent="0.2">
      <c r="A3432" s="19" t="s">
        <v>3579</v>
      </c>
      <c r="B3432" s="50">
        <v>507.23</v>
      </c>
      <c r="C3432" s="50">
        <v>6466.91</v>
      </c>
      <c r="D3432" s="51">
        <v>24324161</v>
      </c>
      <c r="E3432" s="51">
        <v>3062740140</v>
      </c>
      <c r="F3432" s="52">
        <f t="shared" si="110"/>
        <v>5.9122044339561313E-3</v>
      </c>
      <c r="G3432" s="52">
        <f t="shared" si="111"/>
        <v>1.5072248733123567E-2</v>
      </c>
    </row>
    <row r="3433" spans="1:7" ht="15" customHeight="1" x14ac:dyDescent="0.2">
      <c r="A3433" s="19" t="s">
        <v>3580</v>
      </c>
      <c r="B3433" s="50">
        <v>504.26</v>
      </c>
      <c r="C3433" s="50">
        <v>6439.32</v>
      </c>
      <c r="D3433" s="51">
        <v>21638579</v>
      </c>
      <c r="E3433" s="51">
        <v>2512426446</v>
      </c>
      <c r="F3433" s="52">
        <f t="shared" si="110"/>
        <v>-5.8725415683089253E-3</v>
      </c>
      <c r="G3433" s="52">
        <f t="shared" si="111"/>
        <v>-4.2754610800767165E-3</v>
      </c>
    </row>
    <row r="3434" spans="1:7" ht="15" customHeight="1" x14ac:dyDescent="0.2">
      <c r="A3434" s="19" t="s">
        <v>3581</v>
      </c>
      <c r="B3434" s="50">
        <v>502.04</v>
      </c>
      <c r="C3434" s="50">
        <v>6465.94</v>
      </c>
      <c r="D3434" s="51">
        <v>30835709</v>
      </c>
      <c r="E3434" s="51">
        <v>3240492023</v>
      </c>
      <c r="F3434" s="52">
        <f t="shared" si="110"/>
        <v>-4.4122102782564454E-3</v>
      </c>
      <c r="G3434" s="52">
        <f t="shared" si="111"/>
        <v>4.1254554739158684E-3</v>
      </c>
    </row>
    <row r="3435" spans="1:7" ht="15" customHeight="1" x14ac:dyDescent="0.2">
      <c r="A3435" s="19" t="s">
        <v>3582</v>
      </c>
      <c r="B3435" s="50">
        <v>506.74</v>
      </c>
      <c r="C3435" s="50">
        <v>6481.4</v>
      </c>
      <c r="D3435" s="51">
        <v>17277893</v>
      </c>
      <c r="E3435" s="51">
        <v>2956797464</v>
      </c>
      <c r="F3435" s="52">
        <f t="shared" si="110"/>
        <v>9.3182537487059691E-3</v>
      </c>
      <c r="G3435" s="52">
        <f t="shared" si="111"/>
        <v>2.3881364585491512E-3</v>
      </c>
    </row>
    <row r="3436" spans="1:7" ht="15" customHeight="1" x14ac:dyDescent="0.2">
      <c r="A3436" s="19" t="s">
        <v>3583</v>
      </c>
      <c r="B3436" s="50">
        <v>509.64</v>
      </c>
      <c r="C3436" s="50">
        <v>6501.86</v>
      </c>
      <c r="D3436" s="51">
        <v>18015593</v>
      </c>
      <c r="E3436" s="51">
        <v>2609428772</v>
      </c>
      <c r="F3436" s="52">
        <f t="shared" si="110"/>
        <v>5.7065425722285946E-3</v>
      </c>
      <c r="G3436" s="52">
        <f t="shared" si="111"/>
        <v>3.1517534019497762E-3</v>
      </c>
    </row>
    <row r="3437" spans="1:7" ht="15" customHeight="1" x14ac:dyDescent="0.2">
      <c r="A3437" s="19" t="s">
        <v>3584</v>
      </c>
      <c r="B3437" s="50">
        <v>506.69</v>
      </c>
      <c r="C3437" s="50">
        <v>6460.26</v>
      </c>
      <c r="D3437" s="51">
        <v>20961569</v>
      </c>
      <c r="E3437" s="51">
        <v>2542979459</v>
      </c>
      <c r="F3437" s="52">
        <f t="shared" si="110"/>
        <v>-5.8052173697786275E-3</v>
      </c>
      <c r="G3437" s="52">
        <f t="shared" si="111"/>
        <v>-6.4187251509291582E-3</v>
      </c>
    </row>
    <row r="3438" spans="1:7" ht="15" customHeight="1" x14ac:dyDescent="0.2">
      <c r="A3438" s="19" t="s">
        <v>3585</v>
      </c>
      <c r="B3438" s="50">
        <v>505.12</v>
      </c>
      <c r="C3438" s="50">
        <v>6415.54</v>
      </c>
      <c r="D3438" s="51">
        <v>18127995</v>
      </c>
      <c r="E3438" s="51">
        <v>2887743021</v>
      </c>
      <c r="F3438" s="52">
        <f t="shared" si="110"/>
        <v>-3.1033519337198886E-3</v>
      </c>
      <c r="G3438" s="52">
        <f t="shared" si="111"/>
        <v>-6.9463924292620972E-3</v>
      </c>
    </row>
    <row r="3439" spans="1:7" ht="15" customHeight="1" x14ac:dyDescent="0.2">
      <c r="A3439" s="19" t="s">
        <v>3586</v>
      </c>
      <c r="B3439" s="50">
        <v>505.35</v>
      </c>
      <c r="C3439" s="50">
        <v>6448.26</v>
      </c>
      <c r="D3439" s="51">
        <v>16345078</v>
      </c>
      <c r="E3439" s="51">
        <v>2808410771</v>
      </c>
      <c r="F3439" s="52">
        <f t="shared" si="110"/>
        <v>4.5523371099014061E-4</v>
      </c>
      <c r="G3439" s="52">
        <f t="shared" si="111"/>
        <v>5.0871547386880968E-3</v>
      </c>
    </row>
    <row r="3440" spans="1:7" ht="15" customHeight="1" x14ac:dyDescent="0.2">
      <c r="A3440" s="19" t="s">
        <v>3587</v>
      </c>
      <c r="B3440" s="50">
        <v>507.97</v>
      </c>
      <c r="C3440" s="50">
        <v>6502.08</v>
      </c>
      <c r="D3440" s="51">
        <v>15509486</v>
      </c>
      <c r="E3440" s="51">
        <v>2747906680</v>
      </c>
      <c r="F3440" s="52">
        <f t="shared" si="110"/>
        <v>5.1711321958779078E-3</v>
      </c>
      <c r="G3440" s="52">
        <f t="shared" si="111"/>
        <v>8.3117987404724356E-3</v>
      </c>
    </row>
    <row r="3441" spans="1:7" ht="15" customHeight="1" x14ac:dyDescent="0.2">
      <c r="A3441" s="19" t="s">
        <v>3588</v>
      </c>
      <c r="B3441" s="50">
        <v>495</v>
      </c>
      <c r="C3441" s="50">
        <v>6481.5</v>
      </c>
      <c r="D3441" s="51">
        <v>31994846</v>
      </c>
      <c r="E3441" s="51">
        <v>3166204188</v>
      </c>
      <c r="F3441" s="52">
        <f t="shared" si="110"/>
        <v>-2.5864628147859225E-2</v>
      </c>
      <c r="G3441" s="52">
        <f t="shared" si="111"/>
        <v>-3.1701606545509482E-3</v>
      </c>
    </row>
    <row r="3442" spans="1:7" ht="15" customHeight="1" x14ac:dyDescent="0.2">
      <c r="A3442" s="19" t="s">
        <v>3589</v>
      </c>
      <c r="B3442" s="50">
        <v>498.2</v>
      </c>
      <c r="C3442" s="50">
        <v>6495.15</v>
      </c>
      <c r="D3442" s="51">
        <v>16771015</v>
      </c>
      <c r="E3442" s="51">
        <v>3028552074</v>
      </c>
      <c r="F3442" s="52">
        <f t="shared" si="110"/>
        <v>6.4438402593897859E-3</v>
      </c>
      <c r="G3442" s="52">
        <f t="shared" si="111"/>
        <v>2.1037794861457856E-3</v>
      </c>
    </row>
    <row r="3443" spans="1:7" ht="15" customHeight="1" x14ac:dyDescent="0.2">
      <c r="A3443" s="19" t="s">
        <v>3590</v>
      </c>
      <c r="B3443" s="50">
        <v>498.41</v>
      </c>
      <c r="C3443" s="50">
        <v>6512.61</v>
      </c>
      <c r="D3443" s="51">
        <v>14410542</v>
      </c>
      <c r="E3443" s="51">
        <v>2709986190</v>
      </c>
      <c r="F3443" s="52">
        <f t="shared" si="110"/>
        <v>4.2142864933734724E-4</v>
      </c>
      <c r="G3443" s="52">
        <f t="shared" si="111"/>
        <v>2.6845529877440578E-3</v>
      </c>
    </row>
    <row r="3444" spans="1:7" ht="15" customHeight="1" x14ac:dyDescent="0.2">
      <c r="A3444" s="19" t="s">
        <v>3591</v>
      </c>
      <c r="B3444" s="50">
        <v>500.37</v>
      </c>
      <c r="C3444" s="50">
        <v>6532.04</v>
      </c>
      <c r="D3444" s="51">
        <v>21611816</v>
      </c>
      <c r="E3444" s="51">
        <v>3189574889</v>
      </c>
      <c r="F3444" s="52">
        <f t="shared" si="110"/>
        <v>3.9247932797739698E-3</v>
      </c>
      <c r="G3444" s="52">
        <f t="shared" si="111"/>
        <v>2.9790012563325726E-3</v>
      </c>
    </row>
    <row r="3445" spans="1:7" ht="15" customHeight="1" x14ac:dyDescent="0.2">
      <c r="A3445" s="19" t="s">
        <v>3592</v>
      </c>
      <c r="B3445" s="50">
        <v>501.01</v>
      </c>
      <c r="C3445" s="50">
        <v>6587.47</v>
      </c>
      <c r="D3445" s="51">
        <v>18881608</v>
      </c>
      <c r="E3445" s="51">
        <v>3259054992</v>
      </c>
      <c r="F3445" s="52">
        <f t="shared" si="110"/>
        <v>1.2782362083138793E-3</v>
      </c>
      <c r="G3445" s="52">
        <f t="shared" si="111"/>
        <v>8.4500609892315826E-3</v>
      </c>
    </row>
    <row r="3446" spans="1:7" ht="15" customHeight="1" x14ac:dyDescent="0.2">
      <c r="A3446" s="19" t="s">
        <v>3593</v>
      </c>
      <c r="B3446" s="50">
        <v>509.9</v>
      </c>
      <c r="C3446" s="50">
        <v>6584.29</v>
      </c>
      <c r="D3446" s="51">
        <v>23624884</v>
      </c>
      <c r="E3446" s="51">
        <v>2986426173</v>
      </c>
      <c r="F3446" s="52">
        <f t="shared" si="110"/>
        <v>1.7588567095604728E-2</v>
      </c>
      <c r="G3446" s="52">
        <f t="shared" si="111"/>
        <v>-4.8285120011051867E-4</v>
      </c>
    </row>
    <row r="3447" spans="1:7" ht="15" customHeight="1" x14ac:dyDescent="0.2">
      <c r="A3447" s="19" t="s">
        <v>3594</v>
      </c>
      <c r="B3447" s="50">
        <v>515.36</v>
      </c>
      <c r="C3447" s="50">
        <v>6615.28</v>
      </c>
      <c r="D3447" s="51">
        <v>17143786</v>
      </c>
      <c r="E3447" s="51">
        <v>2924989510</v>
      </c>
      <c r="F3447" s="52">
        <f t="shared" si="110"/>
        <v>1.0651057521778771E-2</v>
      </c>
      <c r="G3447" s="52">
        <f t="shared" si="111"/>
        <v>4.6956161361366338E-3</v>
      </c>
    </row>
    <row r="3448" spans="1:7" ht="15" customHeight="1" x14ac:dyDescent="0.2">
      <c r="A3448" s="19" t="s">
        <v>3595</v>
      </c>
      <c r="B3448" s="50">
        <v>509.04</v>
      </c>
      <c r="C3448" s="50">
        <v>6606.76</v>
      </c>
      <c r="D3448" s="51">
        <v>19711922</v>
      </c>
      <c r="E3448" s="51">
        <v>2905141389</v>
      </c>
      <c r="F3448" s="52">
        <f t="shared" si="110"/>
        <v>-1.2339086658352013E-2</v>
      </c>
      <c r="G3448" s="52">
        <f t="shared" si="111"/>
        <v>-1.2887574351968891E-3</v>
      </c>
    </row>
    <row r="3449" spans="1:7" ht="15" customHeight="1" x14ac:dyDescent="0.2">
      <c r="A3449" s="19" t="s">
        <v>3596</v>
      </c>
      <c r="B3449" s="50">
        <v>510.02</v>
      </c>
      <c r="C3449" s="50">
        <v>6600.35</v>
      </c>
      <c r="D3449" s="51">
        <v>15816585</v>
      </c>
      <c r="E3449" s="51">
        <v>3048203136</v>
      </c>
      <c r="F3449" s="52">
        <f t="shared" si="110"/>
        <v>1.923341711194247E-3</v>
      </c>
      <c r="G3449" s="52">
        <f t="shared" si="111"/>
        <v>-9.7068934889039981E-4</v>
      </c>
    </row>
    <row r="3450" spans="1:7" ht="15" customHeight="1" x14ac:dyDescent="0.2">
      <c r="A3450" s="19" t="s">
        <v>3597</v>
      </c>
      <c r="B3450" s="50">
        <v>508.45</v>
      </c>
      <c r="C3450" s="50">
        <v>6631.96</v>
      </c>
      <c r="D3450" s="51">
        <v>18913696</v>
      </c>
      <c r="E3450" s="51">
        <v>3472700121</v>
      </c>
      <c r="F3450" s="52">
        <f t="shared" si="110"/>
        <v>-3.0830583985846176E-3</v>
      </c>
      <c r="G3450" s="52">
        <f t="shared" si="111"/>
        <v>4.7777085223636995E-3</v>
      </c>
    </row>
    <row r="3451" spans="1:7" ht="15" customHeight="1" x14ac:dyDescent="0.2">
      <c r="A3451" s="19" t="s">
        <v>3598</v>
      </c>
      <c r="B3451" s="50">
        <v>517.92999999999995</v>
      </c>
      <c r="C3451" s="50">
        <v>6664.36</v>
      </c>
      <c r="D3451" s="51">
        <v>52474093</v>
      </c>
      <c r="E3451" s="51">
        <v>5969910655</v>
      </c>
      <c r="F3451" s="52">
        <f t="shared" si="110"/>
        <v>1.8473215755626417E-2</v>
      </c>
      <c r="G3451" s="52">
        <f t="shared" si="111"/>
        <v>4.87353856235327E-3</v>
      </c>
    </row>
    <row r="3452" spans="1:7" ht="15" customHeight="1" x14ac:dyDescent="0.2">
      <c r="A3452" s="19" t="s">
        <v>3599</v>
      </c>
      <c r="B3452" s="50">
        <v>514.45000000000005</v>
      </c>
      <c r="C3452" s="50">
        <v>6693.75</v>
      </c>
      <c r="D3452" s="51">
        <v>20009314</v>
      </c>
      <c r="E3452" s="51">
        <v>3315223419</v>
      </c>
      <c r="F3452" s="52">
        <f t="shared" si="110"/>
        <v>-6.7417291709534486E-3</v>
      </c>
      <c r="G3452" s="52">
        <f t="shared" si="111"/>
        <v>4.4003301998515008E-3</v>
      </c>
    </row>
    <row r="3453" spans="1:7" ht="15" customHeight="1" x14ac:dyDescent="0.2">
      <c r="A3453" s="19" t="s">
        <v>3600</v>
      </c>
      <c r="B3453" s="50">
        <v>509.23</v>
      </c>
      <c r="C3453" s="50">
        <v>6656.92</v>
      </c>
      <c r="D3453" s="51">
        <v>19799580</v>
      </c>
      <c r="E3453" s="51">
        <v>3115121988</v>
      </c>
      <c r="F3453" s="52">
        <f t="shared" si="110"/>
        <v>-1.0198587927461228E-2</v>
      </c>
      <c r="G3453" s="52">
        <f t="shared" si="111"/>
        <v>-5.517340092831724E-3</v>
      </c>
    </row>
    <row r="3454" spans="1:7" ht="15" customHeight="1" x14ac:dyDescent="0.2">
      <c r="A3454" s="19" t="s">
        <v>3601</v>
      </c>
      <c r="B3454" s="50">
        <v>510.15</v>
      </c>
      <c r="C3454" s="50">
        <v>6637.97</v>
      </c>
      <c r="D3454" s="51">
        <v>13533711</v>
      </c>
      <c r="E3454" s="51">
        <v>2998614787</v>
      </c>
      <c r="F3454" s="52">
        <f t="shared" si="110"/>
        <v>1.8050192269559011E-3</v>
      </c>
      <c r="G3454" s="52">
        <f t="shared" si="111"/>
        <v>-2.8507212670841439E-3</v>
      </c>
    </row>
    <row r="3455" spans="1:7" ht="15" customHeight="1" x14ac:dyDescent="0.2">
      <c r="A3455" s="19" t="s">
        <v>3602</v>
      </c>
      <c r="B3455" s="50">
        <v>507.03</v>
      </c>
      <c r="C3455" s="50">
        <v>6604.72</v>
      </c>
      <c r="D3455" s="51">
        <v>15786468</v>
      </c>
      <c r="E3455" s="51">
        <v>3278961445</v>
      </c>
      <c r="F3455" s="52">
        <f t="shared" si="110"/>
        <v>-6.134626683067846E-3</v>
      </c>
      <c r="G3455" s="52">
        <f t="shared" si="111"/>
        <v>-5.0216489054652645E-3</v>
      </c>
    </row>
    <row r="3456" spans="1:7" ht="15" customHeight="1" x14ac:dyDescent="0.2">
      <c r="A3456" s="19" t="s">
        <v>3603</v>
      </c>
      <c r="B3456" s="50">
        <v>511.46</v>
      </c>
      <c r="C3456" s="50">
        <v>6643.7</v>
      </c>
      <c r="D3456" s="51">
        <v>16213129</v>
      </c>
      <c r="E3456" s="51">
        <v>2892245070</v>
      </c>
      <c r="F3456" s="52">
        <f t="shared" si="110"/>
        <v>8.6992075270243534E-3</v>
      </c>
      <c r="G3456" s="52">
        <f t="shared" si="111"/>
        <v>5.8844922610819797E-3</v>
      </c>
    </row>
    <row r="3457" spans="1:7" ht="15" customHeight="1" x14ac:dyDescent="0.2">
      <c r="A3457" s="19" t="s">
        <v>3604</v>
      </c>
      <c r="B3457" s="50">
        <v>514.6</v>
      </c>
      <c r="C3457" s="50">
        <v>6661.21</v>
      </c>
      <c r="D3457" s="51">
        <v>17617775</v>
      </c>
      <c r="E3457" s="51">
        <v>3168317149</v>
      </c>
      <c r="F3457" s="52">
        <f t="shared" si="110"/>
        <v>6.1205188823731478E-3</v>
      </c>
      <c r="G3457" s="52">
        <f t="shared" si="111"/>
        <v>2.6321125222386276E-3</v>
      </c>
    </row>
    <row r="3458" spans="1:7" ht="15" customHeight="1" x14ac:dyDescent="0.2">
      <c r="A3458" s="19" t="s">
        <v>3605</v>
      </c>
      <c r="B3458" s="50">
        <v>517.95000000000005</v>
      </c>
      <c r="C3458" s="50">
        <v>6688.46</v>
      </c>
      <c r="D3458" s="51">
        <v>19728229</v>
      </c>
      <c r="E3458" s="51">
        <v>3486014723</v>
      </c>
      <c r="F3458" s="52">
        <f t="shared" si="110"/>
        <v>6.4888126564672617E-3</v>
      </c>
      <c r="G3458" s="52">
        <f t="shared" si="111"/>
        <v>4.08250358961618E-3</v>
      </c>
    </row>
    <row r="3459" spans="1:7" ht="15" customHeight="1" x14ac:dyDescent="0.2">
      <c r="A3459" s="19" t="s">
        <v>3606</v>
      </c>
      <c r="B3459" s="50">
        <v>519.71</v>
      </c>
      <c r="C3459" s="50">
        <v>6711.2</v>
      </c>
      <c r="D3459" s="51">
        <v>22632336</v>
      </c>
      <c r="E3459" s="51">
        <v>3487364700</v>
      </c>
      <c r="F3459" s="52">
        <f t="shared" si="110"/>
        <v>3.3922511954726036E-3</v>
      </c>
      <c r="G3459" s="52">
        <f t="shared" si="111"/>
        <v>3.3941192284702741E-3</v>
      </c>
    </row>
    <row r="3460" spans="1:7" ht="15" customHeight="1" x14ac:dyDescent="0.2">
      <c r="A3460" s="19" t="s">
        <v>3607</v>
      </c>
      <c r="B3460" s="50">
        <v>515.74</v>
      </c>
      <c r="C3460" s="50">
        <v>6715.35</v>
      </c>
      <c r="D3460" s="51">
        <v>21222886</v>
      </c>
      <c r="E3460" s="51">
        <v>3004379851</v>
      </c>
      <c r="F3460" s="52">
        <f t="shared" si="110"/>
        <v>-7.668201175168525E-3</v>
      </c>
      <c r="G3460" s="52">
        <f t="shared" si="111"/>
        <v>6.1817818161168602E-4</v>
      </c>
    </row>
    <row r="3461" spans="1:7" ht="15" customHeight="1" x14ac:dyDescent="0.2">
      <c r="A3461" s="19" t="s">
        <v>3608</v>
      </c>
      <c r="B3461" s="50">
        <v>517.35</v>
      </c>
      <c r="C3461" s="50">
        <v>6715.79</v>
      </c>
      <c r="D3461" s="51">
        <v>15112321</v>
      </c>
      <c r="E3461" s="51">
        <v>2878413899</v>
      </c>
      <c r="F3461" s="52">
        <f t="shared" si="110"/>
        <v>3.1168655265446286E-3</v>
      </c>
      <c r="G3461" s="52">
        <f t="shared" si="111"/>
        <v>6.5519382592537398E-5</v>
      </c>
    </row>
    <row r="3462" spans="1:7" ht="15" customHeight="1" x14ac:dyDescent="0.2">
      <c r="A3462" s="19" t="s">
        <v>3609</v>
      </c>
      <c r="B3462" s="50">
        <v>528.57000000000005</v>
      </c>
      <c r="C3462" s="50">
        <v>6740.28</v>
      </c>
      <c r="D3462" s="51">
        <v>21388581</v>
      </c>
      <c r="E3462" s="51">
        <v>3287229545</v>
      </c>
      <c r="F3462" s="52">
        <f t="shared" ref="F3462:F3525" si="112">LN(B3462/B3461)</f>
        <v>2.1455618819687983E-2</v>
      </c>
      <c r="G3462" s="52">
        <f t="shared" ref="G3462:G3525" si="113">LN(C3462/C3461)</f>
        <v>3.6399969738822847E-3</v>
      </c>
    </row>
    <row r="3463" spans="1:7" ht="15" customHeight="1" x14ac:dyDescent="0.2">
      <c r="A3463" s="19" t="s">
        <v>3610</v>
      </c>
      <c r="B3463" s="50">
        <v>523.98</v>
      </c>
      <c r="C3463" s="50">
        <v>6714.59</v>
      </c>
      <c r="D3463" s="51">
        <v>14615208</v>
      </c>
      <c r="E3463" s="51">
        <v>3041041072</v>
      </c>
      <c r="F3463" s="52">
        <f t="shared" si="112"/>
        <v>-8.7217312169509571E-3</v>
      </c>
      <c r="G3463" s="52">
        <f t="shared" si="113"/>
        <v>-3.818696311234345E-3</v>
      </c>
    </row>
    <row r="3464" spans="1:7" ht="15" customHeight="1" x14ac:dyDescent="0.2">
      <c r="A3464" s="19" t="s">
        <v>3611</v>
      </c>
      <c r="B3464" s="50">
        <v>524.85</v>
      </c>
      <c r="C3464" s="50">
        <v>6753.72</v>
      </c>
      <c r="D3464" s="51">
        <v>13363447</v>
      </c>
      <c r="E3464" s="51">
        <v>2924743850</v>
      </c>
      <c r="F3464" s="52">
        <f t="shared" si="112"/>
        <v>1.6589918281101695E-3</v>
      </c>
      <c r="G3464" s="52">
        <f t="shared" si="113"/>
        <v>5.8106934127934015E-3</v>
      </c>
    </row>
    <row r="3465" spans="1:7" ht="15" customHeight="1" x14ac:dyDescent="0.2">
      <c r="A3465" s="19" t="s">
        <v>3612</v>
      </c>
      <c r="B3465" s="50">
        <v>522.4</v>
      </c>
      <c r="C3465" s="50">
        <v>6735.11</v>
      </c>
      <c r="D3465" s="51">
        <v>18343602</v>
      </c>
      <c r="E3465" s="51">
        <v>2806505186</v>
      </c>
      <c r="F3465" s="52">
        <f t="shared" si="112"/>
        <v>-4.6789295195854624E-3</v>
      </c>
      <c r="G3465" s="52">
        <f t="shared" si="113"/>
        <v>-2.7593218696984716E-3</v>
      </c>
    </row>
    <row r="3466" spans="1:7" ht="15" customHeight="1" x14ac:dyDescent="0.2">
      <c r="A3466" s="19" t="s">
        <v>3613</v>
      </c>
      <c r="B3466" s="50">
        <v>510.96</v>
      </c>
      <c r="C3466" s="50">
        <v>6552.51</v>
      </c>
      <c r="D3466" s="51">
        <v>24133840</v>
      </c>
      <c r="E3466" s="51">
        <v>3576690308</v>
      </c>
      <c r="F3466" s="52">
        <f t="shared" si="112"/>
        <v>-2.2142268708887615E-2</v>
      </c>
      <c r="G3466" s="52">
        <f t="shared" si="113"/>
        <v>-2.748595997057204E-2</v>
      </c>
    </row>
    <row r="3467" spans="1:7" ht="15" customHeight="1" x14ac:dyDescent="0.2">
      <c r="A3467" s="19" t="s">
        <v>3614</v>
      </c>
      <c r="B3467" s="50">
        <v>514.04999999999995</v>
      </c>
      <c r="C3467" s="50">
        <v>6654.72</v>
      </c>
      <c r="D3467" s="51">
        <v>14284238</v>
      </c>
      <c r="E3467" s="51">
        <v>2749650647</v>
      </c>
      <c r="F3467" s="52">
        <f t="shared" si="112"/>
        <v>6.0292277353936686E-3</v>
      </c>
      <c r="G3467" s="52">
        <f t="shared" si="113"/>
        <v>1.5478194983781826E-2</v>
      </c>
    </row>
    <row r="3468" spans="1:7" ht="15" customHeight="1" x14ac:dyDescent="0.2">
      <c r="A3468" s="19" t="s">
        <v>3615</v>
      </c>
      <c r="B3468" s="50">
        <v>513.57000000000005</v>
      </c>
      <c r="C3468" s="50">
        <v>6644.31</v>
      </c>
      <c r="D3468" s="51">
        <v>14684300</v>
      </c>
      <c r="E3468" s="51">
        <v>2982479677</v>
      </c>
      <c r="F3468" s="52">
        <f t="shared" si="112"/>
        <v>-9.3419753393063647E-4</v>
      </c>
      <c r="G3468" s="52">
        <f t="shared" si="113"/>
        <v>-1.565528031162684E-3</v>
      </c>
    </row>
    <row r="3469" spans="1:7" ht="15" customHeight="1" x14ac:dyDescent="0.2">
      <c r="A3469" s="19" t="s">
        <v>3616</v>
      </c>
      <c r="B3469" s="50">
        <v>513.42999999999995</v>
      </c>
      <c r="C3469" s="50">
        <v>6671.06</v>
      </c>
      <c r="D3469" s="51">
        <v>14694654</v>
      </c>
      <c r="E3469" s="51">
        <v>2980404766</v>
      </c>
      <c r="F3469" s="52">
        <f t="shared" si="112"/>
        <v>-2.7263875534037593E-4</v>
      </c>
      <c r="G3469" s="52">
        <f t="shared" si="113"/>
        <v>4.0179185387894355E-3</v>
      </c>
    </row>
    <row r="3470" spans="1:7" ht="15" customHeight="1" x14ac:dyDescent="0.2">
      <c r="A3470" s="19" t="s">
        <v>3617</v>
      </c>
      <c r="B3470" s="50">
        <v>511.61</v>
      </c>
      <c r="C3470" s="50">
        <v>6629.07</v>
      </c>
      <c r="D3470" s="51">
        <v>15559565</v>
      </c>
      <c r="E3470" s="51">
        <v>3312407351</v>
      </c>
      <c r="F3470" s="52">
        <f t="shared" si="112"/>
        <v>-3.5510846650801801E-3</v>
      </c>
      <c r="G3470" s="52">
        <f t="shared" si="113"/>
        <v>-6.3142449751388335E-3</v>
      </c>
    </row>
    <row r="3471" spans="1:7" ht="15" customHeight="1" x14ac:dyDescent="0.2">
      <c r="A3471" s="19" t="s">
        <v>3618</v>
      </c>
      <c r="B3471" s="50">
        <v>513.58000000000004</v>
      </c>
      <c r="C3471" s="50">
        <v>6664.01</v>
      </c>
      <c r="D3471" s="51">
        <v>19867765</v>
      </c>
      <c r="E3471" s="51">
        <v>3139633660</v>
      </c>
      <c r="F3471" s="52">
        <f t="shared" si="112"/>
        <v>3.8431947731934805E-3</v>
      </c>
      <c r="G3471" s="52">
        <f t="shared" si="113"/>
        <v>5.2568825980633324E-3</v>
      </c>
    </row>
    <row r="3472" spans="1:7" ht="15" customHeight="1" x14ac:dyDescent="0.2">
      <c r="A3472" s="19" t="s">
        <v>3619</v>
      </c>
      <c r="B3472" s="50">
        <v>516.79</v>
      </c>
      <c r="C3472" s="50">
        <v>6735.13</v>
      </c>
      <c r="D3472" s="51">
        <v>14665620</v>
      </c>
      <c r="E3472" s="51">
        <v>2681649976</v>
      </c>
      <c r="F3472" s="52">
        <f t="shared" si="112"/>
        <v>6.2307916284104932E-3</v>
      </c>
      <c r="G3472" s="52">
        <f t="shared" si="113"/>
        <v>1.0615706365319902E-2</v>
      </c>
    </row>
    <row r="3473" spans="1:7" ht="15" customHeight="1" x14ac:dyDescent="0.2">
      <c r="A3473" s="19" t="s">
        <v>3620</v>
      </c>
      <c r="B3473" s="50">
        <v>517.66</v>
      </c>
      <c r="C3473" s="50">
        <v>6735.35</v>
      </c>
      <c r="D3473" s="51">
        <v>15586204</v>
      </c>
      <c r="E3473" s="51">
        <v>3134559675</v>
      </c>
      <c r="F3473" s="52">
        <f t="shared" si="112"/>
        <v>1.6820536616067938E-3</v>
      </c>
      <c r="G3473" s="52">
        <f t="shared" si="113"/>
        <v>3.2664017914663565E-5</v>
      </c>
    </row>
    <row r="3474" spans="1:7" ht="15" customHeight="1" x14ac:dyDescent="0.2">
      <c r="A3474" s="19" t="s">
        <v>3621</v>
      </c>
      <c r="B3474" s="50">
        <v>520.54</v>
      </c>
      <c r="C3474" s="50">
        <v>6699.4</v>
      </c>
      <c r="D3474" s="51">
        <v>18962694</v>
      </c>
      <c r="E3474" s="51">
        <v>3462137202</v>
      </c>
      <c r="F3474" s="52">
        <f t="shared" si="112"/>
        <v>5.5480781881667701E-3</v>
      </c>
      <c r="G3474" s="52">
        <f t="shared" si="113"/>
        <v>-5.3518056988170791E-3</v>
      </c>
    </row>
    <row r="3475" spans="1:7" ht="15" customHeight="1" x14ac:dyDescent="0.2">
      <c r="A3475" s="19" t="s">
        <v>3622</v>
      </c>
      <c r="B3475" s="50">
        <v>520.55999999999995</v>
      </c>
      <c r="C3475" s="50">
        <v>6738.44</v>
      </c>
      <c r="D3475" s="51">
        <v>14023532</v>
      </c>
      <c r="E3475" s="51">
        <v>3340300193</v>
      </c>
      <c r="F3475" s="52">
        <f t="shared" si="112"/>
        <v>3.8420900974708165E-5</v>
      </c>
      <c r="G3475" s="52">
        <f t="shared" si="113"/>
        <v>5.8104739805954339E-3</v>
      </c>
    </row>
    <row r="3476" spans="1:7" ht="15" customHeight="1" x14ac:dyDescent="0.2">
      <c r="A3476" s="19" t="s">
        <v>3623</v>
      </c>
      <c r="B3476" s="50">
        <v>523.61</v>
      </c>
      <c r="C3476" s="50">
        <v>6791.69</v>
      </c>
      <c r="D3476" s="51">
        <v>15532360</v>
      </c>
      <c r="E3476" s="51">
        <v>3030501823</v>
      </c>
      <c r="F3476" s="52">
        <f t="shared" si="112"/>
        <v>5.8419772151516447E-3</v>
      </c>
      <c r="G3476" s="52">
        <f t="shared" si="113"/>
        <v>7.8713619070685803E-3</v>
      </c>
    </row>
    <row r="3477" spans="1:7" ht="15" customHeight="1" x14ac:dyDescent="0.2">
      <c r="A3477" s="19" t="s">
        <v>3624</v>
      </c>
      <c r="B3477" s="50">
        <v>531.52</v>
      </c>
      <c r="C3477" s="50">
        <v>6875.16</v>
      </c>
      <c r="D3477" s="51">
        <v>18734716</v>
      </c>
      <c r="E3477" s="51">
        <v>3281337316</v>
      </c>
      <c r="F3477" s="52">
        <f t="shared" si="112"/>
        <v>1.4993694023049847E-2</v>
      </c>
      <c r="G3477" s="52">
        <f t="shared" si="113"/>
        <v>1.2215109973364811E-2</v>
      </c>
    </row>
    <row r="3478" spans="1:7" ht="15" customHeight="1" x14ac:dyDescent="0.2">
      <c r="A3478" s="19" t="s">
        <v>3625</v>
      </c>
      <c r="B3478" s="50">
        <v>542.07000000000005</v>
      </c>
      <c r="C3478" s="50">
        <v>6890.89</v>
      </c>
      <c r="D3478" s="51">
        <v>29986683</v>
      </c>
      <c r="E3478" s="51">
        <v>3383018549</v>
      </c>
      <c r="F3478" s="52">
        <f t="shared" si="112"/>
        <v>1.9654317966919119E-2</v>
      </c>
      <c r="G3478" s="52">
        <f t="shared" si="113"/>
        <v>2.2853333884670069E-3</v>
      </c>
    </row>
    <row r="3479" spans="1:7" ht="15" customHeight="1" x14ac:dyDescent="0.2">
      <c r="A3479" s="19" t="s">
        <v>3626</v>
      </c>
      <c r="B3479" s="50">
        <v>541.54999999999995</v>
      </c>
      <c r="C3479" s="50">
        <v>6890.59</v>
      </c>
      <c r="D3479" s="51">
        <v>36023004</v>
      </c>
      <c r="E3479" s="51">
        <v>3991449848</v>
      </c>
      <c r="F3479" s="52">
        <f t="shared" si="112"/>
        <v>-9.5974611010316089E-4</v>
      </c>
      <c r="G3479" s="52">
        <f t="shared" si="113"/>
        <v>-4.3536688374153406E-5</v>
      </c>
    </row>
    <row r="3480" spans="1:7" ht="15" customHeight="1" x14ac:dyDescent="0.2">
      <c r="A3480" s="19" t="s">
        <v>3627</v>
      </c>
      <c r="B3480" s="50">
        <v>525.76</v>
      </c>
      <c r="C3480" s="50">
        <v>6822.34</v>
      </c>
      <c r="D3480" s="51">
        <v>41023088</v>
      </c>
      <c r="E3480" s="51">
        <v>3912419033</v>
      </c>
      <c r="F3480" s="52">
        <f t="shared" si="112"/>
        <v>-2.9590563432842814E-2</v>
      </c>
      <c r="G3480" s="52">
        <f t="shared" si="113"/>
        <v>-9.9541911976876295E-3</v>
      </c>
    </row>
    <row r="3481" spans="1:7" ht="15" customHeight="1" x14ac:dyDescent="0.2">
      <c r="A3481" s="19" t="s">
        <v>3628</v>
      </c>
      <c r="B3481" s="50">
        <v>517.80999999999995</v>
      </c>
      <c r="C3481" s="50">
        <v>6840.2</v>
      </c>
      <c r="D3481" s="51">
        <v>34006424</v>
      </c>
      <c r="E3481" s="51">
        <v>3781813931</v>
      </c>
      <c r="F3481" s="52">
        <f t="shared" si="112"/>
        <v>-1.5236455242090181E-2</v>
      </c>
      <c r="G3481" s="52">
        <f t="shared" si="113"/>
        <v>2.6144494615600103E-3</v>
      </c>
    </row>
    <row r="3482" spans="1:7" ht="15" customHeight="1" x14ac:dyDescent="0.2">
      <c r="A3482" s="19" t="s">
        <v>3629</v>
      </c>
      <c r="B3482" s="50">
        <v>517.03</v>
      </c>
      <c r="C3482" s="50">
        <v>6851.97</v>
      </c>
      <c r="D3482" s="51">
        <v>22374742</v>
      </c>
      <c r="E3482" s="51">
        <v>3738573066</v>
      </c>
      <c r="F3482" s="52">
        <f t="shared" si="112"/>
        <v>-1.507479702586237E-3</v>
      </c>
      <c r="G3482" s="52">
        <f t="shared" si="113"/>
        <v>1.7192311955086541E-3</v>
      </c>
    </row>
    <row r="3483" spans="1:7" ht="15" customHeight="1" x14ac:dyDescent="0.2">
      <c r="A3483" s="19" t="s">
        <v>3630</v>
      </c>
      <c r="B3483" s="50">
        <v>514.33000000000004</v>
      </c>
      <c r="C3483" s="50">
        <v>6771.55</v>
      </c>
      <c r="D3483" s="51">
        <v>20958663</v>
      </c>
      <c r="E3483" s="51">
        <v>3804669249</v>
      </c>
      <c r="F3483" s="52">
        <f t="shared" si="112"/>
        <v>-5.2358171115765365E-3</v>
      </c>
      <c r="G3483" s="52">
        <f t="shared" si="113"/>
        <v>-1.1806190194192139E-2</v>
      </c>
    </row>
    <row r="3484" spans="1:7" ht="15" customHeight="1" x14ac:dyDescent="0.2">
      <c r="A3484" s="19" t="s">
        <v>3631</v>
      </c>
      <c r="B3484" s="50">
        <v>507.16</v>
      </c>
      <c r="C3484" s="50">
        <v>6796.29</v>
      </c>
      <c r="D3484" s="51">
        <v>23024342</v>
      </c>
      <c r="E3484" s="51">
        <v>3509989123</v>
      </c>
      <c r="F3484" s="52">
        <f t="shared" si="112"/>
        <v>-1.4038547132903064E-2</v>
      </c>
      <c r="G3484" s="52">
        <f t="shared" si="113"/>
        <v>3.6468630849652776E-3</v>
      </c>
    </row>
    <row r="3485" spans="1:7" ht="15" customHeight="1" x14ac:dyDescent="0.2">
      <c r="A3485" s="19" t="s">
        <v>3632</v>
      </c>
      <c r="B3485" s="50">
        <v>497.1</v>
      </c>
      <c r="C3485" s="50">
        <v>6720.32</v>
      </c>
      <c r="D3485" s="51">
        <v>27406496</v>
      </c>
      <c r="E3485" s="51">
        <v>3645515825</v>
      </c>
      <c r="F3485" s="52">
        <f t="shared" si="112"/>
        <v>-2.0035322559120352E-2</v>
      </c>
      <c r="G3485" s="52">
        <f t="shared" si="113"/>
        <v>-1.1241102610422679E-2</v>
      </c>
    </row>
    <row r="3486" spans="1:7" ht="15" customHeight="1" x14ac:dyDescent="0.2">
      <c r="A3486" s="19" t="s">
        <v>3633</v>
      </c>
      <c r="B3486" s="50">
        <v>496.82</v>
      </c>
      <c r="C3486" s="50">
        <v>6728.8</v>
      </c>
      <c r="D3486" s="51">
        <v>24019764</v>
      </c>
      <c r="E3486" s="51">
        <v>3572758457</v>
      </c>
      <c r="F3486" s="52">
        <f t="shared" si="112"/>
        <v>-5.6342564272209299E-4</v>
      </c>
      <c r="G3486" s="52">
        <f t="shared" si="113"/>
        <v>1.2610492171643028E-3</v>
      </c>
    </row>
    <row r="3487" spans="1:7" ht="15" customHeight="1" x14ac:dyDescent="0.2">
      <c r="A3487" s="19" t="s">
        <v>3634</v>
      </c>
      <c r="B3487" s="50">
        <v>506</v>
      </c>
      <c r="C3487" s="50">
        <v>6832.43</v>
      </c>
      <c r="D3487" s="51">
        <v>26101480</v>
      </c>
      <c r="E3487" s="51">
        <v>3176556257</v>
      </c>
      <c r="F3487" s="52">
        <f t="shared" si="112"/>
        <v>1.8308881829560569E-2</v>
      </c>
      <c r="G3487" s="52">
        <f t="shared" si="113"/>
        <v>1.5283571949665772E-2</v>
      </c>
    </row>
    <row r="3488" spans="1:7" ht="15" customHeight="1" x14ac:dyDescent="0.2">
      <c r="A3488" s="19" t="s">
        <v>3635</v>
      </c>
      <c r="B3488" s="50">
        <v>508.68</v>
      </c>
      <c r="C3488" s="50">
        <v>6846.61</v>
      </c>
      <c r="D3488" s="51">
        <v>17980020</v>
      </c>
      <c r="E3488" s="51">
        <v>2819843476</v>
      </c>
      <c r="F3488" s="52">
        <f t="shared" si="112"/>
        <v>5.2824658650805871E-3</v>
      </c>
      <c r="G3488" s="52">
        <f t="shared" si="113"/>
        <v>2.0732456487022851E-3</v>
      </c>
    </row>
    <row r="3489" spans="1:7" ht="15" customHeight="1" x14ac:dyDescent="0.2">
      <c r="A3489" s="19" t="s">
        <v>3636</v>
      </c>
      <c r="B3489" s="50">
        <v>511.14</v>
      </c>
      <c r="C3489" s="50">
        <v>6850.92</v>
      </c>
      <c r="D3489" s="51">
        <v>26574851</v>
      </c>
      <c r="E3489" s="51">
        <v>2953817156</v>
      </c>
      <c r="F3489" s="52">
        <f t="shared" si="112"/>
        <v>4.8243901302579498E-3</v>
      </c>
      <c r="G3489" s="52">
        <f t="shared" si="113"/>
        <v>6.2931056069833119E-4</v>
      </c>
    </row>
    <row r="3490" spans="1:7" ht="15" customHeight="1" x14ac:dyDescent="0.2">
      <c r="A3490" s="19" t="s">
        <v>3637</v>
      </c>
      <c r="B3490" s="50">
        <v>503.29</v>
      </c>
      <c r="C3490" s="50">
        <v>6737.49</v>
      </c>
      <c r="D3490" s="51">
        <v>25273114</v>
      </c>
      <c r="E3490" s="51">
        <v>3390434200</v>
      </c>
      <c r="F3490" s="52">
        <f t="shared" si="112"/>
        <v>-1.5476980563366001E-2</v>
      </c>
      <c r="G3490" s="52">
        <f t="shared" si="113"/>
        <v>-1.6695497821198804E-2</v>
      </c>
    </row>
    <row r="3491" spans="1:7" ht="15" customHeight="1" x14ac:dyDescent="0.2">
      <c r="A3491" s="19" t="s">
        <v>3638</v>
      </c>
      <c r="B3491" s="50">
        <v>510.18</v>
      </c>
      <c r="C3491" s="50">
        <v>6734.11</v>
      </c>
      <c r="D3491" s="51">
        <v>28505746</v>
      </c>
      <c r="E3491" s="51">
        <v>3110943074</v>
      </c>
      <c r="F3491" s="52">
        <f t="shared" si="112"/>
        <v>1.3597059906317998E-2</v>
      </c>
      <c r="G3491" s="52">
        <f t="shared" si="113"/>
        <v>-5.0179638215562831E-4</v>
      </c>
    </row>
    <row r="3492" spans="1:7" ht="15" customHeight="1" x14ac:dyDescent="0.2">
      <c r="A3492" s="19" t="s">
        <v>3639</v>
      </c>
      <c r="B3492" s="50">
        <v>507.49</v>
      </c>
      <c r="C3492" s="50">
        <v>6672.41</v>
      </c>
      <c r="D3492" s="51">
        <v>19092752</v>
      </c>
      <c r="E3492" s="51">
        <v>3201093835</v>
      </c>
      <c r="F3492" s="52">
        <f t="shared" si="112"/>
        <v>-5.2865983374461231E-3</v>
      </c>
      <c r="G3492" s="52">
        <f t="shared" si="113"/>
        <v>-9.2045416140541063E-3</v>
      </c>
    </row>
    <row r="3493" spans="1:7" ht="15" customHeight="1" x14ac:dyDescent="0.2">
      <c r="A3493" s="19" t="s">
        <v>3640</v>
      </c>
      <c r="B3493" s="50">
        <v>493.79</v>
      </c>
      <c r="C3493" s="50">
        <v>6617.32</v>
      </c>
      <c r="D3493" s="51">
        <v>33815114</v>
      </c>
      <c r="E3493" s="51">
        <v>3313453674</v>
      </c>
      <c r="F3493" s="52">
        <f t="shared" si="112"/>
        <v>-2.73666806960986E-2</v>
      </c>
      <c r="G3493" s="52">
        <f t="shared" si="113"/>
        <v>-8.290659863030455E-3</v>
      </c>
    </row>
    <row r="3494" spans="1:7" ht="15" customHeight="1" x14ac:dyDescent="0.2">
      <c r="A3494" s="19" t="s">
        <v>3641</v>
      </c>
      <c r="B3494" s="50">
        <v>487.12</v>
      </c>
      <c r="C3494" s="50">
        <v>6642.16</v>
      </c>
      <c r="D3494" s="51">
        <v>23245314</v>
      </c>
      <c r="E3494" s="51">
        <v>3169299167</v>
      </c>
      <c r="F3494" s="52">
        <f t="shared" si="112"/>
        <v>-1.359982629189267E-2</v>
      </c>
      <c r="G3494" s="52">
        <f t="shared" si="113"/>
        <v>3.7467576494783256E-3</v>
      </c>
    </row>
    <row r="3495" spans="1:7" ht="15" customHeight="1" x14ac:dyDescent="0.2">
      <c r="A3495" s="19" t="s">
        <v>3642</v>
      </c>
      <c r="B3495" s="50">
        <v>478.43</v>
      </c>
      <c r="C3495" s="50">
        <v>6538.76</v>
      </c>
      <c r="D3495" s="51">
        <v>26802542</v>
      </c>
      <c r="E3495" s="51">
        <v>3745953023</v>
      </c>
      <c r="F3495" s="52">
        <f t="shared" si="112"/>
        <v>-1.8000589599925308E-2</v>
      </c>
      <c r="G3495" s="52">
        <f t="shared" si="113"/>
        <v>-1.5689666748388537E-2</v>
      </c>
    </row>
    <row r="3496" spans="1:7" ht="15" customHeight="1" x14ac:dyDescent="0.2">
      <c r="A3496" s="19" t="s">
        <v>3643</v>
      </c>
      <c r="B3496" s="50">
        <v>472.12</v>
      </c>
      <c r="C3496" s="50">
        <v>6602.99</v>
      </c>
      <c r="D3496" s="51">
        <v>31769248</v>
      </c>
      <c r="E3496" s="51">
        <v>4027622687</v>
      </c>
      <c r="F3496" s="52">
        <f t="shared" si="112"/>
        <v>-1.3276719139525063E-2</v>
      </c>
      <c r="G3496" s="52">
        <f t="shared" si="113"/>
        <v>9.775031702356704E-3</v>
      </c>
    </row>
    <row r="3497" spans="1:7" ht="15" customHeight="1" x14ac:dyDescent="0.2">
      <c r="A3497" s="19" t="s">
        <v>3644</v>
      </c>
      <c r="B3497" s="50">
        <v>474</v>
      </c>
      <c r="C3497" s="50">
        <v>6705.12</v>
      </c>
      <c r="D3497" s="51">
        <v>34421046</v>
      </c>
      <c r="E3497" s="51">
        <v>4515631336</v>
      </c>
      <c r="F3497" s="52">
        <f t="shared" si="112"/>
        <v>3.974131134208198E-3</v>
      </c>
      <c r="G3497" s="52">
        <f t="shared" si="113"/>
        <v>1.5348836917048726E-2</v>
      </c>
    </row>
    <row r="3498" spans="1:7" ht="15" customHeight="1" x14ac:dyDescent="0.2">
      <c r="A3498" s="19" t="s">
        <v>3645</v>
      </c>
      <c r="B3498" s="50">
        <v>476.99</v>
      </c>
      <c r="C3498" s="50">
        <v>6765.88</v>
      </c>
      <c r="D3498" s="51">
        <v>28019793</v>
      </c>
      <c r="E3498" s="51">
        <v>3329984743</v>
      </c>
      <c r="F3498" s="52">
        <f t="shared" si="112"/>
        <v>6.2882046129223565E-3</v>
      </c>
      <c r="G3498" s="52">
        <f t="shared" si="113"/>
        <v>9.0209207985121487E-3</v>
      </c>
    </row>
    <row r="3499" spans="1:7" ht="15" customHeight="1" x14ac:dyDescent="0.2">
      <c r="A3499" s="19" t="s">
        <v>3646</v>
      </c>
      <c r="B3499" s="50">
        <v>485.5</v>
      </c>
      <c r="C3499" s="50">
        <v>6812.61</v>
      </c>
      <c r="D3499" s="51">
        <v>25709079</v>
      </c>
      <c r="E3499" s="51">
        <v>2733198917</v>
      </c>
      <c r="F3499" s="52">
        <f t="shared" si="112"/>
        <v>1.7683761423380632E-2</v>
      </c>
      <c r="G3499" s="52">
        <f t="shared" si="113"/>
        <v>6.8829721842695365E-3</v>
      </c>
    </row>
    <row r="3500" spans="1:7" ht="15" customHeight="1" x14ac:dyDescent="0.2">
      <c r="A3500" s="19" t="s">
        <v>3647</v>
      </c>
      <c r="B3500" s="50">
        <v>492.01</v>
      </c>
      <c r="C3500" s="50">
        <v>6849.09</v>
      </c>
      <c r="D3500" s="51">
        <v>14386730</v>
      </c>
      <c r="E3500" s="51">
        <v>1476619723</v>
      </c>
      <c r="F3500" s="52">
        <f t="shared" si="112"/>
        <v>1.3319753757626425E-2</v>
      </c>
      <c r="G3500" s="52">
        <f t="shared" si="113"/>
        <v>5.3404900859037579E-3</v>
      </c>
    </row>
    <row r="3501" spans="1:7" ht="15" customHeight="1" x14ac:dyDescent="0.2">
      <c r="A3501" s="19" t="s">
        <v>3648</v>
      </c>
      <c r="B3501" s="50">
        <v>486.74</v>
      </c>
      <c r="C3501" s="50">
        <v>6812.63</v>
      </c>
      <c r="D3501" s="51">
        <v>23963993</v>
      </c>
      <c r="E3501" s="51">
        <v>2809389477</v>
      </c>
      <c r="F3501" s="52">
        <f t="shared" si="112"/>
        <v>-1.0768941875060578E-2</v>
      </c>
      <c r="G3501" s="52">
        <f t="shared" si="113"/>
        <v>-5.337554357799105E-3</v>
      </c>
    </row>
    <row r="3502" spans="1:7" ht="15" customHeight="1" x14ac:dyDescent="0.2">
      <c r="A3502" s="19" t="s">
        <v>3649</v>
      </c>
      <c r="B3502" s="50">
        <v>490</v>
      </c>
      <c r="C3502" s="50">
        <v>6829.37</v>
      </c>
      <c r="D3502" s="51">
        <v>19562722</v>
      </c>
      <c r="E3502" s="51">
        <v>3027194930</v>
      </c>
      <c r="F3502" s="52">
        <f t="shared" si="112"/>
        <v>6.6752914907268592E-3</v>
      </c>
      <c r="G3502" s="52">
        <f t="shared" si="113"/>
        <v>2.4541868350872E-3</v>
      </c>
    </row>
    <row r="3503" spans="1:7" ht="15" customHeight="1" x14ac:dyDescent="0.2">
      <c r="A3503" s="19" t="s">
        <v>3650</v>
      </c>
      <c r="B3503" s="50">
        <v>477.73</v>
      </c>
      <c r="C3503" s="50">
        <v>6849.72</v>
      </c>
      <c r="D3503" s="51">
        <v>34615102</v>
      </c>
      <c r="E3503" s="51">
        <v>3003129079</v>
      </c>
      <c r="F3503" s="52">
        <f t="shared" si="112"/>
        <v>-2.5359671759571177E-2</v>
      </c>
      <c r="G3503" s="52">
        <f t="shared" si="113"/>
        <v>2.9753463150951035E-3</v>
      </c>
    </row>
    <row r="3504" spans="1:7" ht="15" customHeight="1" x14ac:dyDescent="0.2">
      <c r="A3504" s="19" t="s">
        <v>3651</v>
      </c>
      <c r="B3504" s="50">
        <v>480.84</v>
      </c>
      <c r="C3504" s="50">
        <v>6857.12</v>
      </c>
      <c r="D3504" s="51">
        <v>22318155</v>
      </c>
      <c r="E3504" s="51">
        <v>2984475179</v>
      </c>
      <c r="F3504" s="52">
        <f t="shared" si="112"/>
        <v>6.488855090952381E-3</v>
      </c>
      <c r="G3504" s="52">
        <f t="shared" si="113"/>
        <v>1.0797529874062967E-3</v>
      </c>
    </row>
    <row r="3505" spans="1:7" ht="15" customHeight="1" x14ac:dyDescent="0.2">
      <c r="A3505" s="19" t="s">
        <v>3652</v>
      </c>
      <c r="B3505" s="50">
        <v>483.16</v>
      </c>
      <c r="C3505" s="50">
        <v>6870.4</v>
      </c>
      <c r="D3505" s="51">
        <v>22608710</v>
      </c>
      <c r="E3505" s="51">
        <v>3170300806</v>
      </c>
      <c r="F3505" s="52">
        <f t="shared" si="112"/>
        <v>4.8132873010242813E-3</v>
      </c>
      <c r="G3505" s="52">
        <f t="shared" si="113"/>
        <v>1.9348001886360358E-3</v>
      </c>
    </row>
    <row r="3506" spans="1:7" ht="15" customHeight="1" x14ac:dyDescent="0.2">
      <c r="A3506" s="19" t="s">
        <v>3653</v>
      </c>
      <c r="B3506" s="50">
        <v>491.02</v>
      </c>
      <c r="C3506" s="50">
        <v>6846.51</v>
      </c>
      <c r="D3506" s="51">
        <v>21965900</v>
      </c>
      <c r="E3506" s="51">
        <v>3229858469</v>
      </c>
      <c r="F3506" s="52">
        <f t="shared" si="112"/>
        <v>1.6136998425424685E-2</v>
      </c>
      <c r="G3506" s="52">
        <f t="shared" si="113"/>
        <v>-3.4832953129334491E-3</v>
      </c>
    </row>
    <row r="3507" spans="1:7" ht="15" customHeight="1" x14ac:dyDescent="0.2">
      <c r="A3507" s="19" t="s">
        <v>3654</v>
      </c>
      <c r="B3507" s="50">
        <v>492.02</v>
      </c>
      <c r="C3507" s="50">
        <v>6840.51</v>
      </c>
      <c r="D3507" s="51">
        <v>14696078</v>
      </c>
      <c r="E3507" s="51">
        <v>2792692884</v>
      </c>
      <c r="F3507" s="52">
        <f t="shared" si="112"/>
        <v>2.0345059101043159E-3</v>
      </c>
      <c r="G3507" s="52">
        <f t="shared" si="113"/>
        <v>-8.7674313098681116E-4</v>
      </c>
    </row>
    <row r="3508" spans="1:7" ht="15" customHeight="1" x14ac:dyDescent="0.2">
      <c r="A3508" s="19" t="s">
        <v>3655</v>
      </c>
      <c r="B3508" s="50">
        <v>478.56</v>
      </c>
      <c r="C3508" s="50">
        <v>6886.68</v>
      </c>
      <c r="D3508" s="51">
        <v>35756229</v>
      </c>
      <c r="E3508" s="51">
        <v>3568454126</v>
      </c>
      <c r="F3508" s="52">
        <f t="shared" si="112"/>
        <v>-2.7737771190968898E-2</v>
      </c>
      <c r="G3508" s="52">
        <f t="shared" si="113"/>
        <v>6.7268208715260186E-3</v>
      </c>
    </row>
    <row r="3509" spans="1:7" ht="15" customHeight="1" x14ac:dyDescent="0.2">
      <c r="A3509" s="19" t="s">
        <v>3656</v>
      </c>
      <c r="B3509" s="50">
        <v>483.47</v>
      </c>
      <c r="C3509" s="50">
        <v>6901</v>
      </c>
      <c r="D3509" s="51">
        <v>24669180</v>
      </c>
      <c r="E3509" s="51">
        <v>3195795418</v>
      </c>
      <c r="F3509" s="52">
        <f t="shared" si="112"/>
        <v>1.0207670516877522E-2</v>
      </c>
      <c r="G3509" s="52">
        <f t="shared" si="113"/>
        <v>2.0772175085341247E-3</v>
      </c>
    </row>
    <row r="3510" spans="1:7" ht="15" customHeight="1" x14ac:dyDescent="0.2">
      <c r="A3510" s="19" t="s">
        <v>3657</v>
      </c>
      <c r="B3510" s="50">
        <v>478.53</v>
      </c>
      <c r="C3510" s="50">
        <v>6827.41</v>
      </c>
      <c r="D3510" s="51">
        <v>21248102</v>
      </c>
      <c r="E3510" s="51">
        <v>3223223496</v>
      </c>
      <c r="F3510" s="52">
        <f t="shared" si="112"/>
        <v>-1.0270360546049068E-2</v>
      </c>
      <c r="G3510" s="52">
        <f t="shared" si="113"/>
        <v>-1.0720936344245894E-2</v>
      </c>
    </row>
    <row r="3511" spans="1:7" ht="15" customHeight="1" x14ac:dyDescent="0.2">
      <c r="A3511" s="19" t="s">
        <v>3658</v>
      </c>
      <c r="B3511" s="50">
        <v>474.82</v>
      </c>
      <c r="C3511" s="50">
        <v>6816.51</v>
      </c>
      <c r="D3511" s="51">
        <v>23727694</v>
      </c>
      <c r="E3511" s="51">
        <v>3346423276</v>
      </c>
      <c r="F3511" s="52">
        <f t="shared" si="112"/>
        <v>-7.7831200049445952E-3</v>
      </c>
      <c r="G3511" s="52">
        <f t="shared" si="113"/>
        <v>-1.5977816227138871E-3</v>
      </c>
    </row>
    <row r="3512" spans="1:7" ht="15" customHeight="1" x14ac:dyDescent="0.2">
      <c r="A3512" s="19" t="s">
        <v>3659</v>
      </c>
      <c r="B3512" s="50">
        <v>476.39</v>
      </c>
      <c r="C3512" s="50">
        <v>6800.26</v>
      </c>
      <c r="D3512" s="51">
        <v>20705560</v>
      </c>
      <c r="E3512" s="51">
        <v>3271931472</v>
      </c>
      <c r="F3512" s="52">
        <f t="shared" si="112"/>
        <v>3.301061649250175E-3</v>
      </c>
      <c r="G3512" s="52">
        <f t="shared" si="113"/>
        <v>-2.3867639262764775E-3</v>
      </c>
    </row>
    <row r="3513" spans="1:7" ht="15" customHeight="1" x14ac:dyDescent="0.2">
      <c r="A3513" s="19" t="s">
        <v>3660</v>
      </c>
      <c r="B3513" s="50">
        <v>476.12</v>
      </c>
      <c r="C3513" s="50">
        <v>6721.43</v>
      </c>
      <c r="D3513" s="51">
        <v>24527176</v>
      </c>
      <c r="E3513" s="51">
        <v>3506739894</v>
      </c>
      <c r="F3513" s="52">
        <f t="shared" si="112"/>
        <v>-5.6692319709297919E-4</v>
      </c>
      <c r="G3513" s="52">
        <f t="shared" si="113"/>
        <v>-1.1659917229324452E-2</v>
      </c>
    </row>
    <row r="3514" spans="1:7" ht="15" customHeight="1" x14ac:dyDescent="0.2">
      <c r="A3514" s="19" t="s">
        <v>3661</v>
      </c>
      <c r="B3514" s="50">
        <v>483.98</v>
      </c>
      <c r="C3514" s="50">
        <v>6774.76</v>
      </c>
      <c r="D3514" s="51">
        <v>28573545</v>
      </c>
      <c r="E3514" s="51">
        <v>3401888532</v>
      </c>
      <c r="F3514" s="52">
        <f t="shared" si="112"/>
        <v>1.6373660249112808E-2</v>
      </c>
      <c r="G3514" s="52">
        <f t="shared" si="113"/>
        <v>7.9030122681597124E-3</v>
      </c>
    </row>
    <row r="3515" spans="1:7" ht="15" customHeight="1" x14ac:dyDescent="0.2">
      <c r="A3515" s="19" t="s">
        <v>3662</v>
      </c>
      <c r="B3515" s="50">
        <v>485.92</v>
      </c>
      <c r="C3515" s="50">
        <v>6834.5</v>
      </c>
      <c r="D3515" s="51">
        <v>70836105</v>
      </c>
      <c r="E3515" s="51">
        <v>6888367197</v>
      </c>
      <c r="F3515" s="52">
        <f t="shared" si="112"/>
        <v>4.0004177486467774E-3</v>
      </c>
      <c r="G3515" s="52">
        <f t="shared" si="113"/>
        <v>8.7793728265068479E-3</v>
      </c>
    </row>
    <row r="3516" spans="1:7" ht="15" customHeight="1" x14ac:dyDescent="0.2">
      <c r="A3516" s="19" t="s">
        <v>3663</v>
      </c>
      <c r="B3516" s="50">
        <v>484.92</v>
      </c>
      <c r="C3516" s="50">
        <v>6878.49</v>
      </c>
      <c r="D3516" s="51">
        <v>16963019</v>
      </c>
      <c r="E3516" s="51">
        <v>2663557315</v>
      </c>
      <c r="F3516" s="52">
        <f t="shared" si="112"/>
        <v>-2.0600724190560451E-3</v>
      </c>
      <c r="G3516" s="52">
        <f t="shared" si="113"/>
        <v>6.415836501950419E-3</v>
      </c>
    </row>
    <row r="3517" spans="1:7" ht="15" customHeight="1" x14ac:dyDescent="0.2">
      <c r="A3517" s="19" t="s">
        <v>3664</v>
      </c>
      <c r="B3517" s="50">
        <v>486.85</v>
      </c>
      <c r="C3517" s="50">
        <v>6909.79</v>
      </c>
      <c r="D3517" s="51">
        <v>14683582</v>
      </c>
      <c r="E3517" s="51">
        <v>2265893371</v>
      </c>
      <c r="F3517" s="52">
        <f t="shared" si="112"/>
        <v>3.9721385463826718E-3</v>
      </c>
      <c r="G3517" s="52">
        <f t="shared" si="113"/>
        <v>4.5400954671889586E-3</v>
      </c>
    </row>
    <row r="3518" spans="1:7" ht="15" customHeight="1" x14ac:dyDescent="0.2">
      <c r="A3518" s="19" t="s">
        <v>3665</v>
      </c>
      <c r="B3518" s="50">
        <v>488.02</v>
      </c>
      <c r="C3518" s="50">
        <v>6932.05</v>
      </c>
      <c r="D3518" s="51">
        <v>5855880</v>
      </c>
      <c r="E3518" s="51">
        <v>1084969463</v>
      </c>
      <c r="F3518" s="52">
        <f t="shared" si="112"/>
        <v>2.4003211951340825E-3</v>
      </c>
      <c r="G3518" s="52">
        <f t="shared" si="113"/>
        <v>3.2163381731992791E-3</v>
      </c>
    </row>
    <row r="3519" spans="1:7" ht="15" customHeight="1" x14ac:dyDescent="0.2">
      <c r="A3519" s="19" t="s">
        <v>3666</v>
      </c>
      <c r="B3519" s="50">
        <v>487.71</v>
      </c>
      <c r="C3519" s="50">
        <v>6929.94</v>
      </c>
      <c r="D3519" s="51">
        <v>8842175</v>
      </c>
      <c r="E3519" s="51">
        <v>1478675975</v>
      </c>
      <c r="F3519" s="52">
        <f t="shared" si="112"/>
        <v>-6.3542170565724005E-4</v>
      </c>
      <c r="G3519" s="52">
        <f t="shared" si="113"/>
        <v>-3.0442959723623621E-4</v>
      </c>
    </row>
    <row r="3520" spans="1:7" ht="15" customHeight="1" x14ac:dyDescent="0.2">
      <c r="A3520" s="19" t="s">
        <v>3667</v>
      </c>
      <c r="B3520" s="50">
        <v>487.1</v>
      </c>
      <c r="C3520" s="50">
        <v>6905.74</v>
      </c>
      <c r="D3520" s="51">
        <v>10893408</v>
      </c>
      <c r="E3520" s="51">
        <v>2005334941</v>
      </c>
      <c r="F3520" s="52">
        <f t="shared" si="112"/>
        <v>-1.2515261017451839E-3</v>
      </c>
      <c r="G3520" s="52">
        <f t="shared" si="113"/>
        <v>-3.4982053182543806E-3</v>
      </c>
    </row>
    <row r="3521" spans="1:7" ht="15" customHeight="1" x14ac:dyDescent="0.2">
      <c r="A3521" s="19" t="s">
        <v>3668</v>
      </c>
      <c r="B3521" s="50">
        <v>487.48</v>
      </c>
      <c r="C3521" s="50">
        <v>6896.24</v>
      </c>
      <c r="D3521" s="51">
        <v>13944512</v>
      </c>
      <c r="E3521" s="51">
        <v>1739884019</v>
      </c>
      <c r="F3521" s="52">
        <f t="shared" si="112"/>
        <v>7.7982314280453015E-4</v>
      </c>
      <c r="G3521" s="52">
        <f t="shared" si="113"/>
        <v>-1.3766142974067502E-3</v>
      </c>
    </row>
    <row r="3522" spans="1:7" ht="15" customHeight="1" x14ac:dyDescent="0.2">
      <c r="A3522" s="19" t="s">
        <v>3669</v>
      </c>
      <c r="B3522" s="50">
        <v>483.62</v>
      </c>
      <c r="C3522" s="50">
        <v>6845.5</v>
      </c>
      <c r="D3522" s="51">
        <v>15601554</v>
      </c>
      <c r="E3522" s="51">
        <v>1736582237</v>
      </c>
      <c r="F3522" s="52">
        <f t="shared" si="112"/>
        <v>-7.9497895768508298E-3</v>
      </c>
      <c r="G3522" s="52">
        <f t="shared" si="113"/>
        <v>-7.3848334483381777E-3</v>
      </c>
    </row>
    <row r="3523" spans="1:7" ht="15" customHeight="1" x14ac:dyDescent="0.2">
      <c r="A3523" s="19" t="s">
        <v>3670</v>
      </c>
      <c r="B3523" s="50">
        <v>472.94</v>
      </c>
      <c r="C3523" s="50">
        <v>6858.47</v>
      </c>
      <c r="D3523" s="51">
        <v>25571567</v>
      </c>
      <c r="E3523" s="51">
        <v>2662161102</v>
      </c>
      <c r="F3523" s="52">
        <f t="shared" si="112"/>
        <v>-2.2330943826937916E-2</v>
      </c>
      <c r="G3523" s="52">
        <f t="shared" si="113"/>
        <v>1.8928827007984883E-3</v>
      </c>
    </row>
    <row r="3524" spans="1:7" ht="15" customHeight="1" x14ac:dyDescent="0.2">
      <c r="A3524" s="19" t="s">
        <v>3671</v>
      </c>
      <c r="B3524" s="50">
        <v>472.85</v>
      </c>
      <c r="C3524" s="50">
        <v>6902.05</v>
      </c>
      <c r="D3524" s="51">
        <v>25250260</v>
      </c>
      <c r="E3524" s="51">
        <v>3468855633</v>
      </c>
      <c r="F3524" s="52">
        <f t="shared" si="112"/>
        <v>-1.9031708999174405E-4</v>
      </c>
      <c r="G3524" s="52">
        <f t="shared" si="113"/>
        <v>6.3340841341208987E-3</v>
      </c>
    </row>
    <row r="3525" spans="1:7" ht="15" customHeight="1" x14ac:dyDescent="0.2">
      <c r="A3525" s="19" t="s">
        <v>3672</v>
      </c>
      <c r="B3525" s="50">
        <v>478.51</v>
      </c>
      <c r="C3525" s="50">
        <v>6944.82</v>
      </c>
      <c r="D3525" s="51">
        <v>23037665</v>
      </c>
      <c r="E3525" s="51">
        <v>3331184768</v>
      </c>
      <c r="F3525" s="52">
        <f t="shared" si="112"/>
        <v>1.1898895854702338E-2</v>
      </c>
      <c r="G3525" s="52">
        <f t="shared" si="113"/>
        <v>6.1775890172726979E-3</v>
      </c>
    </row>
    <row r="3526" spans="1:7" ht="15" customHeight="1" x14ac:dyDescent="0.2">
      <c r="A3526" s="19" t="s">
        <v>3673</v>
      </c>
      <c r="B3526" s="50">
        <v>483.47</v>
      </c>
      <c r="C3526" s="50">
        <v>6920.93</v>
      </c>
      <c r="D3526" s="51">
        <v>25564196</v>
      </c>
      <c r="E3526" s="51">
        <v>3240372921</v>
      </c>
      <c r="F3526" s="52">
        <f t="shared" ref="F3526:F3560" si="114">LN(B3526/B3525)</f>
        <v>1.0312156082291911E-2</v>
      </c>
      <c r="G3526" s="52">
        <f t="shared" ref="G3526:G3560" si="115">LN(C3526/C3525)</f>
        <v>-3.4459042806426455E-3</v>
      </c>
    </row>
    <row r="3527" spans="1:7" ht="15" customHeight="1" x14ac:dyDescent="0.2">
      <c r="A3527" s="19" t="s">
        <v>3674</v>
      </c>
      <c r="B3527" s="50">
        <v>478.11</v>
      </c>
      <c r="C3527" s="50">
        <v>6921.46</v>
      </c>
      <c r="D3527" s="51">
        <v>18162616</v>
      </c>
      <c r="E3527" s="51">
        <v>3196082076</v>
      </c>
      <c r="F3527" s="52">
        <f t="shared" si="114"/>
        <v>-1.1148433858863474E-2</v>
      </c>
      <c r="G3527" s="52">
        <f t="shared" si="115"/>
        <v>7.657637160338651E-5</v>
      </c>
    </row>
    <row r="3528" spans="1:7" ht="15" customHeight="1" x14ac:dyDescent="0.2">
      <c r="A3528" s="19" t="s">
        <v>3675</v>
      </c>
      <c r="B3528" s="50">
        <v>479.28</v>
      </c>
      <c r="C3528" s="50">
        <v>6966.28</v>
      </c>
      <c r="D3528" s="51">
        <v>18491036</v>
      </c>
      <c r="E3528" s="51">
        <v>2974741440</v>
      </c>
      <c r="F3528" s="52">
        <f t="shared" si="114"/>
        <v>2.4441462360174867E-3</v>
      </c>
      <c r="G3528" s="52">
        <f t="shared" si="115"/>
        <v>6.4546363351698308E-3</v>
      </c>
    </row>
    <row r="3529" spans="1:7" ht="15" customHeight="1" x14ac:dyDescent="0.2">
      <c r="A3529" s="19" t="s">
        <v>3676</v>
      </c>
      <c r="B3529" s="50">
        <v>477.18</v>
      </c>
      <c r="C3529" s="50">
        <v>6977.27</v>
      </c>
      <c r="D3529" s="51">
        <v>23519895</v>
      </c>
      <c r="E3529" s="51">
        <v>3034903268</v>
      </c>
      <c r="F3529" s="52">
        <f t="shared" si="114"/>
        <v>-4.3911995785705519E-3</v>
      </c>
      <c r="G3529" s="52">
        <f t="shared" si="115"/>
        <v>1.5763564193844878E-3</v>
      </c>
    </row>
    <row r="3530" spans="1:7" ht="15" customHeight="1" x14ac:dyDescent="0.2">
      <c r="A3530" s="19" t="s">
        <v>3677</v>
      </c>
      <c r="B3530" s="50">
        <v>470.67</v>
      </c>
      <c r="C3530" s="50">
        <v>6963.74</v>
      </c>
      <c r="D3530" s="51">
        <v>28545800</v>
      </c>
      <c r="E3530" s="51">
        <v>3225314464</v>
      </c>
      <c r="F3530" s="52">
        <f t="shared" si="114"/>
        <v>-1.3736566684124953E-2</v>
      </c>
      <c r="G3530" s="52">
        <f t="shared" si="115"/>
        <v>-1.9410364454217331E-3</v>
      </c>
    </row>
    <row r="3531" spans="1:7" ht="15" customHeight="1" x14ac:dyDescent="0.2">
      <c r="A3531" s="19" t="s">
        <v>3678</v>
      </c>
      <c r="B3531" s="50">
        <v>459.38</v>
      </c>
      <c r="C3531" s="50">
        <v>6926.6</v>
      </c>
      <c r="D3531" s="51">
        <v>28184302</v>
      </c>
      <c r="E3531" s="51">
        <v>3365048977</v>
      </c>
      <c r="F3531" s="52">
        <f t="shared" si="114"/>
        <v>-2.4279457251365492E-2</v>
      </c>
      <c r="G3531" s="52">
        <f t="shared" si="115"/>
        <v>-5.3476140263805623E-3</v>
      </c>
    </row>
    <row r="3532" spans="1:7" ht="15" customHeight="1" x14ac:dyDescent="0.2">
      <c r="A3532" s="19" t="s">
        <v>3679</v>
      </c>
      <c r="B3532" s="50">
        <v>456.66</v>
      </c>
      <c r="C3532" s="50">
        <v>6944.47</v>
      </c>
      <c r="D3532" s="51">
        <v>23225839</v>
      </c>
      <c r="E3532" s="51">
        <v>3151726699</v>
      </c>
      <c r="F3532" s="52">
        <f t="shared" si="114"/>
        <v>-5.9386227542532529E-3</v>
      </c>
      <c r="G3532" s="52">
        <f t="shared" si="115"/>
        <v>2.5765870817866542E-3</v>
      </c>
    </row>
    <row r="3533" spans="1:7" ht="15" customHeight="1" x14ac:dyDescent="0.2">
      <c r="A3533" s="19" t="s">
        <v>3680</v>
      </c>
      <c r="B3533" s="50">
        <v>459.86</v>
      </c>
      <c r="C3533" s="50">
        <v>6940.01</v>
      </c>
      <c r="D3533" s="51">
        <v>34246650</v>
      </c>
      <c r="E3533" s="51">
        <v>4036432058</v>
      </c>
      <c r="F3533" s="52">
        <f t="shared" si="114"/>
        <v>6.9829638264996829E-3</v>
      </c>
      <c r="G3533" s="52">
        <f t="shared" si="115"/>
        <v>-6.4244395949999966E-4</v>
      </c>
    </row>
    <row r="3534" spans="1:7" ht="15" customHeight="1" x14ac:dyDescent="0.2">
      <c r="A3534" s="19" t="s">
        <v>3681</v>
      </c>
      <c r="B3534" s="50">
        <v>454.52</v>
      </c>
      <c r="C3534" s="50">
        <v>6796.86</v>
      </c>
      <c r="D3534" s="51">
        <v>26129992</v>
      </c>
      <c r="E3534" s="51">
        <v>3938392498</v>
      </c>
      <c r="F3534" s="52">
        <f t="shared" si="114"/>
        <v>-1.1680178284046685E-2</v>
      </c>
      <c r="G3534" s="52">
        <f t="shared" si="115"/>
        <v>-2.0842474609840015E-2</v>
      </c>
    </row>
    <row r="3535" spans="1:7" ht="15" customHeight="1" x14ac:dyDescent="0.2">
      <c r="A3535" s="19" t="s">
        <v>3682</v>
      </c>
      <c r="B3535" s="50">
        <v>444.11</v>
      </c>
      <c r="C3535" s="50">
        <v>6875.62</v>
      </c>
      <c r="D3535" s="51">
        <v>37980510</v>
      </c>
      <c r="E3535" s="51">
        <v>3830593984</v>
      </c>
      <c r="F3535" s="52">
        <f t="shared" si="114"/>
        <v>-2.3169637554241191E-2</v>
      </c>
      <c r="G3535" s="52">
        <f t="shared" si="115"/>
        <v>1.1521080474655875E-2</v>
      </c>
    </row>
    <row r="3536" spans="1:7" ht="15" customHeight="1" x14ac:dyDescent="0.2">
      <c r="A3536" s="19" t="s">
        <v>3683</v>
      </c>
      <c r="B3536" s="50">
        <v>451.14</v>
      </c>
      <c r="C3536" s="50">
        <v>6913.35</v>
      </c>
      <c r="D3536" s="51">
        <v>25349378</v>
      </c>
      <c r="E3536" s="51">
        <v>3362652403</v>
      </c>
      <c r="F3536" s="52">
        <f t="shared" si="114"/>
        <v>1.5705433122423392E-2</v>
      </c>
      <c r="G3536" s="52">
        <f t="shared" si="115"/>
        <v>5.472503626070247E-3</v>
      </c>
    </row>
    <row r="3537" spans="1:7" ht="15" customHeight="1" x14ac:dyDescent="0.2">
      <c r="A3537" s="19" t="s">
        <v>3684</v>
      </c>
      <c r="B3537" s="50">
        <v>465.95</v>
      </c>
      <c r="C3537" s="50">
        <v>6915.61</v>
      </c>
      <c r="D3537" s="51">
        <v>38000159</v>
      </c>
      <c r="E3537" s="51">
        <v>3249523997</v>
      </c>
      <c r="F3537" s="52">
        <f t="shared" si="114"/>
        <v>3.2300619613673955E-2</v>
      </c>
      <c r="G3537" s="52">
        <f t="shared" si="115"/>
        <v>3.268503228179835E-4</v>
      </c>
    </row>
    <row r="3538" spans="1:7" ht="15" customHeight="1" x14ac:dyDescent="0.2">
      <c r="A3538" s="19" t="s">
        <v>3685</v>
      </c>
      <c r="B3538" s="50">
        <v>470.28</v>
      </c>
      <c r="C3538" s="50">
        <v>6950.23</v>
      </c>
      <c r="D3538" s="51">
        <v>29291235</v>
      </c>
      <c r="E3538" s="51">
        <v>3003328517</v>
      </c>
      <c r="F3538" s="52">
        <f t="shared" si="114"/>
        <v>9.2499297678758641E-3</v>
      </c>
      <c r="G3538" s="52">
        <f t="shared" si="115"/>
        <v>4.9935773007325299E-3</v>
      </c>
    </row>
    <row r="3539" spans="1:7" ht="15" customHeight="1" x14ac:dyDescent="0.2">
      <c r="A3539" s="19" t="s">
        <v>3686</v>
      </c>
      <c r="B3539" s="50">
        <v>480.58</v>
      </c>
      <c r="C3539" s="50">
        <v>6978.6</v>
      </c>
      <c r="D3539" s="51">
        <v>29213923</v>
      </c>
      <c r="E3539" s="51">
        <v>3255156923</v>
      </c>
      <c r="F3539" s="52">
        <f t="shared" si="114"/>
        <v>2.1665445788558332E-2</v>
      </c>
      <c r="G3539" s="52">
        <f t="shared" si="115"/>
        <v>4.0735710366091391E-3</v>
      </c>
    </row>
    <row r="3540" spans="1:7" ht="15" customHeight="1" x14ac:dyDescent="0.2">
      <c r="A3540" s="19" t="s">
        <v>3687</v>
      </c>
      <c r="B3540" s="50">
        <v>481.63</v>
      </c>
      <c r="C3540" s="50">
        <v>6978.03</v>
      </c>
      <c r="D3540" s="51">
        <v>36875403</v>
      </c>
      <c r="E3540" s="51">
        <v>3381208934</v>
      </c>
      <c r="F3540" s="52">
        <f t="shared" si="114"/>
        <v>2.1824766252281289E-3</v>
      </c>
      <c r="G3540" s="52">
        <f t="shared" si="115"/>
        <v>-8.1681609431132898E-5</v>
      </c>
    </row>
    <row r="3541" spans="1:7" ht="15" customHeight="1" x14ac:dyDescent="0.2">
      <c r="A3541" s="19" t="s">
        <v>3688</v>
      </c>
      <c r="B3541" s="50">
        <v>433.5</v>
      </c>
      <c r="C3541" s="50">
        <v>6969.01</v>
      </c>
      <c r="D3541" s="51">
        <v>128855323</v>
      </c>
      <c r="E3541" s="51">
        <v>4146577203</v>
      </c>
      <c r="F3541" s="52">
        <f t="shared" si="114"/>
        <v>-0.10528438819273024</v>
      </c>
      <c r="G3541" s="52">
        <f t="shared" si="115"/>
        <v>-1.2934646000264138E-3</v>
      </c>
    </row>
    <row r="3542" spans="1:7" ht="15" customHeight="1" x14ac:dyDescent="0.2">
      <c r="A3542" s="19" t="s">
        <v>3689</v>
      </c>
      <c r="B3542" s="50">
        <v>430.29</v>
      </c>
      <c r="C3542" s="50">
        <v>6939.03</v>
      </c>
      <c r="D3542" s="51">
        <v>58566819</v>
      </c>
      <c r="E3542" s="51">
        <v>4282422061</v>
      </c>
      <c r="F3542" s="52">
        <f t="shared" si="114"/>
        <v>-7.4323962463650724E-3</v>
      </c>
      <c r="G3542" s="52">
        <f t="shared" si="115"/>
        <v>-4.3111820838502074E-3</v>
      </c>
    </row>
    <row r="3543" spans="1:7" ht="15" customHeight="1" x14ac:dyDescent="0.2">
      <c r="A3543" s="19" t="s">
        <v>3690</v>
      </c>
      <c r="B3543" s="50">
        <v>423.37</v>
      </c>
      <c r="C3543" s="50">
        <v>6976.44</v>
      </c>
      <c r="D3543" s="51">
        <v>42219858</v>
      </c>
      <c r="E3543" s="51">
        <v>3624357890</v>
      </c>
      <c r="F3543" s="52">
        <f t="shared" si="114"/>
        <v>-1.6212898767266753E-2</v>
      </c>
      <c r="G3543" s="52">
        <f t="shared" si="115"/>
        <v>5.3767627145276543E-3</v>
      </c>
    </row>
    <row r="3544" spans="1:7" ht="15" customHeight="1" x14ac:dyDescent="0.2">
      <c r="A3544" s="19" t="s">
        <v>3691</v>
      </c>
      <c r="B3544" s="50">
        <v>411.21</v>
      </c>
      <c r="C3544" s="50">
        <v>6917.81</v>
      </c>
      <c r="D3544" s="51">
        <v>61424123</v>
      </c>
      <c r="E3544" s="51">
        <v>4564301299</v>
      </c>
      <c r="F3544" s="52">
        <f t="shared" si="114"/>
        <v>-2.9142468295565205E-2</v>
      </c>
      <c r="G3544" s="52">
        <f t="shared" si="115"/>
        <v>-8.4395124594527481E-3</v>
      </c>
    </row>
    <row r="3545" spans="1:7" ht="15" customHeight="1" x14ac:dyDescent="0.2">
      <c r="A3545" s="19" t="s">
        <v>3692</v>
      </c>
      <c r="B3545" s="50">
        <v>414.19</v>
      </c>
      <c r="C3545" s="50">
        <v>6882.72</v>
      </c>
      <c r="D3545" s="51">
        <v>45012374</v>
      </c>
      <c r="E3545" s="51">
        <v>5159180313</v>
      </c>
      <c r="F3545" s="52">
        <f t="shared" si="114"/>
        <v>7.2207728325165083E-3</v>
      </c>
      <c r="G3545" s="52">
        <f t="shared" si="115"/>
        <v>-5.0853228999764265E-3</v>
      </c>
    </row>
    <row r="3546" spans="1:7" ht="15" customHeight="1" x14ac:dyDescent="0.2">
      <c r="A3546" s="19" t="s">
        <v>3693</v>
      </c>
      <c r="B3546" s="50">
        <v>393.67</v>
      </c>
      <c r="C3546" s="50">
        <v>6798.4</v>
      </c>
      <c r="D3546" s="51">
        <v>66289247</v>
      </c>
      <c r="E3546" s="51">
        <v>4375232995</v>
      </c>
      <c r="F3546" s="52">
        <f t="shared" si="114"/>
        <v>-5.0811810850003587E-2</v>
      </c>
      <c r="G3546" s="52">
        <f t="shared" si="115"/>
        <v>-1.232663227429177E-2</v>
      </c>
    </row>
    <row r="3547" spans="1:7" ht="15" customHeight="1" x14ac:dyDescent="0.2">
      <c r="A3547" s="19" t="s">
        <v>3694</v>
      </c>
      <c r="B3547" s="50">
        <v>401.14</v>
      </c>
      <c r="C3547" s="50">
        <v>6932.3</v>
      </c>
      <c r="D3547" s="51">
        <v>53515311</v>
      </c>
      <c r="E3547" s="51">
        <v>3865921847</v>
      </c>
      <c r="F3547" s="52">
        <f t="shared" si="114"/>
        <v>1.8797498663988291E-2</v>
      </c>
      <c r="G3547" s="52">
        <f t="shared" si="115"/>
        <v>1.9504358091878945E-2</v>
      </c>
    </row>
    <row r="3548" spans="1:7" ht="15" customHeight="1" x14ac:dyDescent="0.2">
      <c r="A3548" s="19" t="s">
        <v>3695</v>
      </c>
      <c r="B3548" s="50">
        <v>413.6</v>
      </c>
      <c r="C3548" s="50">
        <v>6964.82</v>
      </c>
      <c r="D3548" s="51">
        <v>45480526</v>
      </c>
      <c r="E3548" s="51">
        <v>3384086573</v>
      </c>
      <c r="F3548" s="52">
        <f t="shared" si="114"/>
        <v>3.0588829636318773E-2</v>
      </c>
      <c r="G3548" s="52">
        <f t="shared" si="115"/>
        <v>4.6801149243004755E-3</v>
      </c>
    </row>
    <row r="3549" spans="1:7" ht="15" customHeight="1" x14ac:dyDescent="0.2">
      <c r="A3549" s="19" t="s">
        <v>3696</v>
      </c>
      <c r="B3549" s="50">
        <v>413.27</v>
      </c>
      <c r="C3549" s="50">
        <v>6941.81</v>
      </c>
      <c r="D3549" s="51">
        <v>44857850</v>
      </c>
      <c r="E3549" s="51">
        <v>3518487068</v>
      </c>
      <c r="F3549" s="52">
        <f t="shared" si="114"/>
        <v>-7.9819080997138006E-4</v>
      </c>
      <c r="G3549" s="52">
        <f t="shared" si="115"/>
        <v>-3.3092159636613234E-3</v>
      </c>
    </row>
    <row r="3550" spans="1:7" ht="15" customHeight="1" x14ac:dyDescent="0.2">
      <c r="A3550" s="19" t="s">
        <v>3697</v>
      </c>
      <c r="B3550" s="50">
        <v>404.37</v>
      </c>
      <c r="C3550" s="50">
        <v>6941.47</v>
      </c>
      <c r="D3550" s="51">
        <v>42491012</v>
      </c>
      <c r="E3550" s="51">
        <v>3766458007</v>
      </c>
      <c r="F3550" s="52">
        <f t="shared" si="114"/>
        <v>-2.1770831965960063E-2</v>
      </c>
      <c r="G3550" s="52">
        <f t="shared" si="115"/>
        <v>-4.8979780004177092E-5</v>
      </c>
    </row>
    <row r="3551" spans="1:7" ht="15" customHeight="1" x14ac:dyDescent="0.2">
      <c r="A3551" s="19" t="s">
        <v>3698</v>
      </c>
      <c r="B3551" s="50">
        <v>401.84</v>
      </c>
      <c r="C3551" s="50">
        <v>6832.76</v>
      </c>
      <c r="D3551" s="51">
        <v>40802362</v>
      </c>
      <c r="E3551" s="51">
        <v>4550359687</v>
      </c>
      <c r="F3551" s="52">
        <f t="shared" si="114"/>
        <v>-6.276300976498732E-3</v>
      </c>
      <c r="G3551" s="52">
        <f t="shared" si="115"/>
        <v>-1.578487613370198E-2</v>
      </c>
    </row>
    <row r="3552" spans="1:7" ht="15" customHeight="1" x14ac:dyDescent="0.2">
      <c r="A3552" s="19" t="s">
        <v>3699</v>
      </c>
      <c r="B3552" s="50">
        <v>401.32</v>
      </c>
      <c r="C3552" s="50">
        <v>6836.17</v>
      </c>
      <c r="D3552" s="51">
        <v>34091553</v>
      </c>
      <c r="E3552" s="51">
        <v>3430632699</v>
      </c>
      <c r="F3552" s="52">
        <f t="shared" si="114"/>
        <v>-1.2948853843771802E-3</v>
      </c>
      <c r="G3552" s="52">
        <f t="shared" si="115"/>
        <v>4.9894177097124651E-4</v>
      </c>
    </row>
    <row r="3553" spans="1:7" ht="15" customHeight="1" x14ac:dyDescent="0.2">
      <c r="A3553" s="19" t="s">
        <v>3700</v>
      </c>
      <c r="B3553" s="50">
        <v>396.86</v>
      </c>
      <c r="C3553" s="50">
        <v>6843.22</v>
      </c>
      <c r="D3553" s="51">
        <v>32078794</v>
      </c>
      <c r="E3553" s="51">
        <v>3330129793</v>
      </c>
      <c r="F3553" s="52">
        <f t="shared" si="114"/>
        <v>-1.1175540400305904E-2</v>
      </c>
      <c r="G3553" s="52">
        <f t="shared" si="115"/>
        <v>1.0307478073486504E-3</v>
      </c>
    </row>
    <row r="3554" spans="1:7" ht="15" customHeight="1" x14ac:dyDescent="0.2">
      <c r="A3554" s="19" t="s">
        <v>3701</v>
      </c>
      <c r="B3554" s="50">
        <v>399.6</v>
      </c>
      <c r="C3554" s="50">
        <v>6881.31</v>
      </c>
      <c r="D3554" s="51">
        <v>23223417</v>
      </c>
      <c r="E3554" s="51">
        <v>3073230495</v>
      </c>
      <c r="F3554" s="52">
        <f t="shared" si="114"/>
        <v>6.8804731172922937E-3</v>
      </c>
      <c r="G3554" s="52">
        <f t="shared" si="115"/>
        <v>5.55065970134696E-3</v>
      </c>
    </row>
    <row r="3555" spans="1:7" ht="15" customHeight="1" x14ac:dyDescent="0.2">
      <c r="A3555" s="19" t="s">
        <v>3702</v>
      </c>
      <c r="B3555" s="50">
        <v>398.46</v>
      </c>
      <c r="C3555" s="50">
        <v>6861.89</v>
      </c>
      <c r="D3555" s="51">
        <v>28234001</v>
      </c>
      <c r="E3555" s="51">
        <v>2922324756</v>
      </c>
      <c r="F3555" s="52">
        <f t="shared" si="114"/>
        <v>-2.8569299937212644E-3</v>
      </c>
      <c r="G3555" s="52">
        <f t="shared" si="115"/>
        <v>-2.8261268009801056E-3</v>
      </c>
    </row>
    <row r="3556" spans="1:7" ht="15" customHeight="1" x14ac:dyDescent="0.2">
      <c r="A3556" s="19" t="s">
        <v>3703</v>
      </c>
      <c r="B3556" s="50">
        <v>397.23</v>
      </c>
      <c r="C3556" s="50">
        <v>6909.51</v>
      </c>
      <c r="D3556" s="51">
        <v>34015249</v>
      </c>
      <c r="E3556" s="51">
        <v>3364360111</v>
      </c>
      <c r="F3556" s="52">
        <f t="shared" si="114"/>
        <v>-3.0916587609020186E-3</v>
      </c>
      <c r="G3556" s="52">
        <f t="shared" si="115"/>
        <v>6.915809547172946E-3</v>
      </c>
    </row>
    <row r="3557" spans="1:7" ht="15" customHeight="1" x14ac:dyDescent="0.2">
      <c r="A3557" s="19" t="s">
        <v>3704</v>
      </c>
      <c r="B3557" s="50">
        <v>384.47</v>
      </c>
      <c r="C3557" s="50">
        <v>6837.75</v>
      </c>
      <c r="D3557" s="51">
        <v>43238300</v>
      </c>
      <c r="E3557" s="51">
        <v>3273859095</v>
      </c>
      <c r="F3557" s="52">
        <f t="shared" si="114"/>
        <v>-3.264969552508297E-2</v>
      </c>
      <c r="G3557" s="52">
        <f t="shared" si="115"/>
        <v>-1.0439993392096881E-2</v>
      </c>
    </row>
    <row r="3558" spans="1:7" ht="15" customHeight="1" x14ac:dyDescent="0.2">
      <c r="A3558" s="19" t="s">
        <v>3705</v>
      </c>
      <c r="B3558" s="50">
        <v>389</v>
      </c>
      <c r="C3558" s="50">
        <v>6890.07</v>
      </c>
      <c r="D3558" s="51">
        <v>33884700</v>
      </c>
      <c r="E3558" s="51">
        <v>3204840992</v>
      </c>
      <c r="F3558" s="52">
        <f t="shared" si="114"/>
        <v>1.171358112375393E-2</v>
      </c>
      <c r="G3558" s="52">
        <f t="shared" si="115"/>
        <v>7.622514474642573E-3</v>
      </c>
    </row>
    <row r="3559" spans="1:7" ht="15" customHeight="1" x14ac:dyDescent="0.2">
      <c r="A3559" s="19" t="s">
        <v>3706</v>
      </c>
      <c r="B3559" s="50">
        <v>400.6</v>
      </c>
      <c r="C3559" s="50">
        <v>6946.13</v>
      </c>
      <c r="D3559" s="51">
        <v>43625500</v>
      </c>
      <c r="E3559" s="51">
        <v>3321269126</v>
      </c>
      <c r="F3559" s="52">
        <f t="shared" si="114"/>
        <v>2.9384079613271614E-2</v>
      </c>
      <c r="G3559" s="52">
        <f t="shared" si="115"/>
        <v>8.1034253287755442E-3</v>
      </c>
    </row>
    <row r="3560" spans="1:7" ht="15" customHeight="1" x14ac:dyDescent="0.2">
      <c r="A3560" s="19" t="s">
        <v>3707</v>
      </c>
      <c r="B3560" s="50">
        <v>401.72</v>
      </c>
      <c r="C3560" s="50">
        <v>6908.86</v>
      </c>
      <c r="D3560" s="51">
        <v>34214348</v>
      </c>
      <c r="E3560" s="51">
        <v>3454065492</v>
      </c>
      <c r="F3560" s="52">
        <f t="shared" si="114"/>
        <v>2.7919052934204255E-3</v>
      </c>
      <c r="G3560" s="52">
        <f t="shared" si="115"/>
        <v>-5.3800240775697698E-3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"/>
  <sheetViews>
    <sheetView zoomScale="69" workbookViewId="0">
      <selection activeCell="C9" sqref="C9"/>
    </sheetView>
  </sheetViews>
  <sheetFormatPr baseColWidth="10" defaultColWidth="8.6640625" defaultRowHeight="15" x14ac:dyDescent="0.2"/>
  <cols>
    <col min="1" max="3" width="16" customWidth="1"/>
    <col min="4" max="4" width="5" customWidth="1"/>
    <col min="5" max="6" width="16" customWidth="1"/>
  </cols>
  <sheetData>
    <row r="1" spans="1:3" ht="15" customHeight="1" x14ac:dyDescent="0.2">
      <c r="A1" s="35" t="s">
        <v>3708</v>
      </c>
    </row>
    <row r="3" spans="1:3" ht="15" customHeight="1" x14ac:dyDescent="0.2">
      <c r="A3" s="36" t="s">
        <v>3709</v>
      </c>
    </row>
    <row r="5" spans="1:3" ht="15" customHeight="1" x14ac:dyDescent="0.2">
      <c r="A5" s="37" t="s">
        <v>3710</v>
      </c>
      <c r="B5" s="38">
        <v>4.4560434392263906</v>
      </c>
      <c r="C5" s="39"/>
    </row>
    <row r="6" spans="1:3" ht="15" customHeight="1" x14ac:dyDescent="0.2">
      <c r="A6" s="37" t="s">
        <v>3711</v>
      </c>
      <c r="B6" s="40">
        <f>B5^3-3*B5^2-2*B5-20</f>
        <v>-4.178545481039464E-4</v>
      </c>
      <c r="C6" s="39"/>
    </row>
    <row r="10" spans="1:3" ht="15" customHeight="1" x14ac:dyDescent="0.2">
      <c r="A10" s="36" t="s">
        <v>3712</v>
      </c>
      <c r="C10" s="39"/>
    </row>
    <row r="12" spans="1:3" ht="15" customHeight="1" x14ac:dyDescent="0.2">
      <c r="A12" s="41" t="s">
        <v>3713</v>
      </c>
      <c r="B12" s="41" t="s">
        <v>3711</v>
      </c>
    </row>
    <row r="13" spans="1:3" ht="15" customHeight="1" x14ac:dyDescent="0.2">
      <c r="A13" s="42">
        <v>-10</v>
      </c>
      <c r="B13" s="43">
        <f t="shared" ref="B13:B53" si="0">A13^3-3*A13^2-2*A13-20</f>
        <v>-1300</v>
      </c>
    </row>
    <row r="14" spans="1:3" ht="15" customHeight="1" x14ac:dyDescent="0.2">
      <c r="A14" s="42">
        <v>-9.5</v>
      </c>
      <c r="B14" s="43">
        <f t="shared" si="0"/>
        <v>-1129.125</v>
      </c>
    </row>
    <row r="15" spans="1:3" ht="15" customHeight="1" x14ac:dyDescent="0.2">
      <c r="A15" s="42">
        <v>-9</v>
      </c>
      <c r="B15" s="43">
        <f t="shared" si="0"/>
        <v>-974</v>
      </c>
    </row>
    <row r="16" spans="1:3" ht="15" customHeight="1" x14ac:dyDescent="0.2">
      <c r="A16" s="42">
        <v>-8.5</v>
      </c>
      <c r="B16" s="43">
        <f t="shared" si="0"/>
        <v>-833.875</v>
      </c>
    </row>
    <row r="17" spans="1:2" ht="15" customHeight="1" x14ac:dyDescent="0.2">
      <c r="A17" s="42">
        <v>-8</v>
      </c>
      <c r="B17" s="43">
        <f t="shared" si="0"/>
        <v>-708</v>
      </c>
    </row>
    <row r="18" spans="1:2" ht="15" customHeight="1" x14ac:dyDescent="0.2">
      <c r="A18" s="42">
        <v>-7.5</v>
      </c>
      <c r="B18" s="43">
        <f t="shared" si="0"/>
        <v>-595.625</v>
      </c>
    </row>
    <row r="19" spans="1:2" ht="15" customHeight="1" x14ac:dyDescent="0.2">
      <c r="A19" s="42">
        <v>-7</v>
      </c>
      <c r="B19" s="43">
        <f t="shared" si="0"/>
        <v>-496</v>
      </c>
    </row>
    <row r="20" spans="1:2" ht="15" customHeight="1" x14ac:dyDescent="0.2">
      <c r="A20" s="42">
        <v>-6.5</v>
      </c>
      <c r="B20" s="43">
        <f t="shared" si="0"/>
        <v>-408.375</v>
      </c>
    </row>
    <row r="21" spans="1:2" ht="15" customHeight="1" x14ac:dyDescent="0.2">
      <c r="A21" s="42">
        <v>-6</v>
      </c>
      <c r="B21" s="43">
        <f t="shared" si="0"/>
        <v>-332</v>
      </c>
    </row>
    <row r="22" spans="1:2" ht="15" customHeight="1" x14ac:dyDescent="0.2">
      <c r="A22" s="42">
        <v>-5.5</v>
      </c>
      <c r="B22" s="43">
        <f t="shared" si="0"/>
        <v>-266.125</v>
      </c>
    </row>
    <row r="23" spans="1:2" ht="15" customHeight="1" x14ac:dyDescent="0.2">
      <c r="A23" s="42">
        <v>-5</v>
      </c>
      <c r="B23" s="43">
        <f t="shared" si="0"/>
        <v>-210</v>
      </c>
    </row>
    <row r="24" spans="1:2" ht="15" customHeight="1" x14ac:dyDescent="0.2">
      <c r="A24" s="42">
        <v>-4.5</v>
      </c>
      <c r="B24" s="43">
        <f t="shared" si="0"/>
        <v>-162.875</v>
      </c>
    </row>
    <row r="25" spans="1:2" ht="15" customHeight="1" x14ac:dyDescent="0.2">
      <c r="A25" s="42">
        <v>-4</v>
      </c>
      <c r="B25" s="43">
        <f t="shared" si="0"/>
        <v>-124</v>
      </c>
    </row>
    <row r="26" spans="1:2" ht="15" customHeight="1" x14ac:dyDescent="0.2">
      <c r="A26" s="42">
        <v>-3.5</v>
      </c>
      <c r="B26" s="43">
        <f t="shared" si="0"/>
        <v>-92.625</v>
      </c>
    </row>
    <row r="27" spans="1:2" ht="15" customHeight="1" x14ac:dyDescent="0.2">
      <c r="A27" s="42">
        <v>-3</v>
      </c>
      <c r="B27" s="43">
        <f t="shared" si="0"/>
        <v>-68</v>
      </c>
    </row>
    <row r="28" spans="1:2" ht="15" customHeight="1" x14ac:dyDescent="0.2">
      <c r="A28" s="42">
        <v>-2.5</v>
      </c>
      <c r="B28" s="43">
        <f t="shared" si="0"/>
        <v>-49.375</v>
      </c>
    </row>
    <row r="29" spans="1:2" ht="15" customHeight="1" x14ac:dyDescent="0.2">
      <c r="A29" s="42">
        <v>-2</v>
      </c>
      <c r="B29" s="43">
        <f t="shared" si="0"/>
        <v>-36</v>
      </c>
    </row>
    <row r="30" spans="1:2" ht="15" customHeight="1" x14ac:dyDescent="0.2">
      <c r="A30" s="42">
        <v>-1.5</v>
      </c>
      <c r="B30" s="43">
        <f t="shared" si="0"/>
        <v>-27.125</v>
      </c>
    </row>
    <row r="31" spans="1:2" ht="15" customHeight="1" x14ac:dyDescent="0.2">
      <c r="A31" s="42">
        <v>-1</v>
      </c>
      <c r="B31" s="43">
        <f t="shared" si="0"/>
        <v>-22</v>
      </c>
    </row>
    <row r="32" spans="1:2" ht="15" customHeight="1" x14ac:dyDescent="0.2">
      <c r="A32" s="42">
        <v>-0.5</v>
      </c>
      <c r="B32" s="43">
        <f t="shared" si="0"/>
        <v>-19.875</v>
      </c>
    </row>
    <row r="33" spans="1:2" ht="15" customHeight="1" x14ac:dyDescent="0.2">
      <c r="A33" s="42">
        <v>0</v>
      </c>
      <c r="B33" s="43">
        <f t="shared" si="0"/>
        <v>-20</v>
      </c>
    </row>
    <row r="34" spans="1:2" ht="15" customHeight="1" x14ac:dyDescent="0.2">
      <c r="A34" s="42">
        <v>0.5</v>
      </c>
      <c r="B34" s="43">
        <f t="shared" si="0"/>
        <v>-21.625</v>
      </c>
    </row>
    <row r="35" spans="1:2" ht="15" customHeight="1" x14ac:dyDescent="0.2">
      <c r="A35" s="42">
        <v>1</v>
      </c>
      <c r="B35" s="43">
        <f t="shared" si="0"/>
        <v>-24</v>
      </c>
    </row>
    <row r="36" spans="1:2" ht="15" customHeight="1" x14ac:dyDescent="0.2">
      <c r="A36" s="42">
        <v>1.5</v>
      </c>
      <c r="B36" s="43">
        <f t="shared" si="0"/>
        <v>-26.375</v>
      </c>
    </row>
    <row r="37" spans="1:2" ht="15" customHeight="1" x14ac:dyDescent="0.2">
      <c r="A37" s="42">
        <v>2</v>
      </c>
      <c r="B37" s="43">
        <f t="shared" si="0"/>
        <v>-28</v>
      </c>
    </row>
    <row r="38" spans="1:2" ht="15" customHeight="1" x14ac:dyDescent="0.2">
      <c r="A38" s="42">
        <v>2.5</v>
      </c>
      <c r="B38" s="43">
        <f t="shared" si="0"/>
        <v>-28.125</v>
      </c>
    </row>
    <row r="39" spans="1:2" ht="15" customHeight="1" x14ac:dyDescent="0.2">
      <c r="A39" s="42">
        <v>3</v>
      </c>
      <c r="B39" s="43">
        <f t="shared" si="0"/>
        <v>-26</v>
      </c>
    </row>
    <row r="40" spans="1:2" ht="15" customHeight="1" x14ac:dyDescent="0.2">
      <c r="A40" s="42">
        <v>3.5</v>
      </c>
      <c r="B40" s="43">
        <f t="shared" si="0"/>
        <v>-20.875</v>
      </c>
    </row>
    <row r="41" spans="1:2" ht="15" customHeight="1" x14ac:dyDescent="0.2">
      <c r="A41" s="42">
        <v>4</v>
      </c>
      <c r="B41" s="43">
        <f t="shared" si="0"/>
        <v>-12</v>
      </c>
    </row>
    <row r="42" spans="1:2" ht="15" customHeight="1" x14ac:dyDescent="0.2">
      <c r="A42" s="42">
        <v>4.5</v>
      </c>
      <c r="B42" s="43">
        <f t="shared" si="0"/>
        <v>1.375</v>
      </c>
    </row>
    <row r="43" spans="1:2" ht="15" customHeight="1" x14ac:dyDescent="0.2">
      <c r="A43" s="42">
        <v>5</v>
      </c>
      <c r="B43" s="43">
        <f t="shared" si="0"/>
        <v>20</v>
      </c>
    </row>
    <row r="44" spans="1:2" ht="15" customHeight="1" x14ac:dyDescent="0.2">
      <c r="A44" s="42">
        <v>5.5</v>
      </c>
      <c r="B44" s="43">
        <f t="shared" si="0"/>
        <v>44.625</v>
      </c>
    </row>
    <row r="45" spans="1:2" ht="15" customHeight="1" x14ac:dyDescent="0.2">
      <c r="A45" s="42">
        <v>6</v>
      </c>
      <c r="B45" s="43">
        <f t="shared" si="0"/>
        <v>76</v>
      </c>
    </row>
    <row r="46" spans="1:2" ht="15" customHeight="1" x14ac:dyDescent="0.2">
      <c r="A46" s="42">
        <v>6.5</v>
      </c>
      <c r="B46" s="43">
        <f t="shared" si="0"/>
        <v>114.875</v>
      </c>
    </row>
    <row r="47" spans="1:2" ht="15" customHeight="1" x14ac:dyDescent="0.2">
      <c r="A47" s="42">
        <v>7</v>
      </c>
      <c r="B47" s="43">
        <f t="shared" si="0"/>
        <v>162</v>
      </c>
    </row>
    <row r="48" spans="1:2" ht="15" customHeight="1" x14ac:dyDescent="0.2">
      <c r="A48" s="42">
        <v>7.5</v>
      </c>
      <c r="B48" s="43">
        <f t="shared" si="0"/>
        <v>218.125</v>
      </c>
    </row>
    <row r="49" spans="1:2" ht="15" customHeight="1" x14ac:dyDescent="0.2">
      <c r="A49" s="42">
        <v>8</v>
      </c>
      <c r="B49" s="43">
        <f t="shared" si="0"/>
        <v>284</v>
      </c>
    </row>
    <row r="50" spans="1:2" ht="15" customHeight="1" x14ac:dyDescent="0.2">
      <c r="A50" s="42">
        <v>8.5</v>
      </c>
      <c r="B50" s="43">
        <f t="shared" si="0"/>
        <v>360.375</v>
      </c>
    </row>
    <row r="51" spans="1:2" ht="15" customHeight="1" x14ac:dyDescent="0.2">
      <c r="A51" s="42">
        <v>9</v>
      </c>
      <c r="B51" s="43">
        <f t="shared" si="0"/>
        <v>448</v>
      </c>
    </row>
    <row r="52" spans="1:2" ht="15" customHeight="1" x14ac:dyDescent="0.2">
      <c r="A52" s="42">
        <v>9.5</v>
      </c>
      <c r="B52" s="43">
        <f t="shared" si="0"/>
        <v>547.625</v>
      </c>
    </row>
    <row r="53" spans="1:2" ht="15" customHeight="1" x14ac:dyDescent="0.2">
      <c r="A53" s="42">
        <v>10</v>
      </c>
      <c r="B53" s="43">
        <f t="shared" si="0"/>
        <v>660</v>
      </c>
    </row>
    <row r="55" spans="1:2" ht="15" customHeight="1" x14ac:dyDescent="0.2">
      <c r="A55" s="44"/>
    </row>
    <row r="56" spans="1:2" ht="15" customHeight="1" x14ac:dyDescent="0.2">
      <c r="A56" s="45"/>
    </row>
    <row r="57" spans="1:2" ht="15" customHeight="1" x14ac:dyDescent="0.2">
      <c r="A57" s="45"/>
    </row>
    <row r="58" spans="1:2" ht="15" customHeight="1" x14ac:dyDescent="0.2">
      <c r="A58" s="4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7"/>
  <sheetViews>
    <sheetView topLeftCell="A48" workbookViewId="0">
      <selection activeCell="E6" sqref="E6"/>
    </sheetView>
  </sheetViews>
  <sheetFormatPr baseColWidth="10" defaultColWidth="8.6640625" defaultRowHeight="15" x14ac:dyDescent="0.2"/>
  <cols>
    <col min="1" max="1" width="38" customWidth="1"/>
    <col min="2" max="2" width="18" customWidth="1"/>
    <col min="3" max="3" width="48" customWidth="1"/>
    <col min="4" max="4" width="15" customWidth="1"/>
    <col min="5" max="9" width="18" customWidth="1"/>
  </cols>
  <sheetData>
    <row r="1" spans="1:3" ht="15.5" customHeight="1" x14ac:dyDescent="0.2">
      <c r="A1" s="1" t="s">
        <v>3714</v>
      </c>
    </row>
    <row r="3" spans="1:3" x14ac:dyDescent="0.2">
      <c r="A3" s="3" t="s">
        <v>10</v>
      </c>
    </row>
    <row r="5" spans="1:3" x14ac:dyDescent="0.2">
      <c r="A5" s="4" t="s">
        <v>3715</v>
      </c>
      <c r="B5" s="5">
        <v>0.03</v>
      </c>
    </row>
    <row r="6" spans="1:3" x14ac:dyDescent="0.2">
      <c r="A6" s="4" t="s">
        <v>3716</v>
      </c>
      <c r="B6" s="6">
        <v>12</v>
      </c>
    </row>
    <row r="7" spans="1:3" x14ac:dyDescent="0.2">
      <c r="A7" s="4" t="s">
        <v>3717</v>
      </c>
      <c r="B7" s="7">
        <f>B5/B6</f>
        <v>2.5000000000000001E-3</v>
      </c>
      <c r="C7" s="2"/>
    </row>
    <row r="9" spans="1:3" x14ac:dyDescent="0.2">
      <c r="A9" s="4" t="s">
        <v>3718</v>
      </c>
      <c r="B9" s="6">
        <v>30</v>
      </c>
    </row>
    <row r="10" spans="1:3" x14ac:dyDescent="0.2">
      <c r="A10" s="4" t="s">
        <v>3719</v>
      </c>
      <c r="B10" s="4">
        <f>B9*12</f>
        <v>360</v>
      </c>
      <c r="C10" s="2"/>
    </row>
    <row r="11" spans="1:3" x14ac:dyDescent="0.2">
      <c r="A11" s="4" t="s">
        <v>3720</v>
      </c>
      <c r="B11" s="6">
        <v>15</v>
      </c>
    </row>
    <row r="12" spans="1:3" x14ac:dyDescent="0.2">
      <c r="A12" s="4" t="s">
        <v>3721</v>
      </c>
      <c r="B12" s="4">
        <f>B11*12</f>
        <v>180</v>
      </c>
      <c r="C12" s="2"/>
    </row>
    <row r="14" spans="1:3" x14ac:dyDescent="0.2">
      <c r="A14" s="4" t="s">
        <v>3722</v>
      </c>
      <c r="B14" s="8">
        <v>25000</v>
      </c>
      <c r="C14" s="2"/>
    </row>
    <row r="15" spans="1:3" x14ac:dyDescent="0.2">
      <c r="A15" s="4" t="s">
        <v>3723</v>
      </c>
      <c r="B15" s="9">
        <v>0.3</v>
      </c>
      <c r="C15" s="2"/>
    </row>
    <row r="16" spans="1:3" x14ac:dyDescent="0.2">
      <c r="A16" s="4" t="s">
        <v>3724</v>
      </c>
      <c r="B16" s="8">
        <v>1000</v>
      </c>
      <c r="C16" s="2"/>
    </row>
    <row r="18" spans="1:3" x14ac:dyDescent="0.2">
      <c r="A18" s="3" t="s">
        <v>3725</v>
      </c>
    </row>
    <row r="20" spans="1:3" x14ac:dyDescent="0.2">
      <c r="A20" s="10" t="s">
        <v>3726</v>
      </c>
    </row>
    <row r="21" spans="1:3" x14ac:dyDescent="0.2">
      <c r="A21" s="4" t="s">
        <v>3727</v>
      </c>
      <c r="B21" s="11">
        <f>B14*(1-(1+B7)^(-B12))/B7</f>
        <v>3620136.7864248501</v>
      </c>
      <c r="C21" s="2"/>
    </row>
    <row r="22" spans="1:3" x14ac:dyDescent="0.2">
      <c r="A22" s="4" t="s">
        <v>3728</v>
      </c>
      <c r="B22" s="11">
        <f>PV(B7,B12,-B14,0,0)</f>
        <v>3620136.7864248501</v>
      </c>
      <c r="C22" s="2"/>
    </row>
    <row r="24" spans="1:3" x14ac:dyDescent="0.2">
      <c r="A24" s="10" t="s">
        <v>3729</v>
      </c>
    </row>
    <row r="25" spans="1:3" x14ac:dyDescent="0.2">
      <c r="A25" s="4" t="s">
        <v>3730</v>
      </c>
      <c r="B25" s="12">
        <f>((1+B7)^B10-1)/B7</f>
        <v>582.7368845982752</v>
      </c>
      <c r="C25" s="2"/>
    </row>
    <row r="27" spans="1:3" x14ac:dyDescent="0.2">
      <c r="A27" s="10" t="s">
        <v>3731</v>
      </c>
    </row>
    <row r="28" spans="1:3" x14ac:dyDescent="0.2">
      <c r="A28" s="4" t="s">
        <v>3732</v>
      </c>
      <c r="B28" s="11">
        <f>B21/B25</f>
        <v>6212.300752028912</v>
      </c>
      <c r="C28" s="2"/>
    </row>
    <row r="29" spans="1:3" x14ac:dyDescent="0.2">
      <c r="A29" s="4" t="s">
        <v>3733</v>
      </c>
      <c r="B29" s="11">
        <f>-PMT(B7,B10,0,B21)</f>
        <v>6212.3007520287438</v>
      </c>
      <c r="C29" s="2"/>
    </row>
    <row r="31" spans="1:3" x14ac:dyDescent="0.2">
      <c r="A31" s="10" t="s">
        <v>3734</v>
      </c>
    </row>
    <row r="32" spans="1:3" x14ac:dyDescent="0.2">
      <c r="A32" s="2" t="s">
        <v>3735</v>
      </c>
    </row>
    <row r="33" spans="1:5" x14ac:dyDescent="0.2">
      <c r="A33" s="13" t="s">
        <v>3736</v>
      </c>
      <c r="B33" s="14">
        <f>(B28-B16)/(1+B15)</f>
        <v>4009.4621169453167</v>
      </c>
      <c r="C33" s="2"/>
    </row>
    <row r="35" spans="1:5" x14ac:dyDescent="0.2">
      <c r="A35" s="10" t="s">
        <v>3737</v>
      </c>
    </row>
    <row r="36" spans="1:5" x14ac:dyDescent="0.2">
      <c r="A36" s="4" t="s">
        <v>3738</v>
      </c>
      <c r="B36" s="11">
        <f>B33</f>
        <v>4009.4621169453167</v>
      </c>
    </row>
    <row r="37" spans="1:5" x14ac:dyDescent="0.2">
      <c r="A37" s="4" t="s">
        <v>3739</v>
      </c>
      <c r="B37" s="11">
        <f>B15*B33</f>
        <v>1202.8386350835949</v>
      </c>
    </row>
    <row r="38" spans="1:5" x14ac:dyDescent="0.2">
      <c r="A38" s="4" t="s">
        <v>3740</v>
      </c>
      <c r="B38" s="11">
        <f>B16</f>
        <v>1000</v>
      </c>
    </row>
    <row r="39" spans="1:5" x14ac:dyDescent="0.2">
      <c r="A39" s="15" t="s">
        <v>3741</v>
      </c>
      <c r="B39" s="16">
        <f>B36+B37+B38</f>
        <v>6212.300752028912</v>
      </c>
      <c r="C39" s="2"/>
    </row>
    <row r="42" spans="1:5" x14ac:dyDescent="0.2">
      <c r="A42" s="3" t="s">
        <v>3742</v>
      </c>
    </row>
    <row r="44" spans="1:5" ht="27" customHeight="1" x14ac:dyDescent="0.2">
      <c r="A44" s="17" t="s">
        <v>3743</v>
      </c>
      <c r="B44" s="17" t="s">
        <v>3744</v>
      </c>
      <c r="C44" s="17" t="s">
        <v>3745</v>
      </c>
      <c r="D44" s="17" t="s">
        <v>3746</v>
      </c>
      <c r="E44" s="17" t="s">
        <v>3747</v>
      </c>
    </row>
    <row r="45" spans="1:5" x14ac:dyDescent="0.2">
      <c r="A45" s="4">
        <v>1</v>
      </c>
      <c r="B45" s="11">
        <v>0</v>
      </c>
      <c r="C45" s="11">
        <f t="shared" ref="C45:C50" si="0">$B$39</f>
        <v>6212.300752028912</v>
      </c>
      <c r="D45" s="11">
        <f t="shared" ref="D45:D50" si="1">(B45+C45)*$B$7</f>
        <v>15.53075188007228</v>
      </c>
      <c r="E45" s="11">
        <f t="shared" ref="E45:E50" si="2">B45+C45+D45</f>
        <v>6227.8315039089839</v>
      </c>
    </row>
    <row r="46" spans="1:5" x14ac:dyDescent="0.2">
      <c r="A46" s="4">
        <v>2</v>
      </c>
      <c r="B46" s="11">
        <f>E45</f>
        <v>6227.8315039089839</v>
      </c>
      <c r="C46" s="11">
        <f t="shared" si="0"/>
        <v>6212.300752028912</v>
      </c>
      <c r="D46" s="11">
        <f t="shared" si="1"/>
        <v>31.100330639844742</v>
      </c>
      <c r="E46" s="11">
        <f t="shared" si="2"/>
        <v>12471.232586577742</v>
      </c>
    </row>
    <row r="47" spans="1:5" x14ac:dyDescent="0.2">
      <c r="A47" s="4">
        <v>3</v>
      </c>
      <c r="B47" s="11">
        <f>E46</f>
        <v>12471.232586577742</v>
      </c>
      <c r="C47" s="11">
        <f t="shared" si="0"/>
        <v>6212.300752028912</v>
      </c>
      <c r="D47" s="11">
        <f t="shared" si="1"/>
        <v>46.708833346516641</v>
      </c>
      <c r="E47" s="11">
        <f t="shared" si="2"/>
        <v>18730.242171953174</v>
      </c>
    </row>
    <row r="48" spans="1:5" x14ac:dyDescent="0.2">
      <c r="A48" s="4">
        <v>4</v>
      </c>
      <c r="B48" s="11">
        <f>E47</f>
        <v>18730.242171953174</v>
      </c>
      <c r="C48" s="11">
        <f t="shared" si="0"/>
        <v>6212.300752028912</v>
      </c>
      <c r="D48" s="11">
        <f t="shared" si="1"/>
        <v>62.356357309955222</v>
      </c>
      <c r="E48" s="11">
        <f t="shared" si="2"/>
        <v>25004.899281292044</v>
      </c>
    </row>
    <row r="49" spans="1:5" x14ac:dyDescent="0.2">
      <c r="A49" s="4">
        <v>5</v>
      </c>
      <c r="B49" s="11">
        <f>E48</f>
        <v>25004.899281292044</v>
      </c>
      <c r="C49" s="11">
        <f t="shared" si="0"/>
        <v>6212.300752028912</v>
      </c>
      <c r="D49" s="11">
        <f t="shared" si="1"/>
        <v>78.043000083302402</v>
      </c>
      <c r="E49" s="11">
        <f t="shared" si="2"/>
        <v>31295.243033404262</v>
      </c>
    </row>
    <row r="50" spans="1:5" x14ac:dyDescent="0.2">
      <c r="A50" s="4">
        <v>6</v>
      </c>
      <c r="B50" s="11">
        <f>E49</f>
        <v>31295.243033404262</v>
      </c>
      <c r="C50" s="11">
        <f t="shared" si="0"/>
        <v>6212.300752028912</v>
      </c>
      <c r="D50" s="11">
        <f t="shared" si="1"/>
        <v>93.768859463582942</v>
      </c>
      <c r="E50" s="11">
        <f t="shared" si="2"/>
        <v>37601.31264489676</v>
      </c>
    </row>
    <row r="51" spans="1:5" x14ac:dyDescent="0.2">
      <c r="A51" s="18" t="s">
        <v>3748</v>
      </c>
      <c r="B51" s="18" t="s">
        <v>3748</v>
      </c>
      <c r="C51" s="18" t="s">
        <v>3748</v>
      </c>
      <c r="D51" s="18" t="s">
        <v>3748</v>
      </c>
      <c r="E51" s="18" t="s">
        <v>3748</v>
      </c>
    </row>
    <row r="52" spans="1:5" x14ac:dyDescent="0.2">
      <c r="A52" s="19"/>
    </row>
    <row r="53" spans="1:5" x14ac:dyDescent="0.2">
      <c r="A53" s="20" t="s">
        <v>3749</v>
      </c>
      <c r="B53" s="21">
        <f>B39*((1+B7)^B10-1)/B7</f>
        <v>3620136.7864248501</v>
      </c>
      <c r="C53" s="2"/>
    </row>
    <row r="54" spans="1:5" x14ac:dyDescent="0.2">
      <c r="A54" s="15" t="s">
        <v>3750</v>
      </c>
      <c r="B54" s="16">
        <f>B21</f>
        <v>3620136.7864248501</v>
      </c>
    </row>
    <row r="55" spans="1:5" x14ac:dyDescent="0.2">
      <c r="A55" s="13" t="s">
        <v>3751</v>
      </c>
      <c r="B55" s="22">
        <f>B53-B54</f>
        <v>0</v>
      </c>
      <c r="C55" s="2"/>
    </row>
    <row r="57" spans="1:5" x14ac:dyDescent="0.2">
      <c r="A57" s="10" t="s">
        <v>3752</v>
      </c>
    </row>
    <row r="58" spans="1:5" x14ac:dyDescent="0.2">
      <c r="A58" s="4" t="s">
        <v>3753</v>
      </c>
      <c r="B58" s="11">
        <f>B53</f>
        <v>3620136.7864248501</v>
      </c>
    </row>
    <row r="59" spans="1:5" x14ac:dyDescent="0.2">
      <c r="A59" s="4" t="s">
        <v>3754</v>
      </c>
      <c r="B59" s="11">
        <f>B14</f>
        <v>25000</v>
      </c>
    </row>
    <row r="60" spans="1:5" x14ac:dyDescent="0.2">
      <c r="A60" s="4" t="s">
        <v>3755</v>
      </c>
      <c r="B60" s="11">
        <f>B58*(1+B7)^B12-B14*((1+B7)^B12-1)/B7</f>
        <v>0</v>
      </c>
      <c r="C60" s="2"/>
    </row>
    <row r="61" spans="1:5" x14ac:dyDescent="0.2">
      <c r="A61" s="4" t="s">
        <v>3756</v>
      </c>
      <c r="B61" s="23">
        <f>FV(B7,B12,B14,-B58)</f>
        <v>0</v>
      </c>
      <c r="C61" s="2"/>
    </row>
    <row r="63" spans="1:5" x14ac:dyDescent="0.2">
      <c r="A63" s="3" t="s">
        <v>3757</v>
      </c>
    </row>
    <row r="65" spans="1:3" x14ac:dyDescent="0.2">
      <c r="A65" s="4" t="s">
        <v>3758</v>
      </c>
      <c r="B65" s="11">
        <f>PV(B7,B12,-B14,0,0)</f>
        <v>3620136.7864248501</v>
      </c>
    </row>
    <row r="66" spans="1:3" x14ac:dyDescent="0.2">
      <c r="A66" s="4" t="s">
        <v>3759</v>
      </c>
      <c r="B66" s="11">
        <f>-PMT(B7,B10,0,B65)</f>
        <v>6212.3007520287438</v>
      </c>
    </row>
    <row r="67" spans="1:3" x14ac:dyDescent="0.2">
      <c r="A67" s="13" t="s">
        <v>3760</v>
      </c>
      <c r="B67" s="14">
        <f>(B66-B16)/(1+B15)</f>
        <v>4009.4621169451875</v>
      </c>
      <c r="C67" s="2" t="s">
        <v>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Sheet</vt:lpstr>
      <vt:lpstr>Exercise 1</vt:lpstr>
      <vt:lpstr>Exercise 2</vt:lpstr>
      <vt:lpstr>Exercise 3</vt:lpstr>
      <vt:lpstr>Exercise 4</vt:lpstr>
      <vt:lpstr>Exercise 5</vt:lpstr>
      <vt:lpstr>Exercise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Sonneck</dc:creator>
  <cp:lastModifiedBy>Le San Hua</cp:lastModifiedBy>
  <dcterms:created xsi:type="dcterms:W3CDTF">2026-03-17T13:54:48Z</dcterms:created>
  <dcterms:modified xsi:type="dcterms:W3CDTF">2026-10-17T19:26:44Z</dcterms:modified>
</cp:coreProperties>
</file>